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drawings/drawing14.xml" ContentType="application/vnd.openxmlformats-officedocument.drawing+xml"/>
  <Override PartName="/xl/worksheets/sheet28.xml" ContentType="application/vnd.openxmlformats-officedocument.spreadsheetml.worksheet+xml"/>
  <Override PartName="/xl/drawings/drawing15.xml" ContentType="application/vnd.openxmlformats-officedocument.drawing+xml"/>
  <Override PartName="/xl/worksheets/sheet29.xml" ContentType="application/vnd.openxmlformats-officedocument.spreadsheetml.worksheet+xml"/>
  <Override PartName="/xl/drawings/drawing16.xml" ContentType="application/vnd.openxmlformats-officedocument.drawing+xml"/>
  <Override PartName="/xl/worksheets/sheet30.xml" ContentType="application/vnd.openxmlformats-officedocument.spreadsheetml.worksheet+xml"/>
  <Override PartName="/xl/drawings/drawing17.xml" ContentType="application/vnd.openxmlformats-officedocument.drawing+xml"/>
  <Override PartName="/xl/worksheets/sheet31.xml" ContentType="application/vnd.openxmlformats-officedocument.spreadsheetml.worksheet+xml"/>
  <Override PartName="/xl/drawings/drawing18.xml" ContentType="application/vnd.openxmlformats-officedocument.drawing+xml"/>
  <Override PartName="/xl/worksheets/sheet32.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Carteira 101" sheetId="2" state="visible" r:id="rId2"/>
    <sheet xmlns:r="http://schemas.openxmlformats.org/officeDocument/2006/relationships" name="Casos 99" sheetId="3" state="visible" r:id="rId3"/>
    <sheet xmlns:r="http://schemas.openxmlformats.org/officeDocument/2006/relationships" name="Nomes editáveis" sheetId="4" state="visible" r:id="rId4"/>
    <sheet xmlns:r="http://schemas.openxmlformats.org/officeDocument/2006/relationships" name="Flagships" sheetId="5" state="visible" r:id="rId5"/>
    <sheet xmlns:r="http://schemas.openxmlformats.org/officeDocument/2006/relationships" name="Cobertura e lacunas" sheetId="6" state="visible" r:id="rId6"/>
    <sheet xmlns:r="http://schemas.openxmlformats.org/officeDocument/2006/relationships" name="Dicionário" sheetId="7" state="visible" r:id="rId7"/>
    <sheet xmlns:r="http://schemas.openxmlformats.org/officeDocument/2006/relationships" name="Fontes manuais" sheetId="8" state="visible" r:id="rId8"/>
    <sheet xmlns:r="http://schemas.openxmlformats.org/officeDocument/2006/relationships" name="Preços por cota" sheetId="9" state="visible" r:id="rId9"/>
    <sheet xmlns:r="http://schemas.openxmlformats.org/officeDocument/2006/relationships" name="Auditoria documental" sheetId="10" state="visible" r:id="rId10"/>
    <sheet xmlns:r="http://schemas.openxmlformats.org/officeDocument/2006/relationships" name="Evidências documentais" sheetId="11" state="visible" r:id="rId11"/>
    <sheet xmlns:r="http://schemas.openxmlformats.org/officeDocument/2006/relationships" name="Cobertura varredura" sheetId="12" state="visible" r:id="rId12"/>
    <sheet xmlns:r="http://schemas.openxmlformats.org/officeDocument/2006/relationships" name="Dicionário de campos" sheetId="13" state="visible" r:id="rId13"/>
    <sheet xmlns:r="http://schemas.openxmlformats.org/officeDocument/2006/relationships" name="Gráfico 01" sheetId="14" state="visible" r:id="rId14"/>
    <sheet xmlns:r="http://schemas.openxmlformats.org/officeDocument/2006/relationships" name="Gráfico 02" sheetId="15" state="visible" r:id="rId15"/>
    <sheet xmlns:r="http://schemas.openxmlformats.org/officeDocument/2006/relationships" name="Gráfico 03" sheetId="16" state="visible" r:id="rId16"/>
    <sheet xmlns:r="http://schemas.openxmlformats.org/officeDocument/2006/relationships" name="Gráfico 04" sheetId="17" state="visible" r:id="rId17"/>
    <sheet xmlns:r="http://schemas.openxmlformats.org/officeDocument/2006/relationships" name="Gráfico 05" sheetId="18" state="visible" r:id="rId18"/>
    <sheet xmlns:r="http://schemas.openxmlformats.org/officeDocument/2006/relationships" name="Gráfico 06" sheetId="19" state="visible" r:id="rId19"/>
    <sheet xmlns:r="http://schemas.openxmlformats.org/officeDocument/2006/relationships" name="Gráfico 07" sheetId="20" state="visible" r:id="rId20"/>
    <sheet xmlns:r="http://schemas.openxmlformats.org/officeDocument/2006/relationships" name="Gráfico 08" sheetId="21" state="visible" r:id="rId21"/>
    <sheet xmlns:r="http://schemas.openxmlformats.org/officeDocument/2006/relationships" name="Gráfico 09" sheetId="22" state="visible" r:id="rId22"/>
    <sheet xmlns:r="http://schemas.openxmlformats.org/officeDocument/2006/relationships" name="Gráfico 10" sheetId="23" state="visible" r:id="rId23"/>
    <sheet xmlns:r="http://schemas.openxmlformats.org/officeDocument/2006/relationships" name="Gráfico 11" sheetId="24" state="visible" r:id="rId24"/>
    <sheet xmlns:r="http://schemas.openxmlformats.org/officeDocument/2006/relationships" name="Gráfico 12" sheetId="25" state="visible" r:id="rId25"/>
    <sheet xmlns:r="http://schemas.openxmlformats.org/officeDocument/2006/relationships" name="Gráfico 13" sheetId="26" state="visible" r:id="rId26"/>
    <sheet xmlns:r="http://schemas.openxmlformats.org/officeDocument/2006/relationships" name="Gráfico 14" sheetId="27" state="visible" r:id="rId27"/>
    <sheet xmlns:r="http://schemas.openxmlformats.org/officeDocument/2006/relationships" name="Gráfico 15" sheetId="28" state="visible" r:id="rId28"/>
    <sheet xmlns:r="http://schemas.openxmlformats.org/officeDocument/2006/relationships" name="Gráfico 16" sheetId="29" state="visible" r:id="rId29"/>
    <sheet xmlns:r="http://schemas.openxmlformats.org/officeDocument/2006/relationships" name="Gráfico 17" sheetId="30" state="visible" r:id="rId30"/>
    <sheet xmlns:r="http://schemas.openxmlformats.org/officeDocument/2006/relationships" name="Gráfico 18" sheetId="31" state="visible" r:id="rId31"/>
    <sheet xmlns:r="http://schemas.openxmlformats.org/officeDocument/2006/relationships" name="Gráfico 19" sheetId="32" state="visible" r:id="rId32"/>
  </sheets>
  <definedNames/>
  <calcPr calcId="124519" calcMode="auto" fullCalcOnLoad="1" forceFullCalc="1"/>
</workbook>
</file>

<file path=xl/styles.xml><?xml version="1.0" encoding="utf-8"?>
<styleSheet xmlns="http://schemas.openxmlformats.org/spreadsheetml/2006/main">
  <numFmts count="3">
    <numFmt numFmtId="164" formatCode="00000000000000"/>
    <numFmt numFmtId="165" formatCode="R$ #,##0.00"/>
    <numFmt numFmtId="166" formatCode="00000000"/>
  </numFmts>
  <fonts count="16">
    <font>
      <name val="Carlito"/>
      <sz val="11"/>
    </font>
    <font>
      <name val="Arial"/>
      <b val="1"/>
      <color rgb="FFFFFFFF"/>
      <sz val="18"/>
    </font>
    <font>
      <name val="Arial"/>
      <color rgb="FF73787D"/>
      <sz val="10"/>
    </font>
    <font>
      <name val="Arial"/>
      <b val="1"/>
      <color rgb="FFFFFFFF"/>
      <sz val="9"/>
    </font>
    <font>
      <name val="Arial"/>
      <b val="1"/>
      <color rgb="FF151515"/>
      <sz val="18"/>
    </font>
    <font>
      <name val="Arial"/>
      <b val="1"/>
      <color rgb="FFFFFFFF"/>
      <sz val="10"/>
    </font>
    <font>
      <name val="Arial"/>
      <color rgb="FF30353A"/>
      <sz val="10"/>
    </font>
    <font>
      <name val="Arial"/>
      <b val="1"/>
      <color rgb="FF30353A"/>
      <sz val="10"/>
    </font>
    <font>
      <name val="Arial"/>
      <b val="1"/>
      <color rgb="FFFFFFFF"/>
      <sz val="16"/>
    </font>
    <font>
      <name val="Arial"/>
      <color rgb="FF30353A"/>
      <sz val="8"/>
    </font>
    <font>
      <name val="Arial"/>
      <b val="1"/>
      <color rgb="FFFFFFFF"/>
      <sz val="8"/>
    </font>
    <font>
      <name val="Arial"/>
      <color rgb="FF30353A"/>
      <sz val="9"/>
    </font>
    <font>
      <name val="Arial"/>
      <b val="1"/>
      <color rgb="FFFFFFFF"/>
      <sz val="11"/>
    </font>
    <font>
      <name val="Arial"/>
      <b val="1"/>
      <color rgb="00FFFFFF"/>
      <sz val="16"/>
    </font>
    <font>
      <name val="Arial"/>
      <color rgb="00666666"/>
      <sz val="10"/>
    </font>
    <font>
      <name val="Arial"/>
      <b val="1"/>
      <color rgb="00FFFFFF"/>
      <sz val="9"/>
    </font>
  </fonts>
  <fills count="17">
    <fill>
      <patternFill/>
    </fill>
    <fill>
      <patternFill patternType="gray125"/>
    </fill>
    <fill>
      <patternFill patternType="solid">
        <fgColor rgb="FF151515"/>
      </patternFill>
    </fill>
    <fill>
      <patternFill patternType="solid">
        <fgColor rgb="FF30353A"/>
      </patternFill>
    </fill>
    <fill>
      <patternFill patternType="solid">
        <fgColor rgb="FFF5F6F7"/>
      </patternFill>
    </fill>
    <fill>
      <patternFill patternType="solid">
        <fgColor rgb="FFEC7000"/>
      </patternFill>
    </fill>
    <fill>
      <patternFill patternType="solid">
        <fgColor rgb="FFFFFFFF"/>
      </patternFill>
    </fill>
    <fill>
      <patternFill patternType="solid">
        <fgColor rgb="FF7A1F3D"/>
      </patternFill>
    </fill>
    <fill>
      <patternFill patternType="solid">
        <fgColor rgb="FF2456D6"/>
      </patternFill>
    </fill>
    <fill>
      <patternFill patternType="solid">
        <fgColor rgb="FF002B5C"/>
      </patternFill>
    </fill>
    <fill>
      <patternFill patternType="solid">
        <fgColor rgb="FF006B3C"/>
      </patternFill>
    </fill>
    <fill>
      <patternFill patternType="solid">
        <fgColor rgb="FFA65A00"/>
      </patternFill>
    </fill>
    <fill>
      <patternFill patternType="solid">
        <fgColor rgb="FF73787D"/>
      </patternFill>
    </fill>
    <fill>
      <patternFill patternType="solid"/>
    </fill>
    <fill>
      <patternFill patternType="solid">
        <fgColor rgb="007A1F3D"/>
      </patternFill>
    </fill>
    <fill>
      <patternFill patternType="solid">
        <fgColor rgb="00EC7000"/>
      </patternFill>
    </fill>
    <fill>
      <patternFill patternType="solid">
        <fgColor rgb="00002B5C"/>
      </patternFill>
    </fill>
  </fills>
  <borders count="4">
    <border/>
    <border>
      <bottom style="thin">
        <color rgb="FFD7DADD"/>
      </bottom>
    </border>
    <border>
      <top style="thin">
        <color rgb="FFD7DADD"/>
      </top>
      <bottom style="thin">
        <color rgb="FFD7DADD"/>
      </bottom>
    </border>
    <border>
      <bottom style="thin">
        <color rgb="FF151515"/>
      </bottom>
    </border>
  </borders>
  <cellStyleXfs count="1">
    <xf numFmtId="0" fontId="0" fillId="0" borderId="0"/>
  </cellStyleXfs>
  <cellXfs count="171">
    <xf numFmtId="0" fontId="0" fillId="0" borderId="0" pivotButton="0" quotePrefix="0" xfId="0"/>
    <xf numFmtId="0" fontId="0" fillId="2"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4" borderId="0" pivotButton="0" quotePrefix="0" xfId="0"/>
    <xf numFmtId="0" fontId="4" fillId="4" borderId="0" pivotButton="0" quotePrefix="0" xfId="0"/>
    <xf numFmtId="0" fontId="3" fillId="3" borderId="0" applyAlignment="1" pivotButton="0" quotePrefix="0" xfId="0">
      <alignment horizontal="center"/>
    </xf>
    <xf numFmtId="0" fontId="4" fillId="4" borderId="0" applyAlignment="1" pivotButton="0" quotePrefix="0" xfId="0">
      <alignment horizontal="center"/>
    </xf>
    <xf numFmtId="0" fontId="3" fillId="3" borderId="0" applyAlignment="1" pivotButton="0" quotePrefix="0" xfId="0">
      <alignment horizontal="center" vertical="center"/>
    </xf>
    <xf numFmtId="0" fontId="4" fillId="4" borderId="0" applyAlignment="1" pivotButton="0" quotePrefix="0" xfId="0">
      <alignment horizontal="center" vertical="center"/>
    </xf>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5" fillId="2" borderId="0" pivotButton="0" quotePrefix="0" xfId="0"/>
    <xf numFmtId="0" fontId="6" fillId="0" borderId="0" pivotButton="0" quotePrefix="0" xfId="0"/>
    <xf numFmtId="0" fontId="6" fillId="0" borderId="0" applyAlignment="1" pivotButton="0" quotePrefix="0" xfId="0">
      <alignment wrapText="1"/>
    </xf>
    <xf numFmtId="0" fontId="7" fillId="0" borderId="0" applyAlignment="1" pivotButton="0" quotePrefix="0" xfId="0">
      <alignment wrapText="1"/>
    </xf>
    <xf numFmtId="0" fontId="7" fillId="4" borderId="0" applyAlignment="1" pivotButton="0" quotePrefix="0" xfId="0">
      <alignment wrapText="1"/>
    </xf>
    <xf numFmtId="0" fontId="5" fillId="2" borderId="1" pivotButton="0" quotePrefix="0" xfId="0"/>
    <xf numFmtId="0" fontId="7" fillId="4" borderId="2" applyAlignment="1" pivotButton="0" quotePrefix="0" xfId="0">
      <alignment wrapText="1"/>
    </xf>
    <xf numFmtId="0" fontId="6" fillId="0" borderId="2" applyAlignment="1" pivotButton="0" quotePrefix="0" xfId="0">
      <alignment wrapText="1"/>
    </xf>
    <xf numFmtId="0" fontId="8" fillId="2" borderId="0" pivotButton="0" quotePrefix="0" xfId="0"/>
    <xf numFmtId="0" fontId="8" fillId="2" borderId="0" applyAlignment="1" pivotButton="0" quotePrefix="0" xfId="0">
      <alignment vertical="center"/>
    </xf>
    <xf numFmtId="0" fontId="0" fillId="6" borderId="0" pivotButton="0" quotePrefix="0" xfId="0"/>
    <xf numFmtId="0" fontId="2" fillId="6" borderId="0" pivotButton="0" quotePrefix="0" xfId="0"/>
    <xf numFmtId="0" fontId="2" fillId="6" borderId="0" applyAlignment="1" pivotButton="0" quotePrefix="0" xfId="0">
      <alignment vertical="center"/>
    </xf>
    <xf numFmtId="0" fontId="5" fillId="2" borderId="0" applyAlignment="1" pivotButton="0" quotePrefix="0" xfId="0">
      <alignment wrapText="1"/>
    </xf>
    <xf numFmtId="0" fontId="5" fillId="2" borderId="0" applyAlignment="1" pivotButton="0" quotePrefix="0" xfId="0">
      <alignment vertical="center" wrapText="1"/>
    </xf>
    <xf numFmtId="0" fontId="5" fillId="2" borderId="3" applyAlignment="1" pivotButton="0" quotePrefix="0" xfId="0">
      <alignment vertical="center" wrapText="1"/>
    </xf>
    <xf numFmtId="0" fontId="9" fillId="0" borderId="0"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9" fillId="0" borderId="2" applyAlignment="1" pivotButton="0" quotePrefix="0" xfId="0">
      <alignment vertical="center"/>
    </xf>
    <xf numFmtId="0" fontId="9" fillId="0" borderId="1" applyAlignment="1" pivotButton="0" quotePrefix="0" xfId="0">
      <alignment vertical="center" wrapText="1"/>
    </xf>
    <xf numFmtId="0" fontId="9" fillId="0" borderId="2" applyAlignment="1" pivotButton="0" quotePrefix="0" xfId="0">
      <alignment vertical="center" wrapText="1"/>
    </xf>
    <xf numFmtId="0" fontId="9" fillId="4" borderId="2" applyAlignment="1" pivotButton="0" quotePrefix="0" xfId="0">
      <alignment vertical="center" wrapText="1"/>
    </xf>
    <xf numFmtId="0" fontId="10" fillId="2" borderId="0" pivotButton="0" quotePrefix="0" xfId="0"/>
    <xf numFmtId="0" fontId="10" fillId="2" borderId="0" applyAlignment="1" pivotButton="0" quotePrefix="0" xfId="0">
      <alignment horizontal="center"/>
    </xf>
    <xf numFmtId="0" fontId="10" fillId="2" borderId="0" applyAlignment="1" pivotButton="0" quotePrefix="0" xfId="0">
      <alignment horizontal="center" vertical="center"/>
    </xf>
    <xf numFmtId="0" fontId="10" fillId="3" borderId="0" pivotButton="0" quotePrefix="0" xfId="0"/>
    <xf numFmtId="0" fontId="10" fillId="3" borderId="0" applyAlignment="1" pivotButton="0" quotePrefix="0" xfId="0">
      <alignment horizontal="center"/>
    </xf>
    <xf numFmtId="0" fontId="10" fillId="3" borderId="0" applyAlignment="1" pivotButton="0" quotePrefix="0" xfId="0">
      <alignment horizontal="center" vertical="center"/>
    </xf>
    <xf numFmtId="0" fontId="10" fillId="5" borderId="0" pivotButton="0" quotePrefix="0" xfId="0"/>
    <xf numFmtId="0" fontId="10" fillId="5" borderId="0" applyAlignment="1" pivotButton="0" quotePrefix="0" xfId="0">
      <alignment horizontal="center"/>
    </xf>
    <xf numFmtId="0" fontId="10" fillId="5" borderId="0" applyAlignment="1" pivotButton="0" quotePrefix="0" xfId="0">
      <alignment horizontal="center" vertical="center"/>
    </xf>
    <xf numFmtId="0" fontId="0" fillId="7" borderId="0" pivotButton="0" quotePrefix="0" xfId="0"/>
    <xf numFmtId="0" fontId="10" fillId="7" borderId="0" pivotButton="0" quotePrefix="0" xfId="0"/>
    <xf numFmtId="0" fontId="10" fillId="7" borderId="0" applyAlignment="1" pivotButton="0" quotePrefix="0" xfId="0">
      <alignment horizontal="center"/>
    </xf>
    <xf numFmtId="0" fontId="10"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horizontal="center"/>
    </xf>
    <xf numFmtId="0" fontId="10" fillId="8" borderId="0" applyAlignment="1" pivotButton="0" quotePrefix="0" xfId="0">
      <alignment horizontal="center" vertical="center"/>
    </xf>
    <xf numFmtId="0" fontId="0" fillId="9" borderId="0" pivotButton="0" quotePrefix="0" xfId="0"/>
    <xf numFmtId="0" fontId="10" fillId="9" borderId="0" pivotButton="0" quotePrefix="0" xfId="0"/>
    <xf numFmtId="0" fontId="10" fillId="9" borderId="0" applyAlignment="1" pivotButton="0" quotePrefix="0" xfId="0">
      <alignment horizontal="center"/>
    </xf>
    <xf numFmtId="0" fontId="10"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horizontal="center"/>
    </xf>
    <xf numFmtId="0" fontId="10" fillId="10" borderId="0" applyAlignment="1" pivotButton="0" quotePrefix="0" xfId="0">
      <alignment horizontal="center" vertical="center"/>
    </xf>
    <xf numFmtId="0" fontId="0" fillId="11" borderId="0" pivotButton="0" quotePrefix="0" xfId="0"/>
    <xf numFmtId="0" fontId="10" fillId="11" borderId="0" pivotButton="0" quotePrefix="0" xfId="0"/>
    <xf numFmtId="0" fontId="10" fillId="11" borderId="0" applyAlignment="1" pivotButton="0" quotePrefix="0" xfId="0">
      <alignment horizontal="center"/>
    </xf>
    <xf numFmtId="0" fontId="10" fillId="11" borderId="0" applyAlignment="1" pivotButton="0" quotePrefix="0" xfId="0">
      <alignment horizontal="center" vertical="center"/>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9" fillId="0" borderId="1" applyAlignment="1" pivotButton="0" quotePrefix="0" xfId="0">
      <alignment vertical="center" wrapText="1"/>
    </xf>
    <xf numFmtId="0" fontId="9" fillId="4" borderId="2" applyAlignment="1" pivotButton="0" quotePrefix="0" xfId="0">
      <alignment vertical="center" wrapText="1"/>
    </xf>
    <xf numFmtId="0" fontId="9" fillId="0" borderId="2" applyAlignment="1" pivotButton="0" quotePrefix="0" xfId="0">
      <alignment vertical="center" wrapText="1"/>
    </xf>
    <xf numFmtId="164" fontId="9" fillId="0" borderId="1" applyAlignment="1" pivotButton="0" quotePrefix="0" xfId="0">
      <alignment vertical="center" wrapText="1"/>
    </xf>
    <xf numFmtId="164" fontId="9" fillId="4" borderId="2" applyAlignment="1" pivotButton="0" quotePrefix="0" xfId="0">
      <alignment vertical="center" wrapText="1"/>
    </xf>
    <xf numFmtId="164" fontId="9" fillId="0" borderId="2" applyAlignment="1" pivotButton="0" quotePrefix="0" xfId="0">
      <alignment vertical="center" wrapText="1"/>
    </xf>
    <xf numFmtId="164"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1" applyAlignment="1" pivotButton="0" quotePrefix="0" xfId="0">
      <alignment vertical="center" wrapText="1"/>
    </xf>
    <xf numFmtId="165" fontId="9" fillId="4" borderId="2" applyAlignment="1" pivotButton="0" quotePrefix="0" xfId="0">
      <alignment vertical="center" wrapText="1"/>
    </xf>
    <xf numFmtId="165" fontId="9" fillId="0" borderId="2" applyAlignment="1" pivotButton="0" quotePrefix="0" xfId="0">
      <alignment vertical="center" wrapText="1"/>
    </xf>
    <xf numFmtId="165" fontId="9" fillId="0" borderId="1" applyAlignment="1" pivotButton="0" quotePrefix="0" xfId="0">
      <alignment horizontal="right" vertical="center" wrapText="1"/>
    </xf>
    <xf numFmtId="165" fontId="9" fillId="4"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1" applyAlignment="1" pivotButton="0" quotePrefix="0" xfId="0">
      <alignment vertical="center" wrapText="1"/>
    </xf>
    <xf numFmtId="10" fontId="9" fillId="4" borderId="2" applyAlignment="1" pivotButton="0" quotePrefix="0" xfId="0">
      <alignment vertical="center" wrapText="1"/>
    </xf>
    <xf numFmtId="10" fontId="9" fillId="0" borderId="2" applyAlignment="1" pivotButton="0" quotePrefix="0" xfId="0">
      <alignment vertical="center" wrapText="1"/>
    </xf>
    <xf numFmtId="10" fontId="9" fillId="0" borderId="1" applyAlignment="1" pivotButton="0" quotePrefix="0" xfId="0">
      <alignment horizontal="right" vertical="center" wrapText="1"/>
    </xf>
    <xf numFmtId="10" fontId="9" fillId="4"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1" applyAlignment="1" pivotButton="0" quotePrefix="0" xfId="0">
      <alignment vertical="center" wrapText="1"/>
    </xf>
    <xf numFmtId="3" fontId="9" fillId="4" borderId="2" applyAlignment="1" pivotButton="0" quotePrefix="0" xfId="0">
      <alignment vertical="center" wrapText="1"/>
    </xf>
    <xf numFmtId="3" fontId="9" fillId="0" borderId="2" applyAlignment="1" pivotButton="0" quotePrefix="0" xfId="0">
      <alignment vertical="center" wrapText="1"/>
    </xf>
    <xf numFmtId="3" fontId="9" fillId="0" borderId="1" applyAlignment="1" pivotButton="0" quotePrefix="0" xfId="0">
      <alignment horizontal="right" vertical="center" wrapText="1"/>
    </xf>
    <xf numFmtId="3" fontId="9" fillId="4" borderId="2" applyAlignment="1" pivotButton="0" quotePrefix="0" xfId="0">
      <alignment horizontal="right" vertical="center" wrapText="1"/>
    </xf>
    <xf numFmtId="3" fontId="9" fillId="0" borderId="2" applyAlignment="1" pivotButton="0" quotePrefix="0" xfId="0">
      <alignment horizontal="right" vertical="center" wrapText="1"/>
    </xf>
    <xf numFmtId="0" fontId="11" fillId="0" borderId="0" pivotButton="0" quotePrefix="0" xfId="0"/>
    <xf numFmtId="0" fontId="11" fillId="0" borderId="0" applyAlignment="1" pivotButton="0" quotePrefix="0" xfId="0">
      <alignment vertical="center"/>
    </xf>
    <xf numFmtId="0" fontId="11" fillId="0" borderId="1" applyAlignment="1" pivotButton="0" quotePrefix="0" xfId="0">
      <alignment vertical="center"/>
    </xf>
    <xf numFmtId="0" fontId="11" fillId="0" borderId="2" applyAlignment="1" pivotButton="0" quotePrefix="0" xfId="0">
      <alignment vertical="center"/>
    </xf>
    <xf numFmtId="0" fontId="11" fillId="0" borderId="1" applyAlignment="1" pivotButton="0" quotePrefix="0" xfId="0">
      <alignment vertical="center" wrapText="1"/>
    </xf>
    <xf numFmtId="0" fontId="11" fillId="0" borderId="2" applyAlignment="1" pivotButton="0" quotePrefix="0" xfId="0">
      <alignment vertical="center" wrapText="1"/>
    </xf>
    <xf numFmtId="0" fontId="11" fillId="4" borderId="2" applyAlignment="1" pivotButton="0" quotePrefix="0" xfId="0">
      <alignment vertical="center" wrapText="1"/>
    </xf>
    <xf numFmtId="164" fontId="11" fillId="0" borderId="1" applyAlignment="1" pivotButton="0" quotePrefix="0" xfId="0">
      <alignment vertical="center" wrapText="1"/>
    </xf>
    <xf numFmtId="164" fontId="11" fillId="4" borderId="2" applyAlignment="1" pivotButton="0" quotePrefix="0" xfId="0">
      <alignment vertical="center" wrapText="1"/>
    </xf>
    <xf numFmtId="164" fontId="11" fillId="0" borderId="2" applyAlignment="1" pivotButton="0" quotePrefix="0" xfId="0">
      <alignmen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0"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1" applyAlignment="1" pivotButton="0" quotePrefix="0" xfId="0">
      <alignment vertical="center" wrapText="1"/>
    </xf>
    <xf numFmtId="165" fontId="11" fillId="4" borderId="2" applyAlignment="1" pivotButton="0" quotePrefix="0" xfId="0">
      <alignment vertical="center" wrapText="1"/>
    </xf>
    <xf numFmtId="165" fontId="11" fillId="0" borderId="2" applyAlignment="1" pivotButton="0" quotePrefix="0" xfId="0">
      <alignment vertical="center" wrapText="1"/>
    </xf>
    <xf numFmtId="0" fontId="12" fillId="5" borderId="0" pivotButton="0" quotePrefix="0" xfId="0"/>
    <xf numFmtId="0" fontId="3" fillId="2" borderId="0" pivotButton="0" quotePrefix="0" xfId="0"/>
    <xf numFmtId="0" fontId="9" fillId="0" borderId="0" applyAlignment="1" pivotButton="0" quotePrefix="0" xfId="0">
      <alignment wrapText="1"/>
    </xf>
    <xf numFmtId="49" fontId="9" fillId="0" borderId="0" applyAlignment="1" pivotButton="0" quotePrefix="0" xfId="0">
      <alignment wrapText="1"/>
    </xf>
    <xf numFmtId="166" fontId="9" fillId="0" borderId="1" applyAlignment="1" pivotButton="0" quotePrefix="0" xfId="0">
      <alignment vertical="center" wrapText="1"/>
    </xf>
    <xf numFmtId="166" fontId="9" fillId="4" borderId="2" applyAlignment="1" pivotButton="0" quotePrefix="0" xfId="0">
      <alignment vertical="center" wrapText="1"/>
    </xf>
    <xf numFmtId="166" fontId="9" fillId="0" borderId="2" applyAlignment="1" pivotButton="0" quotePrefix="0" xfId="0">
      <alignment vertical="center" wrapText="1"/>
    </xf>
    <xf numFmtId="3" fontId="11" fillId="0" borderId="0" pivotButton="0" quotePrefix="0" xfId="0"/>
    <xf numFmtId="3" fontId="11" fillId="0" borderId="0" applyAlignment="1" pivotButton="0" quotePrefix="0" xfId="0">
      <alignment horizontal="right"/>
    </xf>
    <xf numFmtId="10" fontId="11" fillId="0" borderId="0" pivotButton="0" quotePrefix="0" xfId="0"/>
    <xf numFmtId="10" fontId="11" fillId="0" borderId="0" applyAlignment="1" pivotButton="0" quotePrefix="0" xfId="0">
      <alignment horizontal="right"/>
    </xf>
    <xf numFmtId="164" fontId="9" fillId="0" borderId="0" applyAlignment="1" pivotButton="0" quotePrefix="0" xfId="0">
      <alignment wrapText="1"/>
    </xf>
    <xf numFmtId="164" fontId="9" fillId="0" borderId="0" applyAlignment="1" pivotButton="0" quotePrefix="0" xfId="0">
      <alignment horizontal="right" wrapText="1"/>
    </xf>
    <xf numFmtId="3" fontId="9" fillId="0" borderId="0" applyAlignment="1" pivotButton="0" quotePrefix="0" xfId="0">
      <alignment wrapText="1"/>
    </xf>
    <xf numFmtId="3" fontId="9" fillId="0" borderId="0" applyAlignment="1" pivotButton="0" quotePrefix="0" xfId="0">
      <alignment horizontal="right" wrapText="1"/>
    </xf>
    <xf numFmtId="164" fontId="9" fillId="0" borderId="1" applyAlignment="1" pivotButton="0" quotePrefix="0" xfId="0">
      <alignment horizontal="right" vertical="center" wrapText="1"/>
    </xf>
    <xf numFmtId="165" fontId="9" fillId="0" borderId="1" applyAlignment="1" pivotButton="0" quotePrefix="0" xfId="0">
      <alignment horizontal="right" vertical="center" wrapText="1"/>
    </xf>
    <xf numFmtId="10" fontId="9" fillId="0" borderId="1" applyAlignment="1" pivotButton="0" quotePrefix="0" xfId="0">
      <alignment horizontal="right" vertical="center" wrapText="1"/>
    </xf>
    <xf numFmtId="3"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5" fontId="9" fillId="4" borderId="2" applyAlignment="1" pivotButton="0" quotePrefix="0" xfId="0">
      <alignment horizontal="right" vertical="center" wrapText="1"/>
    </xf>
    <xf numFmtId="10" fontId="9" fillId="4" borderId="2" applyAlignment="1" pivotButton="0" quotePrefix="0" xfId="0">
      <alignment horizontal="right" vertical="center" wrapText="1"/>
    </xf>
    <xf numFmtId="3"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2" applyAlignment="1" pivotButton="0" quotePrefix="0" xfId="0">
      <alignment horizontal="righ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65" fontId="11" fillId="0" borderId="1" applyAlignment="1" pivotButton="0" quotePrefix="0" xfId="0">
      <alignment vertical="center" wrapText="1"/>
    </xf>
    <xf numFmtId="10" fontId="11" fillId="4" borderId="2" applyAlignment="1" pivotButton="0" quotePrefix="0" xfId="0">
      <alignment vertical="center" wrapText="1"/>
    </xf>
    <xf numFmtId="165"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2" applyAlignment="1" pivotButton="0" quotePrefix="0" xfId="0">
      <alignment vertical="center" wrapText="1"/>
    </xf>
    <xf numFmtId="49" fontId="9" fillId="0" borderId="0" applyAlignment="1" pivotButton="0" quotePrefix="0" xfId="0">
      <alignment wrapText="1"/>
    </xf>
    <xf numFmtId="166" fontId="9" fillId="0" borderId="1" applyAlignment="1" pivotButton="0" quotePrefix="0" xfId="0">
      <alignment vertical="center" wrapText="1"/>
    </xf>
    <xf numFmtId="164" fontId="9" fillId="0" borderId="1" applyAlignment="1" pivotButton="0" quotePrefix="0" xfId="0">
      <alignment vertical="center" wrapText="1"/>
    </xf>
    <xf numFmtId="166" fontId="9" fillId="4" borderId="2" applyAlignment="1" pivotButton="0" quotePrefix="0" xfId="0">
      <alignment vertical="center" wrapText="1"/>
    </xf>
    <xf numFmtId="164" fontId="9" fillId="4" borderId="2" applyAlignment="1" pivotButton="0" quotePrefix="0" xfId="0">
      <alignment vertical="center" wrapText="1"/>
    </xf>
    <xf numFmtId="166" fontId="9" fillId="0" borderId="2" applyAlignment="1" pivotButton="0" quotePrefix="0" xfId="0">
      <alignment vertical="center" wrapText="1"/>
    </xf>
    <xf numFmtId="164" fontId="9" fillId="0" borderId="2" applyAlignment="1" pivotButton="0" quotePrefix="0" xfId="0">
      <alignment vertical="center" wrapText="1"/>
    </xf>
    <xf numFmtId="3" fontId="11" fillId="0" borderId="0" applyAlignment="1" pivotButton="0" quotePrefix="0" xfId="0">
      <alignment horizontal="right"/>
    </xf>
    <xf numFmtId="10" fontId="11" fillId="0" borderId="0" applyAlignment="1" pivotButton="0" quotePrefix="0" xfId="0">
      <alignment horizontal="right"/>
    </xf>
    <xf numFmtId="164" fontId="9" fillId="0" borderId="0" applyAlignment="1" pivotButton="0" quotePrefix="0" xfId="0">
      <alignment horizontal="right" wrapText="1"/>
    </xf>
    <xf numFmtId="3" fontId="9" fillId="0" borderId="0" applyAlignment="1" pivotButton="0" quotePrefix="0" xfId="0">
      <alignment horizontal="right" wrapText="1"/>
    </xf>
    <xf numFmtId="0" fontId="13" fillId="13" borderId="0" pivotButton="0" quotePrefix="0" xfId="0"/>
    <xf numFmtId="0" fontId="14" fillId="0" borderId="0" pivotButton="0" quotePrefix="0" xfId="0"/>
    <xf numFmtId="0" fontId="15" fillId="14" borderId="0" pivotButton="0" quotePrefix="0" xfId="0"/>
    <xf numFmtId="0" fontId="15" fillId="15" borderId="0" pivotButton="0" quotePrefix="0" xfId="0"/>
    <xf numFmtId="0" fontId="15" fillId="16" borderId="0" pivotButton="0" quotePrefix="0" xfId="0"/>
  </cellXfs>
  <cellStyles count="1">
    <cellStyle name="Normal" xfId="0"/>
  </cellStyles>
  <dxfs count="53">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006B3C"/>
      </font>
      <fill>
        <patternFill patternType="solid">
          <bgColor rgb="FFDCEFE2"/>
        </patternFill>
      </fill>
    </dxf>
    <dxf>
      <font>
        <b val="1"/>
        <color rgb="FFA65A00"/>
      </font>
      <fill>
        <patternFill patternType="solid">
          <bgColor rgb="FFFFF0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Adquirência · mínimo estrutural x Sub/PL atual</a:t>
            </a:r>
          </a:p>
        </rich>
      </tx>
    </title>
    <plotArea>
      <scatterChart>
        <ser>
          <idx val="0"/>
          <order val="0"/>
          <tx>
            <strRef>
              <f>'Nomes editáveis'!$D$94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99'!$S$94</f>
            </numRef>
          </xVal>
          <yVal>
            <numRef>
              <f>'Casos 99'!$L$94</f>
            </numRef>
          </yVal>
        </ser>
        <ser>
          <idx val="1"/>
          <order val="1"/>
          <tx>
            <strRef>
              <f>'Nomes editáveis'!$D$34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99'!$S$34</f>
            </numRef>
          </xVal>
          <yVal>
            <numRef>
              <f>'Casos 99'!$L$34</f>
            </numRef>
          </yVal>
        </ser>
        <ser>
          <idx val="2"/>
          <order val="2"/>
          <tx>
            <strRef>
              <f>'Nomes editáveis'!$D$14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99'!$S$14</f>
            </numRef>
          </xVal>
          <yVal>
            <numRef>
              <f>'Casos 99'!$L$14</f>
            </numRef>
          </yVal>
        </ser>
        <ser>
          <idx val="3"/>
          <order val="3"/>
          <tx>
            <strRef>
              <f>'Nomes editáveis'!$D$39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99'!$S$39</f>
            </numRef>
          </xVal>
          <yVal>
            <numRef>
              <f>'Casos 99'!$L$39</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Cartão/CCB, ecossistema Credsystem · mínimo estrutural x Sub/PL atual</a:t>
            </a:r>
          </a:p>
        </rich>
      </tx>
    </title>
    <plotArea>
      <scatterChart>
        <ser>
          <idx val="0"/>
          <order val="0"/>
          <tx>
            <strRef>
              <f>'Nomes editáveis'!$D$44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99'!$S$44</f>
            </numRef>
          </xVal>
          <yVal>
            <numRef>
              <f>'Casos 99'!$L$44</f>
            </numRef>
          </yVal>
        </ser>
        <dLbls>
          <showLegendKey val="0"/>
          <showVal val="0"/>
          <showSerName val="1"/>
        </dLbls>
        <axId val="10"/>
        <axId val="20"/>
      </scatterChart>
      <valAx>
        <axId val="10"/>
        <scaling>
          <orientation val="minMax"/>
          <max val="0.8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8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Empréstimos Monee SCD, CCBs · mínimo estrutural x Sub/PL atual</a:t>
            </a:r>
          </a:p>
        </rich>
      </tx>
    </title>
    <plotArea>
      <scatterChart>
        <ser>
          <idx val="0"/>
          <order val="0"/>
          <tx>
            <strRef>
              <f>'Nomes editáveis'!$D$90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99'!$S$90</f>
            </numRef>
          </xVal>
          <yVal>
            <numRef>
              <f>'Casos 99'!$L$90</f>
            </numRef>
          </yVal>
        </ser>
        <dLbls>
          <showLegendKey val="0"/>
          <showVal val="0"/>
          <showSerName val="1"/>
        </dLbls>
        <axId val="10"/>
        <axId val="20"/>
      </scatterChart>
      <valAx>
        <axId val="10"/>
        <scaling>
          <orientation val="minMax"/>
          <max val="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Equipamentos e serviços, recebíveis comerciais pulverizados · mínimo estrutural x Sub/PL atual</a:t>
            </a:r>
          </a:p>
        </rich>
      </tx>
    </title>
    <plotArea>
      <scatterChart>
        <ser>
          <idx val="0"/>
          <order val="0"/>
          <tx>
            <strRef>
              <f>'Nomes editáveis'!$D$9</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99'!$S$9</f>
            </numRef>
          </xVal>
          <yVal>
            <numRef>
              <f>'Casos 99'!$L$9</f>
            </numRef>
          </yVal>
        </ser>
        <dLbls>
          <showLegendKey val="0"/>
          <showVal val="0"/>
          <showSerName val="1"/>
        </dLbls>
        <axId val="10"/>
        <axId val="20"/>
      </scatterChart>
      <valAx>
        <axId val="10"/>
        <scaling>
          <orientation val="minMax"/>
          <max val="0.3"/>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Financiamento a consultoras Natura, CCBs · mínimo estrutural x Sub/PL atual</a:t>
            </a:r>
          </a:p>
        </rich>
      </tx>
    </title>
    <plotArea>
      <scatterChart>
        <ser>
          <idx val="0"/>
          <order val="0"/>
          <tx>
            <strRef>
              <f>'Nomes editáveis'!$D$62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99'!$S$62</f>
            </numRef>
          </xVal>
          <yVal>
            <numRef>
              <f>'Casos 99'!$L$62</f>
            </numRef>
          </yVal>
        </ser>
        <dLbls>
          <showLegendKey val="0"/>
          <showVal val="0"/>
          <showSerName val="1"/>
        </dLbls>
        <axId val="10"/>
        <axId val="20"/>
      </scatterChart>
      <valAx>
        <axId val="10"/>
        <scaling>
          <orientation val="minMax"/>
          <max val="0.3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Home equity PF/PJ, CCB com alienação fiduciária · mínimo estrutural x Sub/PL atual</a:t>
            </a:r>
          </a:p>
        </rich>
      </tx>
    </title>
    <plotArea>
      <scatterChart>
        <ser>
          <idx val="0"/>
          <order val="0"/>
          <tx>
            <strRef>
              <f>'Nomes editáveis'!$D$93</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99'!$S$93</f>
            </numRef>
          </xVal>
          <yVal>
            <numRef>
              <f>'Casos 99'!$L$93</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Monosacado/concentrado BRF e Marfrig · mínimo estrutural x Sub/PL atual</a:t>
            </a:r>
          </a:p>
        </rich>
      </tx>
    </title>
    <plotArea>
      <scatterChart>
        <ser>
          <idx val="0"/>
          <order val="0"/>
          <tx>
            <strRef>
              <f>'Nomes editáveis'!$D$83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99'!$S$83</f>
            </numRef>
          </xVal>
          <yVal>
            <numRef>
              <f>'Casos 99'!$L$83</f>
            </numRef>
          </yVal>
        </ser>
        <dLbls>
          <showLegendKey val="0"/>
          <showVal val="0"/>
          <showSerName val="1"/>
        </dLbls>
        <axId val="10"/>
        <axId val="20"/>
      </scatterChart>
      <valAx>
        <axId val="10"/>
        <scaling>
          <orientation val="minMax"/>
          <max val="0.1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1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3"/>
  <chart>
    <title>
      <tx>
        <rich>
          <a:bodyPr xmlns:a="http://schemas.openxmlformats.org/drawingml/2006/main"/>
          <a:p xmlns:a="http://schemas.openxmlformats.org/drawingml/2006/main">
            <a:pPr>
              <a:defRPr/>
            </a:pPr>
            <a:r>
              <a:t>Multicedente agro, lastro específico pendente · mínimo estrutural x Sub/PL atual</a:t>
            </a:r>
          </a:p>
        </rich>
      </tx>
    </title>
    <plotArea>
      <scatterChart>
        <ser>
          <idx val="0"/>
          <order val="0"/>
          <tx>
            <strRef>
              <f>'Nomes editáveis'!$D$27</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99'!$S$27</f>
            </numRef>
          </xVal>
          <yVal>
            <numRef>
              <f>'Casos 99'!$L$27</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Máquinas e implementos agrícolas, vendas e serviços performados · mínimo estrutural x Sub/PL atual</a:t>
            </a:r>
          </a:p>
        </rich>
      </tx>
    </title>
    <plotArea>
      <scatterChart>
        <ser>
          <idx val="0"/>
          <order val="0"/>
          <tx>
            <strRef>
              <f>'Nomes editáveis'!$D$8</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99'!$S$8</f>
            </numRef>
          </xVal>
          <yVal>
            <numRef>
              <f>'Casos 99'!$L$8</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da Dass, projeto de investimento · mínimo estrutural x Sub/PL atual</a:t>
            </a:r>
          </a:p>
        </rich>
      </tx>
    </title>
    <plotArea>
      <scatterChart>
        <ser>
          <idx val="0"/>
          <order val="0"/>
          <tx>
            <strRef>
              <f>'Nomes editáveis'!$D$48</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99'!$S$48</f>
            </numRef>
          </xVal>
          <yVal>
            <numRef>
              <f>'Casos 99'!$L$48</f>
            </numRef>
          </yVal>
        </ser>
        <dLbls>
          <showLegendKey val="0"/>
          <showVal val="0"/>
          <showSerName val="1"/>
        </dLbls>
        <axId val="10"/>
        <axId val="20"/>
      </scatterChart>
      <valAx>
        <axId val="10"/>
        <scaling>
          <orientation val="minMax"/>
          <max val="0.6"/>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6"/>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de empresas/devedores · mínimo estrutural x Sub/PL atual</a:t>
            </a:r>
          </a:p>
        </rich>
      </tx>
    </title>
    <plotArea>
      <scatterChart>
        <ser>
          <idx val="0"/>
          <order val="0"/>
          <tx>
            <strRef>
              <f>'Nomes editáveis'!$D$66</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99'!$S$66</f>
            </numRef>
          </xVal>
          <yVal>
            <numRef>
              <f>'Casos 99'!$L$66</f>
            </numRef>
          </yVal>
        </ser>
        <dLbls>
          <showLegendKey val="0"/>
          <showVal val="0"/>
          <showSerName val="1"/>
        </dLbls>
        <axId val="10"/>
        <axId val="20"/>
      </scatterChart>
      <valAx>
        <axId val="10"/>
        <scaling>
          <orientation val="minMax"/>
          <max val="0.4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3"/>
  <chart>
    <title>
      <tx>
        <rich>
          <a:bodyPr xmlns:a="http://schemas.openxmlformats.org/drawingml/2006/main"/>
          <a:p xmlns:a="http://schemas.openxmlformats.org/drawingml/2006/main">
            <a:pPr>
              <a:defRPr/>
            </a:pPr>
            <a:r>
              <a:t>Recebíveis Albaugh, insumos agro · mínimo estrutural x Sub/PL atual</a:t>
            </a:r>
          </a:p>
        </rich>
      </tx>
    </title>
    <plotArea>
      <scatterChart>
        <ser>
          <idx val="0"/>
          <order val="0"/>
          <tx>
            <strRef>
              <f>'Nomes editáveis'!$D$17</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99'!$S$17</f>
            </numRef>
          </xVal>
          <yVal>
            <numRef>
              <f>'Casos 99'!$L$17</f>
            </numRef>
          </yVal>
        </ser>
        <ser>
          <idx val="1"/>
          <order val="1"/>
          <tx>
            <strRef>
              <f>'Nomes editáveis'!$D$51</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99'!$S$51</f>
            </numRef>
          </xVal>
          <yVal>
            <numRef>
              <f>'Casos 99'!$L$51</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Recebíveis Gazin, natureza contratual não isolada · mínimo estrutural x Sub/PL atual</a:t>
            </a:r>
          </a:p>
        </rich>
      </tx>
    </title>
    <plotArea>
      <scatterChart>
        <ser>
          <idx val="0"/>
          <order val="0"/>
          <tx>
            <strRef>
              <f>'Nomes editáveis'!$D$80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99'!$S$80</f>
            </numRef>
          </xVal>
          <yVal>
            <numRef>
              <f>'Casos 99'!$L$80</f>
            </numRef>
          </yVal>
        </ser>
        <dLbls>
          <showLegendKey val="0"/>
          <showVal val="0"/>
          <showSerName val="1"/>
        </dLbls>
        <axId val="10"/>
        <axId val="20"/>
      </scatterChart>
      <valAx>
        <axId val="10"/>
        <scaling>
          <orientation val="minMax"/>
          <max val="0.7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7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13"/>
  <chart>
    <title>
      <tx>
        <rich>
          <a:bodyPr xmlns:a="http://schemas.openxmlformats.org/drawingml/2006/main"/>
          <a:p xmlns:a="http://schemas.openxmlformats.org/drawingml/2006/main">
            <a:pPr>
              <a:defRPr/>
            </a:pPr>
            <a:r>
              <a:t>Recebíveis de insumos Yara · mínimo estrutural x Sub/PL atual</a:t>
            </a:r>
          </a:p>
        </rich>
      </tx>
    </title>
    <plotArea>
      <scatterChart>
        <ser>
          <idx val="0"/>
          <order val="0"/>
          <tx>
            <strRef>
              <f>'Nomes editáveis'!$D$29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99'!$S$29</f>
            </numRef>
          </xVal>
          <yVal>
            <numRef>
              <f>'Casos 99'!$L$29</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3"/>
  <chart>
    <title>
      <tx>
        <rich>
          <a:bodyPr xmlns:a="http://schemas.openxmlformats.org/drawingml/2006/main"/>
          <a:p xmlns:a="http://schemas.openxmlformats.org/drawingml/2006/main">
            <a:pPr>
              <a:defRPr/>
            </a:pPr>
            <a:r>
              <a:t>Recebíveis de transações de pagamento Pernambucanas · mínimo estrutural x Sub/PL atual</a:t>
            </a:r>
          </a:p>
        </rich>
      </tx>
    </title>
    <plotArea>
      <scatterChart>
        <ser>
          <idx val="0"/>
          <order val="0"/>
          <tx>
            <strRef>
              <f>'Nomes editáveis'!$D$23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99'!$S$23</f>
            </numRef>
          </xVal>
          <yVal>
            <numRef>
              <f>'Casos 99'!$L$23</f>
            </numRef>
          </yVal>
        </ser>
        <dLbls>
          <showLegendKey val="0"/>
          <showVal val="0"/>
          <showSerName val="1"/>
        </dLbls>
        <axId val="10"/>
        <axId val="20"/>
      </scatterChart>
      <valAx>
        <axId val="10"/>
        <scaling>
          <orientation val="minMax"/>
          <max val="0.2"/>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ArcelorMittal como devedora · mínimo estrutural x Sub/PL atual</a:t>
            </a:r>
          </a:p>
        </rich>
      </tx>
    </title>
    <plotArea>
      <scatterChart>
        <ser>
          <idx val="0"/>
          <order val="0"/>
          <tx>
            <strRef>
              <f>'Nomes editáveis'!$D$100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99'!$S$100</f>
            </numRef>
          </xVal>
          <yVal>
            <numRef>
              <f>'Casos 99'!$L$100</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MadeiraMadeira como devedora · mínimo estrutural x Sub/PL atual</a:t>
            </a:r>
          </a:p>
        </rich>
      </tx>
    </title>
    <plotArea>
      <scatterChart>
        <ser>
          <idx val="0"/>
          <order val="0"/>
          <tx>
            <strRef>
              <f>'Nomes editáveis'!$D$42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99'!$S$42</f>
            </numRef>
          </xVal>
          <yVal>
            <numRef>
              <f>'Casos 99'!$L$42</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13"/>
  <chart>
    <title>
      <tx>
        <rich>
          <a:bodyPr xmlns:a="http://schemas.openxmlformats.org/drawingml/2006/main"/>
          <a:p xmlns:a="http://schemas.openxmlformats.org/drawingml/2006/main">
            <a:pPr>
              <a:defRPr/>
            </a:pPr>
            <a:r>
              <a:t>Venda a prazo de máquinas e implementos Maqnelson · mínimo estrutural x Sub/PL atual</a:t>
            </a:r>
          </a:p>
        </rich>
      </tx>
    </title>
    <plotArea>
      <scatterChart>
        <ser>
          <idx val="0"/>
          <order val="0"/>
          <tx>
            <strRef>
              <f>'Nomes editáveis'!$D$61</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99'!$S$61</f>
            </numRef>
          </xVal>
          <yVal>
            <numRef>
              <f>'Casos 99'!$L$61</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13"/>
  <chart>
    <title>
      <tx>
        <rich>
          <a:bodyPr xmlns:a="http://schemas.openxmlformats.org/drawingml/2006/main"/>
          <a:p xmlns:a="http://schemas.openxmlformats.org/drawingml/2006/main">
            <a:pPr>
              <a:defRPr/>
            </a:pPr>
            <a:r>
              <a:t>Venda de insumos a produtores e distribuidores · mínimo estrutural x Sub/PL atual</a:t>
            </a:r>
          </a:p>
        </rich>
      </tx>
    </title>
    <plotArea>
      <scatterChart>
        <ser>
          <idx val="0"/>
          <order val="0"/>
          <tx>
            <strRef>
              <f>'Nomes editáveis'!$D$75</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99'!$S$75</f>
            </numRef>
          </xVal>
          <yVal>
            <numRef>
              <f>'Casos 99'!$L$75</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drawing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18.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2.xml.rels><Relationships xmlns="http://schemas.openxmlformats.org/package/2006/relationships"><Relationship Type="http://schemas.openxmlformats.org/officeDocument/2006/relationships/drawing" Target="/xl/drawings/drawing9.xml" Id="rId1"/></Relationships>
</file>

<file path=xl/worksheets/_rels/sheet23.xml.rels><Relationships xmlns="http://schemas.openxmlformats.org/package/2006/relationships"><Relationship Type="http://schemas.openxmlformats.org/officeDocument/2006/relationships/drawing" Target="/xl/drawings/drawing10.xml" Id="rId1"/></Relationships>
</file>

<file path=xl/worksheets/_rels/sheet24.xml.rels><Relationships xmlns="http://schemas.openxmlformats.org/package/2006/relationships"><Relationship Type="http://schemas.openxmlformats.org/officeDocument/2006/relationships/drawing" Target="/xl/drawings/drawing11.xml" Id="rId1"/></Relationships>
</file>

<file path=xl/worksheets/_rels/sheet25.xml.rels><Relationships xmlns="http://schemas.openxmlformats.org/package/2006/relationships"><Relationship Type="http://schemas.openxmlformats.org/officeDocument/2006/relationships/drawing" Target="/xl/drawings/drawing12.xml" Id="rId1"/></Relationships>
</file>

<file path=xl/worksheets/_rels/sheet26.xml.rels><Relationships xmlns="http://schemas.openxmlformats.org/package/2006/relationships"><Relationship Type="http://schemas.openxmlformats.org/officeDocument/2006/relationships/drawing" Target="/xl/drawings/drawing13.xml" Id="rId1"/></Relationships>
</file>

<file path=xl/worksheets/_rels/sheet27.xml.rels><Relationships xmlns="http://schemas.openxmlformats.org/package/2006/relationships"><Relationship Type="http://schemas.openxmlformats.org/officeDocument/2006/relationships/drawing" Target="/xl/drawings/drawing14.xml" Id="rId1"/></Relationships>
</file>

<file path=xl/worksheets/_rels/sheet28.xml.rels><Relationships xmlns="http://schemas.openxmlformats.org/package/2006/relationships"><Relationship Type="http://schemas.openxmlformats.org/officeDocument/2006/relationships/drawing" Target="/xl/drawings/drawing15.xml" Id="rId1"/></Relationships>
</file>

<file path=xl/worksheets/_rels/sheet29.xml.rels><Relationships xmlns="http://schemas.openxmlformats.org/package/2006/relationships"><Relationship Type="http://schemas.openxmlformats.org/officeDocument/2006/relationships/drawing" Target="/xl/drawings/drawing16.xml" Id="rId1"/></Relationships>
</file>

<file path=xl/worksheets/_rels/sheet30.xml.rels><Relationships xmlns="http://schemas.openxmlformats.org/package/2006/relationships"><Relationship Type="http://schemas.openxmlformats.org/officeDocument/2006/relationships/drawing" Target="/xl/drawings/drawing17.xml" Id="rId1"/></Relationships>
</file>

<file path=xl/worksheets/_rels/sheet31.xml.rels><Relationships xmlns="http://schemas.openxmlformats.org/package/2006/relationships"><Relationship Type="http://schemas.openxmlformats.org/officeDocument/2006/relationships/drawing" Target="/xl/drawings/drawing18.xml" Id="rId1"/></Relationships>
</file>

<file path=xl/worksheets/_rels/sheet32.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3.75" customWidth="1" min="1" max="1"/>
    <col width="95" customWidth="1" min="2" max="2"/>
    <col width="16.25" customWidth="1" min="3" max="3"/>
    <col width="16.25" customWidth="1" min="4" max="4"/>
    <col width="16.25" customWidth="1" min="5" max="5"/>
    <col width="16.25" customWidth="1" min="6" max="6"/>
    <col width="16.25" customWidth="1" min="7" max="7"/>
    <col width="16.25" customWidth="1" min="8" max="8"/>
  </cols>
  <sheetData>
    <row r="1" ht="30" customHeight="1">
      <c r="A1" s="2" t="inlineStr">
        <is>
          <t>Carteira 101 + Flagships · base analítica manipulável</t>
        </is>
      </c>
    </row>
    <row r="2" ht="28.5" customHeight="1">
      <c r="A2" s="4" t="inlineStr">
        <is>
          <t>Competência 2026-06. Uma linha por CNPJ, com PL e Sub/PL do Informe Mensal, índices da curadoria documental e métricas do dataframe estrutural compartilhado.</t>
        </is>
      </c>
    </row>
    <row r="4">
      <c r="A4" s="11" t="inlineStr">
        <is>
          <t>Carteira 101</t>
        </is>
      </c>
      <c r="C4" s="11" t="inlineStr">
        <is>
          <t>Flagships</t>
        </is>
      </c>
      <c r="E4" s="16" t="inlineStr">
        <is>
          <t>Mínimo júnior identificado</t>
        </is>
      </c>
      <c r="G4" s="11" t="inlineStr">
        <is>
          <t>Folga comparável</t>
        </is>
      </c>
    </row>
    <row r="5">
      <c r="A5" s="12" t="n">
        <v>101</v>
      </c>
      <c r="C5" s="12" t="n">
        <v>47</v>
      </c>
      <c r="E5" s="12" t="inlineStr">
        <is>
          <t>83/101</t>
        </is>
      </c>
      <c r="G5" s="12" t="inlineStr">
        <is>
          <t>23/101</t>
        </is>
      </c>
    </row>
    <row r="6"/>
    <row r="9">
      <c r="A9" s="22" t="inlineStr">
        <is>
          <t>Tema</t>
        </is>
      </c>
      <c r="B9" s="22" t="inlineStr">
        <is>
          <t>Orientação</t>
        </is>
      </c>
    </row>
    <row r="10" ht="36" customHeight="1">
      <c r="A10" s="23" t="inlineStr">
        <is>
          <t>Como usar</t>
        </is>
      </c>
      <c r="B10" s="24" t="inlineStr">
        <is>
          <t>Filtre Carteira 101 ou Flagships por taxonomia, porte, situação regulatória, folga e campos manuais. Todos os percentuais são valores numéricos formatados como %.</t>
        </is>
      </c>
    </row>
    <row r="11" ht="36" customHeight="1">
      <c r="A11" s="23" t="inlineStr">
        <is>
          <t>CNPJ</t>
        </is>
      </c>
      <c r="B11" s="24" t="inlineStr">
        <is>
          <t>A coluna CNPJ é numérica e usa o formato 00000000000000. A coluna seguinte preserva a apresentação pontuada.</t>
        </is>
      </c>
    </row>
    <row r="12" ht="36" customHeight="1">
      <c r="A12" s="23" t="inlineStr">
        <is>
          <t>Folga / falta</t>
        </is>
      </c>
      <c r="B12" s="24" t="inlineStr">
        <is>
          <t>Sub/PL atual menos o índice estrutural usado. O campo permanece N/D quando a equivalência de tranche não está comprovada.</t>
        </is>
      </c>
    </row>
    <row r="13" ht="36" customHeight="1">
      <c r="A13" s="23" t="inlineStr">
        <is>
          <t>Capacidade até o gatilho</t>
        </is>
      </c>
      <c r="B13" s="24" t="inlineStr">
        <is>
          <t>Fração de perda absorvível antes do piso: (Sub/PL atual − mínimo) / (1 − mínimo). Calculada somente em estruturas comparáveis.</t>
        </is>
      </c>
    </row>
    <row r="14" ht="36" customHeight="1">
      <c r="A14" s="23" t="inlineStr">
        <is>
          <t>Asterisco (*)</t>
        </is>
      </c>
      <c r="B14" s="24" t="inlineStr">
        <is>
          <t>Indica mínimo calculado ou ajustado, suporte total/combinado, exceção de comparabilidade ou transcrição das fotos fornecidas pelo usuário. A natureza e a fonte permanecem na mesma linha.</t>
        </is>
      </c>
    </row>
    <row r="15" ht="36" customHeight="1">
      <c r="A15" s="23" t="inlineStr">
        <is>
          <t>Lacunas</t>
        </is>
      </c>
      <c r="B15" s="24" t="inlineStr">
        <is>
          <t>N/D identifica informação não localizada ou não comparável. N/D não representa zero, média ou estimativa.</t>
        </is>
      </c>
    </row>
    <row r="16" ht="36" customHeight="1">
      <c r="A16" s="23" t="inlineStr">
        <is>
          <t>Precedência</t>
        </is>
      </c>
      <c r="B16" s="24" t="inlineStr">
        <is>
          <t>Documento primário preservado; o complemento manual ocupa somente lacunas e aparece em colunas próprias.</t>
        </is>
      </c>
    </row>
    <row r="17" ht="36" customHeight="1">
      <c r="A17" s="23" t="inlineStr">
        <is>
          <t>Escopo econômico</t>
        </is>
      </c>
      <c r="B17" s="24" t="inlineStr">
        <is>
          <t>PL representa o patrimônio do veículo. O valor efetivamente encarteirado por posição não está disponível nesta base.</t>
        </is>
      </c>
    </row>
  </sheetData>
  <mergeCells count="10">
    <mergeCell ref="A4:B4"/>
    <mergeCell ref="G4:H4"/>
    <mergeCell ref="E4:F4"/>
    <mergeCell ref="A2:H2"/>
    <mergeCell ref="C5:D6"/>
    <mergeCell ref="A5:B6"/>
    <mergeCell ref="G5:H6"/>
    <mergeCell ref="E5:F6"/>
    <mergeCell ref="A1:H1"/>
    <mergeCell ref="C4:D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B105"/>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Carteira 101 · base manipulável de risco estrutural</t>
        </is>
      </c>
    </row>
    <row r="2" ht="22.5" customHeight="1">
      <c r="A2" s="29" t="inlineStr">
        <is>
          <t>101 CNPJs na ordem da base fornecida. Campos estruturais usam a curadoria documental e o dataframe compartilhado; exceções levam * e descrição por linha.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Cartão de crédito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28</v>
      </c>
      <c r="B32" s="138" t="n">
        <v>45123558000100</v>
      </c>
      <c r="C32" s="74" t="inlineStr">
        <is>
          <t>45.123.558/0001-00</t>
        </is>
      </c>
      <c r="D32" s="74" t="inlineStr">
        <is>
          <t>N/D</t>
        </is>
      </c>
      <c r="E32" s="74" t="inlineStr">
        <is>
          <t>CLASSE I DO CANAA FUNDO DE INVESTIMENTO NAS CADEIAS USINA COCAL</t>
        </is>
      </c>
      <c r="F32" s="74" t="inlineStr">
        <is>
          <t>Carteira 101</t>
        </is>
      </c>
      <c r="G32" s="74" t="inlineStr">
        <is>
          <t>2026-06</t>
        </is>
      </c>
      <c r="H32" s="74" t="inlineStr">
        <is>
          <t>fora_base_fidc</t>
        </is>
      </c>
      <c r="I32" s="139" t="inlineStr">
        <is>
          <t>N/D</t>
        </is>
      </c>
      <c r="J32" s="139" t="inlineStr">
        <is>
          <t>N/D</t>
        </is>
      </c>
      <c r="K32" s="139" t="inlineStr">
        <is>
          <t>N/D</t>
        </is>
      </c>
      <c r="L32" s="140" t="inlineStr">
        <is>
          <t>N/D</t>
        </is>
      </c>
      <c r="M32" s="74" t="inlineStr">
        <is>
          <t>PL oficial ausente em 2026-06</t>
        </is>
      </c>
      <c r="N32" s="140" t="inlineStr">
        <is>
          <t>N/D</t>
        </is>
      </c>
      <c r="O32" s="140" t="inlineStr">
        <is>
          <t>N/D</t>
        </is>
      </c>
      <c r="P32" s="140" t="inlineStr">
        <is>
          <t>N/D</t>
        </is>
      </c>
      <c r="Q32" s="140" t="inlineStr">
        <is>
          <t>N/D</t>
        </is>
      </c>
      <c r="R32" s="140" t="inlineStr">
        <is>
          <t>N/D</t>
        </is>
      </c>
      <c r="S32" s="140" t="inlineStr">
        <is>
          <t>N/D</t>
        </is>
      </c>
      <c r="T32" s="74" t="inlineStr">
        <is>
          <t>N/D</t>
        </is>
      </c>
      <c r="U32" s="74" t="inlineStr">
        <is>
          <t>fora_perimetro</t>
        </is>
      </c>
      <c r="V32" s="74" t="inlineStr">
        <is>
          <t>N/D</t>
        </is>
      </c>
      <c r="W32" s="74" t="b">
        <v>0</v>
      </c>
      <c r="X32" s="74" t="inlineStr">
        <is>
          <t>Veículo fora do endpoint documental FIDC consultado.</t>
        </is>
      </c>
      <c r="Y32" s="74" t="b">
        <v>1</v>
      </c>
      <c r="Z32" s="140" t="inlineStr">
        <is>
          <t>N/D</t>
        </is>
      </c>
      <c r="AA32" s="140" t="inlineStr">
        <is>
          <t>N/D</t>
        </is>
      </c>
      <c r="AB32" s="74" t="inlineStr">
        <is>
          <t>não medido</t>
        </is>
      </c>
      <c r="AC32" s="74" t="inlineStr">
        <is>
          <t>N/D</t>
        </is>
      </c>
      <c r="AD32" s="74" t="inlineStr">
        <is>
          <t>N/D</t>
        </is>
      </c>
      <c r="AE32" s="74" t="inlineStr">
        <is>
          <t>N/D</t>
        </is>
      </c>
      <c r="AF32" s="74" t="inlineStr">
        <is>
          <t>N/D</t>
        </is>
      </c>
      <c r="AG32" s="74" t="inlineStr">
        <is>
          <t>N/D</t>
        </is>
      </c>
      <c r="AH32" s="74" t="inlineStr">
        <is>
          <t>N/D</t>
        </is>
      </c>
      <c r="AI32" s="74" t="inlineStr">
        <is>
          <t>N/D</t>
        </is>
      </c>
      <c r="AJ32" s="74" t="b">
        <v>0</v>
      </c>
      <c r="AK32" s="74" t="inlineStr">
        <is>
          <t>fora da revisão Financeiro/Agro</t>
        </is>
      </c>
      <c r="AL32" s="74" t="inlineStr">
        <is>
          <t>N/D</t>
        </is>
      </c>
      <c r="AM32" s="74" t="inlineStr">
        <is>
          <t>N/D</t>
        </is>
      </c>
      <c r="AN32" s="74" t="inlineStr">
        <is>
          <t>N/D</t>
        </is>
      </c>
      <c r="AO32" s="74" t="inlineStr">
        <is>
          <t>N/D</t>
        </is>
      </c>
      <c r="AP32" s="74" t="inlineStr">
        <is>
          <t>N/D</t>
        </is>
      </c>
      <c r="AQ32" s="74" t="inlineStr">
        <is>
          <t>N/D</t>
        </is>
      </c>
      <c r="AR32" s="74" t="inlineStr">
        <is>
          <t>N/D</t>
        </is>
      </c>
      <c r="AS32" s="74" t="b">
        <v>0</v>
      </c>
      <c r="AT32" s="74" t="inlineStr">
        <is>
          <t>N/D</t>
        </is>
      </c>
      <c r="AU32" s="74" t="inlineStr">
        <is>
          <t>N/D</t>
        </is>
      </c>
      <c r="AV32" s="74" t="inlineStr">
        <is>
          <t>N/D</t>
        </is>
      </c>
      <c r="AW32" s="74" t="b">
        <v>0</v>
      </c>
      <c r="AX32" s="74" t="inlineStr">
        <is>
          <t>N/D</t>
        </is>
      </c>
      <c r="AY32" s="74" t="inlineStr">
        <is>
          <t>sem benchmark confiável</t>
        </is>
      </c>
      <c r="AZ32" s="140" t="inlineStr">
        <is>
          <t>N/D</t>
        </is>
      </c>
      <c r="BA32" s="74" t="b">
        <v>0</v>
      </c>
      <c r="BB32" s="141" t="inlineStr">
        <is>
          <t>N/D</t>
        </is>
      </c>
      <c r="BC32" s="139" t="inlineStr">
        <is>
          <t>N/D</t>
        </is>
      </c>
      <c r="BD32" s="74" t="inlineStr">
        <is>
          <t>N/D</t>
        </is>
      </c>
      <c r="BE32" s="74" t="inlineStr">
        <is>
          <t>N/D</t>
        </is>
      </c>
      <c r="BF32" s="74" t="inlineStr">
        <is>
          <t>N/D</t>
        </is>
      </c>
      <c r="BG32" s="74" t="inlineStr">
        <is>
          <t>N/D</t>
        </is>
      </c>
      <c r="BH32" s="74" t="inlineStr">
        <is>
          <t>N/D</t>
        </is>
      </c>
      <c r="BI32" s="74" t="inlineStr">
        <is>
          <t>N/D</t>
        </is>
      </c>
      <c r="BJ32" s="74" t="inlineStr">
        <is>
          <t>não localizado</t>
        </is>
      </c>
      <c r="BK32" s="74" t="b">
        <v>0</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N/D</t>
        </is>
      </c>
      <c r="BV32" s="74" t="inlineStr">
        <is>
          <t>N/D</t>
        </is>
      </c>
      <c r="BW32" s="74" t="inlineStr">
        <is>
          <t>N/D</t>
        </is>
      </c>
      <c r="BX32" s="74" t="inlineStr">
        <is>
          <t>fora do perímetro FIDC — regulamento não localizado</t>
        </is>
      </c>
      <c r="BY32" s="74" t="inlineStr">
        <is>
          <t>N/D</t>
        </is>
      </c>
      <c r="BZ32" s="74" t="inlineStr">
        <is>
          <t>N/D</t>
        </is>
      </c>
      <c r="CA32" s="74" t="inlineStr">
        <is>
          <t>nome oficial CVM; PL atual; Sub/PL atual; mínimo estrutural comparável; grupo de comparação; preço unitário da cota; originador; cedente; sacado/devedor; tipo de recebível</t>
        </is>
      </c>
      <c r="CB32" s="74" t="inlineStr">
        <is>
          <t>fora_perimetro</t>
        </is>
      </c>
    </row>
    <row r="33" ht="31.5" customHeight="1">
      <c r="A33" s="75" t="n">
        <v>29</v>
      </c>
      <c r="B33" s="142" t="n">
        <v>50857998000113</v>
      </c>
      <c r="C33" s="75" t="inlineStr">
        <is>
          <t>50.857.998/0001-13</t>
        </is>
      </c>
      <c r="D33" s="75" t="inlineStr">
        <is>
          <t>LEO MADEIRAS FIDC SEGMENTO MEIOS DE PAGAMENTO DE RESPONSABILIDADE LIMITADA</t>
        </is>
      </c>
      <c r="E33" s="75" t="inlineStr">
        <is>
          <t>LEO I FUNDO INV DIR CREDITORIOS</t>
        </is>
      </c>
      <c r="F33" s="75" t="inlineStr">
        <is>
          <t>Carteira 101</t>
        </is>
      </c>
      <c r="G33" s="75" t="inlineStr">
        <is>
          <t>2026-06</t>
        </is>
      </c>
      <c r="H33" s="75" t="inlineStr">
        <is>
          <t>localizado</t>
        </is>
      </c>
      <c r="I33" s="143" t="n">
        <v>176969443.65</v>
      </c>
      <c r="J33" s="143" t="n">
        <v>176969443.6493321</v>
      </c>
      <c r="K33" s="143" t="n">
        <v>22295230.79968528</v>
      </c>
      <c r="L33" s="144" t="n">
        <v>0.1259835050607918</v>
      </c>
      <c r="M33" s="75" t="inlineStr">
        <is>
          <t>Calculado com classes reportadas e PL oficial reconciliado</t>
        </is>
      </c>
      <c r="N33" s="144" t="n">
        <v>0.05</v>
      </c>
      <c r="O33" s="144" t="inlineStr">
        <is>
          <t>N/D</t>
        </is>
      </c>
      <c r="P33" s="144" t="inlineStr">
        <is>
          <t>N/D</t>
        </is>
      </c>
      <c r="Q33" s="144" t="inlineStr">
        <is>
          <t>N/D</t>
        </is>
      </c>
      <c r="R33" s="144" t="inlineStr">
        <is>
          <t>N/D</t>
        </is>
      </c>
      <c r="S33" s="144" t="n">
        <v>0.05</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Agro, Indústria e Comércio</t>
        </is>
      </c>
      <c r="AD33" s="75" t="inlineStr">
        <is>
          <t>Recebíveis Comerciais</t>
        </is>
      </c>
      <c r="AE33" s="75" t="inlineStr">
        <is>
          <t>Agro / Revenda</t>
        </is>
      </c>
      <c r="AF33" s="75" t="inlineStr">
        <is>
          <t>Agro / Revenda</t>
        </is>
      </c>
      <c r="AG33" s="75" t="inlineStr">
        <is>
          <t>Agro / Revenda</t>
        </is>
      </c>
      <c r="AH33" s="75" t="inlineStr">
        <is>
          <t>Adquirência</t>
        </is>
      </c>
      <c r="AI33" s="75" t="inlineStr">
        <is>
          <t>Recebíveis de pagamento, subcredenciadora como devedora</t>
        </is>
      </c>
      <c r="AJ33" s="75" t="b">
        <v>1</v>
      </c>
      <c r="AK33" s="75" t="inlineStr">
        <is>
          <t>APLICAR_ALTA</t>
        </is>
      </c>
      <c r="AL33" s="75" t="inlineStr">
        <is>
          <t>Devedora é a subcredenciadora da Rede Leo</t>
        </is>
      </c>
      <c r="AM33" s="75" t="inlineStr">
        <is>
          <t>regulamento e auditoria documental</t>
        </is>
      </c>
      <c r="AN33" s="75" t="inlineStr">
        <is>
          <t>Não</t>
        </is>
      </c>
      <c r="AO33" s="75" t="inlineStr">
        <is>
          <t>regulamento e auditoria documental</t>
        </is>
      </c>
      <c r="AP33" s="75" t="b">
        <v>0</v>
      </c>
      <c r="AQ33" s="75" t="inlineStr">
        <is>
          <t>Adquirência</t>
        </is>
      </c>
      <c r="AR33" s="75" t="inlineStr">
        <is>
          <t>Agro / Revenda</t>
        </is>
      </c>
      <c r="AS33" s="75" t="b">
        <v>1</v>
      </c>
      <c r="AT33" s="75" t="inlineStr">
        <is>
          <t>regulamento e auditoria documental</t>
        </is>
      </c>
      <c r="AU33" s="75" t="inlineStr">
        <is>
          <t>Devedora é a subcredenciadora da Rede Leo</t>
        </is>
      </c>
      <c r="AV33" s="75" t="inlineStr">
        <is>
          <t>10%–15%</t>
        </is>
      </c>
      <c r="AW33" s="75" t="b">
        <v>1</v>
      </c>
      <c r="AX33" s="75" t="inlineStr">
        <is>
          <t>incomparável</t>
        </is>
      </c>
      <c r="AY33" s="75" t="inlineStr">
        <is>
          <t>sem benchmark confiável</t>
        </is>
      </c>
      <c r="AZ33" s="144" t="inlineStr">
        <is>
          <t>N/D</t>
        </is>
      </c>
      <c r="BA33" s="75" t="b">
        <v>0</v>
      </c>
      <c r="BB33" s="145" t="n">
        <v>0</v>
      </c>
      <c r="BC33" s="143" t="n">
        <v>1000</v>
      </c>
      <c r="BD33" s="75" t="inlineStr">
        <is>
          <t>Cotas Seniores: R$1.000,00</t>
        </is>
      </c>
      <c r="BE33" s="75" t="inlineStr">
        <is>
          <t>valor nominal unitário (VNU)</t>
        </is>
      </c>
      <c r="BF33" s="75" t="inlineStr">
        <is>
          <t>Cotas Seniores</t>
        </is>
      </c>
      <c r="BG33" s="75" t="inlineStr">
        <is>
          <t>22/05/2025</t>
        </is>
      </c>
      <c r="BH33" s="75" t="inlineStr">
        <is>
          <t>910444</t>
        </is>
      </c>
      <c r="BI33" s="75" t="inlineStr">
        <is>
          <t>https://fnet.bmfbovespa.com.br/fnet/publico/downloadDocumento?id=910444</t>
        </is>
      </c>
      <c r="BJ33" s="75" t="inlineStr">
        <is>
          <t>localizado documentalmente</t>
        </is>
      </c>
      <c r="BK33" s="75" t="b">
        <v>0</v>
      </c>
      <c r="BL33" s="75" t="inlineStr">
        <is>
          <t>N/D</t>
        </is>
      </c>
      <c r="BM33" s="75" t="inlineStr">
        <is>
          <t>N/D</t>
        </is>
      </c>
      <c r="BN33" s="75" t="inlineStr">
        <is>
          <t>N/D</t>
        </is>
      </c>
      <c r="BO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3" s="75" t="inlineStr">
        <is>
          <t>a Subcredenciadora, na qualidade de devedora dos Direitos Creditórios</t>
        </is>
      </c>
      <c r="BQ33" s="75" t="inlineStr">
        <is>
          <t>N/D</t>
        </is>
      </c>
      <c r="BR33" s="75" t="inlineStr">
        <is>
          <t>cedente: https://fnet.bmfbovespa.com.br/fnet/publico/downloadDocumento?id=910444 | sacado_devedor: https://fnet.bmfbovespa.com.br/fnet/publico/downloadDocumento?id=910444</t>
        </is>
      </c>
      <c r="BS33" s="75" t="inlineStr">
        <is>
          <t>sem_overlay</t>
        </is>
      </c>
      <c r="BT33" s="75" t="inlineStr">
        <is>
          <t>N/D</t>
        </is>
      </c>
      <c r="BU33" s="75" t="inlineStr">
        <is>
          <t>1017825</t>
        </is>
      </c>
      <c r="BV33" s="75" t="inlineStr">
        <is>
          <t>2025-10-06</t>
        </is>
      </c>
      <c r="BW33" s="75" t="inlineStr">
        <is>
          <t>62</t>
        </is>
      </c>
      <c r="BX33" s="75" t="inlineStr">
        <is>
          <t>revisto — mínimo júnior localizado</t>
        </is>
      </c>
      <c r="BY33" s="75" t="inlineStr">
        <is>
          <t>FundosNet/B3; documento 1017825; referência 2025-10-06; p. 62</t>
        </is>
      </c>
      <c r="BZ33" s="75" t="inlineStr">
        <is>
          <t>Índice de Subordinação Mezanino: cotas júnior / PL, mínimo de 5,0%.</t>
        </is>
      </c>
      <c r="CA33" s="75" t="inlineStr">
        <is>
          <t>originador; tipo de recebível</t>
        </is>
      </c>
      <c r="CB33" s="75" t="inlineStr">
        <is>
          <t>estrutura_incomparavel</t>
        </is>
      </c>
    </row>
    <row r="34" ht="31.5" customHeight="1">
      <c r="A34" s="74" t="n">
        <v>30</v>
      </c>
      <c r="B34" s="138" t="n">
        <v>38376526000143</v>
      </c>
      <c r="C34" s="74" t="inlineStr">
        <is>
          <t>38.376.526/0001-43</t>
        </is>
      </c>
      <c r="D34" s="74" t="inlineStr">
        <is>
          <t>HOTFUND FUNDO DE INVESTIMENTO EM DIREITOS CREDITÓRIOS SEGMENTO MEIOS DE PAGAMENTO DE RESPONSABILIDAD</t>
        </is>
      </c>
      <c r="E34" s="74" t="inlineStr">
        <is>
          <t>HOTFUND FIDC</t>
        </is>
      </c>
      <c r="F34" s="74" t="inlineStr">
        <is>
          <t>Carteira 101</t>
        </is>
      </c>
      <c r="G34" s="74" t="inlineStr">
        <is>
          <t>2026-06</t>
        </is>
      </c>
      <c r="H34" s="74" t="inlineStr">
        <is>
          <t>localizado</t>
        </is>
      </c>
      <c r="I34" s="139" t="n">
        <v>1702368453.87</v>
      </c>
      <c r="J34" s="139" t="n">
        <v>1702368453.86967</v>
      </c>
      <c r="K34" s="139" t="n">
        <v>1300897053.13867</v>
      </c>
      <c r="L34" s="140" t="n">
        <v>0.7641689143036789</v>
      </c>
      <c r="M34" s="74" t="inlineStr">
        <is>
          <t>Calculado com classes reportadas e PL oficial reconciliado</t>
        </is>
      </c>
      <c r="N34" s="140" t="n">
        <v>0.21</v>
      </c>
      <c r="O34" s="140" t="inlineStr">
        <is>
          <t>N/D</t>
        </is>
      </c>
      <c r="P34" s="140" t="inlineStr">
        <is>
          <t>N/D</t>
        </is>
      </c>
      <c r="Q34" s="140" t="inlineStr">
        <is>
          <t>N/D</t>
        </is>
      </c>
      <c r="R34" s="140" t="inlineStr">
        <is>
          <t>N/D</t>
        </is>
      </c>
      <c r="S34" s="140" t="n">
        <v>0.21</v>
      </c>
      <c r="T34" s="74" t="inlineStr">
        <is>
          <t>N/D</t>
        </is>
      </c>
      <c r="U34" s="74" t="inlineStr">
        <is>
          <t>junior_pl</t>
        </is>
      </c>
      <c r="V34" s="74" t="inlineStr">
        <is>
          <t>direto no regulamento</t>
        </is>
      </c>
      <c r="W34" s="74" t="b">
        <v>0</v>
      </c>
      <c r="X34" s="74" t="inlineStr">
        <is>
          <t>Mínimo júnior isolado; a subordinação atual disponível agrega todas as classes subordinadas.</t>
        </is>
      </c>
      <c r="Y34" s="74" t="b">
        <v>0</v>
      </c>
      <c r="Z34" s="140" t="inlineStr">
        <is>
          <t>N/D</t>
        </is>
      </c>
      <c r="AA34" s="140" t="inlineStr">
        <is>
          <t>N/D</t>
        </is>
      </c>
      <c r="AB34" s="74" t="inlineStr">
        <is>
          <t>não medido</t>
        </is>
      </c>
      <c r="AC34" s="74" t="inlineStr">
        <is>
          <t>Financeiro</t>
        </is>
      </c>
      <c r="AD34" s="74" t="inlineStr">
        <is>
          <t>Adquirência</t>
        </is>
      </c>
      <c r="AE34" s="74" t="inlineStr">
        <is>
          <t>Financeiro</t>
        </is>
      </c>
      <c r="AF34" s="74" t="inlineStr">
        <is>
          <t>Financeiro</t>
        </is>
      </c>
      <c r="AG34" s="74" t="inlineStr">
        <is>
          <t>Financeiro</t>
        </is>
      </c>
      <c r="AH34" s="74" t="inlineStr">
        <is>
          <t>Adquirência</t>
        </is>
      </c>
      <c r="AI34" s="74" t="inlineStr">
        <is>
          <t>Recebíveis de cartão / Hotmart</t>
        </is>
      </c>
      <c r="AJ34" s="74" t="b">
        <v>1</v>
      </c>
      <c r="AK34" s="74" t="inlineStr">
        <is>
          <t>APLICAR_ALTA</t>
        </is>
      </c>
      <c r="AL34" s="74" t="inlineStr">
        <is>
          <t>Hotmart é devedora dos direitos de cartões</t>
        </is>
      </c>
      <c r="AM34" s="74" t="inlineStr">
        <is>
          <t>regulamento 948252</t>
        </is>
      </c>
      <c r="AN34" s="74" t="inlineStr">
        <is>
          <t>Não</t>
        </is>
      </c>
      <c r="AO34" s="74" t="inlineStr">
        <is>
          <t>regulamento 948252</t>
        </is>
      </c>
      <c r="AP34" s="74" t="b">
        <v>0</v>
      </c>
      <c r="AQ34" s="74" t="inlineStr">
        <is>
          <t>Adquirência</t>
        </is>
      </c>
      <c r="AR34" s="74" t="inlineStr">
        <is>
          <t>Financeiro</t>
        </is>
      </c>
      <c r="AS34" s="74" t="b">
        <v>1</v>
      </c>
      <c r="AT34" s="74" t="inlineStr">
        <is>
          <t>regulamento 948252</t>
        </is>
      </c>
      <c r="AU34" s="74" t="inlineStr">
        <is>
          <t>Hotmart é devedora dos direitos de cartões</t>
        </is>
      </c>
      <c r="AV34" s="74" t="inlineStr">
        <is>
          <t>≥ 60%</t>
        </is>
      </c>
      <c r="AW34" s="74" t="b">
        <v>1</v>
      </c>
      <c r="AX34" s="74" t="inlineStr">
        <is>
          <t>incomparável</t>
        </is>
      </c>
      <c r="AY34" s="74" t="inlineStr">
        <is>
          <t>acima do mercado</t>
        </is>
      </c>
      <c r="AZ34" s="140" t="n">
        <v>0.4627093540224279</v>
      </c>
      <c r="BA34" s="74" t="b">
        <v>1</v>
      </c>
      <c r="BB34" s="141" t="n">
        <v>12</v>
      </c>
      <c r="BC34" s="139" t="n">
        <v>1000</v>
      </c>
      <c r="BD34" s="74" t="inlineStr">
        <is>
          <t>Cotas Subordinadas Júnior: R$ 1.000,00</t>
        </is>
      </c>
      <c r="BE34" s="74" t="inlineStr">
        <is>
          <t>valor nominal unitário (VNU)</t>
        </is>
      </c>
      <c r="BF34" s="74" t="inlineStr">
        <is>
          <t>Cotas Subordinadas Júnior</t>
        </is>
      </c>
      <c r="BG34" s="74" t="inlineStr">
        <is>
          <t>02/07/2025</t>
        </is>
      </c>
      <c r="BH34" s="74" t="inlineStr">
        <is>
          <t>948252</t>
        </is>
      </c>
      <c r="BI34" s="74" t="inlineStr">
        <is>
          <t>https://fnet.bmfbovespa.com.br/fnet/publico/downloadDocumento?id=948252</t>
        </is>
      </c>
      <c r="BJ34" s="74" t="inlineStr">
        <is>
          <t>localizado documentalmente</t>
        </is>
      </c>
      <c r="BK34" s="74" t="b">
        <v>0</v>
      </c>
      <c r="BL34" s="74" t="inlineStr">
        <is>
          <t>Hotmart</t>
        </is>
      </c>
      <c r="BM34" s="74" t="inlineStr">
        <is>
          <t>cedente</t>
        </is>
      </c>
      <c r="BN34" s="74" t="inlineStr">
        <is>
          <t>N/D</t>
        </is>
      </c>
      <c r="BO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4" s="74" t="inlineStr">
        <is>
          <t>a Hotmart, na qualidade de devedora dos Direitos Creditórios Cartões</t>
        </is>
      </c>
      <c r="BQ34" s="74" t="inlineStr">
        <is>
          <t>os Direitos Creditórios Cartões e os Direitos Creditórios Recebíveis a Prazo, quando referidos em conjunto ou indistintamente</t>
        </is>
      </c>
      <c r="BR34" s="74" t="inlineStr">
        <is>
          <t>cedente: https://fnet.bmfbovespa.com.br/fnet/publico/downloadDocumento?id=948252 | sacado_devedor: https://fnet.bmfbovespa.com.br/fnet/publico/downloadDocumento?id=948252 | tipo_recebivel: https://fnet.bmfbovespa.com.br/fnet/publico/downloadDocumento?id=948252</t>
        </is>
      </c>
      <c r="BS34" s="74" t="inlineStr">
        <is>
          <t>manual_aplicado</t>
        </is>
      </c>
      <c r="BT34" s="74" t="inlineStr">
        <is>
          <t>OBS parcialmente legível: FIDC antecipa recebíveis de funding para a Hotmart antecipar parcelas aos criadores de conteúdo; final cortado pela foto.</t>
        </is>
      </c>
      <c r="BU34" s="74" t="inlineStr">
        <is>
          <t>948252</t>
        </is>
      </c>
      <c r="BV34" s="74" t="inlineStr">
        <is>
          <t>2025-07-02</t>
        </is>
      </c>
      <c r="BW34" s="74" t="inlineStr">
        <is>
          <t>68</t>
        </is>
      </c>
      <c r="BX34" s="74" t="inlineStr">
        <is>
          <t>revisto — mínimo júnior localizado</t>
        </is>
      </c>
      <c r="BY34" s="74" t="inlineStr">
        <is>
          <t>FundosNet/B3; documento 948252; referência 2025-07-02; p. 68</t>
        </is>
      </c>
      <c r="BZ34" s="74" t="inlineStr">
        <is>
          <t>Cotas subordinadas júnior / PL, mínimo de 21,0%.</t>
        </is>
      </c>
      <c r="CA34" s="74" t="inlineStr">
        <is>
          <t>originador</t>
        </is>
      </c>
      <c r="CB34" s="74" t="inlineStr">
        <is>
          <t>estrutura_incomparavel</t>
        </is>
      </c>
    </row>
    <row r="35" ht="31.5" customHeight="1">
      <c r="A35" s="75" t="n">
        <v>31</v>
      </c>
      <c r="B35" s="142" t="n">
        <v>45598747000121</v>
      </c>
      <c r="C35" s="75" t="inlineStr">
        <is>
          <t>45.598.747/0001-21</t>
        </is>
      </c>
      <c r="D35" s="75" t="inlineStr">
        <is>
          <t>SUMUP SOLO FUNDO DE INVESTIMENTO EM DIREITOS CREDITÓRIOS SEGMENTO MEIOS DE PAGAMENTO DE RESPONSABILI</t>
        </is>
      </c>
      <c r="E35" s="75" t="inlineStr">
        <is>
          <t>FIDC SUMUP</t>
        </is>
      </c>
      <c r="F35" s="75" t="inlineStr">
        <is>
          <t>Carteira 101</t>
        </is>
      </c>
      <c r="G35" s="75" t="inlineStr">
        <is>
          <t>2026-06</t>
        </is>
      </c>
      <c r="H35" s="75" t="inlineStr">
        <is>
          <t>localizado</t>
        </is>
      </c>
      <c r="I35" s="143" t="n">
        <v>378059320.79</v>
      </c>
      <c r="J35" s="143" t="n">
        <v>378059320.8573863</v>
      </c>
      <c r="K35" s="143" t="n">
        <v>38437128.5999613</v>
      </c>
      <c r="L35" s="144" t="n">
        <v>0.1016695700548854</v>
      </c>
      <c r="M35" s="75" t="inlineStr">
        <is>
          <t>Calculado com classes reportadas e PL oficial reconciliado</t>
        </is>
      </c>
      <c r="N35" s="144" t="inlineStr">
        <is>
          <t>N/D</t>
        </is>
      </c>
      <c r="O35" s="144" t="n">
        <v>0.047619047619</v>
      </c>
      <c r="P35" s="144" t="inlineStr">
        <is>
          <t>N/D</t>
        </is>
      </c>
      <c r="Q35" s="144" t="n">
        <v>0.047619047619</v>
      </c>
      <c r="R35" s="144" t="inlineStr">
        <is>
          <t>N/D</t>
        </is>
      </c>
      <c r="S35" s="144" t="n">
        <v>0.047619047619</v>
      </c>
      <c r="T35" s="75" t="inlineStr">
        <is>
          <t>4,76%*</t>
        </is>
      </c>
      <c r="U35" s="75" t="inlineStr">
        <is>
          <t>junior_pl_calculado</t>
        </is>
      </c>
      <c r="V35" s="75" t="inlineStr">
        <is>
          <t>calculado: 1 − 1/1,05</t>
        </is>
      </c>
      <c r="W35" s="75" t="b">
        <v>1</v>
      </c>
      <c r="X35" s="75" t="inlineStr">
        <is>
          <t>Estrutura com uma única classe subordinada; métrica atual e piso usam o total subordinado sobre o PL.</t>
        </is>
      </c>
      <c r="Y35" s="75" t="b">
        <v>1</v>
      </c>
      <c r="Z35" s="144" t="n">
        <v>0.05405052243588541</v>
      </c>
      <c r="AA35" s="144" t="n">
        <v>0.05675304855767685</v>
      </c>
      <c r="AB35" s="75" t="inlineStr">
        <is>
          <t>acima do mínimo</t>
        </is>
      </c>
      <c r="AC35" s="75" t="inlineStr">
        <is>
          <t>Agro, Indústria e Comércio</t>
        </is>
      </c>
      <c r="AD35" s="75" t="inlineStr">
        <is>
          <t>Recebíveis Comerciais</t>
        </is>
      </c>
      <c r="AE35" s="75" t="inlineStr">
        <is>
          <t>Agro / Revenda</t>
        </is>
      </c>
      <c r="AF35" s="75" t="inlineStr">
        <is>
          <t>Agro / Revenda</t>
        </is>
      </c>
      <c r="AG35" s="75" t="inlineStr">
        <is>
          <t>Adquirência</t>
        </is>
      </c>
      <c r="AH35" s="75" t="inlineStr">
        <is>
          <t>Adquirência</t>
        </is>
      </c>
      <c r="AI35" s="75" t="inlineStr">
        <is>
          <t>N/D</t>
        </is>
      </c>
      <c r="AJ35" s="75" t="b">
        <v>0</v>
      </c>
      <c r="AK35" s="75" t="inlineStr">
        <is>
          <t>fora da revisão Financeiro/Agro</t>
        </is>
      </c>
      <c r="AL35" s="75" t="inlineStr">
        <is>
          <t>N/D</t>
        </is>
      </c>
      <c r="AM35" s="75" t="inlineStr">
        <is>
          <t>N/D</t>
        </is>
      </c>
      <c r="AN35" s="75" t="inlineStr">
        <is>
          <t>N/D</t>
        </is>
      </c>
      <c r="AO35" s="75" t="inlineStr">
        <is>
          <t>N/D</t>
        </is>
      </c>
      <c r="AP35" s="75" t="inlineStr">
        <is>
          <t>N/D</t>
        </is>
      </c>
      <c r="AQ35" s="75" t="inlineStr">
        <is>
          <t>Adquirência</t>
        </is>
      </c>
      <c r="AR35" s="75" t="inlineStr">
        <is>
          <t>Agro / Revenda</t>
        </is>
      </c>
      <c r="AS35" s="75" t="b">
        <v>1</v>
      </c>
      <c r="AT35" s="75" t="inlineStr">
        <is>
          <t>FundosNet/B3 doc. 883977; IMG_8705.JPG</t>
        </is>
      </c>
      <c r="AU35" s="75" t="inlineStr">
        <is>
          <t>Créditos contra emissores derivados de transações de pagamento processadas pelo Sistema SumUp.</t>
        </is>
      </c>
      <c r="AV35" s="75" t="inlineStr">
        <is>
          <t>10%–15%</t>
        </is>
      </c>
      <c r="AW35" s="75" t="b">
        <v>1</v>
      </c>
      <c r="AX35" s="75" t="inlineStr">
        <is>
          <t>acima do piso</t>
        </is>
      </c>
      <c r="AY35" s="75" t="inlineStr">
        <is>
          <t>sem benchmark confiável</t>
        </is>
      </c>
      <c r="AZ35" s="144" t="inlineStr">
        <is>
          <t>N/D</t>
        </is>
      </c>
      <c r="BA35" s="75" t="b">
        <v>0</v>
      </c>
      <c r="BB35" s="145" t="n">
        <v>0</v>
      </c>
      <c r="BC35" s="143" t="n">
        <v>1</v>
      </c>
      <c r="BD35" s="75" t="inlineStr">
        <is>
          <t>Cotas Subordinadas Junior: R$1</t>
        </is>
      </c>
      <c r="BE35" s="75" t="inlineStr">
        <is>
          <t>preço/valor unitário de emissão</t>
        </is>
      </c>
      <c r="BF35" s="75" t="inlineStr">
        <is>
          <t>Cotas Subordinadas Junior</t>
        </is>
      </c>
      <c r="BG35" s="75" t="inlineStr">
        <is>
          <t>2025-04-22</t>
        </is>
      </c>
      <c r="BH35" s="75" t="inlineStr">
        <is>
          <t>883977</t>
        </is>
      </c>
      <c r="BI35" s="75" t="inlineStr">
        <is>
          <t>https://fnet.bmfbovespa.com.br/fnet/publico/downloadDocumento?id=883977</t>
        </is>
      </c>
      <c r="BJ35" s="75" t="inlineStr">
        <is>
          <t>localizado documentalmente</t>
        </is>
      </c>
      <c r="BK35" s="75" t="b">
        <v>0</v>
      </c>
      <c r="BL35" s="75" t="inlineStr">
        <is>
          <t>Sumup IP</t>
        </is>
      </c>
      <c r="BM35" s="75" t="inlineStr">
        <is>
          <t>cedente</t>
        </is>
      </c>
      <c r="BN35" s="75" t="inlineStr">
        <is>
          <t>N/D</t>
        </is>
      </c>
      <c r="BO35" s="75" t="inlineStr">
        <is>
          <t>a SUMUP INSTITUIÇÃO DE PAGAMENTO BRASIL LTDA., sociedade limitada com sede na Cidade e Estado de São Paulo, na Rua Gilberto Sabino, nº 215, 10º andar, Pinheiros, CEP: 05425-020, inscrita no CNPJ/MF sob o nº 16.668.076/0001-20</t>
        </is>
      </c>
      <c r="BP35" s="75" t="inlineStr">
        <is>
          <t>os Emissores</t>
        </is>
      </c>
      <c r="BQ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5" s="75" t="inlineStr">
        <is>
          <t>cedente: https://fnet.bmfbovespa.com.br/fnet/publico/downloadDocumento?id=883977 | sacado_devedor: https://fnet.bmfbovespa.com.br/fnet/publico/downloadDocumento?id=883977 | tipo_recebivel: https://fnet.bmfbovespa.com.br/fnet/publico/downloadDocumento?id=883977</t>
        </is>
      </c>
      <c r="BS35" s="75" t="inlineStr">
        <is>
          <t>manual_aplicado</t>
        </is>
      </c>
      <c r="BT35" s="75" t="inlineStr">
        <is>
          <t>OBS da foto: Risco Banco Emissor Itaú.</t>
        </is>
      </c>
      <c r="BU35" s="75" t="inlineStr">
        <is>
          <t>883977</t>
        </is>
      </c>
      <c r="BV35" s="75" t="inlineStr">
        <is>
          <t>2025-04-22</t>
        </is>
      </c>
      <c r="BW35" s="75" t="inlineStr">
        <is>
          <t>95</t>
        </is>
      </c>
      <c r="BX35" s="75" t="inlineStr">
        <is>
          <t>revisto — mínimo júnior localizado</t>
        </is>
      </c>
      <c r="BY35" s="75" t="inlineStr">
        <is>
          <t>FundosNet/B3; documento 883977; referência 2025-04-22; p. 95</t>
        </is>
      </c>
      <c r="BZ35" s="75" t="inlineStr">
        <is>
          <t>Mínimo júnior implícito na relação PL / cotas seniores de 105,0%.</t>
        </is>
      </c>
      <c r="CA35" s="75" t="inlineStr">
        <is>
          <t>originador</t>
        </is>
      </c>
      <c r="CB35" s="75" t="inlineStr">
        <is>
          <t>completo_para_folga</t>
        </is>
      </c>
    </row>
    <row r="36" ht="31.5" customHeight="1">
      <c r="A36" s="74" t="n">
        <v>32</v>
      </c>
      <c r="B36" s="138" t="n">
        <v>41197066000109</v>
      </c>
      <c r="C36" s="74" t="inlineStr">
        <is>
          <t>41.197.066/0001-09</t>
        </is>
      </c>
      <c r="D36" s="74" t="inlineStr">
        <is>
          <t>IFOOD PAGO CRÉDITO I FUNDO DE INVESTIMENTO EM DIREITOS CREDITÓRIOS FINANCEIRO DE RESP LIMITADA</t>
        </is>
      </c>
      <c r="E36" s="74" t="inlineStr">
        <is>
          <t>MOVILEPAY CREDITO I FIDC SEGMENTO FINANCEIRO DE RE</t>
        </is>
      </c>
      <c r="F36" s="74" t="inlineStr">
        <is>
          <t>Carteira 101</t>
        </is>
      </c>
      <c r="G36" s="74" t="inlineStr">
        <is>
          <t>2026-06</t>
        </is>
      </c>
      <c r="H36" s="74" t="inlineStr">
        <is>
          <t>localizado</t>
        </is>
      </c>
      <c r="I36" s="139" t="n">
        <v>657095062.27</v>
      </c>
      <c r="J36" s="139" t="n">
        <v>657096870.4194191</v>
      </c>
      <c r="K36" s="139" t="n">
        <v>239570556.9596191</v>
      </c>
      <c r="L36" s="140" t="n">
        <v>0.3645904081701647</v>
      </c>
      <c r="M36" s="74" t="inlineStr">
        <is>
          <t>Calculado com classes reportadas e PL oficial reconciliado</t>
        </is>
      </c>
      <c r="N36" s="140" t="n">
        <v>0.1</v>
      </c>
      <c r="O36" s="140" t="inlineStr">
        <is>
          <t>N/D</t>
        </is>
      </c>
      <c r="P36" s="140" t="inlineStr">
        <is>
          <t>N/D</t>
        </is>
      </c>
      <c r="Q36" s="140" t="inlineStr">
        <is>
          <t>N/D</t>
        </is>
      </c>
      <c r="R36" s="140" t="inlineStr">
        <is>
          <t>N/D</t>
        </is>
      </c>
      <c r="S36" s="140" t="n">
        <v>0.1</v>
      </c>
      <c r="T36" s="74" t="inlineStr">
        <is>
          <t>N/D</t>
        </is>
      </c>
      <c r="U36" s="74" t="inlineStr">
        <is>
          <t>junior_pl</t>
        </is>
      </c>
      <c r="V36" s="74" t="inlineStr">
        <is>
          <t>direto no regulamento</t>
        </is>
      </c>
      <c r="W36" s="74" t="b">
        <v>0</v>
      </c>
      <c r="X36" s="74" t="inlineStr">
        <is>
          <t>Mínimo júnior isolado; a subordinação atual disponível agrega todas as classes subordinadas.</t>
        </is>
      </c>
      <c r="Y36" s="74" t="b">
        <v>0</v>
      </c>
      <c r="Z36" s="140" t="inlineStr">
        <is>
          <t>N/D</t>
        </is>
      </c>
      <c r="AA36" s="140" t="inlineStr">
        <is>
          <t>N/D</t>
        </is>
      </c>
      <c r="AB36" s="74" t="inlineStr">
        <is>
          <t>não medido</t>
        </is>
      </c>
      <c r="AC36" s="74" t="inlineStr">
        <is>
          <t>Financeiro</t>
        </is>
      </c>
      <c r="AD36" s="74" t="inlineStr">
        <is>
          <t>Crédito Pessoal</t>
        </is>
      </c>
      <c r="AE36" s="74" t="inlineStr">
        <is>
          <t>Financeiro</t>
        </is>
      </c>
      <c r="AF36" s="74" t="inlineStr">
        <is>
          <t>Financeiro</t>
        </is>
      </c>
      <c r="AG36" s="74" t="inlineStr">
        <is>
          <t>Financeiro</t>
        </is>
      </c>
      <c r="AH36" s="74" t="inlineStr">
        <is>
          <t>Financeiro</t>
        </is>
      </c>
      <c r="AI36" s="74" t="inlineStr">
        <is>
          <t>Crédito embedded PF/PJ, CCBs no ecossistema iFood</t>
        </is>
      </c>
      <c r="AJ36" s="74" t="b">
        <v>0</v>
      </c>
      <c r="AK36" s="74" t="inlineStr">
        <is>
          <t>MANTER_ALTA</t>
        </is>
      </c>
      <c r="AL36" s="74" t="inlineStr">
        <is>
          <t>Operações de crédito formalizadas por CCB</t>
        </is>
      </c>
      <c r="AM36" s="74" t="inlineStr">
        <is>
          <t>regulamento 1076481</t>
        </is>
      </c>
      <c r="AN36" s="74" t="inlineStr">
        <is>
          <t>Não</t>
        </is>
      </c>
      <c r="AO36" s="74" t="inlineStr">
        <is>
          <t>regulamento 1076481</t>
        </is>
      </c>
      <c r="AP36" s="74" t="b">
        <v>0</v>
      </c>
      <c r="AQ36" s="74" t="inlineStr">
        <is>
          <t>Financeiro</t>
        </is>
      </c>
      <c r="AR36" s="74" t="inlineStr">
        <is>
          <t>Financeiro</t>
        </is>
      </c>
      <c r="AS36" s="74" t="b">
        <v>0</v>
      </c>
      <c r="AT36" s="74" t="inlineStr">
        <is>
          <t>N/D</t>
        </is>
      </c>
      <c r="AU36" s="74" t="inlineStr">
        <is>
          <t>N/D</t>
        </is>
      </c>
      <c r="AV36" s="74" t="inlineStr">
        <is>
          <t>35%–60%</t>
        </is>
      </c>
      <c r="AW36" s="74" t="b">
        <v>1</v>
      </c>
      <c r="AX36" s="74" t="inlineStr">
        <is>
          <t>incomparável</t>
        </is>
      </c>
      <c r="AY36" s="74" t="inlineStr">
        <is>
          <t>acima do mercado</t>
        </is>
      </c>
      <c r="AZ36" s="140" t="n">
        <v>0.06313084788891365</v>
      </c>
      <c r="BA36" s="74" t="b">
        <v>1</v>
      </c>
      <c r="BB36" s="141" t="n">
        <v>12</v>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MovilePay / iFood</t>
        </is>
      </c>
      <c r="BM36" s="74" t="inlineStr">
        <is>
          <t>cedente</t>
        </is>
      </c>
      <c r="BN36" s="74" t="inlineStr">
        <is>
          <t>N/D</t>
        </is>
      </c>
      <c r="BO36" s="74" t="inlineStr">
        <is>
          <t>MovilePay / iFood</t>
        </is>
      </c>
      <c r="BP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6" s="74" t="inlineStr">
        <is>
          <t>cedente: IMG_8705.JPG | sacado_devedor: https://fnet.bmfbovespa.com.br/fnet/publico/downloadDocumento?id=1076481 | tipo_recebivel: https://fnet.bmfbovespa.com.br/fnet/publico/downloadDocumento?id=1076481</t>
        </is>
      </c>
      <c r="BS36" s="74" t="inlineStr">
        <is>
          <t>manual_aplicado</t>
        </is>
      </c>
      <c r="BT36" s="74" t="inlineStr">
        <is>
          <t>Denominação cortada pela largura da coluna na foto.</t>
        </is>
      </c>
      <c r="BU36" s="74" t="inlineStr">
        <is>
          <t>1076481</t>
        </is>
      </c>
      <c r="BV36" s="74" t="inlineStr">
        <is>
          <t>2025-12-30</t>
        </is>
      </c>
      <c r="BW36" s="74" t="inlineStr">
        <is>
          <t>89</t>
        </is>
      </c>
      <c r="BX36" s="74" t="inlineStr">
        <is>
          <t>revisto — mínimo júnior localizado</t>
        </is>
      </c>
      <c r="BY36" s="74" t="inlineStr">
        <is>
          <t>FundosNet/B3; documento 1076481; referência 2025-12-30; p. 89</t>
        </is>
      </c>
      <c r="BZ36" s="74" t="inlineStr">
        <is>
          <t>Cotas júnior / PL: 10,0% até o gatilho contratual e 20,0% depois de atingido o novo patamar.</t>
        </is>
      </c>
      <c r="CA36" s="74" t="inlineStr">
        <is>
          <t>preço unitário da cota; originador</t>
        </is>
      </c>
      <c r="CB36" s="74" t="inlineStr">
        <is>
          <t>estrutura_incomparavel</t>
        </is>
      </c>
    </row>
    <row r="37" ht="31.5" customHeight="1">
      <c r="A37" s="75" t="n">
        <v>33</v>
      </c>
      <c r="B37" s="142" t="n">
        <v>44124617000194</v>
      </c>
      <c r="C37" s="75" t="inlineStr">
        <is>
          <t>44.124.617/0001-94</t>
        </is>
      </c>
      <c r="D37" s="75" t="inlineStr">
        <is>
          <t>CLOUDWALK AKIRA II FIDC SEGMENTO MEIOS DE PAGAMENTO</t>
        </is>
      </c>
      <c r="E37" s="75" t="inlineStr">
        <is>
          <t>CLOUDWALK AKIRA II FUNDO DE INVESTIMENTO EM DIREITO</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0.05</v>
      </c>
      <c r="O37" s="144" t="inlineStr">
        <is>
          <t>N/D</t>
        </is>
      </c>
      <c r="P37" s="144" t="inlineStr">
        <is>
          <t>N/D</t>
        </is>
      </c>
      <c r="Q37" s="144" t="n">
        <v>0.05</v>
      </c>
      <c r="R37" s="144" t="inlineStr">
        <is>
          <t>N/D</t>
        </is>
      </c>
      <c r="S37" s="144" t="n">
        <v>0.05</v>
      </c>
      <c r="T37" s="75" t="inlineStr">
        <is>
          <t>5,0%</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Seniores: R$1.000</t>
        </is>
      </c>
      <c r="BE37" s="75" t="inlineStr">
        <is>
          <t>valor nominal unitário (VNU)</t>
        </is>
      </c>
      <c r="BF37" s="75" t="inlineStr">
        <is>
          <t>Cotas Seniores</t>
        </is>
      </c>
      <c r="BG37" s="75" t="inlineStr">
        <is>
          <t>2025-02-28</t>
        </is>
      </c>
      <c r="BH37" s="75" t="inlineStr">
        <is>
          <t>851798</t>
        </is>
      </c>
      <c r="BI37" s="75" t="inlineStr">
        <is>
          <t>https://fnet.bmfbovespa.com.br/fnet/publico/downloadDocumento?id=851798</t>
        </is>
      </c>
      <c r="BJ37" s="75" t="inlineStr">
        <is>
          <t>localizado documentalmente</t>
        </is>
      </c>
      <c r="BK37" s="75" t="b">
        <v>0</v>
      </c>
      <c r="BL37" s="75" t="inlineStr">
        <is>
          <t>Cloudwalk</t>
        </is>
      </c>
      <c r="BM37" s="75" t="inlineStr">
        <is>
          <t>cedente</t>
        </is>
      </c>
      <c r="BN37" s="75" t="inlineStr">
        <is>
          <t>N/D</t>
        </is>
      </c>
      <c r="BO37" s="75" t="inlineStr">
        <is>
          <t>a CloudWalk que, de tempos em tempos, nos termos do Contrato de Cessão, cede seus respectivos Direitos Creditórios Elegíveis ao Fundo</t>
        </is>
      </c>
      <c r="BP37" s="75" t="inlineStr">
        <is>
          <t>cada Devedor de Direitos Creditórios Cedidos que represente 5% ( cinco por cento) ou mais do Patrimônio Líquido do Fundo</t>
        </is>
      </c>
      <c r="BQ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7" s="75" t="inlineStr">
        <is>
          <t>cedente: https://fnet.bmfbovespa.com.br/fnet/publico/downloadDocumento?id=851798 | sacado_devedor: https://fnet.bmfbovespa.com.br/fnet/publico/downloadDocumento?id=851798 | tipo_recebivel: https://fnet.bmfbovespa.com.br/fnet/publico/downloadDocumento?id=851798</t>
        </is>
      </c>
      <c r="BS37" s="75" t="inlineStr">
        <is>
          <t>manual_aplicado</t>
        </is>
      </c>
      <c r="BT37" s="75" t="inlineStr">
        <is>
          <t>OBS da foto: Alongamento discutido recentemente (mas com run-off). Denominação cortada.</t>
        </is>
      </c>
      <c r="BU37" s="75" t="inlineStr">
        <is>
          <t>851798</t>
        </is>
      </c>
      <c r="BV37" s="75" t="inlineStr">
        <is>
          <t>2025-02-28</t>
        </is>
      </c>
      <c r="BW37" s="75" t="inlineStr">
        <is>
          <t>101–102</t>
        </is>
      </c>
      <c r="BX37" s="75" t="inlineStr">
        <is>
          <t>revisto — mínimo júnior localizado</t>
        </is>
      </c>
      <c r="BY37" s="75" t="inlineStr">
        <is>
          <t>FundosNet/B3; documento 851798; referência 2025-02-28; p. 101–102</t>
        </is>
      </c>
      <c r="BZ37" s="75" t="inlineStr">
        <is>
          <t>Cotas subordinadas / PL, mínimo de 5,0%; estrutura com uma única classe residual.</t>
        </is>
      </c>
      <c r="CA37" s="75" t="inlineStr">
        <is>
          <t>PL atual; Sub/PL atual; originador</t>
        </is>
      </c>
      <c r="CB37" s="75" t="inlineStr">
        <is>
          <t>sub_pl_atual_ausente</t>
        </is>
      </c>
    </row>
    <row r="38" ht="31.5" customHeight="1">
      <c r="A38" s="74" t="n">
        <v>34</v>
      </c>
      <c r="B38" s="138" t="n">
        <v>42085816000105</v>
      </c>
      <c r="C38" s="74" t="inlineStr">
        <is>
          <t>42.085.816/0001-05</t>
        </is>
      </c>
      <c r="D38" s="74" t="inlineStr">
        <is>
          <t>CLOUDWALK KICK ASS I FUNDO DE INVESTIMENTO EM DIREITOS CREDITÓRIOS SEGMENTO MEIOS DE PAGAMENTO</t>
        </is>
      </c>
      <c r="E38" s="74" t="inlineStr">
        <is>
          <t>CLOUDWALK KICK ASS I FUNDO DE INVESTIMENTO EM DIRE</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0.048</v>
      </c>
      <c r="O38" s="140" t="inlineStr">
        <is>
          <t>N/D</t>
        </is>
      </c>
      <c r="P38" s="140" t="inlineStr">
        <is>
          <t>N/D</t>
        </is>
      </c>
      <c r="Q38" s="140" t="n">
        <v>0.048</v>
      </c>
      <c r="R38" s="140" t="inlineStr">
        <is>
          <t>N/D</t>
        </is>
      </c>
      <c r="S38" s="140" t="n">
        <v>0.048</v>
      </c>
      <c r="T38" s="74" t="inlineStr">
        <is>
          <t>4,8%</t>
        </is>
      </c>
      <c r="U38" s="74" t="inlineStr">
        <is>
          <t>junior_pl</t>
        </is>
      </c>
      <c r="V38" s="74" t="inlineStr">
        <is>
          <t>direto no regulamento</t>
        </is>
      </c>
      <c r="W38" s="74" t="b">
        <v>1</v>
      </c>
      <c r="X38" s="74" t="inlineStr">
        <is>
          <t>Estrutura com uma única classe subordinada; métrica atual e piso usam o total subordinado sobre o PL.</t>
        </is>
      </c>
      <c r="Y38" s="74" t="b">
        <v>0</v>
      </c>
      <c r="Z38" s="140" t="inlineStr">
        <is>
          <t>N/D</t>
        </is>
      </c>
      <c r="AA38" s="140" t="inlineStr">
        <is>
          <t>N/D</t>
        </is>
      </c>
      <c r="AB38" s="74" t="inlineStr">
        <is>
          <t>não medido</t>
        </is>
      </c>
      <c r="AC38" s="74" t="inlineStr">
        <is>
          <t>Financeiro</t>
        </is>
      </c>
      <c r="AD38" s="74" t="inlineStr">
        <is>
          <t>Adquirência</t>
        </is>
      </c>
      <c r="AE38" s="74" t="inlineStr">
        <is>
          <t>Adquirência</t>
        </is>
      </c>
      <c r="AF38" s="74" t="inlineStr">
        <is>
          <t>Adquirência</t>
        </is>
      </c>
      <c r="AG38" s="74" t="inlineStr">
        <is>
          <t>Adquirência</t>
        </is>
      </c>
      <c r="AH38" s="74" t="inlineStr">
        <is>
          <t>Adquirência</t>
        </is>
      </c>
      <c r="AI38" s="74" t="inlineStr">
        <is>
          <t>N/D</t>
        </is>
      </c>
      <c r="AJ38" s="74" t="b">
        <v>0</v>
      </c>
      <c r="AK38" s="74" t="inlineStr">
        <is>
          <t>fora da revisão Financeiro/Agro</t>
        </is>
      </c>
      <c r="AL38" s="74" t="inlineStr">
        <is>
          <t>N/D</t>
        </is>
      </c>
      <c r="AM38" s="74" t="inlineStr">
        <is>
          <t>N/D</t>
        </is>
      </c>
      <c r="AN38" s="74" t="inlineStr">
        <is>
          <t>N/D</t>
        </is>
      </c>
      <c r="AO38" s="74" t="inlineStr">
        <is>
          <t>N/D</t>
        </is>
      </c>
      <c r="AP38" s="74" t="inlineStr">
        <is>
          <t>N/D</t>
        </is>
      </c>
      <c r="AQ38" s="74" t="inlineStr">
        <is>
          <t>Adquirência</t>
        </is>
      </c>
      <c r="AR38" s="74" t="inlineStr">
        <is>
          <t>Adquirência</t>
        </is>
      </c>
      <c r="AS38" s="74" t="b">
        <v>0</v>
      </c>
      <c r="AT38" s="74" t="inlineStr">
        <is>
          <t>N/D</t>
        </is>
      </c>
      <c r="AU38" s="74" t="inlineStr">
        <is>
          <t>N/D</t>
        </is>
      </c>
      <c r="AV38" s="74" t="inlineStr">
        <is>
          <t>N/D</t>
        </is>
      </c>
      <c r="AW38" s="74" t="b">
        <v>0</v>
      </c>
      <c r="AX38" s="74" t="inlineStr">
        <is>
          <t>N/D</t>
        </is>
      </c>
      <c r="AY38" s="74" t="inlineStr">
        <is>
          <t>sem benchmark confiável</t>
        </is>
      </c>
      <c r="AZ38" s="140" t="inlineStr">
        <is>
          <t>N/D</t>
        </is>
      </c>
      <c r="BA38" s="74" t="b">
        <v>1</v>
      </c>
      <c r="BB38" s="141" t="n">
        <v>15</v>
      </c>
      <c r="BC38" s="139" t="n">
        <v>1000</v>
      </c>
      <c r="BD38" s="74" t="inlineStr">
        <is>
          <t>Cotas Subordinadas: R$ 1.000,00</t>
        </is>
      </c>
      <c r="BE38" s="74" t="inlineStr">
        <is>
          <t>valor nominal unitário (VNU)</t>
        </is>
      </c>
      <c r="BF38" s="74" t="inlineStr">
        <is>
          <t>Cotas Subordinadas</t>
        </is>
      </c>
      <c r="BG38" s="74" t="inlineStr">
        <is>
          <t>2021-09-01</t>
        </is>
      </c>
      <c r="BH38" s="74" t="inlineStr">
        <is>
          <t>211003</t>
        </is>
      </c>
      <c r="BI38" s="74" t="inlineStr">
        <is>
          <t>https://fnet.bmfbovespa.com.br/fnet/publico/downloadDocumento?id=211003</t>
        </is>
      </c>
      <c r="BJ38" s="74" t="inlineStr">
        <is>
          <t>localizado documentalmente</t>
        </is>
      </c>
      <c r="BK38" s="74" t="b">
        <v>0</v>
      </c>
      <c r="BL38" s="74" t="inlineStr">
        <is>
          <t>Cloudwalk IP</t>
        </is>
      </c>
      <c r="BM38" s="74" t="inlineStr">
        <is>
          <t>cedente</t>
        </is>
      </c>
      <c r="BN38" s="74" t="inlineStr">
        <is>
          <t>N/D</t>
        </is>
      </c>
      <c r="BO38" s="74" t="inlineStr">
        <is>
          <t>a CloudWalk que, de tempos em tempos, nos termos do Contrato de Cessão, cede seus respectivos Direitos Creditórios Elegíveis ao Fundo</t>
        </is>
      </c>
      <c r="BP38" s="74" t="inlineStr">
        <is>
          <t>os Emissores Qualificados</t>
        </is>
      </c>
      <c r="BQ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8" s="74" t="inlineStr">
        <is>
          <t>cedente: https://fnet.bmfbovespa.com.br/fnet/publico/downloadDocumento?id=513540 | sacado_devedor: https://fnet.bmfbovespa.com.br/fnet/publico/downloadDocumento?id=513540 | tipo_recebivel: https://fnet.bmfbovespa.com.br/fnet/publico/downloadDocumento?id=513540</t>
        </is>
      </c>
      <c r="BS38" s="74" t="inlineStr">
        <is>
          <t>manual_aplicado</t>
        </is>
      </c>
      <c r="BT38" s="74" t="inlineStr">
        <is>
          <t>OBS da foto: Risco Banco Emissor Itaú. Denominação cortada.</t>
        </is>
      </c>
      <c r="BU38" s="74" t="inlineStr">
        <is>
          <t>733165</t>
        </is>
      </c>
      <c r="BV38" s="74" t="inlineStr">
        <is>
          <t>2024-09-05</t>
        </is>
      </c>
      <c r="BW38" s="74" t="inlineStr">
        <is>
          <t>98</t>
        </is>
      </c>
      <c r="BX38" s="74" t="inlineStr">
        <is>
          <t>revisto — mínimo júnior localizado</t>
        </is>
      </c>
      <c r="BY38" s="74" t="inlineStr">
        <is>
          <t>FundosNet/B3; documento 733165; referência 2024-09-05; p. 98</t>
        </is>
      </c>
      <c r="BZ38" s="74" t="inlineStr">
        <is>
          <t>Cotas subordinadas / PL, mínimo de 4,8%; estrutura com uma única classe residual.</t>
        </is>
      </c>
      <c r="CA38" s="74" t="inlineStr">
        <is>
          <t>PL atual; Sub/PL atual; originador</t>
        </is>
      </c>
      <c r="CB38" s="74" t="inlineStr">
        <is>
          <t>sub_pl_atual_ausente</t>
        </is>
      </c>
    </row>
    <row r="39" ht="31.5" customHeight="1">
      <c r="A39" s="75" t="n">
        <v>35</v>
      </c>
      <c r="B39" s="142" t="n">
        <v>38385876000176</v>
      </c>
      <c r="C39" s="75" t="inlineStr">
        <is>
          <t>38.385.876/0001-76</t>
        </is>
      </c>
      <c r="D39" s="75" t="inlineStr">
        <is>
          <t>ESTRATÉGIA EDUCACIONAL FUNDO DE INVESTIMENTO EM DIREITOS CREDITÓRIOS</t>
        </is>
      </c>
      <c r="E39" s="75" t="inlineStr">
        <is>
          <t>ESTRATEGIA EDUCACIONAL FIDC</t>
        </is>
      </c>
      <c r="F39" s="75" t="inlineStr">
        <is>
          <t>Carteira 101</t>
        </is>
      </c>
      <c r="G39" s="75" t="inlineStr">
        <is>
          <t>2026-06</t>
        </is>
      </c>
      <c r="H39" s="75" t="inlineStr">
        <is>
          <t>localizado</t>
        </is>
      </c>
      <c r="I39" s="143" t="inlineStr">
        <is>
          <t>N/D</t>
        </is>
      </c>
      <c r="J39" s="143" t="inlineStr">
        <is>
          <t>N/D</t>
        </is>
      </c>
      <c r="K39" s="143" t="inlineStr">
        <is>
          <t>N/D</t>
        </is>
      </c>
      <c r="L39" s="144" t="inlineStr">
        <is>
          <t>N/D</t>
        </is>
      </c>
      <c r="M39" s="75" t="inlineStr">
        <is>
          <t>PL oficial ausente em 2026-06</t>
        </is>
      </c>
      <c r="N39" s="144" t="n">
        <v>0.1</v>
      </c>
      <c r="O39" s="144" t="inlineStr">
        <is>
          <t>N/D</t>
        </is>
      </c>
      <c r="P39" s="144" t="inlineStr">
        <is>
          <t>N/D</t>
        </is>
      </c>
      <c r="Q39" s="144" t="inlineStr">
        <is>
          <t>N/D</t>
        </is>
      </c>
      <c r="R39" s="144" t="inlineStr">
        <is>
          <t>N/D</t>
        </is>
      </c>
      <c r="S39" s="144" t="n">
        <v>0.1</v>
      </c>
      <c r="T39" s="75" t="inlineStr">
        <is>
          <t>N/D</t>
        </is>
      </c>
      <c r="U39" s="75" t="inlineStr">
        <is>
          <t>junior_pl</t>
        </is>
      </c>
      <c r="V39" s="75" t="inlineStr">
        <is>
          <t>direto no regulamento</t>
        </is>
      </c>
      <c r="W39" s="75" t="b">
        <v>0</v>
      </c>
      <c r="X39" s="75" t="inlineStr">
        <is>
          <t>Mínimo júnior isolado; a subordinação atual disponível agrega todas as classes subordinadas.</t>
        </is>
      </c>
      <c r="Y39" s="75" t="b">
        <v>0</v>
      </c>
      <c r="Z39" s="144" t="inlineStr">
        <is>
          <t>N/D</t>
        </is>
      </c>
      <c r="AA39" s="144" t="inlineStr">
        <is>
          <t>N/D</t>
        </is>
      </c>
      <c r="AB39" s="75" t="inlineStr">
        <is>
          <t>não medido</t>
        </is>
      </c>
      <c r="AC39" s="75" t="inlineStr">
        <is>
          <t>Agro, Indústria e Comércio</t>
        </is>
      </c>
      <c r="AD39" s="75" t="inlineStr">
        <is>
          <t>Recebíveis Comerciais</t>
        </is>
      </c>
      <c r="AE39" s="75" t="inlineStr">
        <is>
          <t>Agro / Revenda</t>
        </is>
      </c>
      <c r="AF39" s="75" t="inlineStr">
        <is>
          <t>Agro / Revenda</t>
        </is>
      </c>
      <c r="AG39" s="75" t="inlineStr">
        <is>
          <t>Agro / Revenda</t>
        </is>
      </c>
      <c r="AH39" s="75" t="inlineStr">
        <is>
          <t>Adquirência</t>
        </is>
      </c>
      <c r="AI39" s="75" t="inlineStr">
        <is>
          <t>Agenda de recebíveis de transações de pagamento</t>
        </is>
      </c>
      <c r="AJ39" s="75" t="b">
        <v>1</v>
      </c>
      <c r="AK39" s="75" t="inlineStr">
        <is>
          <t>APLICAR_ALTA</t>
        </is>
      </c>
      <c r="AL39" s="75" t="inlineStr">
        <is>
          <t>Direitos constam da agenda de recebíveis do arranjo</t>
        </is>
      </c>
      <c r="AM39" s="75" t="inlineStr">
        <is>
          <t>regulamento 719764</t>
        </is>
      </c>
      <c r="AN39" s="75" t="inlineStr">
        <is>
          <t>Não</t>
        </is>
      </c>
      <c r="AO39" s="75" t="inlineStr">
        <is>
          <t>regulamento 719764</t>
        </is>
      </c>
      <c r="AP39" s="75" t="b">
        <v>0</v>
      </c>
      <c r="AQ39" s="75" t="inlineStr">
        <is>
          <t>Adquirência</t>
        </is>
      </c>
      <c r="AR39" s="75" t="inlineStr">
        <is>
          <t>Agro / Revenda</t>
        </is>
      </c>
      <c r="AS39" s="75" t="b">
        <v>1</v>
      </c>
      <c r="AT39" s="75" t="inlineStr">
        <is>
          <t>regulamento 719764</t>
        </is>
      </c>
      <c r="AU39" s="75" t="inlineStr">
        <is>
          <t>Direitos constam da agenda de recebíveis do arranjo</t>
        </is>
      </c>
      <c r="AV39" s="75" t="inlineStr">
        <is>
          <t>N/D</t>
        </is>
      </c>
      <c r="AW39" s="75" t="b">
        <v>0</v>
      </c>
      <c r="AX39" s="75" t="inlineStr">
        <is>
          <t>N/D</t>
        </is>
      </c>
      <c r="AY39" s="75" t="inlineStr">
        <is>
          <t>sem benchmark confiável</t>
        </is>
      </c>
      <c r="AZ39" s="144" t="inlineStr">
        <is>
          <t>N/D</t>
        </is>
      </c>
      <c r="BA39" s="75" t="b">
        <v>0</v>
      </c>
      <c r="BB39" s="145" t="n">
        <v>0</v>
      </c>
      <c r="BC39" s="143" t="n">
        <v>1000</v>
      </c>
      <c r="BD39" s="75" t="inlineStr">
        <is>
          <t>R$1.000,00</t>
        </is>
      </c>
      <c r="BE39" s="75" t="inlineStr">
        <is>
          <t>preço/valor unitário de emissão</t>
        </is>
      </c>
      <c r="BF39" s="75" t="inlineStr">
        <is>
          <t>N/D</t>
        </is>
      </c>
      <c r="BG39" s="75" t="inlineStr">
        <is>
          <t>14/08/2024</t>
        </is>
      </c>
      <c r="BH39" s="75" t="inlineStr">
        <is>
          <t>719764</t>
        </is>
      </c>
      <c r="BI39" s="75" t="inlineStr">
        <is>
          <t>https://fnet.bmfbovespa.com.br/fnet/publico/downloadDocumento?id=719764</t>
        </is>
      </c>
      <c r="BJ39" s="75" t="inlineStr">
        <is>
          <t>localizado documentalmente</t>
        </is>
      </c>
      <c r="BK39" s="75" t="b">
        <v>1</v>
      </c>
      <c r="BL39" s="75" t="inlineStr">
        <is>
          <t>Estratégia Concursos</t>
        </is>
      </c>
      <c r="BM39" s="75" t="inlineStr">
        <is>
          <t>cedente</t>
        </is>
      </c>
      <c r="BN39" s="75" t="inlineStr">
        <is>
          <t>N/D</t>
        </is>
      </c>
      <c r="BO39" s="75" t="inlineStr">
        <is>
          <t>Estratégia Concursos</t>
        </is>
      </c>
      <c r="BP39" s="75" t="inlineStr">
        <is>
          <t>N/D</t>
        </is>
      </c>
      <c r="BQ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9" s="75" t="inlineStr">
        <is>
          <t>cedente: IMG_8705.JPG | tipo_recebivel: https://fnet.bmfbovespa.com.br/fnet/publico/downloadDocumento?id=719764</t>
        </is>
      </c>
      <c r="BS39" s="75" t="inlineStr">
        <is>
          <t>manual_aplicado</t>
        </is>
      </c>
      <c r="BT39" s="75" t="inlineStr">
        <is>
          <t>N/D</t>
        </is>
      </c>
      <c r="BU39" s="75" t="inlineStr">
        <is>
          <t>719764</t>
        </is>
      </c>
      <c r="BV39" s="75" t="inlineStr">
        <is>
          <t>2024-08-14</t>
        </is>
      </c>
      <c r="BW39" s="75" t="inlineStr">
        <is>
          <t>11</t>
        </is>
      </c>
      <c r="BX39" s="75" t="inlineStr">
        <is>
          <t>revisto — mínimo júnior localizado</t>
        </is>
      </c>
      <c r="BY39" s="75" t="inlineStr">
        <is>
          <t>FundosNet/B3; documento 719764; referência 2024-08-14; p. 11</t>
        </is>
      </c>
      <c r="BZ39" s="75" t="inlineStr">
        <is>
          <t>Relação Mínima Subordinada: cotas júnior / PL, mínimo de 10,0%.</t>
        </is>
      </c>
      <c r="CA39" s="75" t="inlineStr">
        <is>
          <t>PL atual; Sub/PL atual; originador; sacado/devedor</t>
        </is>
      </c>
      <c r="CB39" s="75" t="inlineStr">
        <is>
          <t>sub_pl_atual_ausente</t>
        </is>
      </c>
    </row>
    <row r="40" ht="31.5" customHeight="1">
      <c r="A40" s="74" t="n">
        <v>36</v>
      </c>
      <c r="B40" s="138" t="n">
        <v>40919667000107</v>
      </c>
      <c r="C40" s="74" t="inlineStr">
        <is>
          <t>40.919.667/0001-07</t>
        </is>
      </c>
      <c r="D40" s="74" t="inlineStr">
        <is>
          <t>RECARGAPAY I FUNDO DE INVESTIMENTO EM DIREITOS CREDITÓRIOS</t>
        </is>
      </c>
      <c r="E40" s="74" t="inlineStr">
        <is>
          <t>RECARGAPAY I FUNDO DE INVESTIMENTO EM DIREITOS CRE</t>
        </is>
      </c>
      <c r="F40" s="74" t="inlineStr">
        <is>
          <t>Carteira 101</t>
        </is>
      </c>
      <c r="G40" s="74" t="inlineStr">
        <is>
          <t>2026-06</t>
        </is>
      </c>
      <c r="H40" s="74" t="inlineStr">
        <is>
          <t>localizado</t>
        </is>
      </c>
      <c r="I40" s="139" t="n">
        <v>281538432.34</v>
      </c>
      <c r="J40" s="139" t="n">
        <v>281538432.3402482</v>
      </c>
      <c r="K40" s="139" t="n">
        <v>275884717.0402057</v>
      </c>
      <c r="L40" s="140" t="n">
        <v>0.9799184954863761</v>
      </c>
      <c r="M40" s="74" t="inlineStr">
        <is>
          <t>Calculado com classes reportadas e PL oficial reconciliado</t>
        </is>
      </c>
      <c r="N40" s="140" t="n">
        <v>0.5</v>
      </c>
      <c r="O40" s="140" t="inlineStr">
        <is>
          <t>N/D</t>
        </is>
      </c>
      <c r="P40" s="140" t="inlineStr">
        <is>
          <t>N/D</t>
        </is>
      </c>
      <c r="Q40" s="140" t="n">
        <v>0.5</v>
      </c>
      <c r="R40" s="140" t="inlineStr">
        <is>
          <t>N/D</t>
        </is>
      </c>
      <c r="S40" s="140" t="n">
        <v>0.5</v>
      </c>
      <c r="T40" s="74" t="inlineStr">
        <is>
          <t>50,0%</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n">
        <v>0.4799184954863761</v>
      </c>
      <c r="AA40" s="140" t="n">
        <v>0.9598369909727522</v>
      </c>
      <c r="AB40" s="74" t="inlineStr">
        <is>
          <t>acima do mínimo</t>
        </is>
      </c>
      <c r="AC40" s="74" t="inlineStr">
        <is>
          <t>Agro, Indústria e Comércio</t>
        </is>
      </c>
      <c r="AD40" s="74" t="inlineStr">
        <is>
          <t>Recebíveis Comerciais</t>
        </is>
      </c>
      <c r="AE40" s="74" t="inlineStr">
        <is>
          <t>Agro / Revenda</t>
        </is>
      </c>
      <c r="AF40" s="74" t="inlineStr">
        <is>
          <t>Agro / Revenda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Agro / Revenda</t>
        </is>
      </c>
      <c r="AS40" s="74" t="b">
        <v>1</v>
      </c>
      <c r="AT40" s="74" t="inlineStr">
        <is>
          <t>FundosNet/B3 doc. 1118056, p. 24 e 36–38; IMG_8705.JPG e IMG_8707.jpg</t>
        </is>
      </c>
      <c r="AU40" s="74" t="inlineStr">
        <is>
          <t>Direitos de clientes e estabelecimentos contra RecargaPay por transações de pagamento; RecargaPay atua como subcredenciadora.</t>
        </is>
      </c>
      <c r="AV40" s="74" t="inlineStr">
        <is>
          <t>≥ 60%</t>
        </is>
      </c>
      <c r="AW40" s="74" t="b">
        <v>1</v>
      </c>
      <c r="AX40" s="74" t="inlineStr">
        <is>
          <t>acima do piso</t>
        </is>
      </c>
      <c r="AY40" s="74" t="inlineStr">
        <is>
          <t>sem benchmark confiável</t>
        </is>
      </c>
      <c r="AZ40" s="140" t="inlineStr">
        <is>
          <t>N/D</t>
        </is>
      </c>
      <c r="BA40" s="74" t="b">
        <v>0</v>
      </c>
      <c r="BB40" s="141" t="n">
        <v>0</v>
      </c>
      <c r="BC40" s="139" t="n">
        <v>1000</v>
      </c>
      <c r="BD40" s="74" t="inlineStr">
        <is>
          <t>Cotas Seniores: R$1.000,00</t>
        </is>
      </c>
      <c r="BE40" s="74" t="inlineStr">
        <is>
          <t>valor nominal unitário (VNU)</t>
        </is>
      </c>
      <c r="BF40" s="74" t="inlineStr">
        <is>
          <t>Cotas Seniores</t>
        </is>
      </c>
      <c r="BG40" s="74" t="inlineStr">
        <is>
          <t>22/12/2023</t>
        </is>
      </c>
      <c r="BH40" s="74" t="inlineStr">
        <is>
          <t>574657</t>
        </is>
      </c>
      <c r="BI40" s="74" t="inlineStr">
        <is>
          <t>https://fnet.bmfbovespa.com.br/fnet/publico/downloadDocumento?id=574657</t>
        </is>
      </c>
      <c r="BJ40" s="74" t="inlineStr">
        <is>
          <t>localizado documentalmente</t>
        </is>
      </c>
      <c r="BK40" s="74" t="b">
        <v>0</v>
      </c>
      <c r="BL40" s="74" t="inlineStr">
        <is>
          <t>RecargaPay</t>
        </is>
      </c>
      <c r="BM40" s="74" t="inlineStr">
        <is>
          <t>cedente</t>
        </is>
      </c>
      <c r="BN40" s="74" t="inlineStr">
        <is>
          <t>N/D</t>
        </is>
      </c>
      <c r="BO40" s="74" t="inlineStr">
        <is>
          <t>RecargaPay</t>
        </is>
      </c>
      <c r="BP40" s="74" t="inlineStr">
        <is>
          <t>N/D</t>
        </is>
      </c>
      <c r="BQ40" s="74" t="inlineStr">
        <is>
          <t>recebíveis de cartão</t>
        </is>
      </c>
      <c r="BR40" s="74" t="inlineStr">
        <is>
          <t>cedente: IMG_8705.JPG | tipo_recebivel: IMG_8705.JPG</t>
        </is>
      </c>
      <c r="BS40" s="74" t="inlineStr">
        <is>
          <t>manual_aplicado</t>
        </is>
      </c>
      <c r="BT40" s="74" t="inlineStr">
        <is>
          <t>OBS da foto: FIDC "Bolso próprio", onde a Recarga fez aportes iniciais e utiliza o veículo para antecipar os recebíveis de cartão. Denominação cortada.</t>
        </is>
      </c>
      <c r="BU40" s="74" t="inlineStr">
        <is>
          <t>1118056</t>
        </is>
      </c>
      <c r="BV40" s="74" t="inlineStr">
        <is>
          <t>2026-02-12</t>
        </is>
      </c>
      <c r="BW40" s="74" t="inlineStr">
        <is>
          <t>31</t>
        </is>
      </c>
      <c r="BX40" s="74" t="inlineStr">
        <is>
          <t>revisto — mínimo júnior localizado</t>
        </is>
      </c>
      <c r="BY40" s="74" t="inlineStr">
        <is>
          <t>FundosNet/B3; documento 1118056; referência 2026-02-12; p. 31</t>
        </is>
      </c>
      <c r="BZ40" s="74" t="inlineStr">
        <is>
          <t>Cotas subordinadas / PL, mínimo de 50,0%; estrutura com uma única classe residual.</t>
        </is>
      </c>
      <c r="CA40" s="74" t="inlineStr">
        <is>
          <t>originador; sacado/devedor</t>
        </is>
      </c>
      <c r="CB40" s="74" t="inlineStr">
        <is>
          <t>completo_para_folga</t>
        </is>
      </c>
    </row>
    <row r="41" ht="31.5" customHeight="1">
      <c r="A41" s="75" t="n">
        <v>37</v>
      </c>
      <c r="B41" s="142" t="n">
        <v>42102603000144</v>
      </c>
      <c r="C41" s="75" t="inlineStr">
        <is>
          <t>42.102.603/0001-44</t>
        </is>
      </c>
      <c r="D41" s="75" t="inlineStr">
        <is>
          <t>CLOUDWALK KICK ASS II FUNDO DE INVESTIMENTO EM DIREITOS CREDITÓRIOS SEGMENTO MEIOS DE PAGAMENTO</t>
        </is>
      </c>
      <c r="E41" s="75" t="inlineStr">
        <is>
          <t>CLOUDWALK KICK ASS II FUNDO DE INVESTIMENTO EM DIR</t>
        </is>
      </c>
      <c r="F41" s="75" t="inlineStr">
        <is>
          <t>Carteira 101</t>
        </is>
      </c>
      <c r="G41" s="75" t="inlineStr">
        <is>
          <t>2026-06</t>
        </is>
      </c>
      <c r="H41" s="75" t="inlineStr">
        <is>
          <t>localizado</t>
        </is>
      </c>
      <c r="I41" s="143" t="inlineStr">
        <is>
          <t>N/D</t>
        </is>
      </c>
      <c r="J41" s="143" t="inlineStr">
        <is>
          <t>N/D</t>
        </is>
      </c>
      <c r="K41" s="143" t="inlineStr">
        <is>
          <t>N/D</t>
        </is>
      </c>
      <c r="L41" s="144" t="inlineStr">
        <is>
          <t>N/D</t>
        </is>
      </c>
      <c r="M41" s="75" t="inlineStr">
        <is>
          <t>PL oficial ausente em 2026-06</t>
        </is>
      </c>
      <c r="N41" s="144" t="n">
        <v>0.068</v>
      </c>
      <c r="O41" s="144" t="inlineStr">
        <is>
          <t>N/D</t>
        </is>
      </c>
      <c r="P41" s="144" t="inlineStr">
        <is>
          <t>N/D</t>
        </is>
      </c>
      <c r="Q41" s="144" t="n">
        <v>0.068</v>
      </c>
      <c r="R41" s="144" t="inlineStr">
        <is>
          <t>N/D</t>
        </is>
      </c>
      <c r="S41" s="144" t="n">
        <v>0.068</v>
      </c>
      <c r="T41" s="75" t="inlineStr">
        <is>
          <t>6,8%</t>
        </is>
      </c>
      <c r="U41" s="75" t="inlineStr">
        <is>
          <t>junior_pl</t>
        </is>
      </c>
      <c r="V41" s="75" t="inlineStr">
        <is>
          <t>direto no regulamento</t>
        </is>
      </c>
      <c r="W41" s="75" t="b">
        <v>1</v>
      </c>
      <c r="X41" s="75" t="inlineStr">
        <is>
          <t>Estrutura com uma única classe subordinada; métrica atual e piso usam o total subordinado sobre o PL.</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N/D</t>
        </is>
      </c>
      <c r="AW41" s="75" t="b">
        <v>0</v>
      </c>
      <c r="AX41" s="75" t="inlineStr">
        <is>
          <t>N/D</t>
        </is>
      </c>
      <c r="AY41" s="75" t="inlineStr">
        <is>
          <t>sem benchmark confiável</t>
        </is>
      </c>
      <c r="AZ41" s="144" t="inlineStr">
        <is>
          <t>N/D</t>
        </is>
      </c>
      <c r="BA41" s="75" t="b">
        <v>1</v>
      </c>
      <c r="BB41" s="145" t="n">
        <v>15</v>
      </c>
      <c r="BC41" s="143" t="n">
        <v>1000</v>
      </c>
      <c r="BD41" s="75" t="inlineStr">
        <is>
          <t>Cotas Seniores: R$1.000,00 | Cotas Subordinadas: R$1.000,00</t>
        </is>
      </c>
      <c r="BE41" s="75" t="inlineStr">
        <is>
          <t>valor nominal unitário (VNU)</t>
        </is>
      </c>
      <c r="BF41" s="75" t="inlineStr">
        <is>
          <t>Cotas Seniores | Cotas Subordinadas</t>
        </is>
      </c>
      <c r="BG41" s="75" t="inlineStr">
        <is>
          <t>2024-09-05</t>
        </is>
      </c>
      <c r="BH41" s="75" t="inlineStr">
        <is>
          <t>733239</t>
        </is>
      </c>
      <c r="BI41" s="75" t="inlineStr">
        <is>
          <t>https://fnet.bmfbovespa.com.br/fnet/publico/downloadDocumento?id=733239</t>
        </is>
      </c>
      <c r="BJ41" s="75" t="inlineStr">
        <is>
          <t>localizado documentalmente — múltiplos valores/classes</t>
        </is>
      </c>
      <c r="BK41" s="75" t="b">
        <v>1</v>
      </c>
      <c r="BL41" s="75" t="inlineStr">
        <is>
          <t>Cloudwalk</t>
        </is>
      </c>
      <c r="BM41" s="75" t="inlineStr">
        <is>
          <t>cedente</t>
        </is>
      </c>
      <c r="BN41" s="75" t="inlineStr">
        <is>
          <t>N/D</t>
        </is>
      </c>
      <c r="BO41" s="75" t="inlineStr">
        <is>
          <t>a CloudWalk que, de tempos em tempos, nos termos do Contrato de Cessão, cede seus respectivos Direitos Creditórios Elegíveis ao Fundo</t>
        </is>
      </c>
      <c r="BP41" s="75" t="inlineStr">
        <is>
          <t>cada Devedor de Direitos Creditórios Cedidos que represente 6,8% (seis inteiros e oito décimos por cento) ou mais do Patrimônio Líquido do Fundo</t>
        </is>
      </c>
      <c r="BQ41" s="75" t="inlineStr">
        <is>
          <t>os direitos creditórios de tempos em tempos detidos pela Cedente em face dos Devedores , conforme as regras dos Arranjos de Pagamentos, decorrentes de Docusign Envelope ID: C7A68EEF-E1CC-4C50-9460-07F207F1899B</t>
        </is>
      </c>
      <c r="BR41" s="75" t="inlineStr">
        <is>
          <t>cedente: https://fnet.bmfbovespa.com.br/fnet/publico/downloadDocumento?id=733239 | sacado_devedor: https://fnet.bmfbovespa.com.br/fnet/publico/downloadDocumento?id=733239 | tipo_recebivel: https://fnet.bmfbovespa.com.br/fnet/publico/downloadDocumento?id=733239</t>
        </is>
      </c>
      <c r="BS41" s="75" t="inlineStr">
        <is>
          <t>manual_aplicado</t>
        </is>
      </c>
      <c r="BT41" s="75" t="inlineStr">
        <is>
          <t>OBS da foto: Alongamento discutido recentemente (mas com run-off). Denominação cortada.</t>
        </is>
      </c>
      <c r="BU41" s="75" t="inlineStr">
        <is>
          <t>733239</t>
        </is>
      </c>
      <c r="BV41" s="75" t="inlineStr">
        <is>
          <t>2024-09-05</t>
        </is>
      </c>
      <c r="BW41" s="75" t="inlineStr">
        <is>
          <t>99</t>
        </is>
      </c>
      <c r="BX41" s="75" t="inlineStr">
        <is>
          <t>revisto — mínimo júnior localizado</t>
        </is>
      </c>
      <c r="BY41" s="75" t="inlineStr">
        <is>
          <t>FundosNet/B3; documento 733239; referência 2024-09-05; p. 99</t>
        </is>
      </c>
      <c r="BZ41" s="75" t="inlineStr">
        <is>
          <t>Cotas subordinadas / PL, mínimo de 6,8%; estrutura com uma única classe residual.</t>
        </is>
      </c>
      <c r="CA41" s="75" t="inlineStr">
        <is>
          <t>PL atual; Sub/PL atual; originador</t>
        </is>
      </c>
      <c r="CB41" s="75" t="inlineStr">
        <is>
          <t>sub_pl_atual_ausente</t>
        </is>
      </c>
    </row>
    <row r="42" ht="31.5" customHeight="1">
      <c r="A42" s="74" t="n">
        <v>38</v>
      </c>
      <c r="B42" s="138" t="n">
        <v>28169275000172</v>
      </c>
      <c r="C42" s="74" t="inlineStr">
        <is>
          <t>28.169.275/0001-72</t>
        </is>
      </c>
      <c r="D42" s="74" t="inlineStr">
        <is>
          <t>FUNDO DE INVESTIMENTO EM DIREITOS CREDITÓRIOS PAGSEGURO I</t>
        </is>
      </c>
      <c r="E42" s="74" t="inlineStr">
        <is>
          <t>FUNDO DE INVESTIMENTO EM DIREITOS CREDITORIOS PAGSEGURO I</t>
        </is>
      </c>
      <c r="F42" s="74" t="inlineStr">
        <is>
          <t>Carteira 101</t>
        </is>
      </c>
      <c r="G42" s="74" t="inlineStr">
        <is>
          <t>2026-06</t>
        </is>
      </c>
      <c r="H42" s="74" t="inlineStr">
        <is>
          <t>localizado</t>
        </is>
      </c>
      <c r="I42" s="139" t="n">
        <v>6234652185.61</v>
      </c>
      <c r="J42" s="139" t="n">
        <v>6233925629.525884</v>
      </c>
      <c r="K42" s="139" t="n">
        <v>3942647146.695884</v>
      </c>
      <c r="L42" s="140" t="n">
        <v>0.6323764388646702</v>
      </c>
      <c r="M42" s="74" t="inlineStr">
        <is>
          <t>Calculado com classes reportadas e PL oficial reconciliado</t>
        </is>
      </c>
      <c r="N42" s="140" t="n">
        <v>0.5</v>
      </c>
      <c r="O42" s="140" t="inlineStr">
        <is>
          <t>N/D</t>
        </is>
      </c>
      <c r="P42" s="140" t="inlineStr">
        <is>
          <t>N/D</t>
        </is>
      </c>
      <c r="Q42" s="140" t="inlineStr">
        <is>
          <t>N/D</t>
        </is>
      </c>
      <c r="R42" s="140" t="inlineStr">
        <is>
          <t>N/D</t>
        </is>
      </c>
      <c r="S42" s="140" t="n">
        <v>0.5</v>
      </c>
      <c r="T42" s="74" t="inlineStr">
        <is>
          <t>N/D</t>
        </is>
      </c>
      <c r="U42" s="74" t="inlineStr">
        <is>
          <t>junior_pl</t>
        </is>
      </c>
      <c r="V42" s="74" t="inlineStr">
        <is>
          <t>direto no regulamento</t>
        </is>
      </c>
      <c r="W42" s="74" t="b">
        <v>0</v>
      </c>
      <c r="X42" s="74" t="inlineStr">
        <is>
          <t>Mínimo júnior isolado; a subordinação atual disponível agrega mais de uma classe subordinada ou usa denominador distinto.</t>
        </is>
      </c>
      <c r="Y42" s="74" t="b">
        <v>0</v>
      </c>
      <c r="Z42" s="140" t="inlineStr">
        <is>
          <t>N/D</t>
        </is>
      </c>
      <c r="AA42" s="140" t="inlineStr">
        <is>
          <t>N/D</t>
        </is>
      </c>
      <c r="AB42" s="74" t="inlineStr">
        <is>
          <t>não medido</t>
        </is>
      </c>
      <c r="AC42" s="74" t="inlineStr">
        <is>
          <t>Financeiro</t>
        </is>
      </c>
      <c r="AD42" s="74" t="inlineStr">
        <is>
          <t>Adquirência</t>
        </is>
      </c>
      <c r="AE42" s="74" t="inlineStr">
        <is>
          <t>Adquirência</t>
        </is>
      </c>
      <c r="AF42" s="74" t="inlineStr">
        <is>
          <t>Adquirência</t>
        </is>
      </c>
      <c r="AG42" s="74" t="inlineStr">
        <is>
          <t>Adquirência</t>
        </is>
      </c>
      <c r="AH42" s="74" t="inlineStr">
        <is>
          <t>Adquirência</t>
        </is>
      </c>
      <c r="AI42" s="74" t="inlineStr">
        <is>
          <t>N/D</t>
        </is>
      </c>
      <c r="AJ42" s="74" t="b">
        <v>0</v>
      </c>
      <c r="AK42" s="74" t="inlineStr">
        <is>
          <t>fora da revisão Financeiro/Agro</t>
        </is>
      </c>
      <c r="AL42" s="74" t="inlineStr">
        <is>
          <t>N/D</t>
        </is>
      </c>
      <c r="AM42" s="74" t="inlineStr">
        <is>
          <t>N/D</t>
        </is>
      </c>
      <c r="AN42" s="74" t="inlineStr">
        <is>
          <t>N/D</t>
        </is>
      </c>
      <c r="AO42" s="74" t="inlineStr">
        <is>
          <t>N/D</t>
        </is>
      </c>
      <c r="AP42" s="74" t="inlineStr">
        <is>
          <t>N/D</t>
        </is>
      </c>
      <c r="AQ42" s="74" t="inlineStr">
        <is>
          <t>Adquirência</t>
        </is>
      </c>
      <c r="AR42" s="74" t="inlineStr">
        <is>
          <t>Adquirência</t>
        </is>
      </c>
      <c r="AS42" s="74" t="b">
        <v>0</v>
      </c>
      <c r="AT42" s="74" t="inlineStr">
        <is>
          <t>N/D</t>
        </is>
      </c>
      <c r="AU42" s="74" t="inlineStr">
        <is>
          <t>N/D</t>
        </is>
      </c>
      <c r="AV42" s="74" t="inlineStr">
        <is>
          <t>≥ 60%</t>
        </is>
      </c>
      <c r="AW42" s="74" t="b">
        <v>1</v>
      </c>
      <c r="AX42" s="74" t="inlineStr">
        <is>
          <t>incomparável</t>
        </is>
      </c>
      <c r="AY42" s="74" t="inlineStr">
        <is>
          <t>acima do mercado</t>
        </is>
      </c>
      <c r="AZ42" s="140" t="n">
        <v>0.4770169846397641</v>
      </c>
      <c r="BA42" s="74" t="b">
        <v>1</v>
      </c>
      <c r="BB42" s="141" t="n">
        <v>15</v>
      </c>
      <c r="BC42" s="139" t="n">
        <v>1000</v>
      </c>
      <c r="BD42" s="74" t="inlineStr">
        <is>
          <t>Cotas Seniores: R$ 1.000,00 | Cotas Subordinadas: R$ 1.000,00 | R$ 1.000,00</t>
        </is>
      </c>
      <c r="BE42" s="74" t="inlineStr">
        <is>
          <t>valor nominal unitário (VNU)</t>
        </is>
      </c>
      <c r="BF42" s="74" t="inlineStr">
        <is>
          <t>Cotas Seniores | Cotas Subordinadas</t>
        </is>
      </c>
      <c r="BG42" s="74" t="inlineStr">
        <is>
          <t>2026-03-25</t>
        </is>
      </c>
      <c r="BH42" s="74" t="inlineStr">
        <is>
          <t>1149521</t>
        </is>
      </c>
      <c r="BI42" s="74" t="inlineStr">
        <is>
          <t>https://fnet.bmfbovespa.com.br/fnet/publico/downloadDocumento?id=1149521</t>
        </is>
      </c>
      <c r="BJ42" s="74" t="inlineStr">
        <is>
          <t>localizado documentalmente — múltiplos valores/classes</t>
        </is>
      </c>
      <c r="BK42" s="74" t="b">
        <v>1</v>
      </c>
      <c r="BL42" s="74" t="inlineStr">
        <is>
          <t>PagBank (originador) | PagSeguro (cedente)</t>
        </is>
      </c>
      <c r="BM42" s="74" t="inlineStr">
        <is>
          <t>originador | cedente</t>
        </is>
      </c>
      <c r="BN42" s="74" t="inlineStr">
        <is>
          <t>PagBank</t>
        </is>
      </c>
      <c r="BO42" s="74" t="inlineStr">
        <is>
          <t>PagSeguro</t>
        </is>
      </c>
      <c r="BP42" s="74" t="inlineStr">
        <is>
          <t>N/D</t>
        </is>
      </c>
      <c r="BQ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2" s="74" t="inlineStr">
        <is>
          <t>cedente: IMG_8705.JPG | tipo_recebivel: https://fnet.bmfbovespa.com.br/fnet/publico/downloadDocumento?id=1147067</t>
        </is>
      </c>
      <c r="BS42" s="74" t="inlineStr">
        <is>
          <t>manual_aplicado</t>
        </is>
      </c>
      <c r="BT42" s="74" t="inlineStr">
        <is>
          <t>IMG_8698 identifica PagBank como originador; IMG_8705 identifica PagSeguro como cedente e recebíveis dos ECs.</t>
        </is>
      </c>
      <c r="BU42" s="74" t="inlineStr">
        <is>
          <t>1149521</t>
        </is>
      </c>
      <c r="BV42" s="74" t="inlineStr">
        <is>
          <t>2026-03-25</t>
        </is>
      </c>
      <c r="BW42" s="74" t="inlineStr">
        <is>
          <t>44</t>
        </is>
      </c>
      <c r="BX42" s="74" t="inlineStr">
        <is>
          <t>revisto — mínimo júnior localizado</t>
        </is>
      </c>
      <c r="BY42" s="74" t="inlineStr">
        <is>
          <t>FundosNet/B3; documento 1149521; referência 2026-03-25; p. 44</t>
        </is>
      </c>
      <c r="BZ42" s="74" t="inlineStr">
        <is>
          <t>Cotas subordinadas júnior / PL, mínimo de 50,0%; há classe mezanino.</t>
        </is>
      </c>
      <c r="CA42" s="74" t="inlineStr">
        <is>
          <t>sacado/devedor</t>
        </is>
      </c>
      <c r="CB42" s="74" t="inlineStr">
        <is>
          <t>estrutura_incomparavel</t>
        </is>
      </c>
    </row>
    <row r="43" ht="31.5" customHeight="1">
      <c r="A43" s="75" t="n">
        <v>39</v>
      </c>
      <c r="B43" s="142" t="n">
        <v>38658727000133</v>
      </c>
      <c r="C43" s="75" t="inlineStr">
        <is>
          <t>38.658.727/0001-33</t>
        </is>
      </c>
      <c r="D43" s="75" t="inlineStr">
        <is>
          <t>FUNDO DE INVESTIMENTO EM DIREITOS CREDITÓRIOS FORNECEDORES MADEIRA MADEIRA I</t>
        </is>
      </c>
      <c r="E43" s="75" t="inlineStr">
        <is>
          <t>FIDC FORNEC MADEIRA MADEIRA I</t>
        </is>
      </c>
      <c r="F43" s="75" t="inlineStr">
        <is>
          <t>Carteira 101</t>
        </is>
      </c>
      <c r="G43" s="75" t="inlineStr">
        <is>
          <t>2026-06</t>
        </is>
      </c>
      <c r="H43" s="75" t="inlineStr">
        <is>
          <t>localizado</t>
        </is>
      </c>
      <c r="I43" s="143" t="n">
        <v>196699440.04</v>
      </c>
      <c r="J43" s="143" t="n">
        <v>196699440.0404932</v>
      </c>
      <c r="K43" s="143" t="n">
        <v>92283651.41021584</v>
      </c>
      <c r="L43" s="144" t="n">
        <v>0.4691607225289987</v>
      </c>
      <c r="M43" s="75" t="inlineStr">
        <is>
          <t>Calculado com classes reportadas e PL oficial reconciliado</t>
        </is>
      </c>
      <c r="N43" s="144" t="inlineStr">
        <is>
          <t>N/D</t>
        </is>
      </c>
      <c r="O43" s="144" t="n">
        <v>0.26665</v>
      </c>
      <c r="P43" s="144" t="inlineStr">
        <is>
          <t>N/D</t>
        </is>
      </c>
      <c r="Q43" s="144" t="n">
        <v>0.26665</v>
      </c>
      <c r="R43" s="144" t="inlineStr">
        <is>
          <t>N/D</t>
        </is>
      </c>
      <c r="S43" s="144" t="n">
        <v>0.26665</v>
      </c>
      <c r="T43" s="75" t="inlineStr">
        <is>
          <t>26,67%*</t>
        </is>
      </c>
      <c r="U43" s="75" t="inlineStr">
        <is>
          <t>junior_pl_calculado</t>
        </is>
      </c>
      <c r="V43" s="75" t="inlineStr">
        <is>
          <t>calculado: 1 − 1/1,3636</t>
        </is>
      </c>
      <c r="W43" s="75" t="b">
        <v>1</v>
      </c>
      <c r="X43" s="75" t="inlineStr">
        <is>
          <t>Estrutura com uma única classe subordinada; métrica atual e piso usam o total subordinado sobre o PL.</t>
        </is>
      </c>
      <c r="Y43" s="75" t="b">
        <v>1</v>
      </c>
      <c r="Z43" s="144" t="n">
        <v>0.2025107225289987</v>
      </c>
      <c r="AA43" s="144" t="n">
        <v>0.276144709250697</v>
      </c>
      <c r="AB43" s="75" t="inlineStr">
        <is>
          <t>acima do mínimo</t>
        </is>
      </c>
      <c r="AC43" s="75" t="inlineStr">
        <is>
          <t>Agro, Indústria e Comércio</t>
        </is>
      </c>
      <c r="AD43" s="75" t="inlineStr">
        <is>
          <t>Recebíveis Comerciais</t>
        </is>
      </c>
      <c r="AE43" s="75" t="inlineStr">
        <is>
          <t>Agro / Revenda</t>
        </is>
      </c>
      <c r="AF43" s="75" t="inlineStr">
        <is>
          <t>Agro / Revenda</t>
        </is>
      </c>
      <c r="AG43" s="75" t="inlineStr">
        <is>
          <t>Agro / Revenda</t>
        </is>
      </c>
      <c r="AH43" s="75" t="inlineStr">
        <is>
          <t>Risco Corporativo</t>
        </is>
      </c>
      <c r="AI43" s="75" t="inlineStr">
        <is>
          <t>Supplier finance, MadeiraMadeira como devedora</t>
        </is>
      </c>
      <c r="AJ43" s="75" t="b">
        <v>1</v>
      </c>
      <c r="AK43" s="75" t="inlineStr">
        <is>
          <t>APLICAR_ALTA</t>
        </is>
      </c>
      <c r="AL43" s="75" t="inlineStr">
        <is>
          <t>Fornecedores cedem créditos comerciais contra MadeiraMadeira</t>
        </is>
      </c>
      <c r="AM43" s="75" t="inlineStr">
        <is>
          <t>regulamento 691063</t>
        </is>
      </c>
      <c r="AN43" s="75" t="inlineStr">
        <is>
          <t>Não</t>
        </is>
      </c>
      <c r="AO43" s="75" t="inlineStr">
        <is>
          <t>regulamento 691063</t>
        </is>
      </c>
      <c r="AP43" s="75" t="b">
        <v>0</v>
      </c>
      <c r="AQ43" s="75" t="inlineStr">
        <is>
          <t>Risco Corporativo</t>
        </is>
      </c>
      <c r="AR43" s="75" t="inlineStr">
        <is>
          <t>Agro / Revenda</t>
        </is>
      </c>
      <c r="AS43" s="75" t="b">
        <v>1</v>
      </c>
      <c r="AT43" s="75" t="inlineStr">
        <is>
          <t>regulamento 691063</t>
        </is>
      </c>
      <c r="AU43" s="75" t="inlineStr">
        <is>
          <t>Fornecedores cedem créditos comerciais contra MadeiraMadeira</t>
        </is>
      </c>
      <c r="AV43" s="75" t="inlineStr">
        <is>
          <t>35%–60%</t>
        </is>
      </c>
      <c r="AW43" s="75" t="b">
        <v>1</v>
      </c>
      <c r="AX43" s="75" t="inlineStr">
        <is>
          <t>acima do piso</t>
        </is>
      </c>
      <c r="AY43" s="75" t="inlineStr">
        <is>
          <t>sem benchmark confiável</t>
        </is>
      </c>
      <c r="AZ43" s="144" t="inlineStr">
        <is>
          <t>N/D</t>
        </is>
      </c>
      <c r="BA43" s="75" t="b">
        <v>0</v>
      </c>
      <c r="BB43" s="145" t="n">
        <v>0</v>
      </c>
      <c r="BC43" s="143" t="n">
        <v>1000</v>
      </c>
      <c r="BD43" s="75" t="inlineStr">
        <is>
          <t>Cotas Seniores: R$ 1.000,00</t>
        </is>
      </c>
      <c r="BE43" s="75" t="inlineStr">
        <is>
          <t>preço/valor unitário de emissão</t>
        </is>
      </c>
      <c r="BF43" s="75" t="inlineStr">
        <is>
          <t>Cotas Seniores</t>
        </is>
      </c>
      <c r="BG43" s="75" t="inlineStr">
        <is>
          <t>2024-06-13</t>
        </is>
      </c>
      <c r="BH43" s="75" t="inlineStr">
        <is>
          <t>691063</t>
        </is>
      </c>
      <c r="BI43" s="75" t="inlineStr">
        <is>
          <t>https://fnet.bmfbovespa.com.br/fnet/publico/downloadDocumento?id=691063</t>
        </is>
      </c>
      <c r="BJ43" s="75" t="inlineStr">
        <is>
          <t>localizado documentalmente</t>
        </is>
      </c>
      <c r="BK43" s="75" t="b">
        <v>0</v>
      </c>
      <c r="BL43" s="75" t="inlineStr">
        <is>
          <t>Fornecedores: Madeira/Madeira</t>
        </is>
      </c>
      <c r="BM43" s="75" t="inlineStr">
        <is>
          <t>cedente</t>
        </is>
      </c>
      <c r="BN43" s="75" t="inlineStr">
        <is>
          <t>N/D</t>
        </is>
      </c>
      <c r="BO43" s="75" t="inlineStr">
        <is>
          <t>Fornecedores: Madeira/Madeira</t>
        </is>
      </c>
      <c r="BP43" s="75" t="inlineStr">
        <is>
          <t>Madeira/Madeira</t>
        </is>
      </c>
      <c r="BQ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3" s="75" t="inlineStr">
        <is>
          <t>cedente: IMG_8705.JPG | sacado_devedor: IMG_8705.JPG | tipo_recebivel: https://fnet.bmfbovespa.com.br/fnet/publico/downloadDocumento?id=691063</t>
        </is>
      </c>
      <c r="BS43" s="75" t="inlineStr">
        <is>
          <t>manual_aplicado</t>
        </is>
      </c>
      <c r="BT43" s="75" t="inlineStr">
        <is>
          <t>OBS da foto: FIDC Multicedente (Fornecedores) &amp; Monosacado (Madeira/Madeira). O sacado foi desmembrado somente porque a função Monosacado está escrita na fonte.</t>
        </is>
      </c>
      <c r="BU43" s="75" t="inlineStr">
        <is>
          <t>1216296</t>
        </is>
      </c>
      <c r="BV43" s="75" t="inlineStr">
        <is>
          <t>2026-06-05</t>
        </is>
      </c>
      <c r="BW43" s="75" t="inlineStr">
        <is>
          <t>62</t>
        </is>
      </c>
      <c r="BX43" s="75" t="inlineStr">
        <is>
          <t>revisto — mínimo júnior localizado</t>
        </is>
      </c>
      <c r="BY43" s="75" t="inlineStr">
        <is>
          <t>FundosNet/B3; documento 1216296; referência 2026-06-05; p. 62</t>
        </is>
      </c>
      <c r="BZ43" s="75" t="inlineStr">
        <is>
          <t>Mínimo júnior implícito na relação PL / cotas seniores de 136,36%.</t>
        </is>
      </c>
      <c r="CA43" s="75" t="inlineStr">
        <is>
          <t>originador</t>
        </is>
      </c>
      <c r="CB43" s="75" t="inlineStr">
        <is>
          <t>completo_para_folga</t>
        </is>
      </c>
    </row>
    <row r="44" ht="31.5" customHeight="1">
      <c r="A44" s="74" t="n">
        <v>40</v>
      </c>
      <c r="B44" s="138" t="n">
        <v>52271464000136</v>
      </c>
      <c r="C44" s="74" t="inlineStr">
        <is>
          <t>52.271.464/0001-36</t>
        </is>
      </c>
      <c r="D44" s="74" t="inlineStr">
        <is>
          <t>KIWIFY FUNDO DE INVESTIMENTO EM DIREITOS CREDITÓRIOS SEGMENTO MEIOS DE PAGAMENTO DE RESPONSABILIDADE</t>
        </is>
      </c>
      <c r="E44" s="74" t="inlineStr">
        <is>
          <t>KIWIFY FUNDO DE INVESTIMENTO E</t>
        </is>
      </c>
      <c r="F44" s="74" t="inlineStr">
        <is>
          <t>Carteira 101</t>
        </is>
      </c>
      <c r="G44" s="74" t="inlineStr">
        <is>
          <t>2026-06</t>
        </is>
      </c>
      <c r="H44" s="74" t="inlineStr">
        <is>
          <t>localizado</t>
        </is>
      </c>
      <c r="I44" s="139" t="n">
        <v>347342248.66</v>
      </c>
      <c r="J44" s="139" t="n">
        <v>347342248.62347</v>
      </c>
      <c r="K44" s="139" t="n">
        <v>70030404.01372002</v>
      </c>
      <c r="L44" s="140" t="n">
        <v>0.2016178690726163</v>
      </c>
      <c r="M44" s="74" t="inlineStr">
        <is>
          <t>Calculado com classes reportadas e PL oficial reconciliado</t>
        </is>
      </c>
      <c r="N44" s="140" t="n">
        <v>0.06</v>
      </c>
      <c r="O44" s="140" t="inlineStr">
        <is>
          <t>N/D</t>
        </is>
      </c>
      <c r="P44" s="140" t="inlineStr">
        <is>
          <t>N/D</t>
        </is>
      </c>
      <c r="Q44" s="140" t="inlineStr">
        <is>
          <t>N/D</t>
        </is>
      </c>
      <c r="R44" s="140" t="inlineStr">
        <is>
          <t>N/D</t>
        </is>
      </c>
      <c r="S44" s="140" t="n">
        <v>0.06</v>
      </c>
      <c r="T44" s="74" t="inlineStr">
        <is>
          <t>N/D</t>
        </is>
      </c>
      <c r="U44" s="74" t="inlineStr">
        <is>
          <t>junior_pl</t>
        </is>
      </c>
      <c r="V44" s="74" t="inlineStr">
        <is>
          <t>direto no regulamento</t>
        </is>
      </c>
      <c r="W44" s="74" t="b">
        <v>0</v>
      </c>
      <c r="X44" s="74" t="inlineStr">
        <is>
          <t>Mínimo júnior isolado; a subordinação atual disponível agrega todas as classes subordinadas.</t>
        </is>
      </c>
      <c r="Y44" s="74" t="b">
        <v>0</v>
      </c>
      <c r="Z44" s="140" t="inlineStr">
        <is>
          <t>N/D</t>
        </is>
      </c>
      <c r="AA44" s="140" t="inlineStr">
        <is>
          <t>N/D</t>
        </is>
      </c>
      <c r="AB44" s="74" t="inlineStr">
        <is>
          <t>não medido</t>
        </is>
      </c>
      <c r="AC44" s="74" t="inlineStr">
        <is>
          <t>Agro, Indústria e Comércio</t>
        </is>
      </c>
      <c r="AD44" s="74" t="inlineStr">
        <is>
          <t>Recebíveis Comerciais</t>
        </is>
      </c>
      <c r="AE44" s="74" t="inlineStr">
        <is>
          <t>Agro / Revenda</t>
        </is>
      </c>
      <c r="AF44" s="74" t="inlineStr">
        <is>
          <t>Agro / Revenda</t>
        </is>
      </c>
      <c r="AG44" s="74" t="inlineStr">
        <is>
          <t>Adquirência</t>
        </is>
      </c>
      <c r="AH44" s="74" t="inlineStr">
        <is>
          <t>Adquirência</t>
        </is>
      </c>
      <c r="AI44" s="74" t="inlineStr">
        <is>
          <t>N/D</t>
        </is>
      </c>
      <c r="AJ44" s="74" t="b">
        <v>0</v>
      </c>
      <c r="AK44" s="74" t="inlineStr">
        <is>
          <t>fora da revisão Financeiro/Agro</t>
        </is>
      </c>
      <c r="AL44" s="74" t="inlineStr">
        <is>
          <t>N/D</t>
        </is>
      </c>
      <c r="AM44" s="74" t="inlineStr">
        <is>
          <t>N/D</t>
        </is>
      </c>
      <c r="AN44" s="74" t="inlineStr">
        <is>
          <t>N/D</t>
        </is>
      </c>
      <c r="AO44" s="74" t="inlineStr">
        <is>
          <t>N/D</t>
        </is>
      </c>
      <c r="AP44" s="74" t="inlineStr">
        <is>
          <t>N/D</t>
        </is>
      </c>
      <c r="AQ44" s="74" t="inlineStr">
        <is>
          <t>Adquirência</t>
        </is>
      </c>
      <c r="AR44" s="74" t="inlineStr">
        <is>
          <t>Agro / Revenda</t>
        </is>
      </c>
      <c r="AS44" s="74" t="b">
        <v>1</v>
      </c>
      <c r="AT44" s="74" t="inlineStr">
        <is>
          <t>FundosNet/B3 doc. 1155755, p. 13; IMG_8705.JPG e IMG_8707.jpg</t>
        </is>
      </c>
      <c r="AU44" s="74" t="inlineStr">
        <is>
          <t>Direitos da Kiwify, na condição de subcredenciadora, contra credenciadoras de transações de pagamento.</t>
        </is>
      </c>
      <c r="AV44" s="74" t="inlineStr">
        <is>
          <t>20%–35%</t>
        </is>
      </c>
      <c r="AW44" s="74" t="b">
        <v>1</v>
      </c>
      <c r="AX44" s="74" t="inlineStr">
        <is>
          <t>incomparável</t>
        </is>
      </c>
      <c r="AY44" s="74" t="inlineStr">
        <is>
          <t>sem benchmark confiável</t>
        </is>
      </c>
      <c r="AZ44" s="140" t="inlineStr">
        <is>
          <t>N/D</t>
        </is>
      </c>
      <c r="BA44" s="74" t="b">
        <v>0</v>
      </c>
      <c r="BB44" s="141" t="n">
        <v>0</v>
      </c>
      <c r="BC44" s="139" t="n">
        <v>1000</v>
      </c>
      <c r="BD44" s="74" t="inlineStr">
        <is>
          <t>Cotas Seniores: R$1.000,00</t>
        </is>
      </c>
      <c r="BE44" s="74" t="inlineStr">
        <is>
          <t>valor nominal unitário (VNU)</t>
        </is>
      </c>
      <c r="BF44" s="74" t="inlineStr">
        <is>
          <t>Cotas Seniores</t>
        </is>
      </c>
      <c r="BG44" s="74" t="inlineStr">
        <is>
          <t>29/12/2025</t>
        </is>
      </c>
      <c r="BH44" s="74" t="inlineStr">
        <is>
          <t>1072777</t>
        </is>
      </c>
      <c r="BI44" s="74" t="inlineStr">
        <is>
          <t>https://fnet.bmfbovespa.com.br/fnet/publico/downloadDocumento?id=1072777</t>
        </is>
      </c>
      <c r="BJ44" s="74" t="inlineStr">
        <is>
          <t>localizado documentalmente</t>
        </is>
      </c>
      <c r="BK44" s="74" t="b">
        <v>0</v>
      </c>
      <c r="BL44" s="74" t="inlineStr">
        <is>
          <t>N/D</t>
        </is>
      </c>
      <c r="BM44" s="74" t="inlineStr">
        <is>
          <t>N/D</t>
        </is>
      </c>
      <c r="BN44" s="74" t="inlineStr">
        <is>
          <t>N/D</t>
        </is>
      </c>
      <c r="BO44" s="74" t="inlineStr">
        <is>
          <t>a Subcredenciadora</t>
        </is>
      </c>
      <c r="BP44" s="74" t="inlineStr">
        <is>
          <t>a Credenciadora, na qualidade de devedora dos Direitos Creditórios</t>
        </is>
      </c>
      <c r="BQ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4" s="74" t="inlineStr">
        <is>
          <t>cedente: https://fnet.bmfbovespa.com.br/fnet/publico/downloadDocumento?id=1155755 | sacado_devedor: https://fnet.bmfbovespa.com.br/fnet/publico/downloadDocumento?id=1155755 | tipo_recebivel: https://fnet.bmfbovespa.com.br/fnet/publico/downloadDocumento?id=1155755</t>
        </is>
      </c>
      <c r="BS44" s="74" t="inlineStr">
        <is>
          <t>sem_overlay</t>
        </is>
      </c>
      <c r="BT44" s="74" t="inlineStr">
        <is>
          <t>N/D</t>
        </is>
      </c>
      <c r="BU44" s="74" t="inlineStr">
        <is>
          <t>1155755</t>
        </is>
      </c>
      <c r="BV44" s="74" t="inlineStr">
        <is>
          <t>2026-03-18</t>
        </is>
      </c>
      <c r="BW44" s="74" t="inlineStr">
        <is>
          <t>18</t>
        </is>
      </c>
      <c r="BX44" s="74" t="inlineStr">
        <is>
          <t>revisto — mínimo júnior localizado</t>
        </is>
      </c>
      <c r="BY44" s="74" t="inlineStr">
        <is>
          <t>FundosNet/B3; documento 1155755; referência 2026-03-18; p. 18</t>
        </is>
      </c>
      <c r="BZ44" s="74" t="inlineStr">
        <is>
          <t>Cotas subordinadas júnior / PL, mínimo de 6,0%.</t>
        </is>
      </c>
      <c r="CA44" s="74" t="inlineStr">
        <is>
          <t>originador</t>
        </is>
      </c>
      <c r="CB44" s="74" t="inlineStr">
        <is>
          <t>estrutura_incomparavel</t>
        </is>
      </c>
    </row>
    <row r="45" ht="31.5" customHeight="1">
      <c r="A45" s="75" t="n">
        <v>41</v>
      </c>
      <c r="B45" s="142" t="n">
        <v>29226654000110</v>
      </c>
      <c r="C45" s="75" t="inlineStr">
        <is>
          <t>29.226.654/0001-10</t>
        </is>
      </c>
      <c r="D45" s="75" t="inlineStr">
        <is>
          <t>INVESTCRED FUNDO DE INVESTIMENTO EM DIREITOS CREDITÓRIOS</t>
        </is>
      </c>
      <c r="E45" s="75" t="inlineStr">
        <is>
          <t>INVESTCRED FUNDO DE INVESTIMENTO EM DIREITOS CREDI</t>
        </is>
      </c>
      <c r="F45" s="75" t="inlineStr">
        <is>
          <t>Carteira 101</t>
        </is>
      </c>
      <c r="G45" s="75" t="inlineStr">
        <is>
          <t>2026-06</t>
        </is>
      </c>
      <c r="H45" s="75" t="inlineStr">
        <is>
          <t>localizado</t>
        </is>
      </c>
      <c r="I45" s="143" t="n">
        <v>1193589922.6</v>
      </c>
      <c r="J45" s="143" t="n">
        <v>1193589922.607721</v>
      </c>
      <c r="K45" s="143" t="n">
        <v>950612296.4778208</v>
      </c>
      <c r="L45" s="144" t="n">
        <v>0.7964312352831361</v>
      </c>
      <c r="M45" s="75" t="inlineStr">
        <is>
          <t>Calculado com classes reportadas e PL oficial reconciliado</t>
        </is>
      </c>
      <c r="N45" s="144" t="inlineStr">
        <is>
          <t>N/D</t>
        </is>
      </c>
      <c r="O45" s="144" t="n">
        <v>0.6742671009769999</v>
      </c>
      <c r="P45" s="144" t="inlineStr">
        <is>
          <t>N/D</t>
        </is>
      </c>
      <c r="Q45" s="144" t="n">
        <v>0.6742671009769999</v>
      </c>
      <c r="R45" s="144" t="inlineStr">
        <is>
          <t>N/D</t>
        </is>
      </c>
      <c r="S45" s="144" t="n">
        <v>0.6742671009769999</v>
      </c>
      <c r="T45" s="75" t="inlineStr">
        <is>
          <t>67,43%*</t>
        </is>
      </c>
      <c r="U45" s="75" t="inlineStr">
        <is>
          <t>junior_pl_calculado</t>
        </is>
      </c>
      <c r="V45" s="75" t="inlineStr">
        <is>
          <t>calculado: 1 − 1/3,07</t>
        </is>
      </c>
      <c r="W45" s="75" t="b">
        <v>1</v>
      </c>
      <c r="X45" s="75" t="inlineStr">
        <is>
          <t>Estrutura com uma única classe subordinada; métrica atual e piso usam o total subordinado sobre o PL.</t>
        </is>
      </c>
      <c r="Y45" s="75" t="b">
        <v>1</v>
      </c>
      <c r="Z45" s="144" t="n">
        <v>0.1221641343061362</v>
      </c>
      <c r="AA45" s="144" t="n">
        <v>0.3750438923196091</v>
      </c>
      <c r="AB45" s="75" t="inlineStr">
        <is>
          <t>acima do mínimo</t>
        </is>
      </c>
      <c r="AC45" s="75" t="inlineStr">
        <is>
          <t>Agro, Indústria e Comércio</t>
        </is>
      </c>
      <c r="AD45" s="75" t="inlineStr">
        <is>
          <t>Recebíveis Comerciais</t>
        </is>
      </c>
      <c r="AE45" s="75" t="inlineStr">
        <is>
          <t>Agro / Revenda</t>
        </is>
      </c>
      <c r="AF45" s="75" t="inlineStr">
        <is>
          <t>Agro / Revenda</t>
        </is>
      </c>
      <c r="AG45" s="75" t="inlineStr">
        <is>
          <t>Agro / Revenda</t>
        </is>
      </c>
      <c r="AH45" s="75" t="inlineStr">
        <is>
          <t>Agro / Revenda</t>
        </is>
      </c>
      <c r="AI45" s="75" t="inlineStr">
        <is>
          <t>Cartão/CCB, ecossistema Credsystem</t>
        </is>
      </c>
      <c r="AJ45" s="75" t="b">
        <v>0</v>
      </c>
      <c r="AK45" s="75" t="inlineStr">
        <is>
          <t>PENDENTE_FONTE_PRIMARIA</t>
        </is>
      </c>
      <c r="AL45" s="75" t="inlineStr">
        <is>
          <t>Risco informado como cartão/consumidor, sem cláusula primária registrada</t>
        </is>
      </c>
      <c r="AM45" s="75" t="inlineStr">
        <is>
          <t>IMG_8705</t>
        </is>
      </c>
      <c r="AN45" s="75" t="inlineStr">
        <is>
          <t>Não</t>
        </is>
      </c>
      <c r="AO45" s="75" t="inlineStr">
        <is>
          <t>IMG_8705</t>
        </is>
      </c>
      <c r="AP45" s="75" t="b">
        <v>0</v>
      </c>
      <c r="AQ45" s="75" t="inlineStr">
        <is>
          <t>Agro / Revenda</t>
        </is>
      </c>
      <c r="AR45" s="75" t="inlineStr">
        <is>
          <t>Agro / Revenda</t>
        </is>
      </c>
      <c r="AS45" s="75" t="b">
        <v>0</v>
      </c>
      <c r="AT45" s="75" t="inlineStr">
        <is>
          <t>N/D</t>
        </is>
      </c>
      <c r="AU45" s="75" t="inlineStr">
        <is>
          <t>N/D</t>
        </is>
      </c>
      <c r="AV45" s="75" t="inlineStr">
        <is>
          <t>≥ 60%</t>
        </is>
      </c>
      <c r="AW45" s="75" t="b">
        <v>1</v>
      </c>
      <c r="AX45" s="75" t="inlineStr">
        <is>
          <t>acima do piso</t>
        </is>
      </c>
      <c r="AY45" s="75" t="inlineStr">
        <is>
          <t>sem benchmark confiável</t>
        </is>
      </c>
      <c r="AZ45" s="144" t="inlineStr">
        <is>
          <t>N/D</t>
        </is>
      </c>
      <c r="BA45" s="75" t="b">
        <v>0</v>
      </c>
      <c r="BB45" s="145" t="n">
        <v>0</v>
      </c>
      <c r="BC45" s="143" t="n">
        <v>1000</v>
      </c>
      <c r="BD45" s="75" t="inlineStr">
        <is>
          <t>R$ 1.000,00</t>
        </is>
      </c>
      <c r="BE45" s="75" t="inlineStr">
        <is>
          <t>valor nominal unitário (VNU)</t>
        </is>
      </c>
      <c r="BF45" s="75" t="inlineStr">
        <is>
          <t>N/D</t>
        </is>
      </c>
      <c r="BG45" s="75" t="inlineStr">
        <is>
          <t>2025-10-28</t>
        </is>
      </c>
      <c r="BH45" s="75" t="inlineStr">
        <is>
          <t>1023320</t>
        </is>
      </c>
      <c r="BI45" s="75" t="inlineStr">
        <is>
          <t>https://fnet.bmfbovespa.com.br/fnet/publico/downloadDocumento?id=1023320</t>
        </is>
      </c>
      <c r="BJ45" s="75" t="inlineStr">
        <is>
          <t>localizado documentalmente</t>
        </is>
      </c>
      <c r="BK45" s="75" t="b">
        <v>1</v>
      </c>
      <c r="BL45" s="75" t="inlineStr">
        <is>
          <t>CredSystem</t>
        </is>
      </c>
      <c r="BM45" s="75" t="inlineStr">
        <is>
          <t>cedente</t>
        </is>
      </c>
      <c r="BN45" s="75" t="inlineStr">
        <is>
          <t>N/D</t>
        </is>
      </c>
      <c r="BO45" s="75" t="inlineStr">
        <is>
          <t>CredSystem</t>
        </is>
      </c>
      <c r="BP45" s="75" t="inlineStr">
        <is>
          <t>N/D</t>
        </is>
      </c>
      <c r="BQ45" s="75" t="inlineStr">
        <is>
          <t>Cartão de Crédito - ecossistema Credsystem</t>
        </is>
      </c>
      <c r="BR45" s="75" t="inlineStr">
        <is>
          <t>cedente: IMG_8705.JPG | tipo_recebivel: IMG_8705.JPG</t>
        </is>
      </c>
      <c r="BS45" s="75" t="inlineStr">
        <is>
          <t>manual_aplicado</t>
        </is>
      </c>
      <c r="BT45" s="75" t="inlineStr">
        <is>
          <t>Denominação cortada pela largura da coluna na foto.</t>
        </is>
      </c>
      <c r="BU45" s="75" t="inlineStr">
        <is>
          <t>1023848</t>
        </is>
      </c>
      <c r="BV45" s="75" t="inlineStr">
        <is>
          <t>2025-10-28</t>
        </is>
      </c>
      <c r="BW45" s="75" t="inlineStr">
        <is>
          <t>3–4; 9–10</t>
        </is>
      </c>
      <c r="BX45" s="75" t="inlineStr">
        <is>
          <t>revisto — mínimo júnior localizado</t>
        </is>
      </c>
      <c r="BY45" s="75" t="inlineStr">
        <is>
          <t>FundosNet/B3; documento 1023848; referência 2025-10-28; p. 3–4; 9–10</t>
        </is>
      </c>
      <c r="BZ45" s="75" t="inlineStr">
        <is>
          <t>Mínimo júnior implícito na relação PL / cotas seniores de 307,0%.</t>
        </is>
      </c>
      <c r="CA45" s="75" t="inlineStr">
        <is>
          <t>originador; sacado/devedor</t>
        </is>
      </c>
      <c r="CB45" s="75" t="inlineStr">
        <is>
          <t>completo_para_folga</t>
        </is>
      </c>
    </row>
    <row r="46" ht="31.5" customHeight="1">
      <c r="A46" s="74" t="n">
        <v>42</v>
      </c>
      <c r="B46" s="138" t="n">
        <v>54857414000160</v>
      </c>
      <c r="C46" s="74" t="inlineStr">
        <is>
          <t>54.857.414/0001-60</t>
        </is>
      </c>
      <c r="D46" s="74" t="inlineStr">
        <is>
          <t>INDIE MERX RAIZ I CRÉDITO AGRO FIDC DO AGRONEGÓCIO - RESPONSABILIDADE LIMITADA</t>
        </is>
      </c>
      <c r="E46" s="74" t="inlineStr">
        <is>
          <t>INDIE MERX RAIZ I CREDITO AGRO FUNDO DE INVESTIMEN</t>
        </is>
      </c>
      <c r="F46" s="74" t="inlineStr">
        <is>
          <t>Carteira 101</t>
        </is>
      </c>
      <c r="G46" s="74" t="inlineStr">
        <is>
          <t>2026-06</t>
        </is>
      </c>
      <c r="H46" s="74" t="inlineStr">
        <is>
          <t>localizado</t>
        </is>
      </c>
      <c r="I46" s="139" t="n">
        <v>104193325.49</v>
      </c>
      <c r="J46" s="139" t="n">
        <v>104193325.4898615</v>
      </c>
      <c r="K46" s="139" t="n">
        <v>28701375.90007043</v>
      </c>
      <c r="L46" s="140" t="n">
        <v>0.2754627109279189</v>
      </c>
      <c r="M46" s="74" t="inlineStr">
        <is>
          <t>Calculado com classes reportadas e PL oficial reconciliado</t>
        </is>
      </c>
      <c r="N46" s="140" t="n">
        <v>0.15</v>
      </c>
      <c r="O46" s="140" t="inlineStr">
        <is>
          <t>N/D</t>
        </is>
      </c>
      <c r="P46" s="140" t="inlineStr">
        <is>
          <t>N/D</t>
        </is>
      </c>
      <c r="Q46" s="140" t="inlineStr">
        <is>
          <t>N/D</t>
        </is>
      </c>
      <c r="R46" s="140" t="inlineStr">
        <is>
          <t>N/D</t>
        </is>
      </c>
      <c r="S46" s="140" t="n">
        <v>0.15</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Agronegócio</t>
        </is>
      </c>
      <c r="AE46" s="74" t="inlineStr">
        <is>
          <t>Agro / Revenda</t>
        </is>
      </c>
      <c r="AF46" s="74" t="inlineStr">
        <is>
          <t>Agro / Revenda</t>
        </is>
      </c>
      <c r="AG46" s="74" t="inlineStr">
        <is>
          <t>Agro / Revenda</t>
        </is>
      </c>
      <c r="AH46" s="74" t="inlineStr">
        <is>
          <t>Agro / Revenda</t>
        </is>
      </c>
      <c r="AI46" s="74" t="inlineStr">
        <is>
          <t>CPR-F de produtores rurais</t>
        </is>
      </c>
      <c r="AJ46" s="74" t="b">
        <v>0</v>
      </c>
      <c r="AK46" s="74" t="inlineStr">
        <is>
          <t>MANTER_ALTA</t>
        </is>
      </c>
      <c r="AL46" s="74" t="inlineStr">
        <is>
          <t>Devedores são produtores e cooperativas</t>
        </is>
      </c>
      <c r="AM46" s="74" t="inlineStr">
        <is>
          <t>regulamento + IMG_8705</t>
        </is>
      </c>
      <c r="AN46" s="74" t="inlineStr">
        <is>
          <t>Não</t>
        </is>
      </c>
      <c r="AO46" s="74" t="inlineStr">
        <is>
          <t>regulamento + IMG_8705</t>
        </is>
      </c>
      <c r="AP46" s="74" t="b">
        <v>0</v>
      </c>
      <c r="AQ46" s="74" t="inlineStr">
        <is>
          <t>Agro / Revenda</t>
        </is>
      </c>
      <c r="AR46" s="74" t="inlineStr">
        <is>
          <t>Agro / Revenda</t>
        </is>
      </c>
      <c r="AS46" s="74" t="b">
        <v>0</v>
      </c>
      <c r="AT46" s="74" t="inlineStr">
        <is>
          <t>N/D</t>
        </is>
      </c>
      <c r="AU46" s="74" t="inlineStr">
        <is>
          <t>N/D</t>
        </is>
      </c>
      <c r="AV46" s="74" t="inlineStr">
        <is>
          <t>20%–35%</t>
        </is>
      </c>
      <c r="AW46" s="74" t="b">
        <v>1</v>
      </c>
      <c r="AX46" s="74" t="inlineStr">
        <is>
          <t>incomparável</t>
        </is>
      </c>
      <c r="AY46" s="74" t="inlineStr">
        <is>
          <t>sem benchmark confiável</t>
        </is>
      </c>
      <c r="AZ46" s="140" t="inlineStr">
        <is>
          <t>N/D</t>
        </is>
      </c>
      <c r="BA46" s="74" t="b">
        <v>0</v>
      </c>
      <c r="BB46" s="141" t="n">
        <v>0</v>
      </c>
      <c r="BC46" s="139" t="n">
        <v>1000</v>
      </c>
      <c r="BD46" s="74" t="inlineStr">
        <is>
          <t>Cotas Subordinadas: R$1.000,00 | Cotas Subordinadas Júnior: R$1.000,00 | R$1.000,00</t>
        </is>
      </c>
      <c r="BE46" s="74" t="inlineStr">
        <is>
          <t>preço/valor unitário de emissão</t>
        </is>
      </c>
      <c r="BF46" s="74" t="inlineStr">
        <is>
          <t>Cotas Subordinadas | Cotas Subordinadas Júnior</t>
        </is>
      </c>
      <c r="BG46" s="74" t="inlineStr">
        <is>
          <t>20/08/2025</t>
        </is>
      </c>
      <c r="BH46" s="74" t="inlineStr">
        <is>
          <t>975459</t>
        </is>
      </c>
      <c r="BI46" s="74" t="inlineStr">
        <is>
          <t>https://fnet.bmfbovespa.com.br/fnet/publico/downloadDocumento?id=975459</t>
        </is>
      </c>
      <c r="BJ46" s="74" t="inlineStr">
        <is>
          <t>localizado documentalmente — múltiplos valores/classes</t>
        </is>
      </c>
      <c r="BK46" s="74" t="b">
        <v>1</v>
      </c>
      <c r="BL46" s="74" t="inlineStr">
        <is>
          <t>Emissão direta de produtor rural</t>
        </is>
      </c>
      <c r="BM46" s="74" t="inlineStr">
        <is>
          <t>cedente</t>
        </is>
      </c>
      <c r="BN46" s="74" t="inlineStr">
        <is>
          <t>N/D</t>
        </is>
      </c>
      <c r="BO46" s="74" t="inlineStr">
        <is>
          <t>Emissão direta de produtor rural</t>
        </is>
      </c>
      <c r="BP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6" s="74" t="inlineStr">
        <is>
          <t>risco produtor rural com passagem SIPAL e Fazendão</t>
        </is>
      </c>
      <c r="BR46" s="74" t="inlineStr">
        <is>
          <t>cedente: IMG_8705.JPG | sacado_devedor: https://fnet.bmfbovespa.com.br/fnet/publico/downloadDocumento?id=975459 | tipo_recebivel: IMG_8705.JPG</t>
        </is>
      </c>
      <c r="BS46" s="74" t="inlineStr">
        <is>
          <t>manual_aplicado</t>
        </is>
      </c>
      <c r="BT46" s="74" t="inlineStr">
        <is>
          <t>Literal preservado da coluna Cedente do Direito Creditório; OBS continua fora da foto. Denominação cortada.</t>
        </is>
      </c>
      <c r="BU46" s="74" t="inlineStr">
        <is>
          <t>1263627</t>
        </is>
      </c>
      <c r="BV46" s="74" t="inlineStr">
        <is>
          <t>2026-06-01</t>
        </is>
      </c>
      <c r="BW46" s="74" t="inlineStr">
        <is>
          <t>74</t>
        </is>
      </c>
      <c r="BX46" s="74" t="inlineStr">
        <is>
          <t>revisto — mínimo júnior localizado</t>
        </is>
      </c>
      <c r="BY46" s="74" t="inlineStr">
        <is>
          <t>FundosNet/B3; documento 1263627; referência 2026-06-01; p. 74</t>
        </is>
      </c>
      <c r="BZ46" s="74" t="inlineStr">
        <is>
          <t>Índice de Subordinação Mezanino: cotas júnior / PL, mínimo de 15,0%.</t>
        </is>
      </c>
      <c r="CA46" s="74" t="inlineStr">
        <is>
          <t>originador</t>
        </is>
      </c>
      <c r="CB46" s="74" t="inlineStr">
        <is>
          <t>estrutura_incomparavel</t>
        </is>
      </c>
    </row>
    <row r="47" ht="31.5" customHeight="1">
      <c r="A47" s="75" t="n">
        <v>43</v>
      </c>
      <c r="B47" s="142" t="n">
        <v>44124465000120</v>
      </c>
      <c r="C47" s="75" t="inlineStr">
        <is>
          <t>44.124.465/0001-20</t>
        </is>
      </c>
      <c r="D47" s="75" t="inlineStr">
        <is>
          <t>TMAQ 21 FUNDO DE INVESTIMENTO EM DIREITOS CREDITÓRIOS DE ARRANJOS DE PAGAMENTO DE RESPONSABILIDADE L</t>
        </is>
      </c>
      <c r="E47" s="75" t="inlineStr">
        <is>
          <t>TMAQ21 FUNDO I E D CREDITORIOS</t>
        </is>
      </c>
      <c r="F47" s="75" t="inlineStr">
        <is>
          <t>Carteira 101</t>
        </is>
      </c>
      <c r="G47" s="75" t="inlineStr">
        <is>
          <t>2026-06</t>
        </is>
      </c>
      <c r="H47" s="75" t="inlineStr">
        <is>
          <t>localizado</t>
        </is>
      </c>
      <c r="I47" s="143" t="inlineStr">
        <is>
          <t>N/D</t>
        </is>
      </c>
      <c r="J47" s="143" t="inlineStr">
        <is>
          <t>N/D</t>
        </is>
      </c>
      <c r="K47" s="143" t="inlineStr">
        <is>
          <t>N/D</t>
        </is>
      </c>
      <c r="L47" s="144" t="inlineStr">
        <is>
          <t>N/D</t>
        </is>
      </c>
      <c r="M47" s="75" t="inlineStr">
        <is>
          <t>PL oficial ausente em 2026-06</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Agro, Indústria e Comércio</t>
        </is>
      </c>
      <c r="AD47" s="75" t="inlineStr">
        <is>
          <t>Recebíveis Comerciais</t>
        </is>
      </c>
      <c r="AE47" s="75" t="inlineStr">
        <is>
          <t>Agro / Revenda</t>
        </is>
      </c>
      <c r="AF47" s="75" t="inlineStr">
        <is>
          <t>Agro / Revenda</t>
        </is>
      </c>
      <c r="AG47" s="75" t="inlineStr">
        <is>
          <t>Agro / Revenda</t>
        </is>
      </c>
      <c r="AH47" s="75" t="inlineStr">
        <is>
          <t>Agro / Revenda</t>
        </is>
      </c>
      <c r="AI47" s="75" t="inlineStr">
        <is>
          <t>Risco de emissores de cartão / arranjo ACQIO</t>
        </is>
      </c>
      <c r="AJ47" s="75" t="b">
        <v>0</v>
      </c>
      <c r="AK47" s="75" t="inlineStr">
        <is>
          <t>PENDENTE_FONTE_PRIMARIA</t>
        </is>
      </c>
      <c r="AL47" s="75" t="inlineStr">
        <is>
          <t>ACQIO e bancos emissores estão na planilha manual</t>
        </is>
      </c>
      <c r="AM47" s="75" t="inlineStr">
        <is>
          <t>IMG_8705</t>
        </is>
      </c>
      <c r="AN47" s="75" t="inlineStr">
        <is>
          <t>Não</t>
        </is>
      </c>
      <c r="AO47" s="75" t="inlineStr">
        <is>
          <t>IMG_8705</t>
        </is>
      </c>
      <c r="AP47" s="75" t="b">
        <v>0</v>
      </c>
      <c r="AQ47" s="75" t="inlineStr">
        <is>
          <t>Agro / Revenda</t>
        </is>
      </c>
      <c r="AR47" s="75" t="inlineStr">
        <is>
          <t>Agro / Revenda</t>
        </is>
      </c>
      <c r="AS47" s="75" t="b">
        <v>0</v>
      </c>
      <c r="AT47" s="75" t="inlineStr">
        <is>
          <t>N/D</t>
        </is>
      </c>
      <c r="AU47" s="75" t="inlineStr">
        <is>
          <t>N/D</t>
        </is>
      </c>
      <c r="AV47" s="75" t="inlineStr">
        <is>
          <t>N/D</t>
        </is>
      </c>
      <c r="AW47" s="75" t="b">
        <v>0</v>
      </c>
      <c r="AX47" s="75" t="inlineStr">
        <is>
          <t>N/D</t>
        </is>
      </c>
      <c r="AY47" s="75" t="inlineStr">
        <is>
          <t>sem benchmark confiável</t>
        </is>
      </c>
      <c r="AZ47" s="144" t="inlineStr">
        <is>
          <t>N/D</t>
        </is>
      </c>
      <c r="BA47" s="75" t="b">
        <v>0</v>
      </c>
      <c r="BB47" s="145" t="n">
        <v>0</v>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Ação</t>
        </is>
      </c>
      <c r="BM47" s="75" t="inlineStr">
        <is>
          <t>cedente</t>
        </is>
      </c>
      <c r="BN47" s="75" t="inlineStr">
        <is>
          <t>ACQIO</t>
        </is>
      </c>
      <c r="BO47" s="75" t="inlineStr">
        <is>
          <t>ACQIO</t>
        </is>
      </c>
      <c r="BP47" s="75" t="inlineStr">
        <is>
          <t>os Devedores I -A, os Devedores I -B e os Devedores II quando mencionados em conjunto e indistintamente</t>
        </is>
      </c>
      <c r="BQ47" s="75" t="inlineStr">
        <is>
          <t>Risco Bancos Emissores Diversos</t>
        </is>
      </c>
      <c r="BR47" s="75" t="inlineStr">
        <is>
          <t>originador: https://fnet.bmfbovespa.com.br/fnet/publico/downloadDocumento?id=1048506 | cedente: https://fnet.bmfbovespa.com.br/fnet/publico/downloadDocumento?id=1048506 | sacado_devedor: https://fnet.bmfbovespa.com.br/fnet/publico/downloadDocumento?id=737326 | tipo_recebivel: IMG_8705.JPG</t>
        </is>
      </c>
      <c r="BS47" s="75" t="inlineStr">
        <is>
          <t>manual_aplicado</t>
        </is>
      </c>
      <c r="BT47" s="75" t="inlineStr">
        <is>
          <t>OBS da foto: lista de concentração pré-aprovada.</t>
        </is>
      </c>
      <c r="BU47" s="75" t="inlineStr">
        <is>
          <t>951239</t>
        </is>
      </c>
      <c r="BV47" s="75" t="inlineStr">
        <is>
          <t>2025-07-08</t>
        </is>
      </c>
      <c r="BW47" s="75" t="inlineStr">
        <is>
          <t>85</t>
        </is>
      </c>
      <c r="BX47" s="75" t="inlineStr">
        <is>
          <t>revisto — mínimo júnior localizado</t>
        </is>
      </c>
      <c r="BY47" s="75" t="inlineStr">
        <is>
          <t>FundosNet/B3; documento 951239; referência 2025-07-08; p. 85</t>
        </is>
      </c>
      <c r="BZ47" s="75" t="inlineStr">
        <is>
          <t>Índice de Subordinação Mezanino: cotas júnior / PL, mínimo de 3,0%.</t>
        </is>
      </c>
      <c r="CA47" s="75" t="inlineStr">
        <is>
          <t>PL atual; Sub/PL atual; preço unitário da cota</t>
        </is>
      </c>
      <c r="CB47" s="75" t="inlineStr">
        <is>
          <t>sub_pl_atual_ausente</t>
        </is>
      </c>
    </row>
    <row r="48" ht="31.5" customHeight="1">
      <c r="A48" s="74" t="n">
        <v>44</v>
      </c>
      <c r="B48" s="138" t="n">
        <v>55401645000128</v>
      </c>
      <c r="C48" s="74" t="inlineStr">
        <is>
          <t>55.401.645/0001-28</t>
        </is>
      </c>
      <c r="D48" s="74" t="inlineStr">
        <is>
          <t>QUATÁ FDC FGTS FUNDO DE INVESTIMENTO EM DIREITOS CREDITÓRIOS</t>
        </is>
      </c>
      <c r="E48" s="74" t="inlineStr">
        <is>
          <t>QUATA FIDC FGTS FUNDO DE INVESTIMENTO EM DIREITOS</t>
        </is>
      </c>
      <c r="F48" s="74" t="inlineStr">
        <is>
          <t>Carteira 101</t>
        </is>
      </c>
      <c r="G48" s="74" t="inlineStr">
        <is>
          <t>2026-06</t>
        </is>
      </c>
      <c r="H48" s="74" t="inlineStr">
        <is>
          <t>localizado</t>
        </is>
      </c>
      <c r="I48" s="139" t="n">
        <v>225010783.2</v>
      </c>
      <c r="J48" s="139" t="n">
        <v>225010782.6319402</v>
      </c>
      <c r="K48" s="139" t="n">
        <v>38986834.024159</v>
      </c>
      <c r="L48" s="140" t="n">
        <v>0.1732665140297107</v>
      </c>
      <c r="M48" s="74" t="inlineStr">
        <is>
          <t>Calculado com classes reportadas e PL oficial reconciliado</t>
        </is>
      </c>
      <c r="N48" s="140" t="n">
        <v>0.03</v>
      </c>
      <c r="O48" s="140" t="inlineStr">
        <is>
          <t>N/D</t>
        </is>
      </c>
      <c r="P48" s="140" t="inlineStr">
        <is>
          <t>N/D</t>
        </is>
      </c>
      <c r="Q48" s="140" t="inlineStr">
        <is>
          <t>N/D</t>
        </is>
      </c>
      <c r="R48" s="140" t="inlineStr">
        <is>
          <t>N/D</t>
        </is>
      </c>
      <c r="S48" s="140" t="n">
        <v>0.03</v>
      </c>
      <c r="T48" s="74" t="inlineStr">
        <is>
          <t>N/D</t>
        </is>
      </c>
      <c r="U48" s="74" t="inlineStr">
        <is>
          <t>junior_pl</t>
        </is>
      </c>
      <c r="V48" s="74" t="inlineStr">
        <is>
          <t>direto no regulamento</t>
        </is>
      </c>
      <c r="W48" s="74" t="b">
        <v>0</v>
      </c>
      <c r="X48" s="74" t="inlineStr">
        <is>
          <t>Mínimo júnior isolado; a subordinação atual disponível agrega todas as classes subordinadas.</t>
        </is>
      </c>
      <c r="Y48" s="74" t="b">
        <v>0</v>
      </c>
      <c r="Z48" s="140" t="inlineStr">
        <is>
          <t>N/D</t>
        </is>
      </c>
      <c r="AA48" s="140" t="inlineStr">
        <is>
          <t>N/D</t>
        </is>
      </c>
      <c r="AB48" s="74" t="inlineStr">
        <is>
          <t>não medido</t>
        </is>
      </c>
      <c r="AC48" s="74" t="inlineStr">
        <is>
          <t>Financeiro</t>
        </is>
      </c>
      <c r="AD48" s="74" t="inlineStr">
        <is>
          <t>Crédito Pessoal</t>
        </is>
      </c>
      <c r="AE48" s="74" t="inlineStr">
        <is>
          <t>Consignado FGTS</t>
        </is>
      </c>
      <c r="AF48" s="74" t="inlineStr">
        <is>
          <t>Consignado FGTS</t>
        </is>
      </c>
      <c r="AG48" s="74" t="inlineStr">
        <is>
          <t>Consignado INSS e FGTS</t>
        </is>
      </c>
      <c r="AH48" s="74" t="inlineStr">
        <is>
          <t>Consignado INSS e FGTS</t>
        </is>
      </c>
      <c r="AI48" s="74" t="inlineStr">
        <is>
          <t>N/D</t>
        </is>
      </c>
      <c r="AJ48" s="74" t="b">
        <v>0</v>
      </c>
      <c r="AK48" s="74" t="inlineStr">
        <is>
          <t>fora da revisão Financeiro/Agro</t>
        </is>
      </c>
      <c r="AL48" s="74" t="inlineStr">
        <is>
          <t>N/D</t>
        </is>
      </c>
      <c r="AM48" s="74" t="inlineStr">
        <is>
          <t>N/D</t>
        </is>
      </c>
      <c r="AN48" s="74" t="inlineStr">
        <is>
          <t>N/D</t>
        </is>
      </c>
      <c r="AO48" s="74" t="inlineStr">
        <is>
          <t>N/D</t>
        </is>
      </c>
      <c r="AP48" s="74" t="inlineStr">
        <is>
          <t>N/D</t>
        </is>
      </c>
      <c r="AQ48" s="74" t="inlineStr">
        <is>
          <t>Consignado INSS e FGTS</t>
        </is>
      </c>
      <c r="AR48" s="74" t="inlineStr">
        <is>
          <t>Consignado INSS e FGTS</t>
        </is>
      </c>
      <c r="AS48" s="74" t="b">
        <v>0</v>
      </c>
      <c r="AT48" s="74" t="inlineStr">
        <is>
          <t>N/D</t>
        </is>
      </c>
      <c r="AU48" s="74" t="inlineStr">
        <is>
          <t>N/D</t>
        </is>
      </c>
      <c r="AV48" s="74" t="inlineStr">
        <is>
          <t>15%–20%</t>
        </is>
      </c>
      <c r="AW48" s="74" t="b">
        <v>1</v>
      </c>
      <c r="AX48" s="74" t="inlineStr">
        <is>
          <t>incomparável</t>
        </is>
      </c>
      <c r="AY48" s="74" t="inlineStr">
        <is>
          <t>em linha com o mercado</t>
        </is>
      </c>
      <c r="AZ48" s="140" t="n">
        <v>0.001403285592735587</v>
      </c>
      <c r="BA48" s="74" t="b">
        <v>1</v>
      </c>
      <c r="BB48" s="141" t="n">
        <v>5</v>
      </c>
      <c r="BC48" s="139" t="n">
        <v>1000</v>
      </c>
      <c r="BD48" s="74" t="inlineStr">
        <is>
          <t>Cotas Seniores: R$ 1.000,00 | Cotas Subordinadas Júnior: R$ 1.000,00 | Cotas Subordinadas Mezanino: R$ 1.000,00</t>
        </is>
      </c>
      <c r="BE48" s="74" t="inlineStr">
        <is>
          <t>preço/valor unitário de emissão</t>
        </is>
      </c>
      <c r="BF48" s="74" t="inlineStr">
        <is>
          <t>Cotas Seniores | Cotas Subordinadas Júnior | Cotas Subordinadas Mezanino</t>
        </is>
      </c>
      <c r="BG48" s="74" t="inlineStr">
        <is>
          <t>2025-12-01</t>
        </is>
      </c>
      <c r="BH48" s="74" t="inlineStr">
        <is>
          <t>1051890</t>
        </is>
      </c>
      <c r="BI48" s="74" t="inlineStr">
        <is>
          <t>https://fnet.bmfbovespa.com.br/fnet/publico/downloadDocumento?id=1051890</t>
        </is>
      </c>
      <c r="BJ48" s="74" t="inlineStr">
        <is>
          <t>localizado documentalmente — múltiplos valores/classes</t>
        </is>
      </c>
      <c r="BK48" s="74" t="b">
        <v>1</v>
      </c>
      <c r="BL48" s="74" t="inlineStr">
        <is>
          <t>QI Tech</t>
        </is>
      </c>
      <c r="BM48" s="74" t="inlineStr">
        <is>
          <t>cedente</t>
        </is>
      </c>
      <c r="BN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8" s="74" t="inlineStr">
        <is>
          <t>QI Tech</t>
        </is>
      </c>
      <c r="BP48" s="74" t="inlineStr">
        <is>
          <t>N/D</t>
        </is>
      </c>
      <c r="BQ48" s="74" t="inlineStr">
        <is>
          <t>Crédito FGTS</t>
        </is>
      </c>
      <c r="BR48" s="74" t="inlineStr">
        <is>
          <t>originador: https://fnet.bmfbovespa.com.br/fnet/publico/downloadDocumento?id=1051890 | cedente: IMG_8705.JPG | tipo_recebivel: IMG_8705.JPG</t>
        </is>
      </c>
      <c r="BS48" s="74" t="inlineStr">
        <is>
          <t>manual_aplicado</t>
        </is>
      </c>
      <c r="BT48" s="74" t="inlineStr">
        <is>
          <t>Denominação cortada pela largura da coluna na foto.</t>
        </is>
      </c>
      <c r="BU48" s="74" t="inlineStr">
        <is>
          <t>1051890</t>
        </is>
      </c>
      <c r="BV48" s="74" t="inlineStr">
        <is>
          <t>2025-12-01</t>
        </is>
      </c>
      <c r="BW48" s="74" t="inlineStr">
        <is>
          <t>17</t>
        </is>
      </c>
      <c r="BX48" s="74" t="inlineStr">
        <is>
          <t>revisto — mínimo júnior localizado</t>
        </is>
      </c>
      <c r="BY48" s="74" t="inlineStr">
        <is>
          <t>FundosNet/B3; documento 1051890; referência 2025-12-01; p. 17</t>
        </is>
      </c>
      <c r="BZ48" s="74" t="inlineStr">
        <is>
          <t>Índice de Subordinação Mezanino: cotas júnior / PL, mínimo de 3,0%.</t>
        </is>
      </c>
      <c r="CA48" s="74" t="inlineStr">
        <is>
          <t>sacado/devedor</t>
        </is>
      </c>
      <c r="CB48" s="74" t="inlineStr">
        <is>
          <t>estrutura_incomparavel</t>
        </is>
      </c>
    </row>
    <row r="49" ht="31.5" customHeight="1">
      <c r="A49" s="75" t="n">
        <v>45</v>
      </c>
      <c r="B49" s="142" t="n">
        <v>63622842000103</v>
      </c>
      <c r="C49" s="75" t="inlineStr">
        <is>
          <t>63.622.842/0001-03</t>
        </is>
      </c>
      <c r="D49" s="75" t="inlineStr">
        <is>
          <t>DESBRAVA UNO ARTIGOS ESPORTIVOS FUNDO DE INVESTIMENTO EM DIREITOS CREDITÓRIOS RESP LIMITADA</t>
        </is>
      </c>
      <c r="E49" s="75" t="inlineStr">
        <is>
          <t>DESBRAVA UNO ART ESP FIDC RL</t>
        </is>
      </c>
      <c r="F49" s="75" t="inlineStr">
        <is>
          <t>Carteira 101</t>
        </is>
      </c>
      <c r="G49" s="75" t="inlineStr">
        <is>
          <t>2026-06</t>
        </is>
      </c>
      <c r="H49" s="75" t="inlineStr">
        <is>
          <t>localizado</t>
        </is>
      </c>
      <c r="I49" s="143" t="n">
        <v>343581061</v>
      </c>
      <c r="J49" s="143" t="n">
        <v>343517082.8369128</v>
      </c>
      <c r="K49" s="143" t="n">
        <v>173086410.2460625</v>
      </c>
      <c r="L49" s="144" t="n">
        <v>0.5037716856170442</v>
      </c>
      <c r="M49" s="75" t="inlineStr">
        <is>
          <t>Calculado com classes reportadas e PL oficial reconciliado</t>
        </is>
      </c>
      <c r="N49" s="144" t="n">
        <v>0.5</v>
      </c>
      <c r="O49" s="144" t="inlineStr">
        <is>
          <t>N/D</t>
        </is>
      </c>
      <c r="P49" s="144" t="inlineStr">
        <is>
          <t>N/D</t>
        </is>
      </c>
      <c r="Q49" s="144" t="n">
        <v>0.5</v>
      </c>
      <c r="R49" s="144" t="inlineStr">
        <is>
          <t>N/D</t>
        </is>
      </c>
      <c r="S49" s="144" t="n">
        <v>0.5</v>
      </c>
      <c r="T49" s="75" t="inlineStr">
        <is>
          <t>50,0%</t>
        </is>
      </c>
      <c r="U49" s="75" t="inlineStr">
        <is>
          <t>junior_pl</t>
        </is>
      </c>
      <c r="V49" s="75" t="inlineStr">
        <is>
          <t>direto no regulamento</t>
        </is>
      </c>
      <c r="W49" s="75" t="b">
        <v>1</v>
      </c>
      <c r="X49" s="75" t="inlineStr">
        <is>
          <t>Estrutura com uma única classe subordinada; métrica atual e piso usam o total subordinado sobre o PL.</t>
        </is>
      </c>
      <c r="Y49" s="75" t="b">
        <v>0</v>
      </c>
      <c r="Z49" s="144" t="n">
        <v>0.003771685617044218</v>
      </c>
      <c r="AA49" s="144" t="n">
        <v>0.007543371234088436</v>
      </c>
      <c r="AB49" s="75" t="inlineStr">
        <is>
          <t>folga estreita</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Risco Corporativo</t>
        </is>
      </c>
      <c r="AI49" s="75" t="inlineStr">
        <is>
          <t>Notas comerciais da Dass, projeto de investimento</t>
        </is>
      </c>
      <c r="AJ49" s="75" t="b">
        <v>1</v>
      </c>
      <c r="AK49" s="75" t="inlineStr">
        <is>
          <t>APLICAR_ALTA</t>
        </is>
      </c>
      <c r="AL49" s="75" t="inlineStr">
        <is>
          <t>Direitos são notas comerciais emitidas pela Dass Nordeste</t>
        </is>
      </c>
      <c r="AM49" s="75" t="inlineStr">
        <is>
          <t>regulamento 1051646, 90 páginas</t>
        </is>
      </c>
      <c r="AN49" s="75" t="inlineStr">
        <is>
          <t>Não</t>
        </is>
      </c>
      <c r="AO49" s="75" t="inlineStr">
        <is>
          <t>regulamento 1051646, 90 páginas</t>
        </is>
      </c>
      <c r="AP49" s="75" t="b">
        <v>0</v>
      </c>
      <c r="AQ49" s="75" t="inlineStr">
        <is>
          <t>Risco Corporativo</t>
        </is>
      </c>
      <c r="AR49" s="75" t="inlineStr">
        <is>
          <t>Agro / Revenda</t>
        </is>
      </c>
      <c r="AS49" s="75" t="b">
        <v>1</v>
      </c>
      <c r="AT49" s="75" t="inlineStr">
        <is>
          <t>regulamento 1051646, 90 páginas</t>
        </is>
      </c>
      <c r="AU49" s="75" t="inlineStr">
        <is>
          <t>Direitos são notas comerciais emitidas pela Dass Nordeste</t>
        </is>
      </c>
      <c r="AV49" s="75" t="inlineStr">
        <is>
          <t>35%–60%</t>
        </is>
      </c>
      <c r="AW49" s="75" t="b">
        <v>1</v>
      </c>
      <c r="AX49" s="75" t="inlineStr">
        <is>
          <t>até 2 p.p. acima</t>
        </is>
      </c>
      <c r="AY49" s="75" t="inlineStr">
        <is>
          <t>sem benchmark confiável</t>
        </is>
      </c>
      <c r="AZ49" s="144" t="inlineStr">
        <is>
          <t>N/D</t>
        </is>
      </c>
      <c r="BA49" s="75" t="b">
        <v>0</v>
      </c>
      <c r="BB49" s="145" t="n">
        <v>0</v>
      </c>
      <c r="BC49" s="143" t="n">
        <v>1000</v>
      </c>
      <c r="BD49" s="75" t="inlineStr">
        <is>
          <t>COTAS SUBORDINADAS: R$ 1.000,00 | R$ 1.000,00</t>
        </is>
      </c>
      <c r="BE49" s="75" t="inlineStr">
        <is>
          <t>preço/valor unitário de emissão</t>
        </is>
      </c>
      <c r="BF49" s="75" t="inlineStr">
        <is>
          <t>COTAS SUBORDINADAS</t>
        </is>
      </c>
      <c r="BG49" s="75" t="inlineStr">
        <is>
          <t>01/12/2025</t>
        </is>
      </c>
      <c r="BH49" s="75" t="inlineStr">
        <is>
          <t>1051646</t>
        </is>
      </c>
      <c r="BI49" s="75" t="inlineStr">
        <is>
          <t>https://fnet.bmfbovespa.com.br/fnet/publico/downloadDocumento?id=1051646</t>
        </is>
      </c>
      <c r="BJ49" s="75" t="inlineStr">
        <is>
          <t>localizado documentalmente — múltiplos valores/classes</t>
        </is>
      </c>
      <c r="BK49" s="75" t="b">
        <v>1</v>
      </c>
      <c r="BL49" s="75" t="inlineStr">
        <is>
          <t>Empresas grupo Dass</t>
        </is>
      </c>
      <c r="BM49" s="75" t="inlineStr">
        <is>
          <t>cedente</t>
        </is>
      </c>
      <c r="BN49" s="75" t="inlineStr">
        <is>
          <t>N/D</t>
        </is>
      </c>
      <c r="BO49" s="75" t="inlineStr">
        <is>
          <t>Empresas grupo Dass</t>
        </is>
      </c>
      <c r="BP49" s="75" t="inlineStr">
        <is>
          <t>N/D</t>
        </is>
      </c>
      <c r="BQ49" s="75" t="inlineStr">
        <is>
          <t>N/D</t>
        </is>
      </c>
      <c r="BR49" s="75" t="inlineStr">
        <is>
          <t>cedente: IMG_8705.JPG</t>
        </is>
      </c>
      <c r="BS49" s="75" t="inlineStr">
        <is>
          <t>manual_aplicado</t>
        </is>
      </c>
      <c r="BT49" s="75" t="inlineStr">
        <is>
          <t>OBS da foto: FIDC 12431, risco Dass (não são recebíveis de clientes).</t>
        </is>
      </c>
      <c r="BU49" s="75" t="inlineStr">
        <is>
          <t>1051646</t>
        </is>
      </c>
      <c r="BV49" s="75" t="inlineStr">
        <is>
          <t>2025-12-01</t>
        </is>
      </c>
      <c r="BW49" s="75" t="inlineStr">
        <is>
          <t>69</t>
        </is>
      </c>
      <c r="BX49" s="75" t="inlineStr">
        <is>
          <t>revisto — mínimo júnior localizado</t>
        </is>
      </c>
      <c r="BY49" s="75" t="inlineStr">
        <is>
          <t>FundosNet/B3; documento 1051646; referência 2025-12-01; p. 69</t>
        </is>
      </c>
      <c r="BZ49" s="75" t="inlineStr">
        <is>
          <t>Cotas subordinadas / PL, mínimo de 50,0%; estrutura com uma única classe residual.</t>
        </is>
      </c>
      <c r="CA49" s="75" t="inlineStr">
        <is>
          <t>originador; sacado/devedor; tipo de recebível</t>
        </is>
      </c>
      <c r="CB49" s="75" t="inlineStr">
        <is>
          <t>completo_para_folga</t>
        </is>
      </c>
    </row>
    <row r="50" ht="31.5" customHeight="1">
      <c r="A50" s="74" t="n">
        <v>46</v>
      </c>
      <c r="B50" s="138" t="n">
        <v>44272584000120</v>
      </c>
      <c r="C50" s="74" t="inlineStr">
        <is>
          <t>44.272.584/0001-20</t>
        </is>
      </c>
      <c r="D50" s="74" t="inlineStr">
        <is>
          <t>LAVORO AGRO FIAGRO - DIREITOS CREDITÓRIOS - RESPONSABILIDADE LIMITADA</t>
        </is>
      </c>
      <c r="E50" s="74" t="inlineStr">
        <is>
          <t>LAVORO AGRO FIDC DAS CADEIAS PRODUTIVAS AGROINDUST</t>
        </is>
      </c>
      <c r="F50" s="74" t="inlineStr">
        <is>
          <t>Carteira 101</t>
        </is>
      </c>
      <c r="G50" s="74" t="inlineStr">
        <is>
          <t>2026-06</t>
        </is>
      </c>
      <c r="H50" s="74" t="inlineStr">
        <is>
          <t>localizado</t>
        </is>
      </c>
      <c r="I50" s="139" t="inlineStr">
        <is>
          <t>N/D</t>
        </is>
      </c>
      <c r="J50" s="139" t="inlineStr">
        <is>
          <t>N/D</t>
        </is>
      </c>
      <c r="K50" s="139" t="inlineStr">
        <is>
          <t>N/D</t>
        </is>
      </c>
      <c r="L50" s="140" t="inlineStr">
        <is>
          <t>N/D</t>
        </is>
      </c>
      <c r="M50" s="74" t="inlineStr">
        <is>
          <t>PL oficial ausente em 2026-06</t>
        </is>
      </c>
      <c r="N50" s="140" t="n">
        <v>0.05</v>
      </c>
      <c r="O50" s="140" t="inlineStr">
        <is>
          <t>N/D</t>
        </is>
      </c>
      <c r="P50" s="140" t="inlineStr">
        <is>
          <t>N/D</t>
        </is>
      </c>
      <c r="Q50" s="140" t="inlineStr">
        <is>
          <t>N/D</t>
        </is>
      </c>
      <c r="R50" s="140" t="inlineStr">
        <is>
          <t>N/D</t>
        </is>
      </c>
      <c r="S50" s="140" t="n">
        <v>0.05</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Agro, Indústria e Comércio</t>
        </is>
      </c>
      <c r="AD50" s="74" t="inlineStr">
        <is>
          <t>Recebíveis Comerciais</t>
        </is>
      </c>
      <c r="AE50" s="74" t="inlineStr">
        <is>
          <t>Agro / Revenda</t>
        </is>
      </c>
      <c r="AF50" s="74" t="inlineStr">
        <is>
          <t>Agro / Revenda</t>
        </is>
      </c>
      <c r="AG50" s="74" t="inlineStr">
        <is>
          <t>Agro / Revenda</t>
        </is>
      </c>
      <c r="AH50" s="74" t="inlineStr">
        <is>
          <t>Agro / Revenda</t>
        </is>
      </c>
      <c r="AI50" s="74" t="inlineStr">
        <is>
          <t>Recebíveis do Grupo Lavoro</t>
        </is>
      </c>
      <c r="AJ50" s="74" t="b">
        <v>0</v>
      </c>
      <c r="AK50" s="74" t="inlineStr">
        <is>
          <t>MANTER_ALTA</t>
        </is>
      </c>
      <c r="AL50" s="74" t="inlineStr">
        <is>
          <t>Cedentes distribuem produtos agropecuários</t>
        </is>
      </c>
      <c r="AM50" s="74" t="inlineStr">
        <is>
          <t>regulamento</t>
        </is>
      </c>
      <c r="AN50" s="74" t="inlineStr">
        <is>
          <t>Não</t>
        </is>
      </c>
      <c r="AO50" s="74" t="inlineStr">
        <is>
          <t>regulamento</t>
        </is>
      </c>
      <c r="AP50" s="74" t="b">
        <v>0</v>
      </c>
      <c r="AQ50" s="74" t="inlineStr">
        <is>
          <t>Agro / Revenda</t>
        </is>
      </c>
      <c r="AR50" s="74" t="inlineStr">
        <is>
          <t>Agro / Revenda</t>
        </is>
      </c>
      <c r="AS50" s="74" t="b">
        <v>0</v>
      </c>
      <c r="AT50" s="74" t="inlineStr">
        <is>
          <t>N/D</t>
        </is>
      </c>
      <c r="AU50" s="74" t="inlineStr">
        <is>
          <t>N/D</t>
        </is>
      </c>
      <c r="AV50" s="74" t="inlineStr">
        <is>
          <t>N/D</t>
        </is>
      </c>
      <c r="AW50" s="74" t="b">
        <v>0</v>
      </c>
      <c r="AX50" s="74" t="inlineStr">
        <is>
          <t>N/D</t>
        </is>
      </c>
      <c r="AY50" s="74" t="inlineStr">
        <is>
          <t>sem benchmark confiável</t>
        </is>
      </c>
      <c r="AZ50" s="140" t="inlineStr">
        <is>
          <t>N/D</t>
        </is>
      </c>
      <c r="BA50" s="74" t="b">
        <v>0</v>
      </c>
      <c r="BB50" s="141" t="n">
        <v>0</v>
      </c>
      <c r="BC50" s="139" t="n">
        <v>1000</v>
      </c>
      <c r="BD50" s="74" t="inlineStr">
        <is>
          <t>R$1.000,00</t>
        </is>
      </c>
      <c r="BE50" s="74" t="inlineStr">
        <is>
          <t>preço/valor unitário de emissão</t>
        </is>
      </c>
      <c r="BF50" s="74" t="inlineStr">
        <is>
          <t>N/D</t>
        </is>
      </c>
      <c r="BG50" s="74" t="inlineStr">
        <is>
          <t>30/09/2025</t>
        </is>
      </c>
      <c r="BH50" s="74" t="inlineStr">
        <is>
          <t>1003267</t>
        </is>
      </c>
      <c r="BI50" s="74" t="inlineStr">
        <is>
          <t>https://fnet.bmfbovespa.com.br/fnet/publico/downloadDocumento?id=1003267</t>
        </is>
      </c>
      <c r="BJ50" s="74" t="inlineStr">
        <is>
          <t>localizado documentalmente</t>
        </is>
      </c>
      <c r="BK50" s="74" t="b">
        <v>1</v>
      </c>
      <c r="BL50" s="74" t="inlineStr">
        <is>
          <t>Lavoro</t>
        </is>
      </c>
      <c r="BM50" s="74" t="inlineStr">
        <is>
          <t>cedente</t>
        </is>
      </c>
      <c r="BN50" s="74" t="inlineStr">
        <is>
          <t>N/D</t>
        </is>
      </c>
      <c r="BO50" s="74" t="inlineStr">
        <is>
          <t>Lavoro Agrocomercial S.A., Agrocontato Comércio e Representações de Produtos Agropecuários S.A., Agrovenci - Comércio, Importação, Exportação e Agropecuário Ltda. e Distribuidora Pitangueiras de Produtos Agropecuários S.A. (em conjunto, Grupo Lavoro)</t>
        </is>
      </c>
      <c r="BP50" s="74" t="inlineStr">
        <is>
          <t>N/D</t>
        </is>
      </c>
      <c r="BQ50" s="74" t="inlineStr">
        <is>
          <t>N/D</t>
        </is>
      </c>
      <c r="BR50" s="74" t="inlineStr">
        <is>
          <t>cedente: https://fnet.bmfbovespa.com.br/fnet/publico/downloadDocumento?id=798158</t>
        </is>
      </c>
      <c r="BS50" s="74" t="inlineStr">
        <is>
          <t>manual_aplicado</t>
        </is>
      </c>
      <c r="BT50" s="74" t="inlineStr">
        <is>
          <t>OBS da foto: Realizamos ajuste tempestivo para Ba1 - carteira vence em 30/04 - acompanhamento mensal. Denominação cortada.</t>
        </is>
      </c>
      <c r="BU50" s="74" t="inlineStr">
        <is>
          <t>1003378</t>
        </is>
      </c>
      <c r="BV50" s="74" t="inlineStr">
        <is>
          <t>2025-09-30</t>
        </is>
      </c>
      <c r="BW50" s="74" t="inlineStr">
        <is>
          <t>133</t>
        </is>
      </c>
      <c r="BX50" s="74" t="inlineStr">
        <is>
          <t>revisto — mínimo júnior localizado</t>
        </is>
      </c>
      <c r="BY50" s="74" t="inlineStr">
        <is>
          <t>FundosNet/B3; documento 1003378; referência 2025-09-30; p. 133</t>
        </is>
      </c>
      <c r="BZ50" s="74" t="inlineStr">
        <is>
          <t>Proporção de cotas subordinadas júnior / PL, mínimo de 5,0%.</t>
        </is>
      </c>
      <c r="CA50" s="74" t="inlineStr">
        <is>
          <t>PL atual; Sub/PL atual; originador; sacado/devedor; tipo de recebível</t>
        </is>
      </c>
      <c r="CB50" s="74" t="inlineStr">
        <is>
          <t>sub_pl_atual_ausente</t>
        </is>
      </c>
    </row>
    <row r="51" ht="31.5" customHeight="1">
      <c r="A51" s="75" t="n">
        <v>47</v>
      </c>
      <c r="B51" s="142" t="n">
        <v>62838025000116</v>
      </c>
      <c r="C51" s="75" t="inlineStr">
        <is>
          <t>62.838.025/0001-16</t>
        </is>
      </c>
      <c r="D51" s="75" t="inlineStr">
        <is>
          <t>ENDURANCE FUNDO DE INVESTIMENTO EM DIREITOS CREDITÓRIOS RESPONSABILIDADE LIMITADA</t>
        </is>
      </c>
      <c r="E51" s="75" t="inlineStr">
        <is>
          <t>TOP 2025 J FIDC RESP LTDA</t>
        </is>
      </c>
      <c r="F51" s="75" t="inlineStr">
        <is>
          <t>Carteira 101</t>
        </is>
      </c>
      <c r="G51" s="75" t="inlineStr">
        <is>
          <t>2026-06</t>
        </is>
      </c>
      <c r="H51" s="75" t="inlineStr">
        <is>
          <t>localizado</t>
        </is>
      </c>
      <c r="I51" s="143" t="n">
        <v>2004513902.3</v>
      </c>
      <c r="J51" s="143" t="n">
        <v>2004513902.300384</v>
      </c>
      <c r="K51" s="143" t="n">
        <v>189493138.739664</v>
      </c>
      <c r="L51" s="144" t="n">
        <v>0.09453321252710575</v>
      </c>
      <c r="M51" s="75" t="inlineStr">
        <is>
          <t>Calculado com classes reportadas e PL oficial reconciliado</t>
        </is>
      </c>
      <c r="N51" s="144" t="n">
        <v>0.1</v>
      </c>
      <c r="O51" s="144" t="inlineStr">
        <is>
          <t>N/D</t>
        </is>
      </c>
      <c r="P51" s="144" t="inlineStr">
        <is>
          <t>N/D</t>
        </is>
      </c>
      <c r="Q51" s="144" t="inlineStr">
        <is>
          <t>N/D</t>
        </is>
      </c>
      <c r="R51" s="144" t="inlineStr">
        <is>
          <t>N/D</t>
        </is>
      </c>
      <c r="S51" s="144" t="n">
        <v>0.1</v>
      </c>
      <c r="T51" s="75" t="inlineStr">
        <is>
          <t>N/D</t>
        </is>
      </c>
      <c r="U51" s="75" t="inlineStr">
        <is>
          <t>junior_pl</t>
        </is>
      </c>
      <c r="V51" s="75" t="inlineStr">
        <is>
          <t>direto no regulamento</t>
        </is>
      </c>
      <c r="W51" s="75" t="b">
        <v>0</v>
      </c>
      <c r="X51" s="75" t="inlineStr">
        <is>
          <t>Mínimo júnior isolado; a subordinação atual disponível agrega todas as classes subordinadas.</t>
        </is>
      </c>
      <c r="Y51" s="75" t="b">
        <v>0</v>
      </c>
      <c r="Z51" s="144" t="inlineStr">
        <is>
          <t>N/D</t>
        </is>
      </c>
      <c r="AA51" s="144" t="inlineStr">
        <is>
          <t>N/D</t>
        </is>
      </c>
      <c r="AB51" s="75" t="inlineStr">
        <is>
          <t>não medido</t>
        </is>
      </c>
      <c r="AC51" s="75" t="inlineStr">
        <is>
          <t>Financeiro</t>
        </is>
      </c>
      <c r="AD51" s="75" t="inlineStr">
        <is>
          <t>Adquirência</t>
        </is>
      </c>
      <c r="AE51" s="75" t="inlineStr">
        <is>
          <t>Financeiro</t>
        </is>
      </c>
      <c r="AF51" s="75" t="inlineStr">
        <is>
          <t>Financeiro</t>
        </is>
      </c>
      <c r="AG51" s="75" t="inlineStr">
        <is>
          <t>Financeiro</t>
        </is>
      </c>
      <c r="AH51" s="75" t="inlineStr">
        <is>
          <t>Financeiro</t>
        </is>
      </c>
      <c r="AI51" s="75" t="inlineStr">
        <is>
          <t>Recebíveis de arranjos de pagamento</t>
        </is>
      </c>
      <c r="AJ51" s="75" t="b">
        <v>0</v>
      </c>
      <c r="AK51" s="75" t="inlineStr">
        <is>
          <t>PENDENTE_FONTE_PRIMARIA</t>
        </is>
      </c>
      <c r="AL51" s="75" t="inlineStr">
        <is>
          <t>Rede, Getnet, Cielo e Pag constam apenas na fonte manual</t>
        </is>
      </c>
      <c r="AM51" s="75" t="inlineStr">
        <is>
          <t>IMG_8705</t>
        </is>
      </c>
      <c r="AN51" s="75" t="inlineStr">
        <is>
          <t>Não</t>
        </is>
      </c>
      <c r="AO51" s="75" t="inlineStr">
        <is>
          <t>IMG_8705</t>
        </is>
      </c>
      <c r="AP51" s="75" t="b">
        <v>0</v>
      </c>
      <c r="AQ51" s="75" t="inlineStr">
        <is>
          <t>Financeiro</t>
        </is>
      </c>
      <c r="AR51" s="75" t="inlineStr">
        <is>
          <t>Financeiro</t>
        </is>
      </c>
      <c r="AS51" s="75" t="b">
        <v>0</v>
      </c>
      <c r="AT51" s="75" t="inlineStr">
        <is>
          <t>N/D</t>
        </is>
      </c>
      <c r="AU51" s="75" t="inlineStr">
        <is>
          <t>N/D</t>
        </is>
      </c>
      <c r="AV51" s="75" t="inlineStr">
        <is>
          <t>&lt; 10%</t>
        </is>
      </c>
      <c r="AW51" s="75" t="b">
        <v>1</v>
      </c>
      <c r="AX51" s="75" t="inlineStr">
        <is>
          <t>incomparável</t>
        </is>
      </c>
      <c r="AY51" s="75" t="inlineStr">
        <is>
          <t>abaixo do mercado</t>
        </is>
      </c>
      <c r="AZ51" s="144" t="n">
        <v>-0.2069263477541453</v>
      </c>
      <c r="BA51" s="75" t="b">
        <v>1</v>
      </c>
      <c r="BB51" s="145" t="n">
        <v>12</v>
      </c>
      <c r="BC51" s="143" t="n">
        <v>1000</v>
      </c>
      <c r="BD51" s="75" t="inlineStr">
        <is>
          <t>R$ 1.000,00</t>
        </is>
      </c>
      <c r="BE51" s="75" t="inlineStr">
        <is>
          <t>preço/valor unitário de emissão</t>
        </is>
      </c>
      <c r="BF51" s="75" t="inlineStr">
        <is>
          <t>N/D</t>
        </is>
      </c>
      <c r="BG51" s="75" t="inlineStr">
        <is>
          <t>2025-12-10</t>
        </is>
      </c>
      <c r="BH51" s="75" t="inlineStr">
        <is>
          <t>1058234</t>
        </is>
      </c>
      <c r="BI51" s="75" t="inlineStr">
        <is>
          <t>https://fnet.bmfbovespa.com.br/fnet/publico/downloadDocumento?id=1058234</t>
        </is>
      </c>
      <c r="BJ51" s="75" t="inlineStr">
        <is>
          <t>localizado documentalmente</t>
        </is>
      </c>
      <c r="BK51" s="75" t="b">
        <v>1</v>
      </c>
      <c r="BL51" s="75" t="inlineStr">
        <is>
          <t>Pague Veloz / Serasa</t>
        </is>
      </c>
      <c r="BM51" s="75" t="inlineStr">
        <is>
          <t>cedente</t>
        </is>
      </c>
      <c r="BN51" s="75" t="inlineStr">
        <is>
          <t>N/D</t>
        </is>
      </c>
      <c r="BO51" s="75" t="inlineStr">
        <is>
          <t>Pague Veloz / Serasa</t>
        </is>
      </c>
      <c r="BP51" s="75" t="inlineStr">
        <is>
          <t>os emissores, devedores e/ou garantidores dos Direitos Creditórios, conforme o caso</t>
        </is>
      </c>
      <c r="BQ51" s="75" t="inlineStr">
        <is>
          <t>recebíveis de Rede, GetNet, Cielo e Pag</t>
        </is>
      </c>
      <c r="BR51" s="75" t="inlineStr">
        <is>
          <t>cedente: IMG_8705.JPG | sacado_devedor: https://fnet.bmfbovespa.com.br/fnet/publico/downloadDocumento?id=1058234 | tipo_recebivel: IMG_8705.JPG</t>
        </is>
      </c>
      <c r="BS51" s="75" t="inlineStr">
        <is>
          <t>manual_aplicado</t>
        </is>
      </c>
      <c r="BT51" s="75" t="inlineStr">
        <is>
          <t>N/D</t>
        </is>
      </c>
      <c r="BU51" s="75" t="inlineStr">
        <is>
          <t>1058234</t>
        </is>
      </c>
      <c r="BV51" s="75" t="inlineStr">
        <is>
          <t>2025-12-10</t>
        </is>
      </c>
      <c r="BW51" s="75" t="inlineStr">
        <is>
          <t>39</t>
        </is>
      </c>
      <c r="BX51" s="75" t="inlineStr">
        <is>
          <t>revisto — mínimo júnior localizado</t>
        </is>
      </c>
      <c r="BY51" s="75" t="inlineStr">
        <is>
          <t>FundosNet/B3; documento 1058234; referência 2025-12-10; p. 39</t>
        </is>
      </c>
      <c r="BZ51" s="75" t="inlineStr">
        <is>
          <t>Cotas júnior / PL: 9,0% nos primeiros 30 dias; 10,0% como patamar regular.</t>
        </is>
      </c>
      <c r="CA51" s="75" t="inlineStr">
        <is>
          <t>originador</t>
        </is>
      </c>
      <c r="CB51" s="75" t="inlineStr">
        <is>
          <t>estrutura_incomparavel</t>
        </is>
      </c>
    </row>
    <row r="52" ht="31.5" customHeight="1">
      <c r="A52" s="74" t="n">
        <v>48</v>
      </c>
      <c r="B52" s="138" t="n">
        <v>47280025000150</v>
      </c>
      <c r="C52" s="74" t="inlineStr">
        <is>
          <t>47.280.025/0001-50</t>
        </is>
      </c>
      <c r="D52" s="74" t="inlineStr">
        <is>
          <t>FIDC AGRO CAPITAL FINANCE RESPONSABILIDADE LIMITADA</t>
        </is>
      </c>
      <c r="E52" s="74" t="inlineStr">
        <is>
          <t>FUNDO DE INVESTIMENTO EM DIREITOS CREDITORIOS ALBA</t>
        </is>
      </c>
      <c r="F52" s="74" t="inlineStr">
        <is>
          <t>Carteira 101</t>
        </is>
      </c>
      <c r="G52" s="74" t="inlineStr">
        <is>
          <t>2026-06</t>
        </is>
      </c>
      <c r="H52" s="74" t="inlineStr">
        <is>
          <t>localizado</t>
        </is>
      </c>
      <c r="I52" s="139" t="n">
        <v>522132133.94</v>
      </c>
      <c r="J52" s="139" t="n">
        <v>522132133.9385318</v>
      </c>
      <c r="K52" s="139" t="n">
        <v>167899168.487548</v>
      </c>
      <c r="L52" s="140" t="n">
        <v>0.3215645189668443</v>
      </c>
      <c r="M52" s="74" t="inlineStr">
        <is>
          <t>Calculado com classes reportadas e PL oficial reconciliado</t>
        </is>
      </c>
      <c r="N52" s="140" t="n">
        <v>0.3</v>
      </c>
      <c r="O52" s="140" t="inlineStr">
        <is>
          <t>N/D</t>
        </is>
      </c>
      <c r="P52" s="140" t="inlineStr">
        <is>
          <t>N/D</t>
        </is>
      </c>
      <c r="Q52" s="140" t="n">
        <v>0.3</v>
      </c>
      <c r="R52" s="140" t="inlineStr">
        <is>
          <t>N/D</t>
        </is>
      </c>
      <c r="S52" s="140" t="n">
        <v>0.3</v>
      </c>
      <c r="T52" s="74" t="inlineStr">
        <is>
          <t>30,0%</t>
        </is>
      </c>
      <c r="U52" s="74" t="inlineStr">
        <is>
          <t>junior_pl</t>
        </is>
      </c>
      <c r="V52" s="74" t="inlineStr">
        <is>
          <t>direto no regulamento</t>
        </is>
      </c>
      <c r="W52" s="74" t="b">
        <v>1</v>
      </c>
      <c r="X52" s="74" t="inlineStr">
        <is>
          <t>Estrutura com uma única classe subordinada; métrica atual e piso usam o total subordinado sobre o PL.</t>
        </is>
      </c>
      <c r="Y52" s="74" t="b">
        <v>0</v>
      </c>
      <c r="Z52" s="140" t="n">
        <v>0.0215645189668443</v>
      </c>
      <c r="AA52" s="140" t="n">
        <v>0.03080645566692044</v>
      </c>
      <c r="AB52" s="74" t="inlineStr">
        <is>
          <t>acima do mínimo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Albaugh, insumos agro</t>
        </is>
      </c>
      <c r="AJ52" s="74" t="b">
        <v>0</v>
      </c>
      <c r="AK52" s="74" t="inlineStr">
        <is>
          <t>MANTER_ASTERISCO</t>
        </is>
      </c>
      <c r="AL52" s="74" t="inlineStr">
        <is>
          <t>Cedente Albaugh, com tipo literal não isolado</t>
        </is>
      </c>
      <c r="AM52" s="74" t="inlineStr">
        <is>
          <t>auditoria documental</t>
        </is>
      </c>
      <c r="AN52" s="74" t="inlineStr">
        <is>
          <t>Não</t>
        </is>
      </c>
      <c r="AO52" s="74" t="inlineStr">
        <is>
          <t>auditoria documental</t>
        </is>
      </c>
      <c r="AP52" s="74" t="b">
        <v>0</v>
      </c>
      <c r="AQ52" s="74" t="inlineStr">
        <is>
          <t>Agro / Revenda</t>
        </is>
      </c>
      <c r="AR52" s="74" t="inlineStr">
        <is>
          <t>Agro / Revenda</t>
        </is>
      </c>
      <c r="AS52" s="74" t="b">
        <v>0</v>
      </c>
      <c r="AT52" s="74" t="inlineStr">
        <is>
          <t>N/D</t>
        </is>
      </c>
      <c r="AU52" s="74" t="inlineStr">
        <is>
          <t>N/D</t>
        </is>
      </c>
      <c r="AV52" s="74" t="inlineStr">
        <is>
          <t>20%–35%</t>
        </is>
      </c>
      <c r="AW52" s="74" t="b">
        <v>1</v>
      </c>
      <c r="AX52" s="74" t="inlineStr">
        <is>
          <t>acima do piso</t>
        </is>
      </c>
      <c r="AY52" s="74" t="inlineStr">
        <is>
          <t>sem benchmark confiável</t>
        </is>
      </c>
      <c r="AZ52" s="140" t="inlineStr">
        <is>
          <t>N/D</t>
        </is>
      </c>
      <c r="BA52" s="74" t="b">
        <v>0</v>
      </c>
      <c r="BB52" s="141" t="n">
        <v>0</v>
      </c>
      <c r="BC52" s="139" t="n">
        <v>1000</v>
      </c>
      <c r="BD52" s="74" t="inlineStr">
        <is>
          <t>R$ 1.000,00</t>
        </is>
      </c>
      <c r="BE52" s="74" t="inlineStr">
        <is>
          <t>valor nominal unitário (VNU)</t>
        </is>
      </c>
      <c r="BF52" s="74" t="inlineStr">
        <is>
          <t>N/D</t>
        </is>
      </c>
      <c r="BG52" s="74" t="inlineStr">
        <is>
          <t>04/12/2025</t>
        </is>
      </c>
      <c r="BH52" s="74" t="inlineStr">
        <is>
          <t>1053778</t>
        </is>
      </c>
      <c r="BI52" s="74" t="inlineStr">
        <is>
          <t>https://fnet.bmfbovespa.com.br/fnet/publico/downloadDocumento?id=1053778</t>
        </is>
      </c>
      <c r="BJ52" s="74" t="inlineStr">
        <is>
          <t>localizado documentalmente</t>
        </is>
      </c>
      <c r="BK52" s="74" t="b">
        <v>1</v>
      </c>
      <c r="BL52" s="74" t="inlineStr">
        <is>
          <t>Albaugh</t>
        </is>
      </c>
      <c r="BM52" s="74" t="inlineStr">
        <is>
          <t>cedente</t>
        </is>
      </c>
      <c r="BN52" s="74" t="inlineStr">
        <is>
          <t>N/D</t>
        </is>
      </c>
      <c r="BO52" s="74" t="inlineStr">
        <is>
          <t>Albaugh</t>
        </is>
      </c>
      <c r="BP52" s="74" t="inlineStr">
        <is>
          <t>N/D</t>
        </is>
      </c>
      <c r="BQ52" s="74" t="inlineStr">
        <is>
          <t>N/D</t>
        </is>
      </c>
      <c r="BR52" s="74" t="inlineStr">
        <is>
          <t>cedente: IMG_8705.JPG</t>
        </is>
      </c>
      <c r="BS52" s="74" t="inlineStr">
        <is>
          <t>manual_aplicado</t>
        </is>
      </c>
      <c r="BT52" s="74" t="inlineStr">
        <is>
          <t>OBS da foto: fundo continua sofrendo com inadimplência da carteira antiga.</t>
        </is>
      </c>
      <c r="BU52" s="74" t="inlineStr">
        <is>
          <t>1074880</t>
        </is>
      </c>
      <c r="BV52" s="74" t="inlineStr">
        <is>
          <t>2025-12-23</t>
        </is>
      </c>
      <c r="BW52" s="74" t="inlineStr">
        <is>
          <t>10; 34</t>
        </is>
      </c>
      <c r="BX52" s="74" t="inlineStr">
        <is>
          <t>revisto — mínimo júnior localizado</t>
        </is>
      </c>
      <c r="BY52" s="74" t="inlineStr">
        <is>
          <t>FundosNet/B3; documento 1074880; referência 2025-12-23; p. 10; 34</t>
        </is>
      </c>
      <c r="BZ52" s="74" t="inlineStr">
        <is>
          <t>Cotas subordinadas / PL, mínimo de 30,0%; estrutura com uma única classe residual.</t>
        </is>
      </c>
      <c r="CA52" s="74" t="inlineStr">
        <is>
          <t>originador; sacado/devedor; tipo de recebível</t>
        </is>
      </c>
      <c r="CB52" s="74" t="inlineStr">
        <is>
          <t>completo_para_folga</t>
        </is>
      </c>
    </row>
    <row r="53" ht="31.5" customHeight="1">
      <c r="A53" s="75" t="n">
        <v>49</v>
      </c>
      <c r="B53" s="142" t="n">
        <v>57270666000187</v>
      </c>
      <c r="C53" s="75" t="inlineStr">
        <is>
          <t>57.270.666/0001-87</t>
        </is>
      </c>
      <c r="D53" s="75" t="inlineStr">
        <is>
          <t>MOBILITAS FUNDO DE INVESTIMENTO EM DIREITOS CREDITÓRIOS - RESPONSABILIDADE LIMITADA</t>
        </is>
      </c>
      <c r="E53" s="75" t="inlineStr">
        <is>
          <t>MOBILITAS FIDC RL</t>
        </is>
      </c>
      <c r="F53" s="75" t="inlineStr">
        <is>
          <t>Carteira 101</t>
        </is>
      </c>
      <c r="G53" s="75" t="inlineStr">
        <is>
          <t>2026-06</t>
        </is>
      </c>
      <c r="H53" s="75" t="inlineStr">
        <is>
          <t>localizado</t>
        </is>
      </c>
      <c r="I53" s="143" t="n">
        <v>53019295.56</v>
      </c>
      <c r="J53" s="143" t="n">
        <v>53019295.56016188</v>
      </c>
      <c r="K53" s="143" t="n">
        <v>8019295.530011886</v>
      </c>
      <c r="L53" s="144" t="n">
        <v>0.1512523967983834</v>
      </c>
      <c r="M53" s="75" t="inlineStr">
        <is>
          <t>Calculado com classes reportadas e PL oficial reconciliado</t>
        </is>
      </c>
      <c r="N53" s="144" t="n">
        <v>0.1</v>
      </c>
      <c r="O53" s="144" t="inlineStr">
        <is>
          <t>N/D</t>
        </is>
      </c>
      <c r="P53" s="144" t="inlineStr">
        <is>
          <t>N/D</t>
        </is>
      </c>
      <c r="Q53" s="144" t="inlineStr">
        <is>
          <t>N/D</t>
        </is>
      </c>
      <c r="R53" s="144" t="inlineStr">
        <is>
          <t>N/D</t>
        </is>
      </c>
      <c r="S53" s="144" t="n">
        <v>0.1</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Agro / Revenda</t>
        </is>
      </c>
      <c r="AI53" s="75" t="inlineStr">
        <is>
          <t>Recebíveis performados, Rede como adquirente</t>
        </is>
      </c>
      <c r="AJ53" s="75" t="b">
        <v>0</v>
      </c>
      <c r="AK53" s="75" t="inlineStr">
        <is>
          <t>PENDENTE_FONTE_PRIMARIA</t>
        </is>
      </c>
      <c r="AL53" s="75" t="inlineStr">
        <is>
          <t>Rede aparece como adquirente somente na planilha</t>
        </is>
      </c>
      <c r="AM53" s="75" t="inlineStr">
        <is>
          <t>IMG_8705</t>
        </is>
      </c>
      <c r="AN53" s="75" t="inlineStr">
        <is>
          <t>Não</t>
        </is>
      </c>
      <c r="AO53" s="75" t="inlineStr">
        <is>
          <t>IMG_8705</t>
        </is>
      </c>
      <c r="AP53" s="75" t="b">
        <v>0</v>
      </c>
      <c r="AQ53" s="75" t="inlineStr">
        <is>
          <t>Agro / Revenda</t>
        </is>
      </c>
      <c r="AR53" s="75" t="inlineStr">
        <is>
          <t>Agro / Revenda</t>
        </is>
      </c>
      <c r="AS53" s="75" t="b">
        <v>0</v>
      </c>
      <c r="AT53" s="75" t="inlineStr">
        <is>
          <t>N/D</t>
        </is>
      </c>
      <c r="AU53" s="75" t="inlineStr">
        <is>
          <t>N/D</t>
        </is>
      </c>
      <c r="AV53" s="75" t="inlineStr">
        <is>
          <t>15%–20%</t>
        </is>
      </c>
      <c r="AW53" s="75" t="b">
        <v>1</v>
      </c>
      <c r="AX53" s="75" t="inlineStr">
        <is>
          <t>incomparável</t>
        </is>
      </c>
      <c r="AY53" s="75" t="inlineStr">
        <is>
          <t>sem benchmark confiável</t>
        </is>
      </c>
      <c r="AZ53" s="144" t="inlineStr">
        <is>
          <t>N/D</t>
        </is>
      </c>
      <c r="BA53" s="75" t="b">
        <v>0</v>
      </c>
      <c r="BB53" s="145" t="n">
        <v>0</v>
      </c>
      <c r="BC53" s="143" t="n">
        <v>1000</v>
      </c>
      <c r="BD53" s="75" t="inlineStr">
        <is>
          <t>Cotas Seniores: R$ 1.000,00</t>
        </is>
      </c>
      <c r="BE53" s="75" t="inlineStr">
        <is>
          <t>preço/valor unitário de emissão</t>
        </is>
      </c>
      <c r="BF53" s="75" t="inlineStr">
        <is>
          <t>Cotas Seniores</t>
        </is>
      </c>
      <c r="BG53" s="75" t="inlineStr">
        <is>
          <t>31/10/2024</t>
        </is>
      </c>
      <c r="BH53" s="75" t="inlineStr">
        <is>
          <t>769275</t>
        </is>
      </c>
      <c r="BI53" s="75" t="inlineStr">
        <is>
          <t>https://fnet.bmfbovespa.com.br/fnet/publico/downloadDocumento?id=769275</t>
        </is>
      </c>
      <c r="BJ53" s="75" t="inlineStr">
        <is>
          <t>localizado documentalmente</t>
        </is>
      </c>
      <c r="BK53" s="75" t="b">
        <v>0</v>
      </c>
      <c r="BL53" s="75" t="inlineStr">
        <is>
          <t>N/D</t>
        </is>
      </c>
      <c r="BM53" s="75" t="inlineStr">
        <is>
          <t>N/D</t>
        </is>
      </c>
      <c r="BN53" s="75" t="inlineStr">
        <is>
          <t>N/D</t>
        </is>
      </c>
      <c r="BO53" s="75" t="inlineStr">
        <is>
          <t>N/D</t>
        </is>
      </c>
      <c r="BP53" s="75" t="inlineStr">
        <is>
          <t>N/D</t>
        </is>
      </c>
      <c r="BQ53" s="75" t="inlineStr">
        <is>
          <t>Direitos Creditórios performados; REDE como adquirente</t>
        </is>
      </c>
      <c r="BR53" s="75" t="inlineStr">
        <is>
          <t>tipo_recebivel: IMG_8705.JPG</t>
        </is>
      </c>
      <c r="BS53" s="75" t="inlineStr">
        <is>
          <t>sem_overlay</t>
        </is>
      </c>
      <c r="BT53" s="75" t="inlineStr">
        <is>
          <t>N/D</t>
        </is>
      </c>
      <c r="BU53" s="75" t="inlineStr">
        <is>
          <t>769277</t>
        </is>
      </c>
      <c r="BV53" s="75" t="inlineStr">
        <is>
          <t>2024-10-31</t>
        </is>
      </c>
      <c r="BW53" s="75" t="inlineStr">
        <is>
          <t>49</t>
        </is>
      </c>
      <c r="BX53" s="75" t="inlineStr">
        <is>
          <t>revisto — mínimo júnior localizado</t>
        </is>
      </c>
      <c r="BY53" s="75" t="inlineStr">
        <is>
          <t>FundosNet/B3; documento 769277; referência 2024-10-31; p. 49</t>
        </is>
      </c>
      <c r="BZ53" s="75" t="inlineStr">
        <is>
          <t>Cotas subordinadas júnior / PL, mínimo de 10,0%.</t>
        </is>
      </c>
      <c r="CA53" s="75" t="inlineStr">
        <is>
          <t>originador; cedente; sacado/devedor</t>
        </is>
      </c>
      <c r="CB53" s="75" t="inlineStr">
        <is>
          <t>estrutura_incomparavel</t>
        </is>
      </c>
    </row>
    <row r="54" ht="31.5" customHeight="1">
      <c r="A54" s="74" t="n">
        <v>50</v>
      </c>
      <c r="B54" s="138" t="n">
        <v>58288437000152</v>
      </c>
      <c r="C54" s="74" t="inlineStr">
        <is>
          <t>58.288.437/0001-52</t>
        </is>
      </c>
      <c r="D54" s="74" t="inlineStr">
        <is>
          <t>ALTOMAX FUNDO DE INVESTIMENTO EM DIREITOS CREDITÓRIOS SEGMENTO RECEBÍVEIS COMERCIAIS DE RESP LTDA</t>
        </is>
      </c>
      <c r="E54" s="74" t="inlineStr">
        <is>
          <t>ALTOMAX FIDC SEG RECEB COM LTD</t>
        </is>
      </c>
      <c r="F54" s="74" t="inlineStr">
        <is>
          <t>Carteira 101</t>
        </is>
      </c>
      <c r="G54" s="74" t="inlineStr">
        <is>
          <t>2026-06</t>
        </is>
      </c>
      <c r="H54" s="74" t="inlineStr">
        <is>
          <t>localizado</t>
        </is>
      </c>
      <c r="I54" s="139" t="n">
        <v>89924502.54000001</v>
      </c>
      <c r="J54" s="139" t="n">
        <v>89924502.53672034</v>
      </c>
      <c r="K54" s="139" t="n">
        <v>58124586.41007054</v>
      </c>
      <c r="L54" s="140" t="n">
        <v>0.6463709530582691</v>
      </c>
      <c r="M54" s="74" t="inlineStr">
        <is>
          <t>Calculado com classes reportadas e PL oficial reconciliado</t>
        </is>
      </c>
      <c r="N54" s="140" t="n">
        <v>0.2</v>
      </c>
      <c r="O54" s="140" t="inlineStr">
        <is>
          <t>N/D</t>
        </is>
      </c>
      <c r="P54" s="140" t="inlineStr">
        <is>
          <t>N/D</t>
        </is>
      </c>
      <c r="Q54" s="140" t="inlineStr">
        <is>
          <t>N/D</t>
        </is>
      </c>
      <c r="R54" s="140" t="inlineStr">
        <is>
          <t>N/D</t>
        </is>
      </c>
      <c r="S54" s="140" t="n">
        <v>0.2</v>
      </c>
      <c r="T54" s="74" t="inlineStr">
        <is>
          <t>N/D</t>
        </is>
      </c>
      <c r="U54" s="74" t="inlineStr">
        <is>
          <t>junior_pl</t>
        </is>
      </c>
      <c r="V54" s="74" t="inlineStr">
        <is>
          <t>direto no regulamento</t>
        </is>
      </c>
      <c r="W54" s="74" t="b">
        <v>0</v>
      </c>
      <c r="X54" s="74" t="inlineStr">
        <is>
          <t>Mínimo júnior isolado; a subordinação atual disponível agrega todas as classes subordinadas.</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Risco Corporativo</t>
        </is>
      </c>
      <c r="AI54" s="74" t="inlineStr">
        <is>
          <t>Recebíveis comerciais Altomax / grupo econômico</t>
        </is>
      </c>
      <c r="AJ54" s="74" t="b">
        <v>1</v>
      </c>
      <c r="AK54" s="74" t="inlineStr">
        <is>
          <t>APLICAR_ALTA</t>
        </is>
      </c>
      <c r="AL54" s="74" t="inlineStr">
        <is>
          <t>Estrutura de recebíveis comerciais com cedente e devedores do grupo</t>
        </is>
      </c>
      <c r="AM54" s="74" t="inlineStr">
        <is>
          <t>regulamento e auditoria documental</t>
        </is>
      </c>
      <c r="AN54" s="74" t="inlineStr">
        <is>
          <t>Não</t>
        </is>
      </c>
      <c r="AO54" s="74" t="inlineStr">
        <is>
          <t>regulamento e auditoria documental</t>
        </is>
      </c>
      <c r="AP54" s="74" t="b">
        <v>0</v>
      </c>
      <c r="AQ54" s="74" t="inlineStr">
        <is>
          <t>Risco Corporativo</t>
        </is>
      </c>
      <c r="AR54" s="74" t="inlineStr">
        <is>
          <t>Agro / Revenda</t>
        </is>
      </c>
      <c r="AS54" s="74" t="b">
        <v>1</v>
      </c>
      <c r="AT54" s="74" t="inlineStr">
        <is>
          <t>regulamento e auditoria documental</t>
        </is>
      </c>
      <c r="AU54" s="74" t="inlineStr">
        <is>
          <t>Estrutura de recebíveis comerciais com cedente e devedores do grupo</t>
        </is>
      </c>
      <c r="AV54" s="74" t="inlineStr">
        <is>
          <t>≥ 60%</t>
        </is>
      </c>
      <c r="AW54" s="74" t="b">
        <v>1</v>
      </c>
      <c r="AX54" s="74" t="inlineStr">
        <is>
          <t>incomparável</t>
        </is>
      </c>
      <c r="AY54" s="74" t="inlineStr">
        <is>
          <t>sem benchmark confiável</t>
        </is>
      </c>
      <c r="AZ54" s="140" t="inlineStr">
        <is>
          <t>N/D</t>
        </is>
      </c>
      <c r="BA54" s="74" t="b">
        <v>0</v>
      </c>
      <c r="BB54" s="141" t="n">
        <v>0</v>
      </c>
      <c r="BC54" s="139" t="n">
        <v>1000</v>
      </c>
      <c r="BD54" s="74" t="inlineStr">
        <is>
          <t>cotas subordinadas júnior: R$ 1.000,00</t>
        </is>
      </c>
      <c r="BE54" s="74" t="inlineStr">
        <is>
          <t>valor nominal unitário (VNU)</t>
        </is>
      </c>
      <c r="BF54" s="74" t="inlineStr">
        <is>
          <t>cotas subordinadas júnior</t>
        </is>
      </c>
      <c r="BG54" s="74" t="inlineStr">
        <is>
          <t>2025-08-26</t>
        </is>
      </c>
      <c r="BH54" s="74" t="inlineStr">
        <is>
          <t>978340</t>
        </is>
      </c>
      <c r="BI54" s="74" t="inlineStr">
        <is>
          <t>https://fnet.bmfbovespa.com.br/fnet/publico/downloadDocumento?id=978340</t>
        </is>
      </c>
      <c r="BJ54" s="74" t="inlineStr">
        <is>
          <t>localizado documentalmente</t>
        </is>
      </c>
      <c r="BK54" s="74" t="b">
        <v>0</v>
      </c>
      <c r="BL54" s="74" t="inlineStr">
        <is>
          <t>N/D</t>
        </is>
      </c>
      <c r="BM54" s="74" t="inlineStr">
        <is>
          <t>N/D</t>
        </is>
      </c>
      <c r="BN54" s="74" t="inlineStr">
        <is>
          <t>N/D</t>
        </is>
      </c>
      <c r="BO54" s="74" t="inlineStr">
        <is>
          <t>a ALTOMAX COMÉRCIO DE MEIAS E COBERTORES, IMPORTAÇÃO E EXPORTAÇÃO LTDA, sociedade limitada, com sede na cidade de Foz do Iguaçu, estado do Paraná, na Av</t>
        </is>
      </c>
      <c r="BP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4" s="74" t="inlineStr">
        <is>
          <t>N/D</t>
        </is>
      </c>
      <c r="BR54" s="74" t="inlineStr">
        <is>
          <t>cedente: https://fnet.bmfbovespa.com.br/fnet/publico/downloadDocumento?id=1240668 | sacado_devedor: https://fnet.bmfbovespa.com.br/fnet/publico/downloadDocumento?id=1240668</t>
        </is>
      </c>
      <c r="BS54" s="74" t="inlineStr">
        <is>
          <t>sem_overlay</t>
        </is>
      </c>
      <c r="BT54" s="74" t="inlineStr">
        <is>
          <t>N/D</t>
        </is>
      </c>
      <c r="BU54" s="74" t="inlineStr">
        <is>
          <t>1240668</t>
        </is>
      </c>
      <c r="BV54" s="74" t="inlineStr">
        <is>
          <t>2026-02-24</t>
        </is>
      </c>
      <c r="BW54" s="74" t="inlineStr">
        <is>
          <t>94</t>
        </is>
      </c>
      <c r="BX54" s="74" t="inlineStr">
        <is>
          <t>revisto — mínimo júnior localizado</t>
        </is>
      </c>
      <c r="BY54" s="74" t="inlineStr">
        <is>
          <t>FundosNet/B3; documento 1240668; referência 2026-02-24; p. 94</t>
        </is>
      </c>
      <c r="BZ54" s="74" t="inlineStr">
        <is>
          <t>Índice de Subordinação Mezanino: cotas júnior / PL, mínimo de 20,0%.</t>
        </is>
      </c>
      <c r="CA54" s="74" t="inlineStr">
        <is>
          <t>originador; tipo de recebível</t>
        </is>
      </c>
      <c r="CB54" s="74" t="inlineStr">
        <is>
          <t>estrutura_incomparavel</t>
        </is>
      </c>
    </row>
    <row r="55" ht="31.5" customHeight="1">
      <c r="A55" s="75" t="n">
        <v>51</v>
      </c>
      <c r="B55" s="142" t="n">
        <v>55476342000174</v>
      </c>
      <c r="C55" s="75" t="inlineStr">
        <is>
          <t>55.476.342/0001-74</t>
        </is>
      </c>
      <c r="D55" s="75" t="inlineStr">
        <is>
          <t>LAVORO AGRO II FIAGRO - DIREITOS CREDITÓRIOS - RESPONSABILIDADE LIMITADA</t>
        </is>
      </c>
      <c r="E55" s="75" t="inlineStr">
        <is>
          <t>LAVORO AGRO II FUNDO DE INVESTIMENTO EM DIREITOS C</t>
        </is>
      </c>
      <c r="F55" s="75" t="inlineStr">
        <is>
          <t>Carteira 101</t>
        </is>
      </c>
      <c r="G55" s="75" t="inlineStr">
        <is>
          <t>2026-06</t>
        </is>
      </c>
      <c r="H55" s="75" t="inlineStr">
        <is>
          <t>localizado</t>
        </is>
      </c>
      <c r="I55" s="143" t="inlineStr">
        <is>
          <t>N/D</t>
        </is>
      </c>
      <c r="J55" s="143" t="inlineStr">
        <is>
          <t>N/D</t>
        </is>
      </c>
      <c r="K55" s="143" t="inlineStr">
        <is>
          <t>N/D</t>
        </is>
      </c>
      <c r="L55" s="144" t="inlineStr">
        <is>
          <t>N/D</t>
        </is>
      </c>
      <c r="M55" s="75" t="inlineStr">
        <is>
          <t>PL oficial ausente em 2026-06</t>
        </is>
      </c>
      <c r="N55" s="144" t="n">
        <v>0.2</v>
      </c>
      <c r="O55" s="144" t="inlineStr">
        <is>
          <t>N/D</t>
        </is>
      </c>
      <c r="P55" s="144" t="inlineStr">
        <is>
          <t>N/D</t>
        </is>
      </c>
      <c r="Q55" s="144" t="n">
        <v>0.2</v>
      </c>
      <c r="R55" s="144" t="inlineStr">
        <is>
          <t>N/D</t>
        </is>
      </c>
      <c r="S55" s="144" t="n">
        <v>0.2</v>
      </c>
      <c r="T55" s="75" t="inlineStr">
        <is>
          <t>20,0%</t>
        </is>
      </c>
      <c r="U55" s="75" t="inlineStr">
        <is>
          <t>junior_pl</t>
        </is>
      </c>
      <c r="V55" s="75" t="inlineStr">
        <is>
          <t>direto no regulamento</t>
        </is>
      </c>
      <c r="W55" s="75" t="b">
        <v>1</v>
      </c>
      <c r="X55" s="75" t="inlineStr">
        <is>
          <t>Estrutura com uma única classe subordinada; métrica atual e piso usam o total subordinado sobre o PL.</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Agro / Revenda</t>
        </is>
      </c>
      <c r="AI55" s="75" t="inlineStr">
        <is>
          <t>Recebíveis do Grupo Lavoro</t>
        </is>
      </c>
      <c r="AJ55" s="75" t="b">
        <v>0</v>
      </c>
      <c r="AK55" s="75" t="inlineStr">
        <is>
          <t>MANTER_ALTA</t>
        </is>
      </c>
      <c r="AL55" s="75" t="inlineStr">
        <is>
          <t>Cedente integra a cadeia de insumos agro</t>
        </is>
      </c>
      <c r="AM55" s="75" t="inlineStr">
        <is>
          <t>auditoria documental</t>
        </is>
      </c>
      <c r="AN55" s="75" t="inlineStr">
        <is>
          <t>Não</t>
        </is>
      </c>
      <c r="AO55" s="75" t="inlineStr">
        <is>
          <t>auditoria documental</t>
        </is>
      </c>
      <c r="AP55" s="75" t="b">
        <v>0</v>
      </c>
      <c r="AQ55" s="75" t="inlineStr">
        <is>
          <t>Agro / Revenda</t>
        </is>
      </c>
      <c r="AR55" s="75" t="inlineStr">
        <is>
          <t>Agro / Revenda</t>
        </is>
      </c>
      <c r="AS55" s="75" t="b">
        <v>0</v>
      </c>
      <c r="AT55" s="75" t="inlineStr">
        <is>
          <t>N/D</t>
        </is>
      </c>
      <c r="AU55" s="75" t="inlineStr">
        <is>
          <t>N/D</t>
        </is>
      </c>
      <c r="AV55" s="75" t="inlineStr">
        <is>
          <t>N/D</t>
        </is>
      </c>
      <c r="AW55" s="75" t="b">
        <v>0</v>
      </c>
      <c r="AX55" s="75" t="inlineStr">
        <is>
          <t>N/D</t>
        </is>
      </c>
      <c r="AY55" s="75" t="inlineStr">
        <is>
          <t>sem benchmark confiável</t>
        </is>
      </c>
      <c r="AZ55" s="144" t="inlineStr">
        <is>
          <t>N/D</t>
        </is>
      </c>
      <c r="BA55" s="75" t="b">
        <v>0</v>
      </c>
      <c r="BB55" s="145" t="n">
        <v>0</v>
      </c>
      <c r="BC55" s="143" t="n">
        <v>1000</v>
      </c>
      <c r="BD55" s="75" t="inlineStr">
        <is>
          <t>R$1.000,00</t>
        </is>
      </c>
      <c r="BE55" s="75" t="inlineStr">
        <is>
          <t>preço/valor unitário de emissão</t>
        </is>
      </c>
      <c r="BF55" s="75" t="inlineStr">
        <is>
          <t>N/D</t>
        </is>
      </c>
      <c r="BG55" s="75" t="inlineStr">
        <is>
          <t>30/09/2025</t>
        </is>
      </c>
      <c r="BH55" s="75" t="inlineStr">
        <is>
          <t>1003104</t>
        </is>
      </c>
      <c r="BI55" s="75" t="inlineStr">
        <is>
          <t>https://fnet.bmfbovespa.com.br/fnet/publico/downloadDocumento?id=1003104</t>
        </is>
      </c>
      <c r="BJ55" s="75" t="inlineStr">
        <is>
          <t>localizado documentalmente</t>
        </is>
      </c>
      <c r="BK55" s="75" t="b">
        <v>1</v>
      </c>
      <c r="BL55" s="75" t="inlineStr">
        <is>
          <t>Lavoro</t>
        </is>
      </c>
      <c r="BM55" s="75" t="inlineStr">
        <is>
          <t>cedente</t>
        </is>
      </c>
      <c r="BN55" s="75" t="inlineStr">
        <is>
          <t>N/D</t>
        </is>
      </c>
      <c r="BO55" s="75" t="inlineStr">
        <is>
          <t>Lavoro</t>
        </is>
      </c>
      <c r="BP55" s="75" t="inlineStr">
        <is>
          <t>N/D</t>
        </is>
      </c>
      <c r="BQ55" s="75" t="inlineStr">
        <is>
          <t>N/D</t>
        </is>
      </c>
      <c r="BR55" s="75" t="inlineStr">
        <is>
          <t>cedente: IMG_8705.JPG</t>
        </is>
      </c>
      <c r="BS55" s="75" t="inlineStr">
        <is>
          <t>manual_aplicado</t>
        </is>
      </c>
      <c r="BT55" s="75" t="inlineStr">
        <is>
          <t>OBS da foto: em discussão para possível migração do FIDC para risco bilateral. Denominação cortada.</t>
        </is>
      </c>
      <c r="BU55" s="75" t="inlineStr">
        <is>
          <t>1003108</t>
        </is>
      </c>
      <c r="BV55" s="75" t="inlineStr">
        <is>
          <t>2025-09-30</t>
        </is>
      </c>
      <c r="BW55" s="75" t="inlineStr">
        <is>
          <t>107; 122</t>
        </is>
      </c>
      <c r="BX55" s="75" t="inlineStr">
        <is>
          <t>revisto — mínimo júnior localizado</t>
        </is>
      </c>
      <c r="BY55" s="75" t="inlineStr">
        <is>
          <t>FundosNet/B3; documento 1003108; referência 2025-09-30; p. 107; 122</t>
        </is>
      </c>
      <c r="BZ55" s="75" t="inlineStr">
        <is>
          <t>Cotas subordinadas / PL, mínimo de 20,0%; estrutura com uma única classe residual.</t>
        </is>
      </c>
      <c r="CA55" s="75" t="inlineStr">
        <is>
          <t>PL atual; Sub/PL atual; originador; sacado/devedor; tipo de recebível</t>
        </is>
      </c>
      <c r="CB55" s="75" t="inlineStr">
        <is>
          <t>sub_pl_atual_ausente</t>
        </is>
      </c>
    </row>
    <row r="56" ht="31.5" customHeight="1">
      <c r="A56" s="74" t="n">
        <v>52</v>
      </c>
      <c r="B56" s="138" t="n">
        <v>63679792000192</v>
      </c>
      <c r="C56" s="74" t="inlineStr">
        <is>
          <t>63.679.792/0001-92</t>
        </is>
      </c>
      <c r="D56" s="74" t="inlineStr">
        <is>
          <t>BLUE HEALTH FIDC RECEBÍVEIS COMERCIAIS DE RESPONSABILIDADE LIMITADA</t>
        </is>
      </c>
      <c r="E56" s="74" t="inlineStr">
        <is>
          <t>BLUE HEALTH FIDC RECEB LTDA</t>
        </is>
      </c>
      <c r="F56" s="74" t="inlineStr">
        <is>
          <t>Carteira 101</t>
        </is>
      </c>
      <c r="G56" s="74" t="inlineStr">
        <is>
          <t>2026-06</t>
        </is>
      </c>
      <c r="H56" s="74" t="inlineStr">
        <is>
          <t>localizado</t>
        </is>
      </c>
      <c r="I56" s="139" t="n">
        <v>142173656.83</v>
      </c>
      <c r="J56" s="139" t="n">
        <v>142173397.6552933</v>
      </c>
      <c r="K56" s="139" t="n">
        <v>27430132.82988603</v>
      </c>
      <c r="L56" s="140" t="n">
        <v>0.1929340036789291</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Agro, Indústria e Comércio</t>
        </is>
      </c>
      <c r="AD56" s="74" t="inlineStr">
        <is>
          <t>Recebíveis Comerciais</t>
        </is>
      </c>
      <c r="AE56" s="74" t="inlineStr">
        <is>
          <t>Agro / Revenda</t>
        </is>
      </c>
      <c r="AF56" s="74" t="inlineStr">
        <is>
          <t>Agro / Revenda</t>
        </is>
      </c>
      <c r="AG56" s="74" t="inlineStr">
        <is>
          <t>Agro / Revenda</t>
        </is>
      </c>
      <c r="AH56" s="74" t="inlineStr">
        <is>
          <t>Risco Corporativo</t>
        </is>
      </c>
      <c r="AI56" s="74" t="inlineStr">
        <is>
          <t>Locação de equipamentos médicos</t>
        </is>
      </c>
      <c r="AJ56" s="74" t="b">
        <v>1</v>
      </c>
      <c r="AK56" s="74" t="inlineStr">
        <is>
          <t>APLICAR_ALTA</t>
        </is>
      </c>
      <c r="AL56" s="74" t="inlineStr">
        <is>
          <t>Direitos decorrem de contratos de locação de equipamentos</t>
        </is>
      </c>
      <c r="AM56" s="74" t="inlineStr">
        <is>
          <t>regulamento 1101558</t>
        </is>
      </c>
      <c r="AN56" s="74" t="inlineStr">
        <is>
          <t>Candidato</t>
        </is>
      </c>
      <c r="AO56" s="74" t="inlineStr">
        <is>
          <t>regulamento 1101558</t>
        </is>
      </c>
      <c r="AP56" s="74" t="inlineStr">
        <is>
          <t>N/D</t>
        </is>
      </c>
      <c r="AQ56" s="74" t="inlineStr">
        <is>
          <t>Risco Corporativo</t>
        </is>
      </c>
      <c r="AR56" s="74" t="inlineStr">
        <is>
          <t>Agro / Revenda</t>
        </is>
      </c>
      <c r="AS56" s="74" t="b">
        <v>1</v>
      </c>
      <c r="AT56" s="74" t="inlineStr">
        <is>
          <t>regulamento 1101558</t>
        </is>
      </c>
      <c r="AU56" s="74" t="inlineStr">
        <is>
          <t>Direitos decorrem de contratos de locação de equipamentos</t>
        </is>
      </c>
      <c r="AV56" s="74" t="inlineStr">
        <is>
          <t>15%–20%</t>
        </is>
      </c>
      <c r="AW56" s="74" t="b">
        <v>1</v>
      </c>
      <c r="AX56" s="74" t="inlineStr">
        <is>
          <t>incomparável</t>
        </is>
      </c>
      <c r="AY56" s="74" t="inlineStr">
        <is>
          <t>sem benchmark confiável</t>
        </is>
      </c>
      <c r="AZ56" s="140" t="inlineStr">
        <is>
          <t>N/D</t>
        </is>
      </c>
      <c r="BA56" s="74" t="b">
        <v>0</v>
      </c>
      <c r="BB56" s="141" t="n">
        <v>0</v>
      </c>
      <c r="BC56" s="139" t="n">
        <v>1000</v>
      </c>
      <c r="BD56" s="74" t="inlineStr">
        <is>
          <t>Cotas Seniores: R$ 1.000,00</t>
        </is>
      </c>
      <c r="BE56" s="74" t="inlineStr">
        <is>
          <t>preço/valor unitário de emissão</t>
        </is>
      </c>
      <c r="BF56" s="74" t="inlineStr">
        <is>
          <t>Cotas Seniores</t>
        </is>
      </c>
      <c r="BG56" s="74" t="inlineStr">
        <is>
          <t>18/12/2025</t>
        </is>
      </c>
      <c r="BH56" s="74" t="inlineStr">
        <is>
          <t>1066557</t>
        </is>
      </c>
      <c r="BI56" s="74" t="inlineStr">
        <is>
          <t>https://fnet.bmfbovespa.com.br/fnet/publico/downloadDocumento?id=1066557</t>
        </is>
      </c>
      <c r="BJ56" s="74" t="inlineStr">
        <is>
          <t>localizado documentalmente</t>
        </is>
      </c>
      <c r="BK56" s="74" t="b">
        <v>0</v>
      </c>
      <c r="BL56" s="74" t="inlineStr">
        <is>
          <t>Empresas do Conglomerado Blue Health</t>
        </is>
      </c>
      <c r="BM56" s="74" t="inlineStr">
        <is>
          <t>cedente</t>
        </is>
      </c>
      <c r="BN56" s="74" t="inlineStr">
        <is>
          <t>N/D</t>
        </is>
      </c>
      <c r="BO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6" s="74" t="inlineStr">
        <is>
          <t>N/D</t>
        </is>
      </c>
      <c r="BQ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6" s="74" t="inlineStr">
        <is>
          <t>cedente: https://fnet.bmfbovespa.com.br/fnet/publico/downloadDocumento?id=1101558 | tipo_recebivel: https://fnet.bmfbovespa.com.br/fnet/publico/downloadDocumento?id=1101558</t>
        </is>
      </c>
      <c r="BS56" s="74" t="inlineStr">
        <is>
          <t>manual_aplicado</t>
        </is>
      </c>
      <c r="BT56" s="74" t="inlineStr">
        <is>
          <t>OBS continua fora da foto depois da descrição legível.</t>
        </is>
      </c>
      <c r="BU56" s="74" t="inlineStr">
        <is>
          <t>1101558</t>
        </is>
      </c>
      <c r="BV56" s="74" t="inlineStr">
        <is>
          <t>2026-01-26</t>
        </is>
      </c>
      <c r="BW56" s="74" t="inlineStr">
        <is>
          <t>92</t>
        </is>
      </c>
      <c r="BX56" s="74" t="inlineStr">
        <is>
          <t>revisto — mínimo júnior localizado</t>
        </is>
      </c>
      <c r="BY56" s="74" t="inlineStr">
        <is>
          <t>FundosNet/B3; documento 1101558; referência 2026-01-26; p. 92</t>
        </is>
      </c>
      <c r="BZ56" s="74" t="inlineStr">
        <is>
          <t>Cotas júnior / PL, mínimo de 20,0%; 21,0% para amortização por excesso de cobertura.</t>
        </is>
      </c>
      <c r="CA56" s="74" t="inlineStr">
        <is>
          <t>originador; sacado/devedor</t>
        </is>
      </c>
      <c r="CB56" s="74" t="inlineStr">
        <is>
          <t>estrutura_incomparavel</t>
        </is>
      </c>
    </row>
    <row r="57" ht="31.5" customHeight="1">
      <c r="A57" s="75" t="n">
        <v>53</v>
      </c>
      <c r="B57" s="142" t="n">
        <v>42154687000160</v>
      </c>
      <c r="C57" s="75" t="inlineStr">
        <is>
          <t>42.154.687/0001-60</t>
        </is>
      </c>
      <c r="D57" s="75" t="inlineStr">
        <is>
          <t>MULTIPLIKE PLUS FUNDO DE INVESTIMENTO EM DIREITOS CREDITÓRIOS</t>
        </is>
      </c>
      <c r="E57" s="75" t="inlineStr">
        <is>
          <t>MULTIPLIKE PLUS FUNDO I D CRED</t>
        </is>
      </c>
      <c r="F57" s="75" t="inlineStr">
        <is>
          <t>Carteira 101</t>
        </is>
      </c>
      <c r="G57" s="75" t="inlineStr">
        <is>
          <t>2026-06</t>
        </is>
      </c>
      <c r="H57" s="75" t="inlineStr">
        <is>
          <t>localizado</t>
        </is>
      </c>
      <c r="I57" s="143" t="n">
        <v>2118132225.34</v>
      </c>
      <c r="J57" s="143" t="n">
        <v>2118132225.360373</v>
      </c>
      <c r="K57" s="143" t="n">
        <v>895048434.993679</v>
      </c>
      <c r="L57" s="144" t="n">
        <v>0.42256494863063</v>
      </c>
      <c r="M57" s="75" t="inlineStr">
        <is>
          <t>Calculado com classes reportadas e PL oficial reconciliado</t>
        </is>
      </c>
      <c r="N57" s="144" t="n">
        <v>0.2</v>
      </c>
      <c r="O57" s="144" t="inlineStr">
        <is>
          <t>N/D</t>
        </is>
      </c>
      <c r="P57" s="144" t="inlineStr">
        <is>
          <t>N/D</t>
        </is>
      </c>
      <c r="Q57" s="144" t="inlineStr">
        <is>
          <t>N/D</t>
        </is>
      </c>
      <c r="R57" s="144" t="inlineStr">
        <is>
          <t>N/D</t>
        </is>
      </c>
      <c r="S57" s="144" t="n">
        <v>0.2</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Financeiro</t>
        </is>
      </c>
      <c r="AD57" s="75" t="inlineStr">
        <is>
          <t>Multicarteira Financeiro</t>
        </is>
      </c>
      <c r="AE57" s="75" t="inlineStr">
        <is>
          <t>Financeiro</t>
        </is>
      </c>
      <c r="AF57" s="75" t="inlineStr">
        <is>
          <t>Financeiro</t>
        </is>
      </c>
      <c r="AG57" s="75" t="inlineStr">
        <is>
          <t>Financeiro</t>
        </is>
      </c>
      <c r="AH57" s="75" t="inlineStr">
        <is>
          <t>Financeiro</t>
        </is>
      </c>
      <c r="AI57" s="75" t="inlineStr">
        <is>
          <t>Multissetorial com predominância permitida de CCB</t>
        </is>
      </c>
      <c r="AJ57" s="75" t="b">
        <v>0</v>
      </c>
      <c r="AK57" s="75" t="inlineStr">
        <is>
          <t>MANTER_ASTERISCO</t>
        </is>
      </c>
      <c r="AL57" s="75" t="inlineStr">
        <is>
          <t>Regulamento admite vendas, serviços e CCB, que pode atingir 80%</t>
        </is>
      </c>
      <c r="AM57" s="75" t="inlineStr">
        <is>
          <t>regulamento 1223029, 100 páginas</t>
        </is>
      </c>
      <c r="AN57" s="75" t="inlineStr">
        <is>
          <t>Pendente</t>
        </is>
      </c>
      <c r="AO57" s="75" t="inlineStr">
        <is>
          <t>regulamento 1223029, 100 páginas</t>
        </is>
      </c>
      <c r="AP57" s="75" t="inlineStr">
        <is>
          <t>N/D</t>
        </is>
      </c>
      <c r="AQ57" s="75" t="inlineStr">
        <is>
          <t>Financeiro</t>
        </is>
      </c>
      <c r="AR57" s="75" t="inlineStr">
        <is>
          <t>Financeiro</t>
        </is>
      </c>
      <c r="AS57" s="75" t="b">
        <v>0</v>
      </c>
      <c r="AT57" s="75" t="inlineStr">
        <is>
          <t>N/D</t>
        </is>
      </c>
      <c r="AU57" s="75" t="inlineStr">
        <is>
          <t>N/D</t>
        </is>
      </c>
      <c r="AV57" s="75" t="inlineStr">
        <is>
          <t>35%–60%</t>
        </is>
      </c>
      <c r="AW57" s="75" t="b">
        <v>1</v>
      </c>
      <c r="AX57" s="75" t="inlineStr">
        <is>
          <t>incomparável</t>
        </is>
      </c>
      <c r="AY57" s="75" t="inlineStr">
        <is>
          <t>acima do mercado</t>
        </is>
      </c>
      <c r="AZ57" s="144" t="n">
        <v>0.1211053883493789</v>
      </c>
      <c r="BA57" s="75" t="b">
        <v>1</v>
      </c>
      <c r="BB57" s="145" t="n">
        <v>12</v>
      </c>
      <c r="BC57" s="143" t="n">
        <v>1000</v>
      </c>
      <c r="BD57" s="75" t="inlineStr">
        <is>
          <t>Cotas Subordinadas: R$ 1.000,00 | Cotas Subordinadas Júnior: R$ 1.000,00 | Cotas Subordinadas Mezanino: R$ 1.000,00</t>
        </is>
      </c>
      <c r="BE57" s="75" t="inlineStr">
        <is>
          <t>preço/valor unitário de emissão</t>
        </is>
      </c>
      <c r="BF57" s="75" t="inlineStr">
        <is>
          <t>Cotas Subordinadas | Cotas Subordinadas Júnior | Cotas Subordinadas Mezanino</t>
        </is>
      </c>
      <c r="BG57" s="75" t="inlineStr">
        <is>
          <t>2026-03-18</t>
        </is>
      </c>
      <c r="BH57" s="75" t="inlineStr">
        <is>
          <t>1140137</t>
        </is>
      </c>
      <c r="BI57" s="75" t="inlineStr">
        <is>
          <t>https://fnet.bmfbovespa.com.br/fnet/publico/downloadDocumento?id=1140137</t>
        </is>
      </c>
      <c r="BJ57" s="75" t="inlineStr">
        <is>
          <t>localizado documentalmente — múltiplos valores/classes</t>
        </is>
      </c>
      <c r="BK57" s="75" t="b">
        <v>1</v>
      </c>
      <c r="BL57" s="75" t="inlineStr">
        <is>
          <t>Multicedentes &amp; Multisacados</t>
        </is>
      </c>
      <c r="BM57" s="75" t="inlineStr">
        <is>
          <t>cedente</t>
        </is>
      </c>
      <c r="BN57" s="75" t="inlineStr">
        <is>
          <t>N/D</t>
        </is>
      </c>
      <c r="BO57" s="75" t="inlineStr">
        <is>
          <t>Multicedentes &amp; Multisacados</t>
        </is>
      </c>
      <c r="BP57" s="75" t="inlineStr">
        <is>
          <t>N/D</t>
        </is>
      </c>
      <c r="BQ57" s="75" t="inlineStr">
        <is>
          <t>FIDC MultiCedente / Multisacado</t>
        </is>
      </c>
      <c r="BR57" s="75" t="inlineStr">
        <is>
          <t>cedente: IMG_8705.JPG | tipo_recebivel: IMG_8705.JPG</t>
        </is>
      </c>
      <c r="BS57" s="75" t="inlineStr">
        <is>
          <t>manual_aplicado</t>
        </is>
      </c>
      <c r="BT57" s="75" t="inlineStr">
        <is>
          <t>Denominação cortada pela largura da coluna na foto.</t>
        </is>
      </c>
      <c r="BU57" s="75" t="inlineStr">
        <is>
          <t>1223029</t>
        </is>
      </c>
      <c r="BV57" s="75" t="inlineStr">
        <is>
          <t>2026-06-08</t>
        </is>
      </c>
      <c r="BW57" s="75" t="inlineStr">
        <is>
          <t>54</t>
        </is>
      </c>
      <c r="BX57" s="75" t="inlineStr">
        <is>
          <t>revisto — mínimo júnior calculado de cláusulas contratuais</t>
        </is>
      </c>
      <c r="BY57" s="75" t="inlineStr">
        <is>
          <t>FundosNet/B3; documento 1223029; referência 2026-06-08; p. 54</t>
        </is>
      </c>
      <c r="BZ57" s="75" t="inlineStr">
        <is>
          <t>Mínimo júnior calculado: subordinadas = 40,0% do PL e júnior = 50,0% das subordinadas.</t>
        </is>
      </c>
      <c r="CA57" s="75" t="inlineStr">
        <is>
          <t>originador; sacado/devedor</t>
        </is>
      </c>
      <c r="CB57" s="75" t="inlineStr">
        <is>
          <t>estrutura_incomparavel</t>
        </is>
      </c>
    </row>
    <row r="58" ht="31.5" customHeight="1">
      <c r="A58" s="74" t="n">
        <v>54</v>
      </c>
      <c r="B58" s="138" t="n">
        <v>48946335000123</v>
      </c>
      <c r="C58" s="74" t="inlineStr">
        <is>
          <t>48.946.335/0001-23</t>
        </is>
      </c>
      <c r="D58" s="74" t="inlineStr">
        <is>
          <t>NAGRO OIKOS FUNDO DE INVESTIMENTO NAS CADEIAS PRODUTIVAS DO AGRONEGÓCIO</t>
        </is>
      </c>
      <c r="E58" s="74" t="inlineStr">
        <is>
          <t>NAGRO OIKOS FIAGRO FUNDO DE INVESTIMENTO EM DIREI</t>
        </is>
      </c>
      <c r="F58" s="74" t="inlineStr">
        <is>
          <t>Carteira 101</t>
        </is>
      </c>
      <c r="G58" s="74" t="inlineStr">
        <is>
          <t>2026-06</t>
        </is>
      </c>
      <c r="H58" s="74" t="inlineStr">
        <is>
          <t>localizado</t>
        </is>
      </c>
      <c r="I58" s="139" t="inlineStr">
        <is>
          <t>N/D</t>
        </is>
      </c>
      <c r="J58" s="139" t="inlineStr">
        <is>
          <t>N/D</t>
        </is>
      </c>
      <c r="K58" s="139" t="inlineStr">
        <is>
          <t>N/D</t>
        </is>
      </c>
      <c r="L58" s="140" t="inlineStr">
        <is>
          <t>N/D</t>
        </is>
      </c>
      <c r="M58" s="74" t="inlineStr">
        <is>
          <t>PL oficial ausente em 2026-06</t>
        </is>
      </c>
      <c r="N58" s="140" t="n">
        <v>0.1</v>
      </c>
      <c r="O58" s="140" t="inlineStr">
        <is>
          <t>N/D</t>
        </is>
      </c>
      <c r="P58" s="140" t="inlineStr">
        <is>
          <t>N/D</t>
        </is>
      </c>
      <c r="Q58" s="140" t="inlineStr">
        <is>
          <t>N/D</t>
        </is>
      </c>
      <c r="R58" s="140" t="inlineStr">
        <is>
          <t>N/D</t>
        </is>
      </c>
      <c r="S58" s="140" t="n">
        <v>0.1</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Recebíveis Comerciais</t>
        </is>
      </c>
      <c r="AE58" s="74" t="inlineStr">
        <is>
          <t>Agro / Revenda</t>
        </is>
      </c>
      <c r="AF58" s="74" t="inlineStr">
        <is>
          <t>Agro / Revenda</t>
        </is>
      </c>
      <c r="AG58" s="74" t="inlineStr">
        <is>
          <t>Agro / Revenda</t>
        </is>
      </c>
      <c r="AH58" s="74" t="inlineStr">
        <is>
          <t>Agro / Revenda</t>
        </is>
      </c>
      <c r="AI58" s="74" t="inlineStr">
        <is>
          <t>Multicedente FIAGRO, lastro específico pendente</t>
        </is>
      </c>
      <c r="AJ58" s="74" t="b">
        <v>0</v>
      </c>
      <c r="AK58" s="74" t="inlineStr">
        <is>
          <t>PENDENTE_DOCUMENTAL</t>
        </is>
      </c>
      <c r="AL58" s="74" t="inlineStr">
        <is>
          <t>Tipo e devedor não localizados</t>
        </is>
      </c>
      <c r="AM58" s="74" t="inlineStr">
        <is>
          <t>IMG_8705 + regulamento 1000248</t>
        </is>
      </c>
      <c r="AN58" s="74" t="inlineStr">
        <is>
          <t>Pendente</t>
        </is>
      </c>
      <c r="AO58" s="74" t="inlineStr">
        <is>
          <t>IMG_8705 + regulamento 1000248</t>
        </is>
      </c>
      <c r="AP58" s="74" t="inlineStr">
        <is>
          <t>N/D</t>
        </is>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Subordinadas Júnior: R$ 1.000,00 | Cotas Subordinadas mezanino: R$ 1.000,00</t>
        </is>
      </c>
      <c r="BE58" s="74" t="inlineStr">
        <is>
          <t>preço/valor unitário de emissão</t>
        </is>
      </c>
      <c r="BF58" s="74" t="inlineStr">
        <is>
          <t>Cotas Subordinadas Júnior | Cotas Subordinadas mezanino</t>
        </is>
      </c>
      <c r="BG58" s="74" t="inlineStr">
        <is>
          <t>29/09/2025</t>
        </is>
      </c>
      <c r="BH58" s="74" t="inlineStr">
        <is>
          <t>1000248</t>
        </is>
      </c>
      <c r="BI58" s="74" t="inlineStr">
        <is>
          <t>https://fnet.bmfbovespa.com.br/fnet/publico/downloadDocumento?id=1000248</t>
        </is>
      </c>
      <c r="BJ58" s="74" t="inlineStr">
        <is>
          <t>localizado documentalmente — múltiplos valores/classes</t>
        </is>
      </c>
      <c r="BK58" s="74" t="b">
        <v>1</v>
      </c>
      <c r="BL58" s="74" t="inlineStr">
        <is>
          <t>Multicedentes</t>
        </is>
      </c>
      <c r="BM58" s="74" t="inlineStr">
        <is>
          <t>cedente</t>
        </is>
      </c>
      <c r="BN58" s="74" t="inlineStr">
        <is>
          <t>N/D</t>
        </is>
      </c>
      <c r="BO58" s="74" t="inlineStr">
        <is>
          <t>Multicedentes</t>
        </is>
      </c>
      <c r="BP58" s="74" t="inlineStr">
        <is>
          <t>N/D</t>
        </is>
      </c>
      <c r="BQ58" s="74" t="inlineStr">
        <is>
          <t>N/D</t>
        </is>
      </c>
      <c r="BR58" s="74" t="inlineStr">
        <is>
          <t>cedente: IMG_8705.JPG</t>
        </is>
      </c>
      <c r="BS58" s="74" t="inlineStr">
        <is>
          <t>manual_aplicado</t>
        </is>
      </c>
      <c r="BT58" s="74" t="inlineStr">
        <is>
          <t>OBS da foto: análise NAGRO. Denominação cortada.</t>
        </is>
      </c>
      <c r="BU58" s="74" t="inlineStr">
        <is>
          <t>1000248</t>
        </is>
      </c>
      <c r="BV58" s="74" t="inlineStr">
        <is>
          <t>2025-09-29</t>
        </is>
      </c>
      <c r="BW58" s="74" t="inlineStr">
        <is>
          <t>57</t>
        </is>
      </c>
      <c r="BX58" s="74" t="inlineStr">
        <is>
          <t>revisto — mínimo júnior localizado</t>
        </is>
      </c>
      <c r="BY58" s="74" t="inlineStr">
        <is>
          <t>FundosNet/B3; documento 1000248; referência 2025-09-29; p. 57</t>
        </is>
      </c>
      <c r="BZ58" s="74" t="inlineStr">
        <is>
          <t>Cotas júnior A e B / PL, mínimo de 10,0%.</t>
        </is>
      </c>
      <c r="CA58" s="74" t="inlineStr">
        <is>
          <t>PL atual; Sub/PL atual; originador; sacado/devedor; tipo de recebível</t>
        </is>
      </c>
      <c r="CB58" s="74" t="inlineStr">
        <is>
          <t>sub_pl_atual_ausente</t>
        </is>
      </c>
    </row>
    <row r="59" ht="31.5" customHeight="1">
      <c r="A59" s="75" t="n">
        <v>55</v>
      </c>
      <c r="B59" s="142" t="n">
        <v>55374251000128</v>
      </c>
      <c r="C59" s="75" t="inlineStr">
        <is>
          <t>55.374.251/0001-28</t>
        </is>
      </c>
      <c r="D59" s="75" t="inlineStr">
        <is>
          <t>FUNDO DE INVESTIMENTO EM DIREITOS CREDITÓRIOS BLUE II SEGMENTO CRÉDITO CORPORATIVO DE RESP LTDA</t>
        </is>
      </c>
      <c r="E59" s="75" t="inlineStr">
        <is>
          <t>FUNDO DE INVESTIMENTO EM DIREITOS CREDITORIOS BLUE</t>
        </is>
      </c>
      <c r="F59" s="75" t="inlineStr">
        <is>
          <t>Carteira 101</t>
        </is>
      </c>
      <c r="G59" s="75" t="inlineStr">
        <is>
          <t>2026-06</t>
        </is>
      </c>
      <c r="H59" s="75" t="inlineStr">
        <is>
          <t>localizado</t>
        </is>
      </c>
      <c r="I59" s="143" t="n">
        <v>43984629.1</v>
      </c>
      <c r="J59" s="143" t="n">
        <v>0</v>
      </c>
      <c r="K59" s="143" t="n">
        <v>0</v>
      </c>
      <c r="L59" s="144" t="inlineStr">
        <is>
          <t>N/D</t>
        </is>
      </c>
      <c r="M59" s="75" t="inlineStr">
        <is>
          <t>classes de cotas ausentes em 2026-06</t>
        </is>
      </c>
      <c r="N59" s="144" t="n">
        <v>0.05</v>
      </c>
      <c r="O59" s="144" t="inlineStr">
        <is>
          <t>N/D</t>
        </is>
      </c>
      <c r="P59" s="144" t="inlineStr">
        <is>
          <t>N/D</t>
        </is>
      </c>
      <c r="Q59" s="144" t="inlineStr">
        <is>
          <t>N/D</t>
        </is>
      </c>
      <c r="R59" s="144" t="inlineStr">
        <is>
          <t>N/D</t>
        </is>
      </c>
      <c r="S59" s="144" t="n">
        <v>0.05</v>
      </c>
      <c r="T59" s="75" t="inlineStr">
        <is>
          <t>N/D</t>
        </is>
      </c>
      <c r="U59" s="75" t="inlineStr">
        <is>
          <t>junior_pl</t>
        </is>
      </c>
      <c r="V59" s="75" t="inlineStr">
        <is>
          <t>direto no regulamento</t>
        </is>
      </c>
      <c r="W59" s="75" t="b">
        <v>0</v>
      </c>
      <c r="X59" s="75" t="inlineStr">
        <is>
          <t>Mínimo júnior isolado; a subordinação atual disponível agrega todas as classes subordinadas.</t>
        </is>
      </c>
      <c r="Y59" s="75" t="b">
        <v>0</v>
      </c>
      <c r="Z59" s="144" t="inlineStr">
        <is>
          <t>N/D</t>
        </is>
      </c>
      <c r="AA59" s="144" t="inlineStr">
        <is>
          <t>N/D</t>
        </is>
      </c>
      <c r="AB59" s="75" t="inlineStr">
        <is>
          <t>não medido</t>
        </is>
      </c>
      <c r="AC59" s="75" t="inlineStr">
        <is>
          <t>Agro, Indústria e Comércio</t>
        </is>
      </c>
      <c r="AD59" s="75" t="inlineStr">
        <is>
          <t>Crédito Corporativo</t>
        </is>
      </c>
      <c r="AE59" s="75" t="inlineStr">
        <is>
          <t>Agro / Revenda</t>
        </is>
      </c>
      <c r="AF59" s="75" t="inlineStr">
        <is>
          <t>Agro / Revenda</t>
        </is>
      </c>
      <c r="AG59" s="75" t="inlineStr">
        <is>
          <t>Agro / Revenda</t>
        </is>
      </c>
      <c r="AH59" s="75" t="inlineStr">
        <is>
          <t>Agro / Revenda</t>
        </is>
      </c>
      <c r="AI59" s="75" t="inlineStr">
        <is>
          <t>Debênture / risco Azul</t>
        </is>
      </c>
      <c r="AJ59" s="75" t="b">
        <v>0</v>
      </c>
      <c r="AK59" s="75" t="inlineStr">
        <is>
          <t>PENDENTE_FONTE_PRIMARIA</t>
        </is>
      </c>
      <c r="AL59" s="75" t="inlineStr">
        <is>
          <t>Instrumento e risco constam somente na planilha</t>
        </is>
      </c>
      <c r="AM59" s="75" t="inlineStr">
        <is>
          <t>IMG_8705</t>
        </is>
      </c>
      <c r="AN59" s="75" t="inlineStr">
        <is>
          <t>Não</t>
        </is>
      </c>
      <c r="AO59" s="75" t="inlineStr">
        <is>
          <t>IMG_8705</t>
        </is>
      </c>
      <c r="AP59" s="75" t="b">
        <v>0</v>
      </c>
      <c r="AQ59" s="75" t="inlineStr">
        <is>
          <t>Agro / Revenda</t>
        </is>
      </c>
      <c r="AR59" s="75" t="inlineStr">
        <is>
          <t>Agro / Revenda</t>
        </is>
      </c>
      <c r="AS59" s="75" t="b">
        <v>0</v>
      </c>
      <c r="AT59" s="75" t="inlineStr">
        <is>
          <t>N/D</t>
        </is>
      </c>
      <c r="AU59" s="75" t="inlineStr">
        <is>
          <t>N/D</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 | Cotas Subordinadas Júnior: R$ 1.000,00 | Cotas Subordinadas Mezanino: R$ 1.000,00</t>
        </is>
      </c>
      <c r="BE59" s="75" t="inlineStr">
        <is>
          <t>preço/valor unitário de emissão</t>
        </is>
      </c>
      <c r="BF59" s="75" t="inlineStr">
        <is>
          <t>Cotas Seniores | Cotas Subordinadas Júnior | Cotas Subordinadas Mezanino</t>
        </is>
      </c>
      <c r="BG59" s="75" t="inlineStr">
        <is>
          <t>25/06/2024</t>
        </is>
      </c>
      <c r="BH59" s="75" t="inlineStr">
        <is>
          <t>686750</t>
        </is>
      </c>
      <c r="BI59" s="75" t="inlineStr">
        <is>
          <t>https://fnet.bmfbovespa.com.br/fnet/publico/downloadDocumento?id=686750</t>
        </is>
      </c>
      <c r="BJ59" s="75" t="inlineStr">
        <is>
          <t>localizado documentalmente — múltiplos valores/classes</t>
        </is>
      </c>
      <c r="BK59" s="75" t="b">
        <v>1</v>
      </c>
      <c r="BL59" s="75" t="inlineStr">
        <is>
          <t>Azul</t>
        </is>
      </c>
      <c r="BM59" s="75" t="inlineStr">
        <is>
          <t>cedente</t>
        </is>
      </c>
      <c r="BN59" s="75" t="inlineStr">
        <is>
          <t>N/D</t>
        </is>
      </c>
      <c r="BO59" s="75" t="inlineStr">
        <is>
          <t>Azul</t>
        </is>
      </c>
      <c r="BP59" s="75" t="inlineStr">
        <is>
          <t>N/D</t>
        </is>
      </c>
      <c r="BQ59" s="75" t="inlineStr">
        <is>
          <t>Debênture</t>
        </is>
      </c>
      <c r="BR59" s="75" t="inlineStr">
        <is>
          <t>cedente: IMG_8705.JPG | tipo_recebivel: IMG_8705.JPG</t>
        </is>
      </c>
      <c r="BS59" s="75" t="inlineStr">
        <is>
          <t>manual_aplicado</t>
        </is>
      </c>
      <c r="BT59" s="75" t="inlineStr">
        <is>
          <t>OBS da foto: Book Special Sits; risco de repagamento Azul com 40% de subordinação.</t>
        </is>
      </c>
      <c r="BU59" s="75" t="inlineStr">
        <is>
          <t>686750</t>
        </is>
      </c>
      <c r="BV59" s="75" t="inlineStr">
        <is>
          <t>2024-06-25</t>
        </is>
      </c>
      <c r="BW59" s="75" t="inlineStr">
        <is>
          <t>61</t>
        </is>
      </c>
      <c r="BX59" s="75" t="inlineStr">
        <is>
          <t>revisto — mínimo júnior localizado</t>
        </is>
      </c>
      <c r="BY59" s="75" t="inlineStr">
        <is>
          <t>FundosNet/B3; documento 686750; referência 2024-06-25; p. 61</t>
        </is>
      </c>
      <c r="BZ59" s="75" t="inlineStr">
        <is>
          <t>Índice de Subordinação Mezanino II: cotas júnior / PL, mínimo de 5,0%.</t>
        </is>
      </c>
      <c r="CA59" s="75" t="inlineStr">
        <is>
          <t>Sub/PL atual; originador; sacado/devedor</t>
        </is>
      </c>
      <c r="CB59" s="75" t="inlineStr">
        <is>
          <t>sub_pl_atual_ausente</t>
        </is>
      </c>
    </row>
    <row r="60" ht="31.5" customHeight="1">
      <c r="A60" s="74" t="n">
        <v>56</v>
      </c>
      <c r="B60" s="138" t="n">
        <v>35868110000154</v>
      </c>
      <c r="C60" s="74" t="inlineStr">
        <is>
          <t>35.868.110/0001-54</t>
        </is>
      </c>
      <c r="D60" s="74" t="inlineStr">
        <is>
          <t>FUNDO DE INVESTIMENTO EM DIREITOS CREDITÓRIOS BV - CRÉDITO DE VEÍCULOS RESPONSABILIDADE LIMITADA</t>
        </is>
      </c>
      <c r="E60" s="74" t="inlineStr">
        <is>
          <t>FUNDO DE INVESTIMENTO EM DIREITOS CREDITORIOS BV</t>
        </is>
      </c>
      <c r="F60" s="74" t="inlineStr">
        <is>
          <t>Carteira 101</t>
        </is>
      </c>
      <c r="G60" s="74" t="inlineStr">
        <is>
          <t>2026-06</t>
        </is>
      </c>
      <c r="H60" s="74" t="inlineStr">
        <is>
          <t>localizado</t>
        </is>
      </c>
      <c r="I60" s="139" t="inlineStr">
        <is>
          <t>N/D</t>
        </is>
      </c>
      <c r="J60" s="139" t="inlineStr">
        <is>
          <t>N/D</t>
        </is>
      </c>
      <c r="K60" s="139" t="inlineStr">
        <is>
          <t>N/D</t>
        </is>
      </c>
      <c r="L60" s="140" t="inlineStr">
        <is>
          <t>N/D</t>
        </is>
      </c>
      <c r="M60" s="74" t="inlineStr">
        <is>
          <t>PL oficial ausente em 2026-06</t>
        </is>
      </c>
      <c r="N60" s="140" t="n">
        <v>0.25</v>
      </c>
      <c r="O60" s="140" t="inlineStr">
        <is>
          <t>N/D</t>
        </is>
      </c>
      <c r="P60" s="140" t="inlineStr">
        <is>
          <t>N/D</t>
        </is>
      </c>
      <c r="Q60" s="140" t="n">
        <v>0.25</v>
      </c>
      <c r="R60" s="140" t="inlineStr">
        <is>
          <t>N/D</t>
        </is>
      </c>
      <c r="S60" s="140" t="n">
        <v>0.25</v>
      </c>
      <c r="T60" s="74" t="inlineStr">
        <is>
          <t>25,0%</t>
        </is>
      </c>
      <c r="U60" s="74" t="inlineStr">
        <is>
          <t>junior_pl</t>
        </is>
      </c>
      <c r="V60" s="74" t="inlineStr">
        <is>
          <t>direto no regulamento</t>
        </is>
      </c>
      <c r="W60" s="74" t="b">
        <v>1</v>
      </c>
      <c r="X60" s="74" t="inlineStr">
        <is>
          <t>Estrutura com uma única classe subordinada; métrica atual e piso usam o total subordinado sobre o PL.</t>
        </is>
      </c>
      <c r="Y60" s="74" t="b">
        <v>0</v>
      </c>
      <c r="Z60" s="140" t="inlineStr">
        <is>
          <t>N/D</t>
        </is>
      </c>
      <c r="AA60" s="140" t="inlineStr">
        <is>
          <t>N/D</t>
        </is>
      </c>
      <c r="AB60" s="74" t="inlineStr">
        <is>
          <t>não medido</t>
        </is>
      </c>
      <c r="AC60" s="74" t="inlineStr">
        <is>
          <t>Financeiro</t>
        </is>
      </c>
      <c r="AD60" s="74" t="inlineStr">
        <is>
          <t>Financiamento de Veículos</t>
        </is>
      </c>
      <c r="AE60" s="74" t="inlineStr">
        <is>
          <t>Veículos</t>
        </is>
      </c>
      <c r="AF60" s="74" t="inlineStr">
        <is>
          <t>Veículos</t>
        </is>
      </c>
      <c r="AG60" s="74" t="inlineStr">
        <is>
          <t>N/D</t>
        </is>
      </c>
      <c r="AH60" s="74" t="inlineStr">
        <is>
          <t>N/D</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N/D</t>
        </is>
      </c>
      <c r="AR60" s="74" t="inlineStr">
        <is>
          <t>N/D</t>
        </is>
      </c>
      <c r="AS60" s="74" t="b">
        <v>0</v>
      </c>
      <c r="AT60" s="74" t="inlineStr">
        <is>
          <t>N/D</t>
        </is>
      </c>
      <c r="AU60" s="74" t="inlineStr">
        <is>
          <t>N/D</t>
        </is>
      </c>
      <c r="AV60" s="74" t="inlineStr">
        <is>
          <t>N/D</t>
        </is>
      </c>
      <c r="AW60" s="74" t="b">
        <v>0</v>
      </c>
      <c r="AX60" s="74" t="inlineStr">
        <is>
          <t>N/D</t>
        </is>
      </c>
      <c r="AY60" s="74" t="inlineStr">
        <is>
          <t>sem benchmark confiável</t>
        </is>
      </c>
      <c r="AZ60" s="140" t="inlineStr">
        <is>
          <t>N/D</t>
        </is>
      </c>
      <c r="BA60" s="74" t="b">
        <v>1</v>
      </c>
      <c r="BB60" s="141" t="n">
        <v>8</v>
      </c>
      <c r="BC60" s="139" t="inlineStr">
        <is>
          <t>N/D</t>
        </is>
      </c>
      <c r="BD60" s="74" t="inlineStr">
        <is>
          <t>N/D</t>
        </is>
      </c>
      <c r="BE60" s="74" t="inlineStr">
        <is>
          <t>N/D</t>
        </is>
      </c>
      <c r="BF60" s="74" t="inlineStr">
        <is>
          <t>N/D</t>
        </is>
      </c>
      <c r="BG60" s="74" t="inlineStr">
        <is>
          <t>N/D</t>
        </is>
      </c>
      <c r="BH60" s="74" t="inlineStr">
        <is>
          <t>N/D</t>
        </is>
      </c>
      <c r="BI60" s="74" t="inlineStr">
        <is>
          <t>N/D</t>
        </is>
      </c>
      <c r="BJ60" s="74" t="inlineStr">
        <is>
          <t>não localizado</t>
        </is>
      </c>
      <c r="BK60" s="74" t="b">
        <v>0</v>
      </c>
      <c r="BL60" s="74" t="inlineStr">
        <is>
          <t>Banco Votorantim</t>
        </is>
      </c>
      <c r="BM60" s="74" t="inlineStr">
        <is>
          <t>cedente</t>
        </is>
      </c>
      <c r="BN60" s="74" t="inlineStr">
        <is>
          <t>N/D</t>
        </is>
      </c>
      <c r="BO60" s="74" t="inlineStr">
        <is>
          <t>Banco Votorantim</t>
        </is>
      </c>
      <c r="BP60" s="74" t="inlineStr">
        <is>
          <t>N/D</t>
        </is>
      </c>
      <c r="BQ60" s="74" t="inlineStr">
        <is>
          <t>Carteira Veículos com coobrigação BV</t>
        </is>
      </c>
      <c r="BR60" s="74" t="inlineStr">
        <is>
          <t>cedente: IMG_8705.JPG | tipo_recebivel: IMG_8705.JPG</t>
        </is>
      </c>
      <c r="BS60" s="74" t="inlineStr">
        <is>
          <t>manual_aplicado</t>
        </is>
      </c>
      <c r="BT60" s="74" t="inlineStr">
        <is>
          <t>N/D</t>
        </is>
      </c>
      <c r="BU60" s="74" t="inlineStr">
        <is>
          <t>792021</t>
        </is>
      </c>
      <c r="BV60" s="74" t="inlineStr">
        <is>
          <t>2024-11-27</t>
        </is>
      </c>
      <c r="BW60" s="74" t="inlineStr">
        <is>
          <t>48</t>
        </is>
      </c>
      <c r="BX60" s="74" t="inlineStr">
        <is>
          <t>revisto — mínimo júnior localizado</t>
        </is>
      </c>
      <c r="BY60" s="74" t="inlineStr">
        <is>
          <t>FundosNet/B3; documento 792021; referência 2024-11-27; p. 48</t>
        </is>
      </c>
      <c r="BZ60" s="74" t="inlineStr">
        <is>
          <t>Cotas subordinadas / PL, mínimo de 25,0%; estrutura com uma única classe residual.</t>
        </is>
      </c>
      <c r="CA60" s="74" t="inlineStr">
        <is>
          <t>PL atual; Sub/PL atual; preço unitário da cota; originador; sacado/devedor</t>
        </is>
      </c>
      <c r="CB60" s="74" t="inlineStr">
        <is>
          <t>sub_pl_atual_ausente</t>
        </is>
      </c>
    </row>
    <row r="61" ht="31.5" customHeight="1">
      <c r="A61" s="75" t="n">
        <v>57</v>
      </c>
      <c r="B61" s="142" t="n">
        <v>48953864000154</v>
      </c>
      <c r="C61" s="75" t="inlineStr">
        <is>
          <t>48.953.864/0001-54</t>
        </is>
      </c>
      <c r="D61" s="75" t="inlineStr">
        <is>
          <t>FUNDO DE INVESTIMENTO EM DIREITOS CREDITORIOS ASAAS II - RESPONSABILIDADE LIMITADA</t>
        </is>
      </c>
      <c r="E61" s="75" t="inlineStr">
        <is>
          <t>FUNDO INVESTIMENTO E D C A II</t>
        </is>
      </c>
      <c r="F61" s="75" t="inlineStr">
        <is>
          <t>Carteira 101</t>
        </is>
      </c>
      <c r="G61" s="75" t="inlineStr">
        <is>
          <t>2026-06</t>
        </is>
      </c>
      <c r="H61" s="75" t="inlineStr">
        <is>
          <t>localizado</t>
        </is>
      </c>
      <c r="I61" s="143" t="inlineStr">
        <is>
          <t>N/D</t>
        </is>
      </c>
      <c r="J61" s="143" t="inlineStr">
        <is>
          <t>N/D</t>
        </is>
      </c>
      <c r="K61" s="143" t="inlineStr">
        <is>
          <t>N/D</t>
        </is>
      </c>
      <c r="L61" s="144" t="inlineStr">
        <is>
          <t>N/D</t>
        </is>
      </c>
      <c r="M61" s="75" t="inlineStr">
        <is>
          <t>PL oficial ausente em 2026-06</t>
        </is>
      </c>
      <c r="N61" s="144" t="n">
        <v>0.15</v>
      </c>
      <c r="O61" s="144" t="inlineStr">
        <is>
          <t>N/D</t>
        </is>
      </c>
      <c r="P61" s="144" t="inlineStr">
        <is>
          <t>N/D</t>
        </is>
      </c>
      <c r="Q61" s="144" t="n">
        <v>0.15</v>
      </c>
      <c r="R61" s="144" t="inlineStr">
        <is>
          <t>N/D</t>
        </is>
      </c>
      <c r="S61" s="144" t="n">
        <v>0.15</v>
      </c>
      <c r="T61" s="75" t="inlineStr">
        <is>
          <t>15,0%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inlineStr">
        <is>
          <t>N/D</t>
        </is>
      </c>
      <c r="AA61" s="144" t="inlineStr">
        <is>
          <t>N/D</t>
        </is>
      </c>
      <c r="AB61" s="75" t="inlineStr">
        <is>
          <t>não medido</t>
        </is>
      </c>
      <c r="AC61" s="75" t="inlineStr">
        <is>
          <t>Agro, Indústria e Comércio</t>
        </is>
      </c>
      <c r="AD61" s="75" t="inlineStr">
        <is>
          <t>N/D</t>
        </is>
      </c>
      <c r="AE61" s="75" t="inlineStr">
        <is>
          <t>Agro / Revenda</t>
        </is>
      </c>
      <c r="AF61" s="75" t="inlineStr">
        <is>
          <t>Agro / Revenda</t>
        </is>
      </c>
      <c r="AG61" s="75" t="inlineStr">
        <is>
          <t>Agro / Revenda</t>
        </is>
      </c>
      <c r="AH61" s="75" t="inlineStr">
        <is>
          <t>Adquirência</t>
        </is>
      </c>
      <c r="AI61" s="75" t="inlineStr">
        <is>
          <t>URs de transações de pagamento Asaas</t>
        </is>
      </c>
      <c r="AJ61" s="75" t="b">
        <v>1</v>
      </c>
      <c r="AK61" s="75" t="inlineStr">
        <is>
          <t>APLICAR_ALTA</t>
        </is>
      </c>
      <c r="AL61" s="75" t="inlineStr">
        <is>
          <t>Cedente é subcredenciadora e lastro são URs registradas</t>
        </is>
      </c>
      <c r="AM61" s="75" t="inlineStr">
        <is>
          <t>regulamento 473796</t>
        </is>
      </c>
      <c r="AN61" s="75" t="inlineStr">
        <is>
          <t>Não</t>
        </is>
      </c>
      <c r="AO61" s="75" t="inlineStr">
        <is>
          <t>regulamento 473796</t>
        </is>
      </c>
      <c r="AP61" s="75" t="b">
        <v>0</v>
      </c>
      <c r="AQ61" s="75" t="inlineStr">
        <is>
          <t>Adquirência</t>
        </is>
      </c>
      <c r="AR61" s="75" t="inlineStr">
        <is>
          <t>Agro / Revenda</t>
        </is>
      </c>
      <c r="AS61" s="75" t="b">
        <v>1</v>
      </c>
      <c r="AT61" s="75" t="inlineStr">
        <is>
          <t>regulamento 473796</t>
        </is>
      </c>
      <c r="AU61" s="75" t="inlineStr">
        <is>
          <t>Cedente é subcredenciadora e lastro são URs registradas</t>
        </is>
      </c>
      <c r="AV61" s="75" t="inlineStr">
        <is>
          <t>N/D</t>
        </is>
      </c>
      <c r="AW61" s="75" t="b">
        <v>0</v>
      </c>
      <c r="AX61" s="75" t="inlineStr">
        <is>
          <t>N/D</t>
        </is>
      </c>
      <c r="AY61" s="75" t="inlineStr">
        <is>
          <t>sem benchmark confiável</t>
        </is>
      </c>
      <c r="AZ61" s="144" t="inlineStr">
        <is>
          <t>N/D</t>
        </is>
      </c>
      <c r="BA61" s="75" t="b">
        <v>0</v>
      </c>
      <c r="BB61" s="145" t="n">
        <v>0</v>
      </c>
      <c r="BC61" s="143" t="n">
        <v>1000</v>
      </c>
      <c r="BD61" s="75" t="inlineStr">
        <is>
          <t>Cotas Seniores: R$1.000,00</t>
        </is>
      </c>
      <c r="BE61" s="75" t="inlineStr">
        <is>
          <t>valor nominal unitário (VNU)</t>
        </is>
      </c>
      <c r="BF61" s="75" t="inlineStr">
        <is>
          <t>Cotas Seniores</t>
        </is>
      </c>
      <c r="BG61" s="75" t="inlineStr">
        <is>
          <t>01/06/2023</t>
        </is>
      </c>
      <c r="BH61" s="75" t="inlineStr">
        <is>
          <t>473796</t>
        </is>
      </c>
      <c r="BI61" s="75" t="inlineStr">
        <is>
          <t>https://fnet.bmfbovespa.com.br/fnet/publico/downloadDocumento?id=473796</t>
        </is>
      </c>
      <c r="BJ61" s="75" t="inlineStr">
        <is>
          <t>localizado documentalmente</t>
        </is>
      </c>
      <c r="BK61" s="75" t="b">
        <v>0</v>
      </c>
      <c r="BL61" s="75" t="inlineStr">
        <is>
          <t>Asaas IP</t>
        </is>
      </c>
      <c r="BM61" s="75" t="inlineStr">
        <is>
          <t>cedente</t>
        </is>
      </c>
      <c r="BN61" s="75" t="inlineStr">
        <is>
          <t>N/D</t>
        </is>
      </c>
      <c r="BO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61" s="75" t="inlineStr">
        <is>
          <t>N/D</t>
        </is>
      </c>
      <c r="BQ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61" s="75" t="inlineStr">
        <is>
          <t>cedente: https://fnet.bmfbovespa.com.br/fnet/publico/downloadDocumento?id=473796 | tipo_recebivel: https://fnet.bmfbovespa.com.br/fnet/publico/downloadDocumento?id=473796</t>
        </is>
      </c>
      <c r="BS61" s="75" t="inlineStr">
        <is>
          <t>manual_aplicado</t>
        </is>
      </c>
      <c r="BT61" s="75" t="inlineStr">
        <is>
          <t>N/D</t>
        </is>
      </c>
      <c r="BU61" s="75" t="inlineStr">
        <is>
          <t>774314</t>
        </is>
      </c>
      <c r="BV61" s="75" t="inlineStr">
        <is>
          <t>2024-11-05</t>
        </is>
      </c>
      <c r="BW61" s="75" t="inlineStr">
        <is>
          <t>33; 107</t>
        </is>
      </c>
      <c r="BX61" s="75" t="inlineStr">
        <is>
          <t>revisto — mínimo júnior localizado</t>
        </is>
      </c>
      <c r="BY61" s="75" t="inlineStr">
        <is>
          <t>FundosNet/B3; documento 774314; referência 2024-11-05; p. 33; 107</t>
        </is>
      </c>
      <c r="BZ61" s="75" t="inlineStr">
        <is>
          <t>Cotas subordinadas / PL, mínimo de 15,0%; estrutura com uma única classe residual.</t>
        </is>
      </c>
      <c r="CA61" s="75" t="inlineStr">
        <is>
          <t>PL atual; Sub/PL atual; originador; sacado/devedor</t>
        </is>
      </c>
      <c r="CB61" s="75" t="inlineStr">
        <is>
          <t>sub_pl_atual_ausente</t>
        </is>
      </c>
    </row>
    <row r="62" ht="31.5" customHeight="1">
      <c r="A62" s="74" t="n">
        <v>58</v>
      </c>
      <c r="B62" s="138" t="n">
        <v>65976848000104</v>
      </c>
      <c r="C62" s="74" t="inlineStr">
        <is>
          <t>65.976.848/0001-04</t>
        </is>
      </c>
      <c r="D62" s="74" t="inlineStr">
        <is>
          <t>FUNDO DE INVESTIMENTO EM DIREITOS CREDITÓRIOS AGIBANK II RESPONSABILIDADE LIMITADA</t>
        </is>
      </c>
      <c r="E62" s="74" t="inlineStr">
        <is>
          <t>FUNDO DE INVESTIMENTO EM DIREITOS CREDITORIOS AGIBANK II</t>
        </is>
      </c>
      <c r="F62" s="74" t="inlineStr">
        <is>
          <t>Carteira 101</t>
        </is>
      </c>
      <c r="G62" s="74" t="inlineStr">
        <is>
          <t>2026-06</t>
        </is>
      </c>
      <c r="H62" s="74" t="inlineStr">
        <is>
          <t>localizado</t>
        </is>
      </c>
      <c r="I62" s="139" t="n">
        <v>2967229777.92</v>
      </c>
      <c r="J62" s="139" t="n">
        <v>2967229777.923489</v>
      </c>
      <c r="K62" s="139" t="n">
        <v>451533526.1001992</v>
      </c>
      <c r="L62" s="140" t="n">
        <v>0.1521734277069435</v>
      </c>
      <c r="M62" s="74" t="inlineStr">
        <is>
          <t>Calculado com classes reportadas e PL oficial reconciliado</t>
        </is>
      </c>
      <c r="N62" s="140" t="n">
        <v>0.05</v>
      </c>
      <c r="O62" s="140" t="inlineStr">
        <is>
          <t>N/D</t>
        </is>
      </c>
      <c r="P62" s="140" t="inlineStr">
        <is>
          <t>N/D</t>
        </is>
      </c>
      <c r="Q62" s="140" t="inlineStr">
        <is>
          <t>N/D</t>
        </is>
      </c>
      <c r="R62" s="140" t="inlineStr">
        <is>
          <t>N/D</t>
        </is>
      </c>
      <c r="S62" s="140" t="n">
        <v>0.05</v>
      </c>
      <c r="T62" s="74" t="inlineStr">
        <is>
          <t>N/D</t>
        </is>
      </c>
      <c r="U62" s="74" t="inlineStr">
        <is>
          <t>junior_pl</t>
        </is>
      </c>
      <c r="V62" s="74" t="inlineStr">
        <is>
          <t>direto no regulamento</t>
        </is>
      </c>
      <c r="W62" s="74" t="b">
        <v>0</v>
      </c>
      <c r="X62" s="74" t="inlineStr">
        <is>
          <t>Mínimo júnior isolado; a subordinação atual disponível agrega todas as classes subordinadas.</t>
        </is>
      </c>
      <c r="Y62" s="74" t="b">
        <v>0</v>
      </c>
      <c r="Z62" s="140" t="inlineStr">
        <is>
          <t>N/D</t>
        </is>
      </c>
      <c r="AA62" s="140" t="inlineStr">
        <is>
          <t>N/D</t>
        </is>
      </c>
      <c r="AB62" s="74" t="inlineStr">
        <is>
          <t>não medido</t>
        </is>
      </c>
      <c r="AC62" s="74" t="inlineStr">
        <is>
          <t>Financeiro</t>
        </is>
      </c>
      <c r="AD62" s="74" t="inlineStr">
        <is>
          <t>Crédito Consignado</t>
        </is>
      </c>
      <c r="AE62" s="74" t="inlineStr">
        <is>
          <t>Consignado INSS</t>
        </is>
      </c>
      <c r="AF62" s="74" t="inlineStr">
        <is>
          <t>Consignado INSS</t>
        </is>
      </c>
      <c r="AG62" s="74" t="inlineStr">
        <is>
          <t>Consignado INSS e FGTS</t>
        </is>
      </c>
      <c r="AH62" s="74" t="inlineStr">
        <is>
          <t>Consignado INSS e FGTS</t>
        </is>
      </c>
      <c r="AI62" s="74" t="inlineStr">
        <is>
          <t>N/D</t>
        </is>
      </c>
      <c r="AJ62" s="74" t="b">
        <v>0</v>
      </c>
      <c r="AK62" s="74" t="inlineStr">
        <is>
          <t>fora da revisão Financeiro/Agro</t>
        </is>
      </c>
      <c r="AL62" s="74" t="inlineStr">
        <is>
          <t>N/D</t>
        </is>
      </c>
      <c r="AM62" s="74" t="inlineStr">
        <is>
          <t>N/D</t>
        </is>
      </c>
      <c r="AN62" s="74" t="inlineStr">
        <is>
          <t>N/D</t>
        </is>
      </c>
      <c r="AO62" s="74" t="inlineStr">
        <is>
          <t>N/D</t>
        </is>
      </c>
      <c r="AP62" s="74" t="inlineStr">
        <is>
          <t>N/D</t>
        </is>
      </c>
      <c r="AQ62" s="74" t="inlineStr">
        <is>
          <t>Consignado INSS e FGTS</t>
        </is>
      </c>
      <c r="AR62" s="74" t="inlineStr">
        <is>
          <t>Consignado INSS e FGTS</t>
        </is>
      </c>
      <c r="AS62" s="74" t="b">
        <v>0</v>
      </c>
      <c r="AT62" s="74" t="inlineStr">
        <is>
          <t>N/D</t>
        </is>
      </c>
      <c r="AU62" s="74" t="inlineStr">
        <is>
          <t>N/D</t>
        </is>
      </c>
      <c r="AV62" s="74" t="inlineStr">
        <is>
          <t>15%–20%</t>
        </is>
      </c>
      <c r="AW62" s="74" t="b">
        <v>1</v>
      </c>
      <c r="AX62" s="74" t="inlineStr">
        <is>
          <t>incomparável</t>
        </is>
      </c>
      <c r="AY62" s="74" t="inlineStr">
        <is>
          <t>em linha com o mercado</t>
        </is>
      </c>
      <c r="AZ62" s="140" t="n">
        <v>-0.008995122466235655</v>
      </c>
      <c r="BA62" s="74" t="b">
        <v>1</v>
      </c>
      <c r="BB62" s="141" t="n">
        <v>5</v>
      </c>
      <c r="BC62" s="139" t="n">
        <v>1000</v>
      </c>
      <c r="BD62" s="74" t="inlineStr">
        <is>
          <t>R$ 1.000,00</t>
        </is>
      </c>
      <c r="BE62" s="74" t="inlineStr">
        <is>
          <t>preço/valor unitário de emissão</t>
        </is>
      </c>
      <c r="BF62" s="74" t="inlineStr">
        <is>
          <t>N/D</t>
        </is>
      </c>
      <c r="BG62" s="74" t="inlineStr">
        <is>
          <t>22/06/2026</t>
        </is>
      </c>
      <c r="BH62" s="74" t="inlineStr">
        <is>
          <t>1239452</t>
        </is>
      </c>
      <c r="BI62" s="74" t="inlineStr">
        <is>
          <t>https://fnet.bmfbovespa.com.br/fnet/publico/downloadDocumento?id=1239452</t>
        </is>
      </c>
      <c r="BJ62" s="74" t="inlineStr">
        <is>
          <t>localizado documentalmente</t>
        </is>
      </c>
      <c r="BK62" s="74" t="b">
        <v>1</v>
      </c>
      <c r="BL62" s="74" t="inlineStr">
        <is>
          <t>N/D</t>
        </is>
      </c>
      <c r="BM62" s="74" t="inlineStr">
        <is>
          <t>N/D</t>
        </is>
      </c>
      <c r="BN62" s="74" t="inlineStr">
        <is>
          <t>N/D</t>
        </is>
      </c>
      <c r="BO62" s="74" t="inlineStr">
        <is>
          <t>N/D</t>
        </is>
      </c>
      <c r="BP62" s="74" t="inlineStr">
        <is>
          <t>N/D</t>
        </is>
      </c>
      <c r="BQ62" s="74" t="inlineStr">
        <is>
          <t>N/D</t>
        </is>
      </c>
      <c r="BR62" s="74" t="inlineStr">
        <is>
          <t>N/D</t>
        </is>
      </c>
      <c r="BS62" s="74" t="inlineStr">
        <is>
          <t>sem_overlay</t>
        </is>
      </c>
      <c r="BT62" s="74" t="inlineStr">
        <is>
          <t>N/D</t>
        </is>
      </c>
      <c r="BU62" s="74" t="inlineStr">
        <is>
          <t>1239452</t>
        </is>
      </c>
      <c r="BV62" s="74" t="inlineStr">
        <is>
          <t>2026-06-22</t>
        </is>
      </c>
      <c r="BW62" s="74" t="inlineStr">
        <is>
          <t>35</t>
        </is>
      </c>
      <c r="BX62" s="74" t="inlineStr">
        <is>
          <t>revisto — mínimo júnior localizado</t>
        </is>
      </c>
      <c r="BY62" s="74" t="inlineStr">
        <is>
          <t>FundosNet/B3; documento 1239452; referência 2026-06-22; p. 35</t>
        </is>
      </c>
      <c r="BZ62" s="74" t="inlineStr">
        <is>
          <t>Índice de Subordinação Mezanino: cotas júnior / PL, mínimo de 5,0%.</t>
        </is>
      </c>
      <c r="CA62" s="74" t="inlineStr">
        <is>
          <t>originador; cedente; sacado/devedor; tipo de recebível</t>
        </is>
      </c>
      <c r="CB62" s="74" t="inlineStr">
        <is>
          <t>estrutura_incomparavel</t>
        </is>
      </c>
    </row>
    <row r="63" ht="31.5" customHeight="1">
      <c r="A63" s="75" t="n">
        <v>59</v>
      </c>
      <c r="B63" s="142" t="n">
        <v>50536324000117</v>
      </c>
      <c r="C63" s="75" t="inlineStr">
        <is>
          <t>50.536.324/0001-17</t>
        </is>
      </c>
      <c r="D63" s="75" t="inlineStr">
        <is>
          <t>MAQNELSON FUNDO DE INVESTIMENTO EM DIREITOS CREDITÓRIOS - RESPONSABILIDADE LIMITADA</t>
        </is>
      </c>
      <c r="E63" s="75" t="inlineStr">
        <is>
          <t>MAQNELSON FUNDO DE INVESTIMENTO EM DIREITOS CREDIT</t>
        </is>
      </c>
      <c r="F63" s="75" t="inlineStr">
        <is>
          <t>Carteira 101</t>
        </is>
      </c>
      <c r="G63" s="75" t="inlineStr">
        <is>
          <t>2026-06</t>
        </is>
      </c>
      <c r="H63" s="75" t="inlineStr">
        <is>
          <t>localizado</t>
        </is>
      </c>
      <c r="I63" s="143" t="n">
        <v>100033081.36</v>
      </c>
      <c r="J63" s="143" t="n">
        <v>100033081.3619992</v>
      </c>
      <c r="K63" s="143" t="n">
        <v>49222102.65001788</v>
      </c>
      <c r="L63" s="144" t="n">
        <v>0.4920582469400989</v>
      </c>
      <c r="M63" s="75" t="inlineStr">
        <is>
          <t>Calculado com classes reportadas e PL oficial reconciliado</t>
        </is>
      </c>
      <c r="N63" s="144" t="n">
        <v>0.5</v>
      </c>
      <c r="O63" s="144" t="inlineStr">
        <is>
          <t>N/D</t>
        </is>
      </c>
      <c r="P63" s="144" t="inlineStr">
        <is>
          <t>N/D</t>
        </is>
      </c>
      <c r="Q63" s="144" t="n">
        <v>0.5</v>
      </c>
      <c r="R63" s="144" t="inlineStr">
        <is>
          <t>N/D</t>
        </is>
      </c>
      <c r="S63" s="144" t="n">
        <v>0.5</v>
      </c>
      <c r="T63" s="75" t="inlineStr">
        <is>
          <t>50,0%</t>
        </is>
      </c>
      <c r="U63" s="75" t="inlineStr">
        <is>
          <t>junior_pl</t>
        </is>
      </c>
      <c r="V63" s="75" t="inlineStr">
        <is>
          <t>direto no regulamento</t>
        </is>
      </c>
      <c r="W63" s="75" t="b">
        <v>1</v>
      </c>
      <c r="X63" s="75" t="inlineStr">
        <is>
          <t>Estrutura com uma única classe subordinada; métrica atual e piso usam o total subordinado sobre o PL.</t>
        </is>
      </c>
      <c r="Y63" s="75" t="b">
        <v>0</v>
      </c>
      <c r="Z63" s="144" t="n">
        <v>-0.007941753059901135</v>
      </c>
      <c r="AA63" s="144" t="n">
        <v>-0.01588350611980227</v>
      </c>
      <c r="AB63" s="75" t="inlineStr">
        <is>
          <t>abaixo do mínimo</t>
        </is>
      </c>
      <c r="AC63" s="75" t="inlineStr">
        <is>
          <t>Agro, Indústria e Comércio</t>
        </is>
      </c>
      <c r="AD63" s="75" t="inlineStr">
        <is>
          <t>Recebíveis Comerciais</t>
        </is>
      </c>
      <c r="AE63" s="75" t="inlineStr">
        <is>
          <t>Agro / Revenda</t>
        </is>
      </c>
      <c r="AF63" s="75" t="inlineStr">
        <is>
          <t>Agro / Revenda</t>
        </is>
      </c>
      <c r="AG63" s="75" t="inlineStr">
        <is>
          <t>Agro / Revenda</t>
        </is>
      </c>
      <c r="AH63" s="75" t="inlineStr">
        <is>
          <t>Agro / Revenda</t>
        </is>
      </c>
      <c r="AI63" s="75" t="inlineStr">
        <is>
          <t>Venda a prazo de máquinas e implementos Maqnelson</t>
        </is>
      </c>
      <c r="AJ63" s="75" t="b">
        <v>0</v>
      </c>
      <c r="AK63" s="75" t="inlineStr">
        <is>
          <t>MANTER_ALTA</t>
        </is>
      </c>
      <c r="AL63" s="75" t="inlineStr">
        <is>
          <t>Recebíveis performados de venda de bens na cadeia agro</t>
        </is>
      </c>
      <c r="AM63" s="75" t="inlineStr">
        <is>
          <t>regulamento 918862</t>
        </is>
      </c>
      <c r="AN63" s="75" t="inlineStr">
        <is>
          <t>Não</t>
        </is>
      </c>
      <c r="AO63" s="75" t="inlineStr">
        <is>
          <t>regulamento 918862</t>
        </is>
      </c>
      <c r="AP63" s="75" t="b">
        <v>0</v>
      </c>
      <c r="AQ63" s="75" t="inlineStr">
        <is>
          <t>Agro / Revenda</t>
        </is>
      </c>
      <c r="AR63" s="75" t="inlineStr">
        <is>
          <t>Agro / Revenda</t>
        </is>
      </c>
      <c r="AS63" s="75" t="b">
        <v>0</v>
      </c>
      <c r="AT63" s="75" t="inlineStr">
        <is>
          <t>N/D</t>
        </is>
      </c>
      <c r="AU63" s="75" t="inlineStr">
        <is>
          <t>N/D</t>
        </is>
      </c>
      <c r="AV63" s="75" t="inlineStr">
        <is>
          <t>35%–60%</t>
        </is>
      </c>
      <c r="AW63" s="75" t="b">
        <v>1</v>
      </c>
      <c r="AX63" s="75" t="inlineStr">
        <is>
          <t>abaixo do piso</t>
        </is>
      </c>
      <c r="AY63" s="75" t="inlineStr">
        <is>
          <t>sem benchmark confiável</t>
        </is>
      </c>
      <c r="AZ63" s="144" t="inlineStr">
        <is>
          <t>N/D</t>
        </is>
      </c>
      <c r="BA63" s="75" t="b">
        <v>0</v>
      </c>
      <c r="BB63" s="145" t="n">
        <v>0</v>
      </c>
      <c r="BC63" s="143" t="n">
        <v>1000</v>
      </c>
      <c r="BD63" s="75" t="inlineStr">
        <is>
          <t>R$ 1.000,00</t>
        </is>
      </c>
      <c r="BE63" s="75" t="inlineStr">
        <is>
          <t>preço/valor unitário de emissão</t>
        </is>
      </c>
      <c r="BF63" s="75" t="inlineStr">
        <is>
          <t>N/D</t>
        </is>
      </c>
      <c r="BG63" s="75" t="inlineStr">
        <is>
          <t>09/10/2024</t>
        </is>
      </c>
      <c r="BH63" s="75" t="inlineStr">
        <is>
          <t>756476</t>
        </is>
      </c>
      <c r="BI63" s="75" t="inlineStr">
        <is>
          <t>https://fnet.bmfbovespa.com.br/fnet/publico/downloadDocumento?id=756476</t>
        </is>
      </c>
      <c r="BJ63" s="75" t="inlineStr">
        <is>
          <t>localizado documentalmente</t>
        </is>
      </c>
      <c r="BK63" s="75" t="b">
        <v>1</v>
      </c>
      <c r="BL63" s="75" t="inlineStr">
        <is>
          <t>Maqnelson</t>
        </is>
      </c>
      <c r="BM63" s="75" t="inlineStr">
        <is>
          <t>cedente</t>
        </is>
      </c>
      <c r="BN63" s="75" t="inlineStr">
        <is>
          <t>N/D</t>
        </is>
      </c>
      <c r="BO63" s="75" t="inlineStr">
        <is>
          <t>Maqnelson</t>
        </is>
      </c>
      <c r="BP63" s="75" t="inlineStr">
        <is>
          <t>N/D</t>
        </is>
      </c>
      <c r="BQ63" s="75" t="inlineStr">
        <is>
          <t>os direitos creditórios performados originados da venda a prazo de Bens, representados pelos Documentos Comprobatórios, conforme o caso, detidas pelas Cedentes contra as Devedoras</t>
        </is>
      </c>
      <c r="BR63" s="75" t="inlineStr">
        <is>
          <t>cedente: IMG_8706.JPG | tipo_recebivel: https://fnet.bmfbovespa.com.br/fnet/publico/downloadDocumento?id=918862</t>
        </is>
      </c>
      <c r="BS63" s="75" t="inlineStr">
        <is>
          <t>manual_aplicado</t>
        </is>
      </c>
      <c r="BT63" s="75" t="inlineStr">
        <is>
          <t>OBS legível: houve desenquadramento da subordinação e haverá amortização de parcela da cota para reenquadramento; final cortado. Denominação cortada.</t>
        </is>
      </c>
      <c r="BU63" s="75" t="inlineStr">
        <is>
          <t>918862</t>
        </is>
      </c>
      <c r="BV63" s="75" t="inlineStr">
        <is>
          <t>2025-06-04</t>
        </is>
      </c>
      <c r="BW63" s="75" t="inlineStr">
        <is>
          <t>111</t>
        </is>
      </c>
      <c r="BX63" s="75" t="inlineStr">
        <is>
          <t>revisto — mínimo júnior localizado</t>
        </is>
      </c>
      <c r="BY63" s="75" t="inlineStr">
        <is>
          <t>FundosNet/B3; documento 918862; referência 2025-06-04; p. 111</t>
        </is>
      </c>
      <c r="BZ63" s="75" t="inlineStr">
        <is>
          <t>Cotas subordinadas / PL, mínimo de 50,0%; estrutura com uma única classe residual.</t>
        </is>
      </c>
      <c r="CA63" s="75" t="inlineStr">
        <is>
          <t>originador; sacado/devedor</t>
        </is>
      </c>
      <c r="CB63" s="75" t="inlineStr">
        <is>
          <t>completo_para_folga</t>
        </is>
      </c>
    </row>
    <row r="64" ht="31.5" customHeight="1">
      <c r="A64" s="74" t="n">
        <v>60</v>
      </c>
      <c r="B64" s="138" t="n">
        <v>57816252000100</v>
      </c>
      <c r="C64" s="74" t="inlineStr">
        <is>
          <t>57.816.252/0001-00</t>
        </is>
      </c>
      <c r="D64" s="74" t="inlineStr">
        <is>
          <t>NATURA PAY FUNDO DE INVESTIMENTO EM DIREITOS CREDITÓRIOS CRÉDITO PESSOAL SOCIAL E IS RESP LTDA</t>
        </is>
      </c>
      <c r="E64" s="74" t="inlineStr">
        <is>
          <t>NATURA PAY FUNDO DE INVESTIMENTO EM DIREITOS CREDI</t>
        </is>
      </c>
      <c r="F64" s="74" t="inlineStr">
        <is>
          <t>Carteira 101</t>
        </is>
      </c>
      <c r="G64" s="74" t="inlineStr">
        <is>
          <t>2026-06</t>
        </is>
      </c>
      <c r="H64" s="74" t="inlineStr">
        <is>
          <t>localizado</t>
        </is>
      </c>
      <c r="I64" s="139" t="n">
        <v>1009314406.64</v>
      </c>
      <c r="J64" s="139" t="n">
        <v>1009314406.641464</v>
      </c>
      <c r="K64" s="139" t="n">
        <v>286045765.9903723</v>
      </c>
      <c r="L64" s="140" t="n">
        <v>0.283406007195138</v>
      </c>
      <c r="M64" s="74" t="inlineStr">
        <is>
          <t>Calculado com classes reportadas e PL oficial reconciliado</t>
        </is>
      </c>
      <c r="N64" s="140" t="n">
        <v>0.2526</v>
      </c>
      <c r="O64" s="140" t="inlineStr">
        <is>
          <t>N/D</t>
        </is>
      </c>
      <c r="P64" s="140" t="inlineStr">
        <is>
          <t>N/D</t>
        </is>
      </c>
      <c r="Q64" s="140" t="n">
        <v>0.2526</v>
      </c>
      <c r="R64" s="140" t="inlineStr">
        <is>
          <t>N/D</t>
        </is>
      </c>
      <c r="S64" s="140" t="n">
        <v>0.2526</v>
      </c>
      <c r="T64" s="74" t="inlineStr">
        <is>
          <t>25,26%</t>
        </is>
      </c>
      <c r="U64" s="74" t="inlineStr">
        <is>
          <t>junior_pl</t>
        </is>
      </c>
      <c r="V64" s="74" t="inlineStr">
        <is>
          <t>direto no regulamento</t>
        </is>
      </c>
      <c r="W64" s="74" t="b">
        <v>1</v>
      </c>
      <c r="X64" s="74" t="inlineStr">
        <is>
          <t>Estrutura com uma única classe subordinada; métrica atual e piso usam o total subordinado sobre o PL.</t>
        </is>
      </c>
      <c r="Y64" s="74" t="b">
        <v>0</v>
      </c>
      <c r="Z64" s="140" t="n">
        <v>0.03080600719513804</v>
      </c>
      <c r="AA64" s="140" t="n">
        <v>0.04121756381474182</v>
      </c>
      <c r="AB64" s="74" t="inlineStr">
        <is>
          <t>acima do mínimo</t>
        </is>
      </c>
      <c r="AC64" s="74" t="inlineStr">
        <is>
          <t>Financeiro</t>
        </is>
      </c>
      <c r="AD64" s="74" t="inlineStr">
        <is>
          <t>Crédito Pessoal</t>
        </is>
      </c>
      <c r="AE64" s="74" t="inlineStr">
        <is>
          <t>Financeiro</t>
        </is>
      </c>
      <c r="AF64" s="74" t="inlineStr">
        <is>
          <t>Financeiro</t>
        </is>
      </c>
      <c r="AG64" s="74" t="inlineStr">
        <is>
          <t>Financeiro</t>
        </is>
      </c>
      <c r="AH64" s="74" t="inlineStr">
        <is>
          <t>Financeiro</t>
        </is>
      </c>
      <c r="AI64" s="74" t="inlineStr">
        <is>
          <t>Financiamento a consultoras Natura, CCBs</t>
        </is>
      </c>
      <c r="AJ64" s="74" t="b">
        <v>0</v>
      </c>
      <c r="AK64" s="74" t="inlineStr">
        <is>
          <t>MANTER_ALTA</t>
        </is>
      </c>
      <c r="AL64" s="74" t="inlineStr">
        <is>
          <t>Financiamentos da Natura SCD formalizados em CCB</t>
        </is>
      </c>
      <c r="AM64" s="74" t="inlineStr">
        <is>
          <t>regulamento 1182394</t>
        </is>
      </c>
      <c r="AN64" s="74" t="inlineStr">
        <is>
          <t>Não</t>
        </is>
      </c>
      <c r="AO64" s="74" t="inlineStr">
        <is>
          <t>regulamento 1182394</t>
        </is>
      </c>
      <c r="AP64" s="74" t="b">
        <v>0</v>
      </c>
      <c r="AQ64" s="74" t="inlineStr">
        <is>
          <t>Financeiro</t>
        </is>
      </c>
      <c r="AR64" s="74" t="inlineStr">
        <is>
          <t>Financeiro</t>
        </is>
      </c>
      <c r="AS64" s="74" t="b">
        <v>0</v>
      </c>
      <c r="AT64" s="74" t="inlineStr">
        <is>
          <t>N/D</t>
        </is>
      </c>
      <c r="AU64" s="74" t="inlineStr">
        <is>
          <t>N/D</t>
        </is>
      </c>
      <c r="AV64" s="74" t="inlineStr">
        <is>
          <t>20%–35%</t>
        </is>
      </c>
      <c r="AW64" s="74" t="b">
        <v>1</v>
      </c>
      <c r="AX64" s="74" t="inlineStr">
        <is>
          <t>acima do piso</t>
        </is>
      </c>
      <c r="AY64" s="74" t="inlineStr">
        <is>
          <t>em linha com o mercado</t>
        </is>
      </c>
      <c r="AZ64" s="140" t="n">
        <v>-0.01805355308611306</v>
      </c>
      <c r="BA64" s="74" t="b">
        <v>1</v>
      </c>
      <c r="BB64" s="141" t="n">
        <v>12</v>
      </c>
      <c r="BC64" s="139" t="n">
        <v>1000</v>
      </c>
      <c r="BD64" s="74" t="inlineStr">
        <is>
          <t>Cotas Seniores: R$ 1.000,00</t>
        </is>
      </c>
      <c r="BE64" s="74" t="inlineStr">
        <is>
          <t>preço/valor unitário de emissão</t>
        </is>
      </c>
      <c r="BF64" s="74" t="inlineStr">
        <is>
          <t>Cotas Seniores</t>
        </is>
      </c>
      <c r="BG64" s="74" t="inlineStr">
        <is>
          <t>30/03/2026 18:00</t>
        </is>
      </c>
      <c r="BH64" s="74" t="inlineStr">
        <is>
          <t>1150911</t>
        </is>
      </c>
      <c r="BI64" s="74" t="inlineStr">
        <is>
          <t>https://fnet.bmfbovespa.com.br/fnet/publico/downloadDocumento?id=1150911</t>
        </is>
      </c>
      <c r="BJ64" s="74" t="inlineStr">
        <is>
          <t>localizado documentalmente</t>
        </is>
      </c>
      <c r="BK64" s="74" t="b">
        <v>0</v>
      </c>
      <c r="BL64" s="74" t="inlineStr">
        <is>
          <t>Natura &amp;CO Pay Sociedade de Crédito Direto S.A.</t>
        </is>
      </c>
      <c r="BM64" s="74" t="inlineStr">
        <is>
          <t>cedente</t>
        </is>
      </c>
      <c r="BN64" s="74" t="inlineStr">
        <is>
          <t>N/D</t>
        </is>
      </c>
      <c r="BO64" s="74" t="inlineStr">
        <is>
          <t>Natura &amp;CO Pay Sociedade de Crédito Direto S.A.</t>
        </is>
      </c>
      <c r="BP64" s="74" t="inlineStr">
        <is>
          <t>N/D</t>
        </is>
      </c>
      <c r="BQ64" s="74" t="inlineStr">
        <is>
          <t>os recebíveis alienados pela Endossante à Classe, originados no âmbito de operações de financiamentos concedidos pela Natura SCD às Devedoras, mediante a emissão de CCB em favor da Natura SCD</t>
        </is>
      </c>
      <c r="BR64" s="74" t="inlineStr">
        <is>
          <t>cedente: IMG_8706.JPG | tipo_recebivel: https://fnet.bmfbovespa.com.br/fnet/publico/downloadDocumento?id=1182394</t>
        </is>
      </c>
      <c r="BS64" s="74" t="inlineStr">
        <is>
          <t>manual_aplicado</t>
        </is>
      </c>
      <c r="BT64" s="74" t="inlineStr">
        <is>
          <t>Coluna adicional da foto: Duplicatas. Denominação cortada.</t>
        </is>
      </c>
      <c r="BU64" s="74" t="inlineStr">
        <is>
          <t>1182394</t>
        </is>
      </c>
      <c r="BV64" s="74" t="inlineStr">
        <is>
          <t>2026-05-07</t>
        </is>
      </c>
      <c r="BW64" s="74" t="inlineStr">
        <is>
          <t>28; 68</t>
        </is>
      </c>
      <c r="BX64" s="74" t="inlineStr">
        <is>
          <t>revisto — mínimo júnior localizado</t>
        </is>
      </c>
      <c r="BY64" s="74" t="inlineStr">
        <is>
          <t>FundosNet/B3; documento 1182394; referência 2026-05-07; p. 28; 68</t>
        </is>
      </c>
      <c r="BZ64" s="74" t="inlineStr">
        <is>
          <t>Cotas subordinadas / PL, mínimo de 25,26%; estrutura com uma única classe residual.</t>
        </is>
      </c>
      <c r="CA64" s="74" t="inlineStr">
        <is>
          <t>originador; sacado/devedor</t>
        </is>
      </c>
      <c r="CB64" s="74" t="inlineStr">
        <is>
          <t>completo_para_folga</t>
        </is>
      </c>
    </row>
    <row r="65" ht="31.5" customHeight="1">
      <c r="A65" s="75" t="n">
        <v>61</v>
      </c>
      <c r="B65" s="142" t="n">
        <v>50473039000102</v>
      </c>
      <c r="C65" s="75" t="inlineStr">
        <is>
          <t>50.473.039/0001-02</t>
        </is>
      </c>
      <c r="D65" s="75" t="inlineStr">
        <is>
          <t>SELLER FIDC SEGMENTO MEIOS DE PAGAMENTO DE RESPONSABILIDADE LIMITADA</t>
        </is>
      </c>
      <c r="E65" s="75" t="inlineStr">
        <is>
          <t>SELLER FUNDO DE INVESTIMENTO EM DIREITOS CREDITORIOS</t>
        </is>
      </c>
      <c r="F65" s="75" t="inlineStr">
        <is>
          <t>Carteira 101</t>
        </is>
      </c>
      <c r="G65" s="75" t="inlineStr">
        <is>
          <t>2026-06</t>
        </is>
      </c>
      <c r="H65" s="75" t="inlineStr">
        <is>
          <t>localizado</t>
        </is>
      </c>
      <c r="I65" s="143" t="n">
        <v>3656448188.16</v>
      </c>
      <c r="J65" s="143" t="n">
        <v>3656448188.156041</v>
      </c>
      <c r="K65" s="143" t="n">
        <v>1877109875.658749</v>
      </c>
      <c r="L65" s="144" t="n">
        <v>0.513369745464204</v>
      </c>
      <c r="M65" s="75" t="inlineStr">
        <is>
          <t>Calculado com classes reportadas e PL oficial reconciliado</t>
        </is>
      </c>
      <c r="N65" s="144" t="n">
        <v>0.1</v>
      </c>
      <c r="O65" s="144" t="inlineStr">
        <is>
          <t>N/D</t>
        </is>
      </c>
      <c r="P65" s="144" t="inlineStr">
        <is>
          <t>N/D</t>
        </is>
      </c>
      <c r="Q65" s="144" t="inlineStr">
        <is>
          <t>N/D</t>
        </is>
      </c>
      <c r="R65" s="144" t="inlineStr">
        <is>
          <t>N/D</t>
        </is>
      </c>
      <c r="S65" s="144" t="n">
        <v>0.1</v>
      </c>
      <c r="T65" s="75" t="inlineStr">
        <is>
          <t>N/D</t>
        </is>
      </c>
      <c r="U65" s="75" t="inlineStr">
        <is>
          <t>junior_pl</t>
        </is>
      </c>
      <c r="V65" s="75" t="inlineStr">
        <is>
          <t>direto no regulamento</t>
        </is>
      </c>
      <c r="W65" s="75" t="b">
        <v>0</v>
      </c>
      <c r="X65" s="75" t="inlineStr">
        <is>
          <t>Mínimo júnior isolado; a subordinação atual disponível agrega todas as classes subordinadas.</t>
        </is>
      </c>
      <c r="Y65" s="75" t="b">
        <v>0</v>
      </c>
      <c r="Z65" s="144" t="inlineStr">
        <is>
          <t>N/D</t>
        </is>
      </c>
      <c r="AA65" s="144" t="inlineStr">
        <is>
          <t>N/D</t>
        </is>
      </c>
      <c r="AB65" s="75" t="inlineStr">
        <is>
          <t>não medido</t>
        </is>
      </c>
      <c r="AC65" s="75" t="inlineStr">
        <is>
          <t>Financeiro</t>
        </is>
      </c>
      <c r="AD65" s="75" t="inlineStr">
        <is>
          <t>Adquirência</t>
        </is>
      </c>
      <c r="AE65" s="75" t="inlineStr">
        <is>
          <t>Adquirência</t>
        </is>
      </c>
      <c r="AF65" s="75" t="inlineStr">
        <is>
          <t>Adquirência</t>
        </is>
      </c>
      <c r="AG65" s="75" t="inlineStr">
        <is>
          <t>Adquirência</t>
        </is>
      </c>
      <c r="AH65" s="75" t="inlineStr">
        <is>
          <t>Adquirência</t>
        </is>
      </c>
      <c r="AI65" s="75" t="inlineStr">
        <is>
          <t>N/D</t>
        </is>
      </c>
      <c r="AJ65" s="75" t="b">
        <v>0</v>
      </c>
      <c r="AK65" s="75" t="inlineStr">
        <is>
          <t>fora da revisão Financeiro/Agro</t>
        </is>
      </c>
      <c r="AL65" s="75" t="inlineStr">
        <is>
          <t>N/D</t>
        </is>
      </c>
      <c r="AM65" s="75" t="inlineStr">
        <is>
          <t>N/D</t>
        </is>
      </c>
      <c r="AN65" s="75" t="inlineStr">
        <is>
          <t>N/D</t>
        </is>
      </c>
      <c r="AO65" s="75" t="inlineStr">
        <is>
          <t>N/D</t>
        </is>
      </c>
      <c r="AP65" s="75" t="inlineStr">
        <is>
          <t>N/D</t>
        </is>
      </c>
      <c r="AQ65" s="75" t="inlineStr">
        <is>
          <t>Adquirência</t>
        </is>
      </c>
      <c r="AR65" s="75" t="inlineStr">
        <is>
          <t>Adquirência</t>
        </is>
      </c>
      <c r="AS65" s="75" t="b">
        <v>0</v>
      </c>
      <c r="AT65" s="75" t="inlineStr">
        <is>
          <t>N/D</t>
        </is>
      </c>
      <c r="AU65" s="75" t="inlineStr">
        <is>
          <t>N/D</t>
        </is>
      </c>
      <c r="AV65" s="75" t="inlineStr">
        <is>
          <t>35%–60%</t>
        </is>
      </c>
      <c r="AW65" s="75" t="b">
        <v>1</v>
      </c>
      <c r="AX65" s="75" t="inlineStr">
        <is>
          <t>incomparável</t>
        </is>
      </c>
      <c r="AY65" s="75" t="inlineStr">
        <is>
          <t>acima do mercado</t>
        </is>
      </c>
      <c r="AZ65" s="144" t="n">
        <v>0.3580102912392978</v>
      </c>
      <c r="BA65" s="75" t="b">
        <v>1</v>
      </c>
      <c r="BB65" s="145" t="n">
        <v>15</v>
      </c>
      <c r="BC65" s="143" t="n">
        <v>1000</v>
      </c>
      <c r="BD65" s="75" t="inlineStr">
        <is>
          <t>Cotas Seniores: R$ 1.000,00</t>
        </is>
      </c>
      <c r="BE65" s="75" t="inlineStr">
        <is>
          <t>valor nominal unitário (VNU)</t>
        </is>
      </c>
      <c r="BF65" s="75" t="inlineStr">
        <is>
          <t>Cotas Seniores</t>
        </is>
      </c>
      <c r="BG65" s="75" t="inlineStr">
        <is>
          <t>2025-05-19</t>
        </is>
      </c>
      <c r="BH65" s="75" t="inlineStr">
        <is>
          <t>909547</t>
        </is>
      </c>
      <c r="BI65" s="75" t="inlineStr">
        <is>
          <t>https://fnet.bmfbovespa.com.br/fnet/publico/downloadDocumento?id=909547</t>
        </is>
      </c>
      <c r="BJ65" s="75" t="inlineStr">
        <is>
          <t>localizado documentalmente</t>
        </is>
      </c>
      <c r="BK65" s="75" t="b">
        <v>0</v>
      </c>
      <c r="BL65" s="75" t="inlineStr">
        <is>
          <t>Mercado Pago (originador) | Mercado Livre (cedente)</t>
        </is>
      </c>
      <c r="BM65" s="75" t="inlineStr">
        <is>
          <t>originador | cedente</t>
        </is>
      </c>
      <c r="BN65" s="75" t="inlineStr">
        <is>
          <t>Mercado Pago</t>
        </is>
      </c>
      <c r="BO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5" s="75" t="inlineStr">
        <is>
          <t>o MERCADO PAGO INSTITUIÇÃO DE PAGAMENTO LTDA., sociedade limitada, com sede na Avenida das Nações Unidas, nº 3.003, Parte E, Bonfim, no Município de Osasco, Estado de São Paulo, CEP 06.233-903, inscrita no CNPJ sob o nº 10.573.521/0001-91</t>
        </is>
      </c>
      <c r="BQ65" s="75" t="inlineStr">
        <is>
          <t>os Direitos Creditórios dos Estabelecimentos Comerciais e os Direitos Creditórios do Mercado Crédito quando referidos em co njunto ou de forma indistinta, conforme aplicável</t>
        </is>
      </c>
      <c r="BR65" s="75" t="inlineStr">
        <is>
          <t>cedente: https://fnet.bmfbovespa.com.br/fnet/publico/downloadDocumento?id=790777 | sacado_devedor: https://fnet.bmfbovespa.com.br/fnet/publico/downloadDocumento?id=790777 | tipo_recebivel: https://fnet.bmfbovespa.com.br/fnet/publico/downloadDocumento?id=467929</t>
        </is>
      </c>
      <c r="BS65" s="75" t="inlineStr">
        <is>
          <t>manual_aplicado</t>
        </is>
      </c>
      <c r="BT65" s="75" t="inlineStr">
        <is>
          <t>Os rótulos manuais são complementares; a entidade documental e o papel legal prevalecem no export.</t>
        </is>
      </c>
      <c r="BU65" s="75" t="inlineStr">
        <is>
          <t>909547</t>
        </is>
      </c>
      <c r="BV65" s="75" t="inlineStr">
        <is>
          <t>2025-05-19</t>
        </is>
      </c>
      <c r="BW65" s="75" t="inlineStr">
        <is>
          <t>99</t>
        </is>
      </c>
      <c r="BX65" s="75" t="inlineStr">
        <is>
          <t>revisto — mínimo júnior localizado</t>
        </is>
      </c>
      <c r="BY65" s="75" t="inlineStr">
        <is>
          <t>FundosNet/B3; documento 909547; referência 2025-05-19; p. 99</t>
        </is>
      </c>
      <c r="BZ65" s="75" t="inlineStr">
        <is>
          <t>Totalidade das cotas júnior / PL, mínimo de 10,0%.</t>
        </is>
      </c>
      <c r="CA65" s="75" t="inlineStr">
        <is>
          <t>Nenhum</t>
        </is>
      </c>
      <c r="CB65" s="75" t="inlineStr">
        <is>
          <t>estrutura_incomparavel</t>
        </is>
      </c>
    </row>
    <row r="66" ht="31.5" customHeight="1">
      <c r="A66" s="74" t="n">
        <v>62</v>
      </c>
      <c r="B66" s="138" t="n">
        <v>62588266000154</v>
      </c>
      <c r="C66" s="74" t="inlineStr">
        <is>
          <t>62.588.266/0001-54</t>
        </is>
      </c>
      <c r="D66" s="74" t="inlineStr">
        <is>
          <t>VTK FUNDO DE INVESTIMENTO EM DIREITOS CREDITÓRIOS RESPONSABILIDADE LIMITADA</t>
        </is>
      </c>
      <c r="E66" s="74" t="inlineStr">
        <is>
          <t>VTK FIDC RESP LIMIT</t>
        </is>
      </c>
      <c r="F66" s="74" t="inlineStr">
        <is>
          <t>Carteira 101</t>
        </is>
      </c>
      <c r="G66" s="74" t="inlineStr">
        <is>
          <t>2026-06</t>
        </is>
      </c>
      <c r="H66" s="74" t="inlineStr">
        <is>
          <t>localizado</t>
        </is>
      </c>
      <c r="I66" s="139" t="n">
        <v>3085111034.31</v>
      </c>
      <c r="J66" s="139" t="n">
        <v>2505159583.166662</v>
      </c>
      <c r="K66" s="139" t="n">
        <v>463851146.236205</v>
      </c>
      <c r="L66" s="140" t="inlineStr">
        <is>
          <t>N/D</t>
        </is>
      </c>
      <c r="M66" s="74" t="inlineStr">
        <is>
          <t>N/D</t>
        </is>
      </c>
      <c r="N66" s="140" t="n">
        <v>0.05</v>
      </c>
      <c r="O66" s="140" t="inlineStr">
        <is>
          <t>N/D</t>
        </is>
      </c>
      <c r="P66" s="140" t="inlineStr">
        <is>
          <t>N/D</t>
        </is>
      </c>
      <c r="Q66" s="140" t="inlineStr">
        <is>
          <t>N/D</t>
        </is>
      </c>
      <c r="R66" s="140" t="inlineStr">
        <is>
          <t>N/D</t>
        </is>
      </c>
      <c r="S66" s="140" t="n">
        <v>0.05</v>
      </c>
      <c r="T66" s="74" t="inlineStr">
        <is>
          <t>N/D</t>
        </is>
      </c>
      <c r="U66" s="74" t="inlineStr">
        <is>
          <t>junior_pl</t>
        </is>
      </c>
      <c r="V66" s="74" t="inlineStr">
        <is>
          <t>direto no regulamento</t>
        </is>
      </c>
      <c r="W66" s="74" t="b">
        <v>0</v>
      </c>
      <c r="X66" s="74" t="inlineStr">
        <is>
          <t>Mínimo júnior isolado; a subordinação atual disponível agrega todas as classes subordinadas.</t>
        </is>
      </c>
      <c r="Y66" s="74" t="b">
        <v>0</v>
      </c>
      <c r="Z66" s="140" t="inlineStr">
        <is>
          <t>N/D</t>
        </is>
      </c>
      <c r="AA66" s="140" t="inlineStr">
        <is>
          <t>N/D</t>
        </is>
      </c>
      <c r="AB66" s="74" t="inlineStr">
        <is>
          <t>não medido</t>
        </is>
      </c>
      <c r="AC66" s="74" t="inlineStr">
        <is>
          <t>Financeiro</t>
        </is>
      </c>
      <c r="AD66" s="74" t="inlineStr">
        <is>
          <t>Crédito Consignado</t>
        </is>
      </c>
      <c r="AE66" s="74" t="inlineStr">
        <is>
          <t>Consignado INSS</t>
        </is>
      </c>
      <c r="AF66" s="74" t="inlineStr">
        <is>
          <t>Consignado INSS</t>
        </is>
      </c>
      <c r="AG66" s="74" t="inlineStr">
        <is>
          <t>Consignado INSS e FGTS</t>
        </is>
      </c>
      <c r="AH66" s="74" t="inlineStr">
        <is>
          <t>Consignado INSS e FGTS</t>
        </is>
      </c>
      <c r="AI66" s="74" t="inlineStr">
        <is>
          <t>N/D</t>
        </is>
      </c>
      <c r="AJ66" s="74" t="b">
        <v>0</v>
      </c>
      <c r="AK66" s="74" t="inlineStr">
        <is>
          <t>fora da revisão Financeiro/Agro</t>
        </is>
      </c>
      <c r="AL66" s="74" t="inlineStr">
        <is>
          <t>N/D</t>
        </is>
      </c>
      <c r="AM66" s="74" t="inlineStr">
        <is>
          <t>N/D</t>
        </is>
      </c>
      <c r="AN66" s="74" t="inlineStr">
        <is>
          <t>N/D</t>
        </is>
      </c>
      <c r="AO66" s="74" t="inlineStr">
        <is>
          <t>N/D</t>
        </is>
      </c>
      <c r="AP66" s="74" t="inlineStr">
        <is>
          <t>N/D</t>
        </is>
      </c>
      <c r="AQ66" s="74" t="inlineStr">
        <is>
          <t>Consignado INSS e FGTS</t>
        </is>
      </c>
      <c r="AR66" s="74" t="inlineStr">
        <is>
          <t>Consignado INSS e FGTS</t>
        </is>
      </c>
      <c r="AS66" s="74" t="b">
        <v>0</v>
      </c>
      <c r="AT66" s="74" t="inlineStr">
        <is>
          <t>N/D</t>
        </is>
      </c>
      <c r="AU66" s="74" t="inlineStr">
        <is>
          <t>N/D</t>
        </is>
      </c>
      <c r="AV66" s="74" t="inlineStr">
        <is>
          <t>N/D</t>
        </is>
      </c>
      <c r="AW66" s="74" t="b">
        <v>0</v>
      </c>
      <c r="AX66" s="74" t="inlineStr">
        <is>
          <t>N/D</t>
        </is>
      </c>
      <c r="AY66" s="74" t="inlineStr">
        <is>
          <t>sem benchmark confiável</t>
        </is>
      </c>
      <c r="AZ66" s="140" t="inlineStr">
        <is>
          <t>N/D</t>
        </is>
      </c>
      <c r="BA66" s="74" t="b">
        <v>1</v>
      </c>
      <c r="BB66" s="141" t="n">
        <v>5</v>
      </c>
      <c r="BC66" s="139" t="n">
        <v>1000</v>
      </c>
      <c r="BD66" s="74" t="inlineStr">
        <is>
          <t>R$ 1.000,00</t>
        </is>
      </c>
      <c r="BE66" s="74" t="inlineStr">
        <is>
          <t>preço/valor unitário de emissão</t>
        </is>
      </c>
      <c r="BF66" s="74" t="inlineStr">
        <is>
          <t>N/D</t>
        </is>
      </c>
      <c r="BG66" s="74" t="inlineStr">
        <is>
          <t>2025-09-29</t>
        </is>
      </c>
      <c r="BH66" s="74" t="inlineStr">
        <is>
          <t>1002580</t>
        </is>
      </c>
      <c r="BI66" s="74" t="inlineStr">
        <is>
          <t>https://fnet.bmfbovespa.com.br/fnet/publico/downloadDocumento?id=1002580</t>
        </is>
      </c>
      <c r="BJ66" s="74" t="inlineStr">
        <is>
          <t>localizado documentalmente</t>
        </is>
      </c>
      <c r="BK66" s="74" t="b">
        <v>1</v>
      </c>
      <c r="BL66" s="74" t="inlineStr">
        <is>
          <t>Facta</t>
        </is>
      </c>
      <c r="BM66" s="74" t="inlineStr">
        <is>
          <t>cedente</t>
        </is>
      </c>
      <c r="BN66" s="74" t="inlineStr">
        <is>
          <t>N/D</t>
        </is>
      </c>
      <c r="BO66" s="74" t="inlineStr">
        <is>
          <t>Facta</t>
        </is>
      </c>
      <c r="BP66" s="74" t="inlineStr">
        <is>
          <t>N/D</t>
        </is>
      </c>
      <c r="BQ66" s="74" t="inlineStr">
        <is>
          <t>Crédito INSS</t>
        </is>
      </c>
      <c r="BR66" s="74" t="inlineStr">
        <is>
          <t>cedente: IMG_8706.JPG | tipo_recebivel: IMG_8706.JPG</t>
        </is>
      </c>
      <c r="BS66" s="74" t="inlineStr">
        <is>
          <t>manual_aplicado</t>
        </is>
      </c>
      <c r="BT66" s="74" t="inlineStr">
        <is>
          <t>N/D</t>
        </is>
      </c>
      <c r="BU66" s="74" t="inlineStr">
        <is>
          <t>1002580</t>
        </is>
      </c>
      <c r="BV66" s="74" t="inlineStr">
        <is>
          <t>2025-09-29</t>
        </is>
      </c>
      <c r="BW66" s="74" t="inlineStr">
        <is>
          <t>35</t>
        </is>
      </c>
      <c r="BX66" s="74" t="inlineStr">
        <is>
          <t>revisto — mínimo júnior localizado</t>
        </is>
      </c>
      <c r="BY66" s="74" t="inlineStr">
        <is>
          <t>FundosNet/B3; documento 1002580; referência 2025-09-29; p. 35</t>
        </is>
      </c>
      <c r="BZ66" s="74" t="inlineStr">
        <is>
          <t>Índice de Subordinação Mezanino: cotas júnior / PL, mínimo de 5,0%.</t>
        </is>
      </c>
      <c r="CA66" s="74" t="inlineStr">
        <is>
          <t>Sub/PL atual; originador; sacado/devedor</t>
        </is>
      </c>
      <c r="CB66" s="74" t="inlineStr">
        <is>
          <t>sub_pl_atual_ausente</t>
        </is>
      </c>
    </row>
    <row r="67" ht="31.5" customHeight="1">
      <c r="A67" s="75" t="n">
        <v>63</v>
      </c>
      <c r="B67" s="142" t="n">
        <v>50988212000105</v>
      </c>
      <c r="C67" s="75" t="inlineStr">
        <is>
          <t>50.988.212/0001-05</t>
        </is>
      </c>
      <c r="D67" s="75" t="inlineStr">
        <is>
          <t>CARTÃO DE COMPRA SUPPLIER FUNDO DE INVESTIMENTO EM DIREITOS CREDITÓRIOS II-RESPONSABILIDADE LIMITADA</t>
        </is>
      </c>
      <c r="E67" s="75" t="inlineStr">
        <is>
          <t>CARTAO DE COMPRA SUPPLIER FUNDO DE INVESTIMENTO EM</t>
        </is>
      </c>
      <c r="F67" s="75" t="inlineStr">
        <is>
          <t>Carteira 101</t>
        </is>
      </c>
      <c r="G67" s="75" t="inlineStr">
        <is>
          <t>2026-06</t>
        </is>
      </c>
      <c r="H67" s="75" t="inlineStr">
        <is>
          <t>localizado</t>
        </is>
      </c>
      <c r="I67" s="143" t="n">
        <v>193612039.06</v>
      </c>
      <c r="J67" s="143" t="n">
        <v>193612039.0618982</v>
      </c>
      <c r="K67" s="143" t="n">
        <v>13604593.12989813</v>
      </c>
      <c r="L67" s="144" t="n">
        <v>0.07026728914146754</v>
      </c>
      <c r="M67" s="75" t="inlineStr">
        <is>
          <t>Calculado com classes reportadas e PL oficial reconciliado</t>
        </is>
      </c>
      <c r="N67" s="144" t="inlineStr">
        <is>
          <t>N/D</t>
        </is>
      </c>
      <c r="O67" s="144" t="inlineStr">
        <is>
          <t>N/D</t>
        </is>
      </c>
      <c r="P67" s="144" t="n">
        <v>0.045</v>
      </c>
      <c r="Q67" s="144" t="inlineStr">
        <is>
          <t>N/D</t>
        </is>
      </c>
      <c r="R67" s="144" t="inlineStr">
        <is>
          <t>N/D</t>
        </is>
      </c>
      <c r="S67" s="144" t="n">
        <v>0.045</v>
      </c>
      <c r="T67" s="75" t="inlineStr">
        <is>
          <t>N/D</t>
        </is>
      </c>
      <c r="U67" s="75" t="inlineStr">
        <is>
          <t>junior_pl_ajustado</t>
        </is>
      </c>
      <c r="V67" s="75" t="inlineStr">
        <is>
          <t>direto sobre PL ajustado</t>
        </is>
      </c>
      <c r="W67" s="75" t="b">
        <v>0</v>
      </c>
      <c r="X67" s="75" t="inlineStr">
        <is>
          <t>Mínimo júnior usa PL ajustado; não é comparável à subordinação atual sobre o PL oficial.</t>
        </is>
      </c>
      <c r="Y67" s="75" t="b">
        <v>1</v>
      </c>
      <c r="Z67" s="144" t="inlineStr">
        <is>
          <t>N/D</t>
        </is>
      </c>
      <c r="AA67" s="144" t="inlineStr">
        <is>
          <t>N/D</t>
        </is>
      </c>
      <c r="AB67" s="75" t="inlineStr">
        <is>
          <t>não medido</t>
        </is>
      </c>
      <c r="AC67" s="75" t="inlineStr">
        <is>
          <t>Financeiro</t>
        </is>
      </c>
      <c r="AD67" s="75" t="inlineStr">
        <is>
          <t>Crédito Pessoal</t>
        </is>
      </c>
      <c r="AE67" s="75" t="inlineStr">
        <is>
          <t>Financeiro</t>
        </is>
      </c>
      <c r="AF67" s="75" t="inlineStr">
        <is>
          <t>Financeiro</t>
        </is>
      </c>
      <c r="AG67" s="75" t="inlineStr">
        <is>
          <t>Financeiro</t>
        </is>
      </c>
      <c r="AH67" s="75" t="inlineStr">
        <is>
          <t>Financeiro</t>
        </is>
      </c>
      <c r="AI67" s="75" t="inlineStr">
        <is>
          <t>Crédito comercial/PME segurado</t>
        </is>
      </c>
      <c r="AJ67" s="75" t="b">
        <v>0</v>
      </c>
      <c r="AK67" s="75" t="inlineStr">
        <is>
          <t>PENDENTE_FONTE_PRIMARIA</t>
        </is>
      </c>
      <c r="AL67" s="75" t="inlineStr">
        <is>
          <t>Crédito PME informado sem cláusula primária de instrumento e devedor</t>
        </is>
      </c>
      <c r="AM67" s="75" t="inlineStr">
        <is>
          <t>IMG_8706</t>
        </is>
      </c>
      <c r="AN67" s="75" t="inlineStr">
        <is>
          <t>Candidato</t>
        </is>
      </c>
      <c r="AO67" s="75" t="inlineStr">
        <is>
          <t>IMG_8706</t>
        </is>
      </c>
      <c r="AP67" s="75" t="inlineStr">
        <is>
          <t>N/D</t>
        </is>
      </c>
      <c r="AQ67" s="75" t="inlineStr">
        <is>
          <t>Financeiro</t>
        </is>
      </c>
      <c r="AR67" s="75" t="inlineStr">
        <is>
          <t>Financeiro</t>
        </is>
      </c>
      <c r="AS67" s="75" t="b">
        <v>0</v>
      </c>
      <c r="AT67" s="75" t="inlineStr">
        <is>
          <t>N/D</t>
        </is>
      </c>
      <c r="AU67" s="75" t="inlineStr">
        <is>
          <t>N/D</t>
        </is>
      </c>
      <c r="AV67" s="75" t="inlineStr">
        <is>
          <t>&lt; 10%</t>
        </is>
      </c>
      <c r="AW67" s="75" t="b">
        <v>1</v>
      </c>
      <c r="AX67" s="75" t="inlineStr">
        <is>
          <t>incomparável</t>
        </is>
      </c>
      <c r="AY67" s="75" t="inlineStr">
        <is>
          <t>abaixo do mercado</t>
        </is>
      </c>
      <c r="AZ67" s="144" t="n">
        <v>-0.2311922711397836</v>
      </c>
      <c r="BA67" s="75" t="b">
        <v>1</v>
      </c>
      <c r="BB67" s="145" t="n">
        <v>12</v>
      </c>
      <c r="BC67" s="143" t="n">
        <v>1000</v>
      </c>
      <c r="BD67" s="75" t="inlineStr">
        <is>
          <t>Cotas Seniores: R$ 1.000,00</t>
        </is>
      </c>
      <c r="BE67" s="75" t="inlineStr">
        <is>
          <t>valor nominal unitário (VNU)</t>
        </is>
      </c>
      <c r="BF67" s="75" t="inlineStr">
        <is>
          <t>Cotas Seniores</t>
        </is>
      </c>
      <c r="BG67" s="75" t="inlineStr">
        <is>
          <t>2023-10-06</t>
        </is>
      </c>
      <c r="BH67" s="75" t="inlineStr">
        <is>
          <t>532694</t>
        </is>
      </c>
      <c r="BI67" s="75" t="inlineStr">
        <is>
          <t>https://fnet.bmfbovespa.com.br/fnet/publico/downloadDocumento?id=532694</t>
        </is>
      </c>
      <c r="BJ67" s="75" t="inlineStr">
        <is>
          <t>localizado documentalmente</t>
        </is>
      </c>
      <c r="BK67" s="75" t="b">
        <v>0</v>
      </c>
      <c r="BL67" s="75" t="inlineStr">
        <is>
          <t>Supplier</t>
        </is>
      </c>
      <c r="BM67" s="75" t="inlineStr">
        <is>
          <t>cedente</t>
        </is>
      </c>
      <c r="BN67" s="75" t="inlineStr">
        <is>
          <t>N/D</t>
        </is>
      </c>
      <c r="BO67" s="75" t="inlineStr">
        <is>
          <t>Supplier</t>
        </is>
      </c>
      <c r="BP67" s="75" t="inlineStr">
        <is>
          <t>N/D</t>
        </is>
      </c>
      <c r="BQ67" s="75" t="inlineStr">
        <is>
          <t>Crédito Curto Prazo com o segurado; Crédito PME</t>
        </is>
      </c>
      <c r="BR67" s="75" t="inlineStr">
        <is>
          <t>cedente: IMG_8706.JPG | tipo_recebivel: IMG_8706.JPG</t>
        </is>
      </c>
      <c r="BS67" s="75" t="inlineStr">
        <is>
          <t>manual_aplicado</t>
        </is>
      </c>
      <c r="BT67" s="75" t="inlineStr">
        <is>
          <t>Denominação cortada pela largura da coluna na foto.</t>
        </is>
      </c>
      <c r="BU67" s="75" t="inlineStr">
        <is>
          <t>1013021</t>
        </is>
      </c>
      <c r="BV67" s="75" t="inlineStr">
        <is>
          <t>2024-11-14</t>
        </is>
      </c>
      <c r="BW67" s="75" t="inlineStr">
        <is>
          <t>29; 62</t>
        </is>
      </c>
      <c r="BX67" s="75" t="inlineStr">
        <is>
          <t>revisto — mínimo júnior localizado</t>
        </is>
      </c>
      <c r="BY67" s="75" t="inlineStr">
        <is>
          <t>FundosNet/B3; documento 1013021; referência 2024-11-14; p. 29; 62</t>
        </is>
      </c>
      <c r="BZ67" s="75" t="inlineStr">
        <is>
          <t>Cotas júnior / PL ajustado por outros ativos, mínimo de 4,5%.*</t>
        </is>
      </c>
      <c r="CA67" s="75" t="inlineStr">
        <is>
          <t>originador; sacado/devedor</t>
        </is>
      </c>
      <c r="CB67" s="75" t="inlineStr">
        <is>
          <t>estrutura_incomparavel</t>
        </is>
      </c>
    </row>
    <row r="68" ht="31.5" customHeight="1">
      <c r="A68" s="74" t="n">
        <v>64</v>
      </c>
      <c r="B68" s="138" t="n">
        <v>58476088000100</v>
      </c>
      <c r="C68" s="74" t="inlineStr">
        <is>
          <t>58.476.088/0001-00</t>
        </is>
      </c>
      <c r="D68" s="74" t="inlineStr">
        <is>
          <t>SAGA FUNDO DE INVESTIMENTO EM DIREITOS CREDITÓRIOS CRÉDITO PRIVADO - RESPONSABILIDADE LIMITADA</t>
        </is>
      </c>
      <c r="E68" s="74" t="inlineStr">
        <is>
          <t>CONSORCIO DALTEZ</t>
        </is>
      </c>
      <c r="F68" s="74" t="inlineStr">
        <is>
          <t>Carteira 101</t>
        </is>
      </c>
      <c r="G68" s="74" t="inlineStr">
        <is>
          <t>2026-06</t>
        </is>
      </c>
      <c r="H68" s="74" t="inlineStr">
        <is>
          <t>localizado</t>
        </is>
      </c>
      <c r="I68" s="139" t="n">
        <v>167604412.23</v>
      </c>
      <c r="J68" s="139" t="n">
        <v>167604412.2247902</v>
      </c>
      <c r="K68" s="139" t="n">
        <v>64851305.04979022</v>
      </c>
      <c r="L68" s="140" t="n">
        <v>0.3869307745955766</v>
      </c>
      <c r="M68" s="74" t="inlineStr">
        <is>
          <t>Calculado com classes reportadas e PL oficial reconciliado</t>
        </is>
      </c>
      <c r="N68" s="140" t="n">
        <v>0.3333</v>
      </c>
      <c r="O68" s="140" t="inlineStr">
        <is>
          <t>N/D</t>
        </is>
      </c>
      <c r="P68" s="140" t="inlineStr">
        <is>
          <t>N/D</t>
        </is>
      </c>
      <c r="Q68" s="140" t="n">
        <v>0.3333</v>
      </c>
      <c r="R68" s="140" t="inlineStr">
        <is>
          <t>N/D</t>
        </is>
      </c>
      <c r="S68" s="140" t="n">
        <v>0.3333</v>
      </c>
      <c r="T68" s="74" t="inlineStr">
        <is>
          <t>33,33%</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n">
        <v>0.05363077459557658</v>
      </c>
      <c r="AA68" s="140" t="n">
        <v>0.08044213978637554</v>
      </c>
      <c r="AB68" s="74" t="inlineStr">
        <is>
          <t>acima do mínimo</t>
        </is>
      </c>
      <c r="AC68" s="74" t="inlineStr">
        <is>
          <t>Agro, Indústria e Comércio</t>
        </is>
      </c>
      <c r="AD68" s="74" t="inlineStr">
        <is>
          <t>Recebíveis Comerciais</t>
        </is>
      </c>
      <c r="AE68" s="74" t="inlineStr">
        <is>
          <t>Agro / Revenda</t>
        </is>
      </c>
      <c r="AF68" s="74" t="inlineStr">
        <is>
          <t>Agro / Revenda</t>
        </is>
      </c>
      <c r="AG68" s="74" t="inlineStr">
        <is>
          <t>Agro / Revenda</t>
        </is>
      </c>
      <c r="AH68" s="74" t="inlineStr">
        <is>
          <t>Risco Corporativo</t>
        </is>
      </c>
      <c r="AI68" s="74" t="inlineStr">
        <is>
          <t>Notas comerciais de empresas/devedores</t>
        </is>
      </c>
      <c r="AJ68" s="74" t="b">
        <v>1</v>
      </c>
      <c r="AK68" s="74" t="inlineStr">
        <is>
          <t>APLICAR_ALTA</t>
        </is>
      </c>
      <c r="AL68" s="74" t="inlineStr">
        <is>
          <t>Lastro são notas comerciais, com porte dos emissores ainda a validar</t>
        </is>
      </c>
      <c r="AM68" s="74" t="inlineStr">
        <is>
          <t>regulamento 852325</t>
        </is>
      </c>
      <c r="AN68" s="74" t="inlineStr">
        <is>
          <t>Candidato</t>
        </is>
      </c>
      <c r="AO68" s="74" t="inlineStr">
        <is>
          <t>regulamento 852325</t>
        </is>
      </c>
      <c r="AP68" s="74" t="inlineStr">
        <is>
          <t>N/D</t>
        </is>
      </c>
      <c r="AQ68" s="74" t="inlineStr">
        <is>
          <t>Risco Corporativo</t>
        </is>
      </c>
      <c r="AR68" s="74" t="inlineStr">
        <is>
          <t>Agro / Revenda</t>
        </is>
      </c>
      <c r="AS68" s="74" t="b">
        <v>1</v>
      </c>
      <c r="AT68" s="74" t="inlineStr">
        <is>
          <t>regulamento 852325</t>
        </is>
      </c>
      <c r="AU68" s="74" t="inlineStr">
        <is>
          <t>Lastro são notas comerciais, com porte dos emissores ainda a validar</t>
        </is>
      </c>
      <c r="AV68" s="74" t="inlineStr">
        <is>
          <t>35%–60%</t>
        </is>
      </c>
      <c r="AW68" s="74" t="b">
        <v>1</v>
      </c>
      <c r="AX68" s="74" t="inlineStr">
        <is>
          <t>acima do piso</t>
        </is>
      </c>
      <c r="AY68" s="74" t="inlineStr">
        <is>
          <t>sem benchmark confiável</t>
        </is>
      </c>
      <c r="AZ68" s="140" t="inlineStr">
        <is>
          <t>N/D</t>
        </is>
      </c>
      <c r="BA68" s="74" t="b">
        <v>0</v>
      </c>
      <c r="BB68" s="141" t="n">
        <v>0</v>
      </c>
      <c r="BC68" s="139" t="n">
        <v>1000</v>
      </c>
      <c r="BD68" s="74" t="inlineStr">
        <is>
          <t>Cotas Seniores: R$ 1.000,00 | R$1.000,00</t>
        </is>
      </c>
      <c r="BE68" s="74" t="inlineStr">
        <is>
          <t>preço/valor unitário de emissão</t>
        </is>
      </c>
      <c r="BF68" s="74" t="inlineStr">
        <is>
          <t>Cotas Seniores</t>
        </is>
      </c>
      <c r="BG68" s="74" t="inlineStr">
        <is>
          <t>25/02/2025</t>
        </is>
      </c>
      <c r="BH68" s="74" t="inlineStr">
        <is>
          <t>852325</t>
        </is>
      </c>
      <c r="BI68" s="74" t="inlineStr">
        <is>
          <t>https://fnet.bmfbovespa.com.br/fnet/publico/downloadDocumento?id=852325</t>
        </is>
      </c>
      <c r="BJ68" s="74" t="inlineStr">
        <is>
          <t>localizado documentalmente — múltiplos valores/classes</t>
        </is>
      </c>
      <c r="BK68" s="74" t="b">
        <v>1</v>
      </c>
      <c r="BL68" s="74" t="inlineStr">
        <is>
          <t>Saga Brasil</t>
        </is>
      </c>
      <c r="BM68" s="74" t="inlineStr">
        <is>
          <t>cedente</t>
        </is>
      </c>
      <c r="BN68" s="74" t="inlineStr">
        <is>
          <t>N/D</t>
        </is>
      </c>
      <c r="BO68" s="74" t="inlineStr">
        <is>
          <t>Saga Brasil</t>
        </is>
      </c>
      <c r="BP68" s="74" t="inlineStr">
        <is>
          <t>N/D</t>
        </is>
      </c>
      <c r="BQ68" s="74" t="inlineStr">
        <is>
          <t>os direitos creditórios originados das Notas Comerciais emitidas pelos Devedores, representados pelos Documentos Comprobatórios, conforme o caso, detidas pela Fundo contra os Devedores</t>
        </is>
      </c>
      <c r="BR68" s="74" t="inlineStr">
        <is>
          <t>cedente: IMG_8706.JPG | tipo_recebivel: https://fnet.bmfbovespa.com.br/fnet/publico/downloadDocumento?id=852325</t>
        </is>
      </c>
      <c r="BS68" s="74" t="inlineStr">
        <is>
          <t>manual_aplicado</t>
        </is>
      </c>
      <c r="BT68" s="74" t="inlineStr">
        <is>
          <t>OBS continua fora da foto após a descrição legível.</t>
        </is>
      </c>
      <c r="BU68" s="74" t="inlineStr">
        <is>
          <t>852325</t>
        </is>
      </c>
      <c r="BV68" s="74" t="inlineStr">
        <is>
          <t>2025-02-25</t>
        </is>
      </c>
      <c r="BW68" s="74" t="inlineStr">
        <is>
          <t>18</t>
        </is>
      </c>
      <c r="BX68" s="74" t="inlineStr">
        <is>
          <t>revisto — mínimo júnior localizado</t>
        </is>
      </c>
      <c r="BY68" s="74" t="inlineStr">
        <is>
          <t>FundosNet/B3; documento 852325; referência 2025-02-25; p. 18</t>
        </is>
      </c>
      <c r="BZ68" s="74" t="inlineStr">
        <is>
          <t>Cotas subordinadas / PL, mínimo de 33,33%; estrutura com uma única classe residual.</t>
        </is>
      </c>
      <c r="CA68" s="74" t="inlineStr">
        <is>
          <t>originador; sacado/devedor</t>
        </is>
      </c>
      <c r="CB68" s="74" t="inlineStr">
        <is>
          <t>completo_para_folga</t>
        </is>
      </c>
    </row>
    <row r="69" ht="31.5" customHeight="1">
      <c r="A69" s="75" t="n">
        <v>65</v>
      </c>
      <c r="B69" s="142" t="n">
        <v>58349979000198</v>
      </c>
      <c r="C69" s="75" t="inlineStr">
        <is>
          <t>58.349.979/0001-98</t>
        </is>
      </c>
      <c r="D69" s="75" t="inlineStr">
        <is>
          <t>VOLKSWAGEN TERA FUNDO DE INVESTIMENTO EM DIREITOS CREDITÓRIOS RECEBÍVEIS COMERCIAIS RESP LTDA</t>
        </is>
      </c>
      <c r="E69" s="75" t="inlineStr">
        <is>
          <t>VOLKSWAGEN TERA FIDC SEGMENTO RECEBIVEIS COMERCIAI</t>
        </is>
      </c>
      <c r="F69" s="75" t="inlineStr">
        <is>
          <t>Carteira 101</t>
        </is>
      </c>
      <c r="G69" s="75" t="inlineStr">
        <is>
          <t>2026-06</t>
        </is>
      </c>
      <c r="H69" s="75" t="inlineStr">
        <is>
          <t>localizado</t>
        </is>
      </c>
      <c r="I69" s="143" t="n">
        <v>1085890404.56</v>
      </c>
      <c r="J69" s="143" t="n">
        <v>1064776252.46612</v>
      </c>
      <c r="K69" s="143" t="n">
        <v>268225044.5175</v>
      </c>
      <c r="L69" s="144" t="inlineStr">
        <is>
          <t>N/D</t>
        </is>
      </c>
      <c r="M69" s="75" t="inlineStr">
        <is>
          <t>N/D</t>
        </is>
      </c>
      <c r="N69" s="144" t="n">
        <v>0.25</v>
      </c>
      <c r="O69" s="144" t="inlineStr">
        <is>
          <t>N/D</t>
        </is>
      </c>
      <c r="P69" s="144" t="inlineStr">
        <is>
          <t>N/D</t>
        </is>
      </c>
      <c r="Q69" s="144" t="n">
        <v>0.25</v>
      </c>
      <c r="R69" s="144" t="inlineStr">
        <is>
          <t>N/D</t>
        </is>
      </c>
      <c r="S69" s="144" t="n">
        <v>0.25</v>
      </c>
      <c r="T69" s="75" t="inlineStr">
        <is>
          <t>25,0%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Agro, Indústria e Comércio</t>
        </is>
      </c>
      <c r="AD69" s="75" t="inlineStr">
        <is>
          <t>Recebíveis Comerciais</t>
        </is>
      </c>
      <c r="AE69" s="75" t="inlineStr">
        <is>
          <t>Agro / Revenda</t>
        </is>
      </c>
      <c r="AF69" s="75" t="inlineStr">
        <is>
          <t>Agro / Revenda</t>
        </is>
      </c>
      <c r="AG69" s="75" t="inlineStr">
        <is>
          <t>Agro / Revenda</t>
        </is>
      </c>
      <c r="AH69" s="75" t="inlineStr">
        <is>
          <t>Risco Corporativo</t>
        </is>
      </c>
      <c r="AI69" s="75" t="inlineStr">
        <is>
          <t>Recebíveis comerciais Volkswagen</t>
        </is>
      </c>
      <c r="AJ69" s="75" t="b">
        <v>1</v>
      </c>
      <c r="AK69" s="75" t="inlineStr">
        <is>
          <t>APLICAR_ALTA</t>
        </is>
      </c>
      <c r="AL69" s="75" t="inlineStr">
        <is>
          <t>Clientes devem créditos pela compra de produtos Volkswagen</t>
        </is>
      </c>
      <c r="AM69" s="75" t="inlineStr">
        <is>
          <t>regulamento + IMG_8706</t>
        </is>
      </c>
      <c r="AN69" s="75" t="inlineStr">
        <is>
          <t>Não</t>
        </is>
      </c>
      <c r="AO69" s="75" t="inlineStr">
        <is>
          <t>regulamento + IMG_8706</t>
        </is>
      </c>
      <c r="AP69" s="75" t="b">
        <v>0</v>
      </c>
      <c r="AQ69" s="75" t="inlineStr">
        <is>
          <t>Risco Corporativo</t>
        </is>
      </c>
      <c r="AR69" s="75" t="inlineStr">
        <is>
          <t>Agro / Revenda</t>
        </is>
      </c>
      <c r="AS69" s="75" t="b">
        <v>1</v>
      </c>
      <c r="AT69" s="75" t="inlineStr">
        <is>
          <t>regulamento + IMG_8706</t>
        </is>
      </c>
      <c r="AU69" s="75" t="inlineStr">
        <is>
          <t>Clientes devem créditos pela compra de produtos Volkswagen</t>
        </is>
      </c>
      <c r="AV69" s="75" t="inlineStr">
        <is>
          <t>N/D</t>
        </is>
      </c>
      <c r="AW69" s="75" t="b">
        <v>0</v>
      </c>
      <c r="AX69" s="75" t="inlineStr">
        <is>
          <t>N/D</t>
        </is>
      </c>
      <c r="AY69" s="75" t="inlineStr">
        <is>
          <t>sem benchmark confiável</t>
        </is>
      </c>
      <c r="AZ69" s="144" t="inlineStr">
        <is>
          <t>N/D</t>
        </is>
      </c>
      <c r="BA69" s="75" t="b">
        <v>0</v>
      </c>
      <c r="BB69" s="145" t="n">
        <v>0</v>
      </c>
      <c r="BC69" s="143" t="n">
        <v>1000</v>
      </c>
      <c r="BD69" s="75" t="inlineStr">
        <is>
          <t>Cotas Seniores: R$1.000,00</t>
        </is>
      </c>
      <c r="BE69" s="75" t="inlineStr">
        <is>
          <t>preço/valor unitário de emissão</t>
        </is>
      </c>
      <c r="BF69" s="75" t="inlineStr">
        <is>
          <t>Cotas Seniores</t>
        </is>
      </c>
      <c r="BG69" s="75" t="inlineStr">
        <is>
          <t>28/01/2025</t>
        </is>
      </c>
      <c r="BH69" s="75" t="inlineStr">
        <is>
          <t>826212</t>
        </is>
      </c>
      <c r="BI69" s="75" t="inlineStr">
        <is>
          <t>https://fnet.bmfbovespa.com.br/fnet/publico/downloadDocumento?id=826212</t>
        </is>
      </c>
      <c r="BJ69" s="75" t="inlineStr">
        <is>
          <t>localizado documentalmente</t>
        </is>
      </c>
      <c r="BK69" s="75" t="b">
        <v>0</v>
      </c>
      <c r="BL69" s="75" t="inlineStr">
        <is>
          <t>Volkswagen do Brasil S.A.</t>
        </is>
      </c>
      <c r="BM69" s="75" t="inlineStr">
        <is>
          <t>cedente</t>
        </is>
      </c>
      <c r="BN69" s="75" t="inlineStr">
        <is>
          <t>N/D</t>
        </is>
      </c>
      <c r="BO69" s="75" t="inlineStr">
        <is>
          <t>a VOLKSWAGEN DO BRASIL INDÚSTRIA DE VEÍCULOS AUTOMOTORES LTDA., sociedade empresária, com sede na cidade de São Bernardo do Campo, Estado de São Paulo, na Estrada Marginal da Via Anchieta, s/n, Km 23,5, CEP 09823-901, inscrita no CNPJ sob</t>
        </is>
      </c>
      <c r="BP69" s="75" t="inlineStr">
        <is>
          <t>os clientes da Cedente que tenham adquirido Produtos e sejam devedores dos Direitos Creditórios , compostos por Devedores Concentrados e Devedores Pulverizados</t>
        </is>
      </c>
      <c r="BQ69" s="75" t="inlineStr">
        <is>
          <t>Direitos creditórios</t>
        </is>
      </c>
      <c r="BR69" s="75" t="inlineStr">
        <is>
          <t>cedente: https://fnet.bmfbovespa.com.br/fnet/publico/downloadDocumento?id=826212 | sacado_devedor: https://fnet.bmfbovespa.com.br/fnet/publico/downloadDocumento?id=826212 | tipo_recebivel: IMG_8706.JPG</t>
        </is>
      </c>
      <c r="BS69" s="75" t="inlineStr">
        <is>
          <t>manual_aplicado</t>
        </is>
      </c>
      <c r="BT69" s="75" t="inlineStr">
        <is>
          <t>OBS da foto: concentração grande com LM e Unidas, ambas com tendência de rating estável. Denominação cortada.</t>
        </is>
      </c>
      <c r="BU69" s="75" t="inlineStr">
        <is>
          <t>826213</t>
        </is>
      </c>
      <c r="BV69" s="75" t="inlineStr">
        <is>
          <t>2025-01-28</t>
        </is>
      </c>
      <c r="BW69" s="75" t="inlineStr">
        <is>
          <t>94</t>
        </is>
      </c>
      <c r="BX69" s="75" t="inlineStr">
        <is>
          <t>revisto — mínimo júnior localizado</t>
        </is>
      </c>
      <c r="BY69" s="75" t="inlineStr">
        <is>
          <t>FundosNet/B3; documento 826213; referência 2025-01-28; p. 94</t>
        </is>
      </c>
      <c r="BZ69" s="75" t="inlineStr">
        <is>
          <t>Cotas subordinadas / PL, mínimo de 25,0%; estrutura com uma única classe residual.</t>
        </is>
      </c>
      <c r="CA69" s="75" t="inlineStr">
        <is>
          <t>Sub/PL atual; originador</t>
        </is>
      </c>
      <c r="CB69" s="75" t="inlineStr">
        <is>
          <t>sub_pl_atual_ausente</t>
        </is>
      </c>
    </row>
    <row r="70" ht="31.5" customHeight="1">
      <c r="A70" s="74" t="n">
        <v>66</v>
      </c>
      <c r="B70" s="138" t="n">
        <v>54559035000194</v>
      </c>
      <c r="C70" s="74" t="inlineStr">
        <is>
          <t>54.559.035/0001-94</t>
        </is>
      </c>
      <c r="D70" s="74" t="inlineStr">
        <is>
          <t>ESTRATÉGIA VINCULADA I FUNDO DE INVESTIMENTO EM DIREITOS CREDITÓRIOS - RESPONSABILIDADE LIMITADA</t>
        </is>
      </c>
      <c r="E70" s="74" t="inlineStr">
        <is>
          <t>FUNDO DE INVESTIMENTO EM DIREITOS CREDITORIOS RESP</t>
        </is>
      </c>
      <c r="F70" s="74" t="inlineStr">
        <is>
          <t>Carteira 101</t>
        </is>
      </c>
      <c r="G70" s="74" t="inlineStr">
        <is>
          <t>2026-06</t>
        </is>
      </c>
      <c r="H70" s="74" t="inlineStr">
        <is>
          <t>localizado</t>
        </is>
      </c>
      <c r="I70" s="139" t="n">
        <v>97953864.09999999</v>
      </c>
      <c r="J70" s="139" t="n">
        <v>96388955.04580168</v>
      </c>
      <c r="K70" s="139" t="n">
        <v>12316754.23420504</v>
      </c>
      <c r="L70" s="140" t="inlineStr">
        <is>
          <t>N/D</t>
        </is>
      </c>
      <c r="M70" s="74" t="inlineStr">
        <is>
          <t>N/D</t>
        </is>
      </c>
      <c r="N70" s="140" t="n">
        <v>0.1</v>
      </c>
      <c r="O70" s="140" t="inlineStr">
        <is>
          <t>N/D</t>
        </is>
      </c>
      <c r="P70" s="140" t="inlineStr">
        <is>
          <t>N/D</t>
        </is>
      </c>
      <c r="Q70" s="140" t="n">
        <v>0.1</v>
      </c>
      <c r="R70" s="140" t="inlineStr">
        <is>
          <t>N/D</t>
        </is>
      </c>
      <c r="S70" s="140" t="n">
        <v>0.1</v>
      </c>
      <c r="T70" s="74" t="inlineStr">
        <is>
          <t>10,0%</t>
        </is>
      </c>
      <c r="U70" s="74" t="inlineStr">
        <is>
          <t>junior_pl</t>
        </is>
      </c>
      <c r="V70" s="74" t="inlineStr">
        <is>
          <t>direto no regulamento</t>
        </is>
      </c>
      <c r="W70" s="74" t="b">
        <v>1</v>
      </c>
      <c r="X70" s="74" t="inlineStr">
        <is>
          <t>Estrutura com uma única classe subordinada; métrica atual e piso usam o total subordinado sobre o PL.</t>
        </is>
      </c>
      <c r="Y70" s="74" t="b">
        <v>0</v>
      </c>
      <c r="Z70" s="140" t="inlineStr">
        <is>
          <t>N/D</t>
        </is>
      </c>
      <c r="AA70" s="140" t="inlineStr">
        <is>
          <t>N/D</t>
        </is>
      </c>
      <c r="AB70" s="74" t="inlineStr">
        <is>
          <t>não medido</t>
        </is>
      </c>
      <c r="AC70" s="74" t="inlineStr">
        <is>
          <t>Financeiro</t>
        </is>
      </c>
      <c r="AD70" s="74" t="inlineStr">
        <is>
          <t>Multicarteira Financeiro</t>
        </is>
      </c>
      <c r="AE70" s="74" t="inlineStr">
        <is>
          <t>Financeiro</t>
        </is>
      </c>
      <c r="AF70" s="74" t="inlineStr">
        <is>
          <t>Financeiro</t>
        </is>
      </c>
      <c r="AG70" s="74" t="inlineStr">
        <is>
          <t>Financeiro</t>
        </is>
      </c>
      <c r="AH70" s="74" t="inlineStr">
        <is>
          <t>Financeiro</t>
        </is>
      </c>
      <c r="AI70" s="74" t="inlineStr">
        <is>
          <t>CDB Banco IBM vinculado a contratos de leasing</t>
        </is>
      </c>
      <c r="AJ70" s="74" t="b">
        <v>0</v>
      </c>
      <c r="AK70" s="74" t="inlineStr">
        <is>
          <t>MANTER_ALTA</t>
        </is>
      </c>
      <c r="AL70" s="74" t="inlineStr">
        <is>
          <t>Obrigação imediata é CDB do Banco IBM</t>
        </is>
      </c>
      <c r="AM70" s="74" t="inlineStr">
        <is>
          <t>regulamento 634437</t>
        </is>
      </c>
      <c r="AN70" s="74" t="inlineStr">
        <is>
          <t>Não</t>
        </is>
      </c>
      <c r="AO70" s="74" t="inlineStr">
        <is>
          <t>regulamento 634437</t>
        </is>
      </c>
      <c r="AP70" s="74" t="b">
        <v>0</v>
      </c>
      <c r="AQ70" s="74" t="inlineStr">
        <is>
          <t>Financeiro</t>
        </is>
      </c>
      <c r="AR70" s="74" t="inlineStr">
        <is>
          <t>Financeiro</t>
        </is>
      </c>
      <c r="AS70" s="74" t="b">
        <v>0</v>
      </c>
      <c r="AT70" s="74" t="inlineStr">
        <is>
          <t>N/D</t>
        </is>
      </c>
      <c r="AU70" s="74" t="inlineStr">
        <is>
          <t>N/D</t>
        </is>
      </c>
      <c r="AV70" s="74" t="inlineStr">
        <is>
          <t>N/D</t>
        </is>
      </c>
      <c r="AW70" s="74" t="b">
        <v>0</v>
      </c>
      <c r="AX70" s="74" t="inlineStr">
        <is>
          <t>N/D</t>
        </is>
      </c>
      <c r="AY70" s="74" t="inlineStr">
        <is>
          <t>sem benchmark confiável</t>
        </is>
      </c>
      <c r="AZ70" s="140" t="inlineStr">
        <is>
          <t>N/D</t>
        </is>
      </c>
      <c r="BA70" s="74" t="b">
        <v>1</v>
      </c>
      <c r="BB70" s="141" t="n">
        <v>12</v>
      </c>
      <c r="BC70" s="139" t="n">
        <v>1</v>
      </c>
      <c r="BD70" s="74" t="inlineStr">
        <is>
          <t>Cotas Seniores: R$ 1,00 | Cotas Subordinadas: R$1,00 | R$ 1,00 | cotas subordinadas júnior: R$ 1,00</t>
        </is>
      </c>
      <c r="BE70" s="74" t="inlineStr">
        <is>
          <t>preço/valor unitário de emissão | valor nominal unitário (VNU)</t>
        </is>
      </c>
      <c r="BF70" s="74" t="inlineStr">
        <is>
          <t>Cotas Seniores | Cotas Subordinadas | cotas subordinadas júnior</t>
        </is>
      </c>
      <c r="BG70" s="74" t="inlineStr">
        <is>
          <t>2024-04-05</t>
        </is>
      </c>
      <c r="BH70" s="74" t="inlineStr">
        <is>
          <t>634437</t>
        </is>
      </c>
      <c r="BI70" s="74" t="inlineStr">
        <is>
          <t>https://fnet.bmfbovespa.com.br/fnet/publico/downloadDocumento?id=634437</t>
        </is>
      </c>
      <c r="BJ70" s="74" t="inlineStr">
        <is>
          <t>localizado documentalmente — múltiplos valores/classes</t>
        </is>
      </c>
      <c r="BK70" s="74" t="b">
        <v>1</v>
      </c>
      <c r="BL70" s="74" t="inlineStr">
        <is>
          <t>Banco IBM</t>
        </is>
      </c>
      <c r="BM70" s="74" t="inlineStr">
        <is>
          <t>cedente</t>
        </is>
      </c>
      <c r="BN70" s="74" t="inlineStr">
        <is>
          <t>N/D</t>
        </is>
      </c>
      <c r="BO70" s="74" t="inlineStr">
        <is>
          <t>Banco IBM</t>
        </is>
      </c>
      <c r="BP70" s="74" t="inlineStr">
        <is>
          <t>N/D</t>
        </is>
      </c>
      <c r="BQ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70" s="74" t="inlineStr">
        <is>
          <t>cedente: IMG_8706.JPG | tipo_recebivel: https://fnet.bmfbovespa.com.br/fnet/publico/downloadDocumento?id=634437</t>
        </is>
      </c>
      <c r="BS70" s="74" t="inlineStr">
        <is>
          <t>manual_aplicado</t>
        </is>
      </c>
      <c r="BT70" s="74" t="inlineStr">
        <is>
          <t>N/D</t>
        </is>
      </c>
      <c r="BU70" s="74" t="inlineStr">
        <is>
          <t>634463</t>
        </is>
      </c>
      <c r="BV70" s="74" t="inlineStr">
        <is>
          <t>2024-04-05</t>
        </is>
      </c>
      <c r="BW70" s="74" t="inlineStr">
        <is>
          <t>50</t>
        </is>
      </c>
      <c r="BX70" s="74" t="inlineStr">
        <is>
          <t>revisto — mínimo júnior localizado</t>
        </is>
      </c>
      <c r="BY70" s="74" t="inlineStr">
        <is>
          <t>FundosNet/B3; documento 634463; referência 2024-04-05; p. 50</t>
        </is>
      </c>
      <c r="BZ70" s="74" t="inlineStr">
        <is>
          <t>Cotas subordinadas júnior / PL, mínimo de 10,0%; estrutura com cotas seniores e juniores.</t>
        </is>
      </c>
      <c r="CA70" s="74" t="inlineStr">
        <is>
          <t>Sub/PL atual; originador; sacado/devedor</t>
        </is>
      </c>
      <c r="CB70" s="74" t="inlineStr">
        <is>
          <t>sub_pl_atual_ausente</t>
        </is>
      </c>
    </row>
    <row r="71" ht="31.5" customHeight="1">
      <c r="A71" s="75" t="n">
        <v>67</v>
      </c>
      <c r="B71" s="142" t="n">
        <v>55070804000159</v>
      </c>
      <c r="C71" s="75" t="inlineStr">
        <is>
          <t>55.070.804/0001-59</t>
        </is>
      </c>
      <c r="D71" s="75" t="inlineStr">
        <is>
          <t>ESTRATÉGIA VINCULADA II FUNDO DE INVESTIMENTO EM DIREITOS CREDITÓRIOS - RESPONSABILIDADE LIMITADA</t>
        </is>
      </c>
      <c r="E71" s="75" t="inlineStr">
        <is>
          <t>ESTRATEGIA VINCULADA II FUNDO DE INVESTIMENTO EM D</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n">
        <v>0.1</v>
      </c>
      <c r="O71" s="144" t="inlineStr">
        <is>
          <t>N/D</t>
        </is>
      </c>
      <c r="P71" s="144" t="inlineStr">
        <is>
          <t>N/D</t>
        </is>
      </c>
      <c r="Q71" s="144" t="n">
        <v>0.1</v>
      </c>
      <c r="R71" s="144" t="inlineStr">
        <is>
          <t>N/D</t>
        </is>
      </c>
      <c r="S71" s="144" t="n">
        <v>0.1</v>
      </c>
      <c r="T71" s="75" t="inlineStr">
        <is>
          <t>10,0%</t>
        </is>
      </c>
      <c r="U71" s="75" t="inlineStr">
        <is>
          <t>junior_pl</t>
        </is>
      </c>
      <c r="V71" s="75" t="inlineStr">
        <is>
          <t>direto no regulamento</t>
        </is>
      </c>
      <c r="W71" s="75" t="b">
        <v>1</v>
      </c>
      <c r="X71" s="75" t="inlineStr">
        <is>
          <t>Estrutura com uma única classe subordinada; métrica atual e piso usam o total subordinado sobre o PL.</t>
        </is>
      </c>
      <c r="Y71" s="75" t="b">
        <v>0</v>
      </c>
      <c r="Z71" s="144" t="inlineStr">
        <is>
          <t>N/D</t>
        </is>
      </c>
      <c r="AA71" s="144" t="inlineStr">
        <is>
          <t>N/D</t>
        </is>
      </c>
      <c r="AB71" s="75" t="inlineStr">
        <is>
          <t>não medido</t>
        </is>
      </c>
      <c r="AC71" s="75" t="inlineStr">
        <is>
          <t>Financeiro</t>
        </is>
      </c>
      <c r="AD71" s="75" t="inlineStr">
        <is>
          <t>Multicarteira Financeiro</t>
        </is>
      </c>
      <c r="AE71" s="75" t="inlineStr">
        <is>
          <t>Financeiro</t>
        </is>
      </c>
      <c r="AF71" s="75" t="inlineStr">
        <is>
          <t>Financeiro</t>
        </is>
      </c>
      <c r="AG71" s="75" t="inlineStr">
        <is>
          <t>Financeiro</t>
        </is>
      </c>
      <c r="AH71" s="75" t="inlineStr">
        <is>
          <t>Financeiro</t>
        </is>
      </c>
      <c r="AI71" s="75" t="inlineStr">
        <is>
          <t>CDB Banco IBM vinculado a contratos de leasing</t>
        </is>
      </c>
      <c r="AJ71" s="75" t="b">
        <v>0</v>
      </c>
      <c r="AK71" s="75" t="inlineStr">
        <is>
          <t>MANTER_ALTA</t>
        </is>
      </c>
      <c r="AL71" s="75" t="inlineStr">
        <is>
          <t>Obrigação imediata é CDB do Banco IBM</t>
        </is>
      </c>
      <c r="AM71" s="75" t="inlineStr">
        <is>
          <t>regulamento 667195</t>
        </is>
      </c>
      <c r="AN71" s="75" t="inlineStr">
        <is>
          <t>Não</t>
        </is>
      </c>
      <c r="AO71" s="75" t="inlineStr">
        <is>
          <t>regulamento 667195</t>
        </is>
      </c>
      <c r="AP71" s="75" t="b">
        <v>0</v>
      </c>
      <c r="AQ71" s="75" t="inlineStr">
        <is>
          <t>Financeiro</t>
        </is>
      </c>
      <c r="AR71" s="75" t="inlineStr">
        <is>
          <t>Financeiro</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1</v>
      </c>
      <c r="BB71" s="145" t="n">
        <v>12</v>
      </c>
      <c r="BC71" s="143" t="n">
        <v>1</v>
      </c>
      <c r="BD71" s="75" t="inlineStr">
        <is>
          <t>Cotas Seniores: R$ 1,00 | Cotas Subordinadas Júnior: R$ 1,00</t>
        </is>
      </c>
      <c r="BE71" s="75" t="inlineStr">
        <is>
          <t>preço/valor unitário de emissão</t>
        </is>
      </c>
      <c r="BF71" s="75" t="inlineStr">
        <is>
          <t>Cotas Seniores | Cotas Subordinadas Júnior</t>
        </is>
      </c>
      <c r="BG71" s="75" t="inlineStr">
        <is>
          <t>2024-05-22</t>
        </is>
      </c>
      <c r="BH71" s="75" t="inlineStr">
        <is>
          <t>667195</t>
        </is>
      </c>
      <c r="BI71" s="75" t="inlineStr">
        <is>
          <t>https://fnet.bmfbovespa.com.br/fnet/publico/downloadDocumento?id=667195</t>
        </is>
      </c>
      <c r="BJ71" s="75" t="inlineStr">
        <is>
          <t>localizado documentalmente — múltiplos valores/classes</t>
        </is>
      </c>
      <c r="BK71" s="75" t="b">
        <v>1</v>
      </c>
      <c r="BL71" s="75" t="inlineStr">
        <is>
          <t>Banco IBM</t>
        </is>
      </c>
      <c r="BM71" s="75" t="inlineStr">
        <is>
          <t>cedente</t>
        </is>
      </c>
      <c r="BN71" s="75" t="inlineStr">
        <is>
          <t>N/D</t>
        </is>
      </c>
      <c r="BO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71" s="75" t="inlineStr">
        <is>
          <t>N/D</t>
        </is>
      </c>
      <c r="BQ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71" s="75" t="inlineStr">
        <is>
          <t>cedente: https://fnet.bmfbovespa.com.br/fnet/publico/downloadDocumento?id=667195 | tipo_recebivel: https://fnet.bmfbovespa.com.br/fnet/publico/downloadDocumento?id=667195</t>
        </is>
      </c>
      <c r="BS71" s="75" t="inlineStr">
        <is>
          <t>manual_aplicado</t>
        </is>
      </c>
      <c r="BT71" s="75" t="inlineStr">
        <is>
          <t>Denominação cortada pela largura da coluna na foto.</t>
        </is>
      </c>
      <c r="BU71" s="75" t="inlineStr">
        <is>
          <t>667195</t>
        </is>
      </c>
      <c r="BV71" s="75" t="inlineStr">
        <is>
          <t>2024-05-22</t>
        </is>
      </c>
      <c r="BW71" s="75" t="inlineStr">
        <is>
          <t>57</t>
        </is>
      </c>
      <c r="BX71" s="75" t="inlineStr">
        <is>
          <t>revisto — mínimo júnior localizado</t>
        </is>
      </c>
      <c r="BY71" s="75" t="inlineStr">
        <is>
          <t>FundosNet/B3; documento 667195; referência 2024-05-22; p. 57</t>
        </is>
      </c>
      <c r="BZ71" s="75" t="inlineStr">
        <is>
          <t>Cotas subordinadas júnior / PL, mínimo de 10,0%; estrutura com cotas seniores e juniores.</t>
        </is>
      </c>
      <c r="CA71" s="75" t="inlineStr">
        <is>
          <t>PL atual; Sub/PL atual; originador; sacado/devedor</t>
        </is>
      </c>
      <c r="CB71" s="75" t="inlineStr">
        <is>
          <t>sub_pl_atual_ausente</t>
        </is>
      </c>
    </row>
    <row r="72" ht="31.5" customHeight="1">
      <c r="A72" s="74" t="n">
        <v>68</v>
      </c>
      <c r="B72" s="138" t="n">
        <v>43866348000179</v>
      </c>
      <c r="C72" s="74" t="inlineStr">
        <is>
          <t>43.866.348/0001-79</t>
        </is>
      </c>
      <c r="D72" s="74" t="inlineStr">
        <is>
          <t>FUNDO DE INVESTIMENTO EM DIREITOS CREDITÓRIOS OPEA AGRO SUMITOMO CHEMICAL RESP LIMITADA</t>
        </is>
      </c>
      <c r="E72" s="74" t="inlineStr">
        <is>
          <t>FUNDO DE INVESTIMENTO EM DIREITOS CREDITORIOS OPEA</t>
        </is>
      </c>
      <c r="F72" s="74" t="inlineStr">
        <is>
          <t>Carteira 101</t>
        </is>
      </c>
      <c r="G72" s="74" t="inlineStr">
        <is>
          <t>2026-06</t>
        </is>
      </c>
      <c r="H72" s="74" t="inlineStr">
        <is>
          <t>localizado</t>
        </is>
      </c>
      <c r="I72" s="139" t="n">
        <v>256043621.64</v>
      </c>
      <c r="J72" s="139" t="n">
        <v>256043622.9688489</v>
      </c>
      <c r="K72" s="139" t="n">
        <v>167388333.9688489</v>
      </c>
      <c r="L72" s="140" t="n">
        <v>0.6537492826288742</v>
      </c>
      <c r="M72" s="74" t="inlineStr">
        <is>
          <t>Calculado com classes reportadas e PL oficial reconciliado</t>
        </is>
      </c>
      <c r="N72" s="140" t="n">
        <v>0.05</v>
      </c>
      <c r="O72" s="140" t="inlineStr">
        <is>
          <t>N/D</t>
        </is>
      </c>
      <c r="P72" s="140" t="inlineStr">
        <is>
          <t>N/D</t>
        </is>
      </c>
      <c r="Q72" s="140" t="inlineStr">
        <is>
          <t>N/D</t>
        </is>
      </c>
      <c r="R72" s="140" t="inlineStr">
        <is>
          <t>N/D</t>
        </is>
      </c>
      <c r="S72" s="140" t="n">
        <v>0.05</v>
      </c>
      <c r="T72" s="74" t="inlineStr">
        <is>
          <t>N/D</t>
        </is>
      </c>
      <c r="U72" s="74" t="inlineStr">
        <is>
          <t>junior_pl</t>
        </is>
      </c>
      <c r="V72" s="74" t="inlineStr">
        <is>
          <t>direto no regulamento</t>
        </is>
      </c>
      <c r="W72" s="74" t="b">
        <v>0</v>
      </c>
      <c r="X72" s="74" t="inlineStr">
        <is>
          <t>Mínimo júnior isolado; a subordinação atual disponível agrega todas as classes subordinadas.</t>
        </is>
      </c>
      <c r="Y72" s="74" t="b">
        <v>0</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NP, CPR-F e CDCA da cadeia de insumos</t>
        </is>
      </c>
      <c r="AJ72" s="74" t="b">
        <v>0</v>
      </c>
      <c r="AK72" s="74" t="inlineStr">
        <is>
          <t>MANTER_ALTA</t>
        </is>
      </c>
      <c r="AL72" s="74" t="inlineStr">
        <is>
          <t>Instrumentos e emissores agro explícitos</t>
        </is>
      </c>
      <c r="AM72" s="74" t="inlineStr">
        <is>
          <t>regulamento 741138</t>
        </is>
      </c>
      <c r="AN72" s="74" t="inlineStr">
        <is>
          <t>Não</t>
        </is>
      </c>
      <c r="AO72" s="74" t="inlineStr">
        <is>
          <t>regulamento 741138</t>
        </is>
      </c>
      <c r="AP72" s="74" t="b">
        <v>0</v>
      </c>
      <c r="AQ72" s="74" t="inlineStr">
        <is>
          <t>Agro / Revenda</t>
        </is>
      </c>
      <c r="AR72" s="74" t="inlineStr">
        <is>
          <t>Agro / Revenda</t>
        </is>
      </c>
      <c r="AS72" s="74" t="b">
        <v>0</v>
      </c>
      <c r="AT72" s="74" t="inlineStr">
        <is>
          <t>N/D</t>
        </is>
      </c>
      <c r="AU72" s="74" t="inlineStr">
        <is>
          <t>N/D</t>
        </is>
      </c>
      <c r="AV72" s="74" t="inlineStr">
        <is>
          <t>≥ 60%</t>
        </is>
      </c>
      <c r="AW72" s="74" t="b">
        <v>1</v>
      </c>
      <c r="AX72" s="74" t="inlineStr">
        <is>
          <t>incomparável</t>
        </is>
      </c>
      <c r="AY72" s="74" t="inlineStr">
        <is>
          <t>sem benchmark confiável</t>
        </is>
      </c>
      <c r="AZ72" s="140" t="inlineStr">
        <is>
          <t>N/D</t>
        </is>
      </c>
      <c r="BA72" s="74" t="b">
        <v>0</v>
      </c>
      <c r="BB72" s="141" t="n">
        <v>0</v>
      </c>
      <c r="BC72" s="139" t="n">
        <v>1</v>
      </c>
      <c r="BD72" s="74" t="inlineStr">
        <is>
          <t>Cotas Subordinadas: R$ 1,00</t>
        </is>
      </c>
      <c r="BE72" s="74" t="inlineStr">
        <is>
          <t>preço/valor unitário de emissão</t>
        </is>
      </c>
      <c r="BF72" s="74" t="inlineStr">
        <is>
          <t>Cotas Subordinadas</t>
        </is>
      </c>
      <c r="BG72" s="74" t="inlineStr">
        <is>
          <t>17/09/2024</t>
        </is>
      </c>
      <c r="BH72" s="74" t="inlineStr">
        <is>
          <t>741138</t>
        </is>
      </c>
      <c r="BI72" s="74" t="inlineStr">
        <is>
          <t>https://fnet.bmfbovespa.com.br/fnet/publico/downloadDocumento?id=741138</t>
        </is>
      </c>
      <c r="BJ72" s="74" t="inlineStr">
        <is>
          <t>localizado documentalmente</t>
        </is>
      </c>
      <c r="BK72" s="74" t="b">
        <v>0</v>
      </c>
      <c r="BL72" s="74" t="inlineStr">
        <is>
          <t>SUMITOMO</t>
        </is>
      </c>
      <c r="BM72" s="74" t="inlineStr">
        <is>
          <t>cedente</t>
        </is>
      </c>
      <c r="BN72" s="74" t="inlineStr">
        <is>
          <t>a Sumitomo</t>
        </is>
      </c>
      <c r="BO72" s="74" t="inlineStr">
        <is>
          <t>(i) a Sumitomo, cujas cessões não contarão com coobrigação</t>
        </is>
      </c>
      <c r="BP72" s="74" t="inlineStr">
        <is>
          <t>N/D</t>
        </is>
      </c>
      <c r="BQ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2" s="74" t="inlineStr">
        <is>
          <t>originador: https://fnet.bmfbovespa.com.br/fnet/publico/downloadDocumento?id=741138 | cedente: https://fnet.bmfbovespa.com.br/fnet/publico/downloadDocumento?id=741138 | tipo_recebivel: https://fnet.bmfbovespa.com.br/fnet/publico/downloadDocumento?id=741138</t>
        </is>
      </c>
      <c r="BS72" s="74" t="inlineStr">
        <is>
          <t>manual_aplicado</t>
        </is>
      </c>
      <c r="BT72" s="74" t="inlineStr">
        <is>
          <t>OBS literal: FIDC Sumitomo. Financia revendas e produtores.</t>
        </is>
      </c>
      <c r="BU72" s="74" t="inlineStr">
        <is>
          <t>741139</t>
        </is>
      </c>
      <c r="BV72" s="74" t="inlineStr">
        <is>
          <t>2024-09-17</t>
        </is>
      </c>
      <c r="BW72" s="74" t="inlineStr">
        <is>
          <t>81</t>
        </is>
      </c>
      <c r="BX72" s="74" t="inlineStr">
        <is>
          <t>revisto — mínimo júnior localizado</t>
        </is>
      </c>
      <c r="BY72" s="74" t="inlineStr">
        <is>
          <t>FundosNet/B3; documento 741139; referência 2024-09-17; p. 81</t>
        </is>
      </c>
      <c r="BZ72" s="74" t="inlineStr">
        <is>
          <t>Cotas subordinadas júnior / total das cotas, mínimo de 5,0%, mantido pelo valor atualizado.</t>
        </is>
      </c>
      <c r="CA72" s="74" t="inlineStr">
        <is>
          <t>sacado/devedor</t>
        </is>
      </c>
      <c r="CB72" s="74" t="inlineStr">
        <is>
          <t>estrutura_incomparavel</t>
        </is>
      </c>
    </row>
    <row r="73" ht="31.5" customHeight="1">
      <c r="A73" s="75" t="n">
        <v>69</v>
      </c>
      <c r="B73" s="142" t="n">
        <v>47936340000192</v>
      </c>
      <c r="C73" s="75" t="inlineStr">
        <is>
          <t>47.936.340/0001-92</t>
        </is>
      </c>
      <c r="D73" s="75" t="inlineStr">
        <is>
          <t>FUNDO DE INVESTIMENTO NAS CADEIAS PRODUTIVAS AGROINDUSTRIAIS OPEA AGRO INSUMOS RESPONSABILIDADE LIMI</t>
        </is>
      </c>
      <c r="E73" s="75" t="inlineStr">
        <is>
          <t>FUNDO DE INVESTIMENTO EM DIREITOS CREDITORIOS OPEA</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0.25</v>
      </c>
      <c r="R73" s="144" t="inlineStr">
        <is>
          <t>N/D</t>
        </is>
      </c>
      <c r="S73" s="144" t="n">
        <v>0.25</v>
      </c>
      <c r="T73" s="75" t="inlineStr">
        <is>
          <t>25,0%*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Recebíveis Comerciais</t>
        </is>
      </c>
      <c r="AE73" s="75" t="inlineStr">
        <is>
          <t>Agro / Revenda</t>
        </is>
      </c>
      <c r="AF73" s="75" t="inlineStr">
        <is>
          <t>Agro / Revenda</t>
        </is>
      </c>
      <c r="AG73" s="75" t="inlineStr">
        <is>
          <t>Agro / Revenda</t>
        </is>
      </c>
      <c r="AH73" s="75" t="inlineStr">
        <is>
          <t>Agro / Revenda</t>
        </is>
      </c>
      <c r="AI73" s="75" t="inlineStr">
        <is>
          <t>Insumos agrícolas, prazo safra BASF</t>
        </is>
      </c>
      <c r="AJ73" s="75" t="b">
        <v>0</v>
      </c>
      <c r="AK73" s="75" t="inlineStr">
        <is>
          <t>MANTER_ALTA</t>
        </is>
      </c>
      <c r="AL73" s="75" t="inlineStr">
        <is>
          <t>BASF e insumos agrícolas</t>
        </is>
      </c>
      <c r="AM73" s="75" t="inlineStr">
        <is>
          <t>IMG_8706</t>
        </is>
      </c>
      <c r="AN73" s="75" t="inlineStr">
        <is>
          <t>Não</t>
        </is>
      </c>
      <c r="AO73" s="75" t="inlineStr">
        <is>
          <t>IMG_8706</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Mezanino: R$ 1.000,00</t>
        </is>
      </c>
      <c r="BE73" s="75" t="inlineStr">
        <is>
          <t>preço/valor unitário de emissão</t>
        </is>
      </c>
      <c r="BF73" s="75" t="inlineStr">
        <is>
          <t>Cotas Subordinadas Mezanino</t>
        </is>
      </c>
      <c r="BG73" s="75" t="inlineStr">
        <is>
          <t>2025-03-11</t>
        </is>
      </c>
      <c r="BH73" s="75" t="inlineStr">
        <is>
          <t>862072</t>
        </is>
      </c>
      <c r="BI73" s="75" t="inlineStr">
        <is>
          <t>https://fnet.bmfbovespa.com.br/fnet/publico/downloadDocumento?id=862072</t>
        </is>
      </c>
      <c r="BJ73" s="75" t="inlineStr">
        <is>
          <t>localizado documentalmente</t>
        </is>
      </c>
      <c r="BK73" s="75" t="b">
        <v>0</v>
      </c>
      <c r="BL73" s="75" t="inlineStr">
        <is>
          <t>BASF</t>
        </is>
      </c>
      <c r="BM73" s="75" t="inlineStr">
        <is>
          <t>cedente</t>
        </is>
      </c>
      <c r="BN73" s="75" t="inlineStr">
        <is>
          <t>N/D</t>
        </is>
      </c>
      <c r="BO73" s="75" t="inlineStr">
        <is>
          <t>BASF</t>
        </is>
      </c>
      <c r="BP73" s="75" t="inlineStr">
        <is>
          <t>N/D</t>
        </is>
      </c>
      <c r="BQ73" s="75" t="inlineStr">
        <is>
          <t>Insumos Agrícolas - prazo Safra</t>
        </is>
      </c>
      <c r="BR73" s="75" t="inlineStr">
        <is>
          <t>cedente: IMG_8706.JPG | tipo_recebivel: IMG_8706.JPG</t>
        </is>
      </c>
      <c r="BS73" s="75" t="inlineStr">
        <is>
          <t>manual_aplicado</t>
        </is>
      </c>
      <c r="BT73" s="75" t="inlineStr">
        <is>
          <t>N/D</t>
        </is>
      </c>
      <c r="BU73" s="75" t="inlineStr">
        <is>
          <t>801978</t>
        </is>
      </c>
      <c r="BV73" s="75" t="inlineStr">
        <is>
          <t>2025-03-11</t>
        </is>
      </c>
      <c r="BW73" s="75" t="inlineStr">
        <is>
          <t>4</t>
        </is>
      </c>
      <c r="BX73" s="75" t="inlineStr">
        <is>
          <t>revisto — suporte estrutural total localizado</t>
        </is>
      </c>
      <c r="BY73" s="75" t="inlineStr">
        <is>
          <t>FundosNet/B3; documento 801978; referência 2025-03-11; p. 4</t>
        </is>
      </c>
      <c r="BZ73" s="75" t="inlineStr">
        <is>
          <t>N/D</t>
        </is>
      </c>
      <c r="CA73" s="75" t="inlineStr">
        <is>
          <t>PL atual; Sub/PL atual; originador; sacado/devedor</t>
        </is>
      </c>
      <c r="CB73" s="75" t="inlineStr">
        <is>
          <t>sub_pl_atual_ausente</t>
        </is>
      </c>
    </row>
    <row r="74" ht="31.5" customHeight="1">
      <c r="A74" s="74" t="n">
        <v>70</v>
      </c>
      <c r="B74" s="138" t="n">
        <v>58291962000127</v>
      </c>
      <c r="C74" s="74" t="inlineStr">
        <is>
          <t>58.291.962/0001-27</t>
        </is>
      </c>
      <c r="D74" s="74" t="inlineStr">
        <is>
          <t>HELM FUNDO DE INVESTIMENTO NAS CADEIAS PRODUTIVAS DO AGRONEGÓCIO - RESPONSABILIDADE LIMITADA</t>
        </is>
      </c>
      <c r="E74" s="74" t="inlineStr">
        <is>
          <t>HELM FUNDO I E D C RESPONS</t>
        </is>
      </c>
      <c r="F74" s="74" t="inlineStr">
        <is>
          <t>Carteira 101</t>
        </is>
      </c>
      <c r="G74" s="74" t="inlineStr">
        <is>
          <t>2026-06</t>
        </is>
      </c>
      <c r="H74" s="74" t="inlineStr">
        <is>
          <t>localizado</t>
        </is>
      </c>
      <c r="I74" s="139" t="inlineStr">
        <is>
          <t>N/D</t>
        </is>
      </c>
      <c r="J74" s="139" t="inlineStr">
        <is>
          <t>N/D</t>
        </is>
      </c>
      <c r="K74" s="139" t="inlineStr">
        <is>
          <t>N/D</t>
        </is>
      </c>
      <c r="L74" s="140" t="inlineStr">
        <is>
          <t>N/D</t>
        </is>
      </c>
      <c r="M74" s="74" t="inlineStr">
        <is>
          <t>PL oficial ausente em 2026-06</t>
        </is>
      </c>
      <c r="N74" s="140" t="inlineStr">
        <is>
          <t>N/D</t>
        </is>
      </c>
      <c r="O74" s="140" t="inlineStr">
        <is>
          <t>N/D</t>
        </is>
      </c>
      <c r="P74" s="140" t="inlineStr">
        <is>
          <t>N/D</t>
        </is>
      </c>
      <c r="Q74" s="140" t="n">
        <v>0.2</v>
      </c>
      <c r="R74" s="140" t="inlineStr">
        <is>
          <t>N/D</t>
        </is>
      </c>
      <c r="S74" s="140" t="n">
        <v>0.2</v>
      </c>
      <c r="T74" s="74" t="inlineStr">
        <is>
          <t>20,0%*</t>
        </is>
      </c>
      <c r="U74" s="74" t="inlineStr">
        <is>
          <t>suporte_total_pl</t>
        </is>
      </c>
      <c r="V74" s="74" t="inlineStr">
        <is>
          <t>direto no regulamento</t>
        </is>
      </c>
      <c r="W74" s="74" t="b">
        <v>1</v>
      </c>
      <c r="X74" s="74" t="inlineStr">
        <is>
          <t>Suporte total ou combinado; não representa mínimo júnior isolado.</t>
        </is>
      </c>
      <c r="Y74" s="74" t="b">
        <v>1</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HELM na cadeia agro</t>
        </is>
      </c>
      <c r="AJ74" s="74" t="b">
        <v>0</v>
      </c>
      <c r="AK74" s="74" t="inlineStr">
        <is>
          <t>MANTER_ASTERISCO</t>
        </is>
      </c>
      <c r="AL74" s="74" t="inlineStr">
        <is>
          <t>Produto agro não está explícito no trecho aceito</t>
        </is>
      </c>
      <c r="AM74" s="74" t="inlineStr">
        <is>
          <t>regulamento 957854</t>
        </is>
      </c>
      <c r="AN74" s="74" t="inlineStr">
        <is>
          <t>Não</t>
        </is>
      </c>
      <c r="AO74" s="74" t="inlineStr">
        <is>
          <t>regulamento 957854</t>
        </is>
      </c>
      <c r="AP74" s="74" t="b">
        <v>0</v>
      </c>
      <c r="AQ74" s="74" t="inlineStr">
        <is>
          <t>Agro / Revenda</t>
        </is>
      </c>
      <c r="AR74" s="74" t="inlineStr">
        <is>
          <t>Agro / Revenda</t>
        </is>
      </c>
      <c r="AS74" s="74" t="b">
        <v>0</v>
      </c>
      <c r="AT74" s="74" t="inlineStr">
        <is>
          <t>N/D</t>
        </is>
      </c>
      <c r="AU74" s="74" t="inlineStr">
        <is>
          <t>N/D</t>
        </is>
      </c>
      <c r="AV74" s="74" t="inlineStr">
        <is>
          <t>N/D</t>
        </is>
      </c>
      <c r="AW74" s="74" t="b">
        <v>0</v>
      </c>
      <c r="AX74" s="74" t="inlineStr">
        <is>
          <t>N/D</t>
        </is>
      </c>
      <c r="AY74" s="74" t="inlineStr">
        <is>
          <t>sem benchmark confiável</t>
        </is>
      </c>
      <c r="AZ74" s="140" t="inlineStr">
        <is>
          <t>N/D</t>
        </is>
      </c>
      <c r="BA74" s="74" t="b">
        <v>0</v>
      </c>
      <c r="BB74" s="141" t="n">
        <v>0</v>
      </c>
      <c r="BC74" s="139" t="n">
        <v>1000</v>
      </c>
      <c r="BD74" s="74" t="inlineStr">
        <is>
          <t>Cotas Subordinadas Júnior: R$1.000,00 | R$1.000,00</t>
        </is>
      </c>
      <c r="BE74" s="74" t="inlineStr">
        <is>
          <t>preço/valor unitário de emissão</t>
        </is>
      </c>
      <c r="BF74" s="74" t="inlineStr">
        <is>
          <t>Cotas Subordinadas Júnior</t>
        </is>
      </c>
      <c r="BG74" s="74" t="inlineStr">
        <is>
          <t>2025-07-30</t>
        </is>
      </c>
      <c r="BH74" s="74" t="inlineStr">
        <is>
          <t>957854</t>
        </is>
      </c>
      <c r="BI74" s="74" t="inlineStr">
        <is>
          <t>https://fnet.bmfbovespa.com.br/fnet/publico/downloadDocumento?id=957854</t>
        </is>
      </c>
      <c r="BJ74" s="74" t="inlineStr">
        <is>
          <t>localizado documentalmente — múltiplos valores/classes</t>
        </is>
      </c>
      <c r="BK74" s="74" t="b">
        <v>1</v>
      </c>
      <c r="BL74" s="74" t="inlineStr">
        <is>
          <t>Helm</t>
        </is>
      </c>
      <c r="BM74" s="74" t="inlineStr">
        <is>
          <t>cedente</t>
        </is>
      </c>
      <c r="BN74" s="74" t="inlineStr">
        <is>
          <t>N/D</t>
        </is>
      </c>
      <c r="BO74" s="74" t="inlineStr">
        <is>
          <t>a HELM DO BRASIL MERCANTIL LTDA. , sociedade empresária de responsabilidade limitada, com sede na</t>
        </is>
      </c>
      <c r="BP74" s="74" t="inlineStr">
        <is>
          <t>qualquer cliente da Cedente cujos Direitos Creditórios venham a ser cedidos ao Fundo, observadas as características e condições descritas neste Anexo Descritivo , e que estejam de acordo com a Política de Crédito e Originação</t>
        </is>
      </c>
      <c r="BQ74" s="74" t="inlineStr">
        <is>
          <t>os direitos creditórios cedidos pela Cedente , representados pelos Documentos Comprobatórios, detidos pela Cedente contra os Devedores</t>
        </is>
      </c>
      <c r="BR74" s="74" t="inlineStr">
        <is>
          <t>cedente: https://fnet.bmfbovespa.com.br/fnet/publico/downloadDocumento?id=957854 | sacado_devedor: https://fnet.bmfbovespa.com.br/fnet/publico/downloadDocumento?id=957854 | tipo_recebivel: https://fnet.bmfbovespa.com.br/fnet/publico/downloadDocumento?id=957854</t>
        </is>
      </c>
      <c r="BS74" s="74" t="inlineStr">
        <is>
          <t>manual_aplicado</t>
        </is>
      </c>
      <c r="BT74" s="74" t="inlineStr">
        <is>
          <t>N/D</t>
        </is>
      </c>
      <c r="BU74" s="74" t="inlineStr">
        <is>
          <t>957854</t>
        </is>
      </c>
      <c r="BV74" s="74" t="inlineStr">
        <is>
          <t>2025-07-30</t>
        </is>
      </c>
      <c r="BW74" s="74" t="inlineStr">
        <is>
          <t>99–100</t>
        </is>
      </c>
      <c r="BX74" s="74" t="inlineStr">
        <is>
          <t>revisto — suporte estrutural total localizado</t>
        </is>
      </c>
      <c r="BY74" s="74" t="inlineStr">
        <is>
          <t>FundosNet/B3; documento 957854; referência 2025-07-30; p. 99–100</t>
        </is>
      </c>
      <c r="BZ74" s="74" t="inlineStr">
        <is>
          <t>N/D</t>
        </is>
      </c>
      <c r="CA74" s="74" t="inlineStr">
        <is>
          <t>PL atual; Sub/PL atual; originador</t>
        </is>
      </c>
      <c r="CB74" s="74" t="inlineStr">
        <is>
          <t>sub_pl_atual_ausente</t>
        </is>
      </c>
    </row>
    <row r="75" ht="31.5" customHeight="1">
      <c r="A75" s="75" t="n">
        <v>71</v>
      </c>
      <c r="B75" s="142" t="n">
        <v>57259989000170</v>
      </c>
      <c r="C75" s="75" t="inlineStr">
        <is>
          <t>57.259.989/0001-70</t>
        </is>
      </c>
      <c r="D75" s="75" t="inlineStr">
        <is>
          <t>TRÊS TENTOS FIAGRO RESPONSABILIDADE LIMITADA</t>
        </is>
      </c>
      <c r="E75" s="75" t="inlineStr">
        <is>
          <t>TRES TENTOS FUNDO DE INVESTIMENTO EM DIREITOS CRE</t>
        </is>
      </c>
      <c r="F75" s="75" t="inlineStr">
        <is>
          <t>Carteira 101</t>
        </is>
      </c>
      <c r="G75" s="75" t="inlineStr">
        <is>
          <t>2026-06</t>
        </is>
      </c>
      <c r="H75" s="75" t="inlineStr">
        <is>
          <t>localizado</t>
        </is>
      </c>
      <c r="I75" s="143" t="inlineStr">
        <is>
          <t>N/D</t>
        </is>
      </c>
      <c r="J75" s="143" t="inlineStr">
        <is>
          <t>N/D</t>
        </is>
      </c>
      <c r="K75" s="143" t="inlineStr">
        <is>
          <t>N/D</t>
        </is>
      </c>
      <c r="L75" s="144" t="inlineStr">
        <is>
          <t>N/D</t>
        </is>
      </c>
      <c r="M75" s="75" t="inlineStr">
        <is>
          <t>PL oficial ausente em 2026-06</t>
        </is>
      </c>
      <c r="N75" s="144" t="inlineStr">
        <is>
          <t>N/D</t>
        </is>
      </c>
      <c r="O75" s="144" t="inlineStr">
        <is>
          <t>N/D</t>
        </is>
      </c>
      <c r="P75" s="144" t="inlineStr">
        <is>
          <t>N/D</t>
        </is>
      </c>
      <c r="Q75" s="144" t="n">
        <v>0.2</v>
      </c>
      <c r="R75" s="144" t="inlineStr">
        <is>
          <t>N/D</t>
        </is>
      </c>
      <c r="S75" s="144" t="n">
        <v>0.2</v>
      </c>
      <c r="T75" s="75" t="inlineStr">
        <is>
          <t>20,0%*</t>
        </is>
      </c>
      <c r="U75" s="75" t="inlineStr">
        <is>
          <t>suporte_total_pl</t>
        </is>
      </c>
      <c r="V75" s="75" t="inlineStr">
        <is>
          <t>direto no regulamento</t>
        </is>
      </c>
      <c r="W75" s="75" t="b">
        <v>1</v>
      </c>
      <c r="X75" s="75" t="inlineStr">
        <is>
          <t>Suporte total ou combinado; não representa mínimo júnior isolado.</t>
        </is>
      </c>
      <c r="Y75" s="75" t="b">
        <v>1</v>
      </c>
      <c r="Z75" s="144" t="inlineStr">
        <is>
          <t>N/D</t>
        </is>
      </c>
      <c r="AA75" s="144" t="inlineStr">
        <is>
          <t>N/D</t>
        </is>
      </c>
      <c r="AB75" s="75" t="inlineStr">
        <is>
          <t>não medido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Recebíveis e CPR da 3Tentos</t>
        </is>
      </c>
      <c r="AJ75" s="75" t="b">
        <v>0</v>
      </c>
      <c r="AK75" s="75" t="inlineStr">
        <is>
          <t>MANTER_ALTA</t>
        </is>
      </c>
      <c r="AL75" s="75" t="inlineStr">
        <is>
          <t>Regulamento inclui CPR e clientes da cedente agro</t>
        </is>
      </c>
      <c r="AM75" s="75" t="inlineStr">
        <is>
          <t>regulamento 1016583</t>
        </is>
      </c>
      <c r="AN75" s="75" t="inlineStr">
        <is>
          <t>Não</t>
        </is>
      </c>
      <c r="AO75" s="75" t="inlineStr">
        <is>
          <t>regulamento 1016583</t>
        </is>
      </c>
      <c r="AP75" s="75" t="b">
        <v>0</v>
      </c>
      <c r="AQ75" s="75" t="inlineStr">
        <is>
          <t>Agro / Revenda</t>
        </is>
      </c>
      <c r="AR75" s="75" t="inlineStr">
        <is>
          <t>Agro / Revenda</t>
        </is>
      </c>
      <c r="AS75" s="75" t="b">
        <v>0</v>
      </c>
      <c r="AT75" s="75" t="inlineStr">
        <is>
          <t>N/D</t>
        </is>
      </c>
      <c r="AU75" s="75" t="inlineStr">
        <is>
          <t>N/D</t>
        </is>
      </c>
      <c r="AV75" s="75" t="inlineStr">
        <is>
          <t>N/D</t>
        </is>
      </c>
      <c r="AW75" s="75" t="b">
        <v>0</v>
      </c>
      <c r="AX75" s="75" t="inlineStr">
        <is>
          <t>N/D</t>
        </is>
      </c>
      <c r="AY75" s="75" t="inlineStr">
        <is>
          <t>sem benchmark confiável</t>
        </is>
      </c>
      <c r="AZ75" s="144" t="inlineStr">
        <is>
          <t>N/D</t>
        </is>
      </c>
      <c r="BA75" s="75" t="b">
        <v>0</v>
      </c>
      <c r="BB75" s="145" t="n">
        <v>0</v>
      </c>
      <c r="BC75" s="143" t="n">
        <v>1000</v>
      </c>
      <c r="BD75" s="75" t="inlineStr">
        <is>
          <t>Cotas Subordinadas: R$ 1.000,00 | Cotas Subordinadas Júnior: R$1.000,00 | R$1.000,00</t>
        </is>
      </c>
      <c r="BE75" s="75" t="inlineStr">
        <is>
          <t>preço/valor unitário de emissão</t>
        </is>
      </c>
      <c r="BF75" s="75" t="inlineStr">
        <is>
          <t>Cotas Subordinadas | Cotas Subordinadas Júnior</t>
        </is>
      </c>
      <c r="BG75" s="75" t="inlineStr">
        <is>
          <t>2025-10-16</t>
        </is>
      </c>
      <c r="BH75" s="75" t="inlineStr">
        <is>
          <t>1016583</t>
        </is>
      </c>
      <c r="BI75" s="75" t="inlineStr">
        <is>
          <t>https://fnet.bmfbovespa.com.br/fnet/publico/downloadDocumento?id=1016583</t>
        </is>
      </c>
      <c r="BJ75" s="75" t="inlineStr">
        <is>
          <t>localizado documentalmente — múltiplos valores/classes</t>
        </is>
      </c>
      <c r="BK75" s="75" t="b">
        <v>1</v>
      </c>
      <c r="BL75" s="75" t="inlineStr">
        <is>
          <t>Tres Tentos</t>
        </is>
      </c>
      <c r="BM75" s="75" t="inlineStr">
        <is>
          <t>cedente</t>
        </is>
      </c>
      <c r="BN75" s="75" t="inlineStr">
        <is>
          <t>N/D</t>
        </is>
      </c>
      <c r="BO75" s="75" t="inlineStr">
        <is>
          <t>Tres Tentos</t>
        </is>
      </c>
      <c r="BP75" s="75" t="inlineStr">
        <is>
          <t>qualquer cliente das Cedentes, atuantes no segmento</t>
        </is>
      </c>
      <c r="BQ75" s="75" t="inlineStr">
        <is>
          <t>os direitos creditórios originados pelas Cedentes, representados pelos Documentos Comprobatórios, detidos pelas Cedentes contra os Devedores, os quais incluem os Direitos Creditórios CPR</t>
        </is>
      </c>
      <c r="BR75" s="75" t="inlineStr">
        <is>
          <t>cedente: IMG_8706.JPG | sacado_devedor: https://fnet.bmfbovespa.com.br/fnet/publico/downloadDocumento?id=1016583 | tipo_recebivel: https://fnet.bmfbovespa.com.br/fnet/publico/downloadDocumento?id=1016583</t>
        </is>
      </c>
      <c r="BS75" s="75" t="inlineStr">
        <is>
          <t>manual_aplicado</t>
        </is>
      </c>
      <c r="BT75" s="75" t="inlineStr">
        <is>
          <t>Denominação cortada pela largura da coluna na foto.</t>
        </is>
      </c>
      <c r="BU75" s="75" t="inlineStr">
        <is>
          <t>1016583</t>
        </is>
      </c>
      <c r="BV75" s="75" t="inlineStr">
        <is>
          <t>2025-10-16</t>
        </is>
      </c>
      <c r="BW75" s="75" t="inlineStr">
        <is>
          <t>104</t>
        </is>
      </c>
      <c r="BX75" s="75" t="inlineStr">
        <is>
          <t>revisto — suporte estrutural total localizado</t>
        </is>
      </c>
      <c r="BY75" s="75" t="inlineStr">
        <is>
          <t>FundosNet/B3; documento 1016583; referência 2025-10-16; p. 104</t>
        </is>
      </c>
      <c r="BZ75" s="75" t="inlineStr">
        <is>
          <t>N/D</t>
        </is>
      </c>
      <c r="CA75" s="75" t="inlineStr">
        <is>
          <t>PL atual; Sub/PL atual; originador</t>
        </is>
      </c>
      <c r="CB75" s="75" t="inlineStr">
        <is>
          <t>sub_pl_atual_ausente</t>
        </is>
      </c>
    </row>
    <row r="76" ht="31.5" customHeight="1">
      <c r="A76" s="74" t="n">
        <v>72</v>
      </c>
      <c r="B76" s="138" t="n">
        <v>58171340000165</v>
      </c>
      <c r="C76" s="74" t="inlineStr">
        <is>
          <t>58.171.340/0001-65</t>
        </is>
      </c>
      <c r="D76" s="74" t="inlineStr">
        <is>
          <t>FRIMESA FUNDO DE INVESTIMENTO EM DIREITOS CREDITÓRIOS DE RESPONSABILIDADE LIMITADA</t>
        </is>
      </c>
      <c r="E76" s="74" t="inlineStr">
        <is>
          <t>FRIMESA FUNDO DE INVESTIMENTO EM DIREITOS CREDITOR</t>
        </is>
      </c>
      <c r="F76" s="74" t="inlineStr">
        <is>
          <t>Carteira 101</t>
        </is>
      </c>
      <c r="G76" s="74" t="inlineStr">
        <is>
          <t>2026-06</t>
        </is>
      </c>
      <c r="H76" s="74" t="inlineStr">
        <is>
          <t>localizado</t>
        </is>
      </c>
      <c r="I76" s="139" t="n">
        <v>357712011.78</v>
      </c>
      <c r="J76" s="139" t="n">
        <v>357712010.4873228</v>
      </c>
      <c r="K76" s="139" t="n">
        <v>75202410.19812278</v>
      </c>
      <c r="L76" s="140" t="n">
        <v>0.2102317163572739</v>
      </c>
      <c r="M76" s="74" t="inlineStr">
        <is>
          <t>Calculado com classes reportadas e PL oficial reconciliado</t>
        </is>
      </c>
      <c r="N76" s="140" t="n">
        <v>0.01</v>
      </c>
      <c r="O76" s="140" t="inlineStr">
        <is>
          <t>N/D</t>
        </is>
      </c>
      <c r="P76" s="140" t="inlineStr">
        <is>
          <t>N/D</t>
        </is>
      </c>
      <c r="Q76" s="140" t="inlineStr">
        <is>
          <t>N/D</t>
        </is>
      </c>
      <c r="R76" s="140" t="inlineStr">
        <is>
          <t>N/D</t>
        </is>
      </c>
      <c r="S76" s="140" t="n">
        <v>0.01</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Recebíveis comerciais contra supermercados</t>
        </is>
      </c>
      <c r="AJ76" s="74" t="b">
        <v>0</v>
      </c>
      <c r="AK76" s="74" t="inlineStr">
        <is>
          <t>PENDENTE_FONTE_PRIMARIA</t>
        </is>
      </c>
      <c r="AL76" s="74" t="inlineStr">
        <is>
          <t>Pagadores supermercados constam somente na planilha</t>
        </is>
      </c>
      <c r="AM76" s="74" t="inlineStr">
        <is>
          <t>IMG_8706</t>
        </is>
      </c>
      <c r="AN76" s="74" t="inlineStr">
        <is>
          <t>Candidato</t>
        </is>
      </c>
      <c r="AO76" s="74" t="inlineStr">
        <is>
          <t>IMG_8706</t>
        </is>
      </c>
      <c r="AP76" s="74" t="inlineStr">
        <is>
          <t>N/D</t>
        </is>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n">
        <v>1000</v>
      </c>
      <c r="BD76" s="74" t="inlineStr">
        <is>
          <t>Cotas Seniores: R$1.000,00</t>
        </is>
      </c>
      <c r="BE76" s="74" t="inlineStr">
        <is>
          <t>valor nominal unitário (VNU)</t>
        </is>
      </c>
      <c r="BF76" s="74" t="inlineStr">
        <is>
          <t>Cotas Seniores</t>
        </is>
      </c>
      <c r="BG76" s="74" t="inlineStr">
        <is>
          <t>22/12/2025</t>
        </is>
      </c>
      <c r="BH76" s="74" t="inlineStr">
        <is>
          <t>1067840</t>
        </is>
      </c>
      <c r="BI76" s="74" t="inlineStr">
        <is>
          <t>https://fnet.bmfbovespa.com.br/fnet/publico/downloadDocumento?id=1067840</t>
        </is>
      </c>
      <c r="BJ76" s="74" t="inlineStr">
        <is>
          <t>localizado documentalmente</t>
        </is>
      </c>
      <c r="BK76" s="74" t="b">
        <v>0</v>
      </c>
      <c r="BL76" s="74" t="inlineStr">
        <is>
          <t>Frimesa</t>
        </is>
      </c>
      <c r="BM76" s="74" t="inlineStr">
        <is>
          <t>cedente</t>
        </is>
      </c>
      <c r="BN76" s="74" t="inlineStr">
        <is>
          <t>N/D</t>
        </is>
      </c>
      <c r="BO76" s="74" t="inlineStr">
        <is>
          <t>a FRIMESA COOPERATIVA CENTRAL, com sede na cidade de Medianeira, Estado do Paraná, na Rua Bahia, nº 159, CEP 85723-006, inscrita no CNPJ sob o nº 77.595.395/0001-47, inclusive por meio de suas filiais</t>
        </is>
      </c>
      <c r="BP76" s="74" t="inlineStr">
        <is>
          <t>N/D</t>
        </is>
      </c>
      <c r="BQ76" s="74" t="inlineStr">
        <is>
          <t>recebíveis supermercados</t>
        </is>
      </c>
      <c r="BR76" s="74" t="inlineStr">
        <is>
          <t>cedente: https://fnet.bmfbovespa.com.br/fnet/publico/downloadDocumento?id=861191 | tipo_recebivel: IMG_8706.JPG</t>
        </is>
      </c>
      <c r="BS76" s="74" t="inlineStr">
        <is>
          <t>manual_aplicado</t>
        </is>
      </c>
      <c r="BT76" s="74" t="inlineStr">
        <is>
          <t>Denominação cortada pela largura da coluna na foto.</t>
        </is>
      </c>
      <c r="BU76" s="74" t="inlineStr">
        <is>
          <t>861191</t>
        </is>
      </c>
      <c r="BV76" s="74" t="inlineStr">
        <is>
          <t>2025-03-13</t>
        </is>
      </c>
      <c r="BW76" s="74" t="inlineStr">
        <is>
          <t>51</t>
        </is>
      </c>
      <c r="BX76" s="74" t="inlineStr">
        <is>
          <t>revisto — mínimo júnior localizado</t>
        </is>
      </c>
      <c r="BY76" s="74" t="inlineStr">
        <is>
          <t>FundosNet/B3; documento 861191; referência 2025-03-13; p. 51</t>
        </is>
      </c>
      <c r="BZ76" s="74" t="inlineStr">
        <is>
          <t>Índice de Subordinação Mezanino: cotas júnior / PL, mínimo de 1,0%.</t>
        </is>
      </c>
      <c r="CA76" s="74" t="inlineStr">
        <is>
          <t>originador; sacado/devedor</t>
        </is>
      </c>
      <c r="CB76" s="74" t="inlineStr">
        <is>
          <t>estrutura_incomparavel</t>
        </is>
      </c>
    </row>
    <row r="77" ht="31.5" customHeight="1">
      <c r="A77" s="75" t="n">
        <v>73</v>
      </c>
      <c r="B77" s="142" t="n">
        <v>51554551000138</v>
      </c>
      <c r="C77" s="75" t="inlineStr">
        <is>
          <t>51.554.551/0001-38</t>
        </is>
      </c>
      <c r="D77" s="75" t="inlineStr">
        <is>
          <t>CLASSE ÚNICA DO FIDC CRÉDITO NITRO AGRO - RESPONSABILIDADE LIMITADA</t>
        </is>
      </c>
      <c r="E77" s="75" t="inlineStr">
        <is>
          <t>CLASSE UNICA DO FIDC CREDITO NITRO AGRO RESPONSA</t>
        </is>
      </c>
      <c r="F77" s="75" t="inlineStr">
        <is>
          <t>Carteira 101</t>
        </is>
      </c>
      <c r="G77" s="75" t="inlineStr">
        <is>
          <t>2026-06</t>
        </is>
      </c>
      <c r="H77" s="75" t="inlineStr">
        <is>
          <t>localizado</t>
        </is>
      </c>
      <c r="I77" s="143" t="n">
        <v>64451699.14</v>
      </c>
      <c r="J77" s="143" t="n">
        <v>64451699.13998985</v>
      </c>
      <c r="K77" s="143" t="n">
        <v>64451699.13998985</v>
      </c>
      <c r="L77" s="144" t="n">
        <v>0.9999999999998426</v>
      </c>
      <c r="M77" s="75" t="inlineStr">
        <is>
          <t>Calculado com classes reportadas e PL oficial reconciliado</t>
        </is>
      </c>
      <c r="N77" s="144" t="inlineStr">
        <is>
          <t>N/D</t>
        </is>
      </c>
      <c r="O77" s="144" t="inlineStr">
        <is>
          <t>N/D</t>
        </is>
      </c>
      <c r="P77" s="144" t="inlineStr">
        <is>
          <t>N/D</t>
        </is>
      </c>
      <c r="Q77" s="144" t="inlineStr">
        <is>
          <t>N/D</t>
        </is>
      </c>
      <c r="R77" s="144" t="n">
        <v>0.25</v>
      </c>
      <c r="S77" s="144" t="n">
        <v>0.25</v>
      </c>
      <c r="T77" s="75" t="inlineStr">
        <is>
          <t>25,0%*</t>
        </is>
      </c>
      <c r="U77" s="75" t="inlineStr">
        <is>
          <t>suporte_combinado_pl</t>
        </is>
      </c>
      <c r="V77" s="75" t="inlineStr">
        <is>
          <t>direto no regulamento</t>
        </is>
      </c>
      <c r="W77" s="75" t="b">
        <v>1</v>
      </c>
      <c r="X77" s="75" t="inlineStr">
        <is>
          <t>Suporte total ou combinado; não representa mínimo júnior isolado.</t>
        </is>
      </c>
      <c r="Y77" s="75" t="b">
        <v>1</v>
      </c>
      <c r="Z77" s="144" t="n">
        <v>0.7499999999998426</v>
      </c>
      <c r="AA77" s="144" t="n">
        <v>0.9999999999997901</v>
      </c>
      <c r="AB77" s="75" t="inlineStr">
        <is>
          <t>acima do mínimo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Venda de insumos a produtores e distribuidores</t>
        </is>
      </c>
      <c r="AJ77" s="75" t="b">
        <v>0</v>
      </c>
      <c r="AK77" s="75" t="inlineStr">
        <is>
          <t>MANTER_ALTA</t>
        </is>
      </c>
      <c r="AL77" s="75" t="inlineStr">
        <is>
          <t>Direitos do agronegócio por venda de insumos</t>
        </is>
      </c>
      <c r="AM77" s="75" t="inlineStr">
        <is>
          <t>regulamento 1261911</t>
        </is>
      </c>
      <c r="AN77" s="75" t="inlineStr">
        <is>
          <t>Não</t>
        </is>
      </c>
      <c r="AO77" s="75" t="inlineStr">
        <is>
          <t>regulamento 1261911</t>
        </is>
      </c>
      <c r="AP77" s="75" t="b">
        <v>0</v>
      </c>
      <c r="AQ77" s="75" t="inlineStr">
        <is>
          <t>Agro / Revenda</t>
        </is>
      </c>
      <c r="AR77" s="75" t="inlineStr">
        <is>
          <t>Agro / Revenda</t>
        </is>
      </c>
      <c r="AS77" s="75" t="b">
        <v>0</v>
      </c>
      <c r="AT77" s="75" t="inlineStr">
        <is>
          <t>N/D</t>
        </is>
      </c>
      <c r="AU77" s="75" t="inlineStr">
        <is>
          <t>N/D</t>
        </is>
      </c>
      <c r="AV77" s="75" t="inlineStr">
        <is>
          <t>≥ 60%</t>
        </is>
      </c>
      <c r="AW77" s="75" t="b">
        <v>1</v>
      </c>
      <c r="AX77" s="75" t="inlineStr">
        <is>
          <t>acima do piso</t>
        </is>
      </c>
      <c r="AY77" s="75" t="inlineStr">
        <is>
          <t>sem benchmark confiável</t>
        </is>
      </c>
      <c r="AZ77" s="144" t="inlineStr">
        <is>
          <t>N/D</t>
        </is>
      </c>
      <c r="BA77" s="75" t="b">
        <v>0</v>
      </c>
      <c r="BB77" s="145" t="n">
        <v>0</v>
      </c>
      <c r="BC77" s="143" t="n">
        <v>1000</v>
      </c>
      <c r="BD77" s="75" t="inlineStr">
        <is>
          <t>Cotas Subordinadas: R$1.000,00</t>
        </is>
      </c>
      <c r="BE77" s="75" t="inlineStr">
        <is>
          <t>preço/valor unitário de emissão</t>
        </is>
      </c>
      <c r="BF77" s="75" t="inlineStr">
        <is>
          <t>Cotas Subordinadas</t>
        </is>
      </c>
      <c r="BG77" s="75" t="inlineStr">
        <is>
          <t>18/06/2026</t>
        </is>
      </c>
      <c r="BH77" s="75" t="inlineStr">
        <is>
          <t>1261911</t>
        </is>
      </c>
      <c r="BI77" s="75" t="inlineStr">
        <is>
          <t>https://fnet.bmfbovespa.com.br/fnet/publico/downloadDocumento?id=1261911</t>
        </is>
      </c>
      <c r="BJ77" s="75" t="inlineStr">
        <is>
          <t>localizado documentalmente</t>
        </is>
      </c>
      <c r="BK77" s="75" t="b">
        <v>0</v>
      </c>
      <c r="BL77" s="75" t="inlineStr">
        <is>
          <t>Nitroquímica</t>
        </is>
      </c>
      <c r="BM77" s="75" t="inlineStr">
        <is>
          <t>cedente</t>
        </is>
      </c>
      <c r="BN77" s="75" t="inlineStr">
        <is>
          <t>N/D</t>
        </is>
      </c>
      <c r="BO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7" s="75" t="inlineStr">
        <is>
          <t>cedente: https://fnet.bmfbovespa.com.br/fnet/publico/downloadDocumento?id=1261911 | sacado_devedor: https://fnet.bmfbovespa.com.br/fnet/publico/downloadDocumento?id=1261911 | tipo_recebivel: https://fnet.bmfbovespa.com.br/fnet/publico/downloadDocumento?id=1261911</t>
        </is>
      </c>
      <c r="BS77" s="75" t="inlineStr">
        <is>
          <t>manual_aplicado</t>
        </is>
      </c>
      <c r="BT77" s="75" t="inlineStr">
        <is>
          <t>Denominação cortada pela largura da coluna na foto.</t>
        </is>
      </c>
      <c r="BU77" s="75" t="inlineStr">
        <is>
          <t>1261911</t>
        </is>
      </c>
      <c r="BV77" s="75" t="inlineStr">
        <is>
          <t>2026-06-18</t>
        </is>
      </c>
      <c r="BW77" s="75" t="inlineStr">
        <is>
          <t>71</t>
        </is>
      </c>
      <c r="BX77" s="75" t="inlineStr">
        <is>
          <t>revisto — suporte estrutural total localizado</t>
        </is>
      </c>
      <c r="BY77" s="75" t="inlineStr">
        <is>
          <t>FundosNet/B3; documento 1261911; referência 2026-06-18; p. 71</t>
        </is>
      </c>
      <c r="BZ77" s="75" t="inlineStr">
        <is>
          <t>N/D</t>
        </is>
      </c>
      <c r="CA77" s="75" t="inlineStr">
        <is>
          <t>originador</t>
        </is>
      </c>
      <c r="CB77" s="75" t="inlineStr">
        <is>
          <t>completo_para_folga</t>
        </is>
      </c>
    </row>
    <row r="78" ht="31.5" customHeight="1">
      <c r="A78" s="74" t="n">
        <v>74</v>
      </c>
      <c r="B78" s="138" t="n">
        <v>57752597000148</v>
      </c>
      <c r="C78" s="74" t="inlineStr">
        <is>
          <t>57.752.597/0001-48</t>
        </is>
      </c>
      <c r="D78" s="74" t="inlineStr">
        <is>
          <t>AGROMERCANTIL CRÉDITO AGRO FUNDO DE INVESTIMENTO EM DIREITOS CREDITÓRIOS - RESPONSABILIDADE LIMITADA</t>
        </is>
      </c>
      <c r="E78" s="74" t="inlineStr">
        <is>
          <t>AGROMERCANTIL CREDITO AGRO FUNDO DE INVESTIMENTO EM DIREITOS CREDITORIOS</t>
        </is>
      </c>
      <c r="F78" s="74" t="inlineStr">
        <is>
          <t>Carteira 101</t>
        </is>
      </c>
      <c r="G78" s="74" t="inlineStr">
        <is>
          <t>2026-06</t>
        </is>
      </c>
      <c r="H78" s="74" t="inlineStr">
        <is>
          <t>localizado</t>
        </is>
      </c>
      <c r="I78" s="139" t="n">
        <v>68736909.66</v>
      </c>
      <c r="J78" s="139" t="n">
        <v>68736909.65993586</v>
      </c>
      <c r="K78" s="139" t="n">
        <v>22327744.15995</v>
      </c>
      <c r="L78" s="140" t="n">
        <v>0.3248290368361318</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Comercialização de grãos</t>
        </is>
      </c>
      <c r="AJ78" s="74" t="b">
        <v>0</v>
      </c>
      <c r="AK78" s="74" t="inlineStr">
        <is>
          <t>MANTER_ALTA</t>
        </is>
      </c>
      <c r="AL78" s="74" t="inlineStr">
        <is>
          <t>Cedente Agromercantil e lastro de grãos</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20%–35%</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AGROMERCANTIL</t>
        </is>
      </c>
      <c r="BM78" s="74" t="inlineStr">
        <is>
          <t>cedente</t>
        </is>
      </c>
      <c r="BN78" s="74" t="inlineStr">
        <is>
          <t>N/D</t>
        </is>
      </c>
      <c r="BO78" s="74" t="inlineStr">
        <is>
          <t>AGROMERCANTIL</t>
        </is>
      </c>
      <c r="BP78" s="74" t="inlineStr">
        <is>
          <t>N/D</t>
        </is>
      </c>
      <c r="BQ78" s="74" t="inlineStr">
        <is>
          <t>Comercializadora de grãos</t>
        </is>
      </c>
      <c r="BR78" s="74" t="inlineStr">
        <is>
          <t>cedente: IMG_8706.JPG | tipo_recebivel: IMG_8706.JPG</t>
        </is>
      </c>
      <c r="BS78" s="74" t="inlineStr">
        <is>
          <t>manual_aplicado</t>
        </is>
      </c>
      <c r="BT78" s="74" t="inlineStr">
        <is>
          <t>Denominação cortada pela largura da coluna na foto.</t>
        </is>
      </c>
      <c r="BU78" s="74" t="inlineStr">
        <is>
          <t>1200681</t>
        </is>
      </c>
      <c r="BV78" s="74" t="inlineStr">
        <is>
          <t>2026-05-21</t>
        </is>
      </c>
      <c r="BW78" s="74" t="inlineStr">
        <is>
          <t>44</t>
        </is>
      </c>
      <c r="BX78" s="74" t="inlineStr">
        <is>
          <t>revisto — mínimo júnior localizado</t>
        </is>
      </c>
      <c r="BY78" s="74" t="inlineStr">
        <is>
          <t>FundosNet/B3; documento 1200681; referência 2026-05-21; p. 44</t>
        </is>
      </c>
      <c r="BZ78" s="74" t="inlineStr">
        <is>
          <t>Totalidade das cotas subordinadas júnior / PL, mínimo de 30,0%.</t>
        </is>
      </c>
      <c r="CA78" s="74" t="inlineStr">
        <is>
          <t>preço unitário da cota; originador; sacado/devedor</t>
        </is>
      </c>
      <c r="CB78" s="74" t="inlineStr">
        <is>
          <t>estrutura_incomparavel</t>
        </is>
      </c>
    </row>
    <row r="79" ht="31.5" customHeight="1">
      <c r="A79" s="75" t="n">
        <v>75</v>
      </c>
      <c r="B79" s="142" t="n">
        <v>47425750000179</v>
      </c>
      <c r="C79" s="75" t="inlineStr">
        <is>
          <t>47.425.750/0001-79</t>
        </is>
      </c>
      <c r="D79" s="75" t="inlineStr">
        <is>
          <t>CEREALIS FUNDO DE INVESTIMENTO EM DIREITOS CREDITÓRIOS</t>
        </is>
      </c>
      <c r="E79" s="75" t="inlineStr">
        <is>
          <t>FIDC CROPFIELD CEREALIS</t>
        </is>
      </c>
      <c r="F79" s="75" t="inlineStr">
        <is>
          <t>Carteira 101</t>
        </is>
      </c>
      <c r="G79" s="75" t="inlineStr">
        <is>
          <t>2026-06</t>
        </is>
      </c>
      <c r="H79" s="75" t="inlineStr">
        <is>
          <t>localizado</t>
        </is>
      </c>
      <c r="I79" s="143" t="n">
        <v>215299982.37</v>
      </c>
      <c r="J79" s="143" t="n">
        <v>215299982.3693854</v>
      </c>
      <c r="K79" s="143" t="n">
        <v>114213377.8501986</v>
      </c>
      <c r="L79" s="144" t="n">
        <v>0.5304848453443866</v>
      </c>
      <c r="M79" s="75" t="inlineStr">
        <is>
          <t>Calculado com classes reportadas e PL oficial reconciliado</t>
        </is>
      </c>
      <c r="N79" s="144" t="n">
        <v>0.25</v>
      </c>
      <c r="O79" s="144" t="inlineStr">
        <is>
          <t>N/D</t>
        </is>
      </c>
      <c r="P79" s="144" t="inlineStr">
        <is>
          <t>N/D</t>
        </is>
      </c>
      <c r="Q79" s="144" t="inlineStr">
        <is>
          <t>N/D</t>
        </is>
      </c>
      <c r="R79" s="144" t="inlineStr">
        <is>
          <t>N/D</t>
        </is>
      </c>
      <c r="S79" s="144" t="n">
        <v>0.25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Agro, Indústria e Comércio</t>
        </is>
      </c>
      <c r="AD79" s="75" t="inlineStr">
        <is>
          <t>Agronegócio</t>
        </is>
      </c>
      <c r="AE79" s="75" t="inlineStr">
        <is>
          <t>Agro / Revenda</t>
        </is>
      </c>
      <c r="AF79" s="75" t="inlineStr">
        <is>
          <t>Agro / Revenda</t>
        </is>
      </c>
      <c r="AG79" s="75" t="inlineStr">
        <is>
          <t>Agro / Revenda</t>
        </is>
      </c>
      <c r="AH79" s="75" t="inlineStr">
        <is>
          <t>Agro / Revenda</t>
        </is>
      </c>
      <c r="AI79" s="75" t="inlineStr">
        <is>
          <t>Lastro agro não isolado</t>
        </is>
      </c>
      <c r="AJ79" s="75" t="b">
        <v>0</v>
      </c>
      <c r="AK79" s="75" t="inlineStr">
        <is>
          <t>PENDENTE_DOCUMENTAL</t>
        </is>
      </c>
      <c r="AL79" s="75" t="inlineStr">
        <is>
          <t>Nenhum originador, cedente, devedor ou tipo foi localizado</t>
        </is>
      </c>
      <c r="AM79" s="75" t="inlineStr">
        <is>
          <t>regulamento 1237988 apenas estrutural</t>
        </is>
      </c>
      <c r="AN79" s="75" t="inlineStr">
        <is>
          <t>Pendente</t>
        </is>
      </c>
      <c r="AO79" s="75" t="inlineStr">
        <is>
          <t>regulamento 1237988 apenas estrutural</t>
        </is>
      </c>
      <c r="AP79" s="75" t="inlineStr">
        <is>
          <t>N/D</t>
        </is>
      </c>
      <c r="AQ79" s="75" t="inlineStr">
        <is>
          <t>Agro / Revenda</t>
        </is>
      </c>
      <c r="AR79" s="75" t="inlineStr">
        <is>
          <t>Agro / Revenda</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0</v>
      </c>
      <c r="BC79" s="143" t="inlineStr">
        <is>
          <t>N/D</t>
        </is>
      </c>
      <c r="BD79" s="75" t="inlineStr">
        <is>
          <t>N/D</t>
        </is>
      </c>
      <c r="BE79" s="75" t="inlineStr">
        <is>
          <t>N/D</t>
        </is>
      </c>
      <c r="BF79" s="75" t="inlineStr">
        <is>
          <t>N/D</t>
        </is>
      </c>
      <c r="BG79" s="75" t="inlineStr">
        <is>
          <t>N/D</t>
        </is>
      </c>
      <c r="BH79" s="75" t="inlineStr">
        <is>
          <t>N/D</t>
        </is>
      </c>
      <c r="BI79" s="75" t="inlineStr">
        <is>
          <t>N/D</t>
        </is>
      </c>
      <c r="BJ79" s="75" t="inlineStr">
        <is>
          <t>não localizado</t>
        </is>
      </c>
      <c r="BK79" s="75" t="b">
        <v>0</v>
      </c>
      <c r="BL79" s="75" t="inlineStr">
        <is>
          <t>N/D</t>
        </is>
      </c>
      <c r="BM79" s="75" t="inlineStr">
        <is>
          <t>N/D</t>
        </is>
      </c>
      <c r="BN79" s="75" t="inlineStr">
        <is>
          <t>N/D</t>
        </is>
      </c>
      <c r="BO79" s="75" t="inlineStr">
        <is>
          <t>N/D</t>
        </is>
      </c>
      <c r="BP79" s="75" t="inlineStr">
        <is>
          <t>N/D</t>
        </is>
      </c>
      <c r="BQ79" s="75" t="inlineStr">
        <is>
          <t>N/D</t>
        </is>
      </c>
      <c r="BR79" s="75" t="inlineStr">
        <is>
          <t>N/D</t>
        </is>
      </c>
      <c r="BS79" s="75" t="inlineStr">
        <is>
          <t>sem_overlay</t>
        </is>
      </c>
      <c r="BT79" s="75" t="inlineStr">
        <is>
          <t>N/D</t>
        </is>
      </c>
      <c r="BU79" s="75" t="inlineStr">
        <is>
          <t>1237988</t>
        </is>
      </c>
      <c r="BV79" s="75" t="inlineStr">
        <is>
          <t>2026-07-02</t>
        </is>
      </c>
      <c r="BW79" s="75" t="inlineStr">
        <is>
          <t>30</t>
        </is>
      </c>
      <c r="BX79" s="75" t="inlineStr">
        <is>
          <t>revisto — mínimo júnior calculado de cláusulas contratuais</t>
        </is>
      </c>
      <c r="BY79" s="75" t="inlineStr">
        <is>
          <t>FundosNet/B3; documento 1237988; referência 2026-07-02; p. 30</t>
        </is>
      </c>
      <c r="BZ79" s="75" t="inlineStr">
        <is>
          <t>Mínimo júnior calculado: subordinadas = 50,0% do PL e júnior = 50,0% das subordinadas.</t>
        </is>
      </c>
      <c r="CA79" s="75" t="inlineStr">
        <is>
          <t>preço unitário da cota; originador; cedente; sacado/devedor; tipo de recebível</t>
        </is>
      </c>
      <c r="CB79" s="75" t="inlineStr">
        <is>
          <t>estrutura_incomparavel</t>
        </is>
      </c>
    </row>
    <row r="80" ht="31.5" customHeight="1">
      <c r="A80" s="74" t="n">
        <v>76</v>
      </c>
      <c r="B80" s="138" t="n">
        <v>37035970000132</v>
      </c>
      <c r="C80" s="74" t="inlineStr">
        <is>
          <t>37.035.970/0001-32</t>
        </is>
      </c>
      <c r="D80" s="74" t="inlineStr">
        <is>
          <t>CD CASH FUNDO DE INVESTIMENTO EM DIREITOS CREDITÓRIOS RESPONSABILIDADE LIMITADA</t>
        </is>
      </c>
      <c r="E80" s="74" t="inlineStr">
        <is>
          <t>CD BANCK FIDC</t>
        </is>
      </c>
      <c r="F80" s="74" t="inlineStr">
        <is>
          <t>Carteira 101</t>
        </is>
      </c>
      <c r="G80" s="74" t="inlineStr">
        <is>
          <t>2026-06</t>
        </is>
      </c>
      <c r="H80" s="74" t="inlineStr">
        <is>
          <t>localizado</t>
        </is>
      </c>
      <c r="I80" s="139" t="n">
        <v>291764021.23</v>
      </c>
      <c r="J80" s="139" t="n">
        <v>291764021.2199663</v>
      </c>
      <c r="K80" s="139" t="n">
        <v>136523290.7498239</v>
      </c>
      <c r="L80" s="140" t="n">
        <v>0.4679236671275567</v>
      </c>
      <c r="M80" s="74" t="inlineStr">
        <is>
          <t>Calculado com classes reportadas e PL oficial reconciliado</t>
        </is>
      </c>
      <c r="N80" s="140" t="n">
        <v>0.3</v>
      </c>
      <c r="O80" s="140" t="inlineStr">
        <is>
          <t>N/D</t>
        </is>
      </c>
      <c r="P80" s="140" t="inlineStr">
        <is>
          <t>N/D</t>
        </is>
      </c>
      <c r="Q80" s="140" t="inlineStr">
        <is>
          <t>N/D</t>
        </is>
      </c>
      <c r="R80" s="140" t="inlineStr">
        <is>
          <t>N/D</t>
        </is>
      </c>
      <c r="S80" s="140" t="n">
        <v>0.3</v>
      </c>
      <c r="T80" s="74" t="inlineStr">
        <is>
          <t>N/D</t>
        </is>
      </c>
      <c r="U80" s="74" t="inlineStr">
        <is>
          <t>junior_pl</t>
        </is>
      </c>
      <c r="V80" s="74" t="inlineStr">
        <is>
          <t>direto no regulamento</t>
        </is>
      </c>
      <c r="W80" s="74" t="b">
        <v>0</v>
      </c>
      <c r="X80" s="74" t="inlineStr">
        <is>
          <t>Mínimo júnior isolado; a subordinação atual disponível agrega todas as classes subordinadas.</t>
        </is>
      </c>
      <c r="Y80" s="74" t="b">
        <v>0</v>
      </c>
      <c r="Z80" s="140" t="inlineStr">
        <is>
          <t>N/D</t>
        </is>
      </c>
      <c r="AA80" s="140" t="inlineStr">
        <is>
          <t>N/D</t>
        </is>
      </c>
      <c r="AB80" s="74" t="inlineStr">
        <is>
          <t>não medido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Insumos agrícolas, inclui não performados</t>
        </is>
      </c>
      <c r="AJ80" s="74" t="b">
        <v>0</v>
      </c>
      <c r="AK80" s="74" t="inlineStr">
        <is>
          <t>MANTER_ALTA</t>
        </is>
      </c>
      <c r="AL80" s="74" t="inlineStr">
        <is>
          <t>CHDS e insumos agrícolas com prazo safra</t>
        </is>
      </c>
      <c r="AM80" s="74" t="inlineStr">
        <is>
          <t>IMG_8706</t>
        </is>
      </c>
      <c r="AN80" s="74" t="inlineStr">
        <is>
          <t>Não</t>
        </is>
      </c>
      <c r="AO80" s="74" t="inlineStr">
        <is>
          <t>IMG_8706</t>
        </is>
      </c>
      <c r="AP80" s="74" t="b">
        <v>0</v>
      </c>
      <c r="AQ80" s="74" t="inlineStr">
        <is>
          <t>Agro / Revenda</t>
        </is>
      </c>
      <c r="AR80" s="74" t="inlineStr">
        <is>
          <t>Agro / Revenda</t>
        </is>
      </c>
      <c r="AS80" s="74" t="b">
        <v>0</v>
      </c>
      <c r="AT80" s="74" t="inlineStr">
        <is>
          <t>N/D</t>
        </is>
      </c>
      <c r="AU80" s="74" t="inlineStr">
        <is>
          <t>N/D</t>
        </is>
      </c>
      <c r="AV80" s="74" t="inlineStr">
        <is>
          <t>35%–60%</t>
        </is>
      </c>
      <c r="AW80" s="74" t="b">
        <v>1</v>
      </c>
      <c r="AX80" s="74" t="inlineStr">
        <is>
          <t>incomparável</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CHD'S</t>
        </is>
      </c>
      <c r="BM80" s="74" t="inlineStr">
        <is>
          <t>cedente</t>
        </is>
      </c>
      <c r="BN80" s="74" t="inlineStr">
        <is>
          <t>N/D</t>
        </is>
      </c>
      <c r="BO80" s="74" t="inlineStr">
        <is>
          <t>CHDS do Brasil</t>
        </is>
      </c>
      <c r="BP80" s="74" t="inlineStr">
        <is>
          <t>N/D</t>
        </is>
      </c>
      <c r="BQ80" s="74" t="inlineStr">
        <is>
          <t>Insumos Agrícolas - prazo Safra; possui não performados</t>
        </is>
      </c>
      <c r="BR80" s="74" t="inlineStr">
        <is>
          <t>cedente: https://fnet.bmfbovespa.com.br/fnet/publico/downloadDocumento?id=1128089 | tipo_recebivel: IMG_8706.JPG</t>
        </is>
      </c>
      <c r="BS80" s="74" t="inlineStr">
        <is>
          <t>manual_aplicado</t>
        </is>
      </c>
      <c r="BT80" s="74" t="inlineStr">
        <is>
          <t>N/D</t>
        </is>
      </c>
      <c r="BU80" s="74" t="inlineStr">
        <is>
          <t>1187379</t>
        </is>
      </c>
      <c r="BV80" s="74" t="inlineStr">
        <is>
          <t>2026-05-12</t>
        </is>
      </c>
      <c r="BW80" s="74" t="inlineStr">
        <is>
          <t>43</t>
        </is>
      </c>
      <c r="BX80" s="74" t="inlineStr">
        <is>
          <t>revisto — mínimo júnior calculado de cláusulas contratuais</t>
        </is>
      </c>
      <c r="BY80" s="74" t="inlineStr">
        <is>
          <t>FundosNet/B3; documento 1187379; referência 2026-05-12; p. 43</t>
        </is>
      </c>
      <c r="BZ80" s="74" t="inlineStr">
        <is>
          <t>Mínimo júnior calculado: subordinadas = 40,0% do PL e júnior = 75,0% das subordinadas.</t>
        </is>
      </c>
      <c r="CA80" s="74" t="inlineStr">
        <is>
          <t>preço unitário da cota; originador; sacado/devedor</t>
        </is>
      </c>
      <c r="CB80" s="74" t="inlineStr">
        <is>
          <t>estrutura_incomparavel</t>
        </is>
      </c>
    </row>
    <row r="81" ht="31.5" customHeight="1">
      <c r="A81" s="75" t="n">
        <v>77</v>
      </c>
      <c r="B81" s="142" t="n">
        <v>17468142000180</v>
      </c>
      <c r="C81" s="75" t="inlineStr">
        <is>
          <t>17.468.142/0001-80</t>
        </is>
      </c>
      <c r="D81" s="75" t="inlineStr">
        <is>
          <t>VALOREM FUNDO DE INVESTIMENTO EM DIREITOS CREDITÓRIOS MULTISETORIAL RESPONSABILIDADE LIMITADA</t>
        </is>
      </c>
      <c r="E81" s="75" t="inlineStr">
        <is>
          <t>VALOREM FIDC MULTISSETORIAL</t>
        </is>
      </c>
      <c r="F81" s="75" t="inlineStr">
        <is>
          <t>Carteira 101</t>
        </is>
      </c>
      <c r="G81" s="75" t="inlineStr">
        <is>
          <t>2026-06</t>
        </is>
      </c>
      <c r="H81" s="75" t="inlineStr">
        <is>
          <t>localizado</t>
        </is>
      </c>
      <c r="I81" s="143" t="n">
        <v>511752071.28</v>
      </c>
      <c r="J81" s="143" t="n">
        <v>511752071.4305694</v>
      </c>
      <c r="K81" s="143" t="n">
        <v>241151436.9547133</v>
      </c>
      <c r="L81" s="144" t="n">
        <v>0.4712270853179796</v>
      </c>
      <c r="M81" s="75" t="inlineStr">
        <is>
          <t>Calculado com classes reportadas e PL oficial reconciliado</t>
        </is>
      </c>
      <c r="N81" s="144" t="n">
        <v>0.15</v>
      </c>
      <c r="O81" s="144" t="inlineStr">
        <is>
          <t>N/D</t>
        </is>
      </c>
      <c r="P81" s="144" t="inlineStr">
        <is>
          <t>N/D</t>
        </is>
      </c>
      <c r="Q81" s="144" t="inlineStr">
        <is>
          <t>N/D</t>
        </is>
      </c>
      <c r="R81" s="144" t="inlineStr">
        <is>
          <t>N/D</t>
        </is>
      </c>
      <c r="S81" s="144" t="n">
        <v>0.15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Fomento Mercantil</t>
        </is>
      </c>
      <c r="AD81" s="75" t="inlineStr">
        <is>
          <t>Fomento Mercantil</t>
        </is>
      </c>
      <c r="AE81" s="75" t="inlineStr">
        <is>
          <t>Factoring</t>
        </is>
      </c>
      <c r="AF81" s="75" t="inlineStr">
        <is>
          <t>Factoring</t>
        </is>
      </c>
      <c r="AG81" s="75" t="inlineStr">
        <is>
          <t>Factoring</t>
        </is>
      </c>
      <c r="AH81" s="75" t="inlineStr">
        <is>
          <t>Factoring</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Factoring</t>
        </is>
      </c>
      <c r="AR81" s="75" t="inlineStr">
        <is>
          <t>Factoring</t>
        </is>
      </c>
      <c r="AS81" s="75" t="b">
        <v>0</v>
      </c>
      <c r="AT81" s="75" t="inlineStr">
        <is>
          <t>N/D</t>
        </is>
      </c>
      <c r="AU81" s="75" t="inlineStr">
        <is>
          <t>N/D</t>
        </is>
      </c>
      <c r="AV81" s="75" t="inlineStr">
        <is>
          <t>35%–60%</t>
        </is>
      </c>
      <c r="AW81" s="75" t="b">
        <v>1</v>
      </c>
      <c r="AX81" s="75" t="inlineStr">
        <is>
          <t>incomparável</t>
        </is>
      </c>
      <c r="AY81" s="75" t="inlineStr">
        <is>
          <t>sem benchmark confiável</t>
        </is>
      </c>
      <c r="AZ81" s="144" t="inlineStr">
        <is>
          <t>N/D</t>
        </is>
      </c>
      <c r="BA81" s="75" t="b">
        <v>0</v>
      </c>
      <c r="BB81" s="145" t="n">
        <v>2</v>
      </c>
      <c r="BC81" s="143" t="n">
        <v>100000</v>
      </c>
      <c r="BD81" s="75" t="inlineStr">
        <is>
          <t>Cotas Subordinadas Mezanino: R$100.000,00</t>
        </is>
      </c>
      <c r="BE81" s="75" t="inlineStr">
        <is>
          <t>preço/valor unitário de emissão</t>
        </is>
      </c>
      <c r="BF81" s="75" t="inlineStr">
        <is>
          <t>Cotas Subordinadas Mezanino</t>
        </is>
      </c>
      <c r="BG81" s="75" t="inlineStr">
        <is>
          <t>30/07/2026</t>
        </is>
      </c>
      <c r="BH81" s="75" t="inlineStr">
        <is>
          <t>1271235</t>
        </is>
      </c>
      <c r="BI81" s="75" t="inlineStr">
        <is>
          <t>https://fnet.bmfbovespa.com.br/fnet/publico/downloadDocumento?id=1271235</t>
        </is>
      </c>
      <c r="BJ81" s="75" t="inlineStr">
        <is>
          <t>localizado documentalmente</t>
        </is>
      </c>
      <c r="BK81" s="75" t="b">
        <v>0</v>
      </c>
      <c r="BL81" s="75" t="inlineStr">
        <is>
          <t>Multicedentes &amp; Multisacados</t>
        </is>
      </c>
      <c r="BM81" s="75" t="inlineStr">
        <is>
          <t>cedente</t>
        </is>
      </c>
      <c r="BN81" s="75" t="inlineStr">
        <is>
          <t>N/D</t>
        </is>
      </c>
      <c r="BO81" s="75" t="inlineStr">
        <is>
          <t>todas as pessoas físicas ou jurídicas que cedem os Direitos Creditórios para a Classe</t>
        </is>
      </c>
      <c r="BP81" s="75" t="inlineStr">
        <is>
          <t>pessoas físicas e/ou jurídicas que figurem na qualidade de devedores dos Direitos Creditórios, podendo ser denominado também como “Sacado”</t>
        </is>
      </c>
      <c r="BQ81" s="75" t="inlineStr">
        <is>
          <t>a) direitos e títulos representativos de crédito,</t>
        </is>
      </c>
      <c r="BR81" s="75" t="inlineStr">
        <is>
          <t>cedente: https://fnet.bmfbovespa.com.br/fnet/publico/downloadDocumento?id=1271235 | sacado_devedor: https://fnet.bmfbovespa.com.br/fnet/publico/downloadDocumento?id=1271235 | tipo_recebivel: https://fnet.bmfbovespa.com.br/fnet/publico/downloadDocumento?id=1271235</t>
        </is>
      </c>
      <c r="BS81" s="75" t="inlineStr">
        <is>
          <t>manual_aplicado</t>
        </is>
      </c>
      <c r="BT81" s="75" t="inlineStr">
        <is>
          <t>N/D</t>
        </is>
      </c>
      <c r="BU81" s="75" t="inlineStr">
        <is>
          <t>1157934</t>
        </is>
      </c>
      <c r="BV81" s="75" t="inlineStr">
        <is>
          <t>2026-04-09</t>
        </is>
      </c>
      <c r="BW81" s="75" t="inlineStr">
        <is>
          <t>102</t>
        </is>
      </c>
      <c r="BX81" s="75" t="inlineStr">
        <is>
          <t>revisto — mínimo júnior localizado</t>
        </is>
      </c>
      <c r="BY81" s="75" t="inlineStr">
        <is>
          <t>FundosNet/B3; documento 1157934; referência 2026-04-09; p. 102</t>
        </is>
      </c>
      <c r="BZ81" s="75" t="inlineStr">
        <is>
          <t>Índice de Subordinação Mezanino: cotas júnior / PL, mínimo de 15,0%.</t>
        </is>
      </c>
      <c r="CA81" s="75" t="inlineStr">
        <is>
          <t>originador</t>
        </is>
      </c>
      <c r="CB81" s="75" t="inlineStr">
        <is>
          <t>estrutura_incomparavel</t>
        </is>
      </c>
    </row>
    <row r="82" ht="31.5" customHeight="1">
      <c r="A82" s="74" t="n">
        <v>78</v>
      </c>
      <c r="B82" s="138" t="n">
        <v>29492605000129</v>
      </c>
      <c r="C82" s="74" t="inlineStr">
        <is>
          <t>29.492.605/0001-29</t>
        </is>
      </c>
      <c r="D82" s="74" t="inlineStr">
        <is>
          <t>GAZIN FUNDO DE INVESTIMENTO EM DIREITOS CREDITÓRIOS MULTISSEGMENTOS - RESPONSABILIDADE LIMITADA</t>
        </is>
      </c>
      <c r="E82" s="74" t="inlineStr">
        <is>
          <t>GAZIN FUNDO DE INVESTIMENTO EM DIREITOS CREDITORIO</t>
        </is>
      </c>
      <c r="F82" s="74" t="inlineStr">
        <is>
          <t>Carteira 101</t>
        </is>
      </c>
      <c r="G82" s="74" t="inlineStr">
        <is>
          <t>2026-06</t>
        </is>
      </c>
      <c r="H82" s="74" t="inlineStr">
        <is>
          <t>localizado</t>
        </is>
      </c>
      <c r="I82" s="139" t="n">
        <v>2494236413.23</v>
      </c>
      <c r="J82" s="139" t="n">
        <v>2494236413.231075</v>
      </c>
      <c r="K82" s="139" t="n">
        <v>1685981886.42</v>
      </c>
      <c r="L82" s="140" t="n">
        <v>0.6759511157311178</v>
      </c>
      <c r="M82" s="74" t="inlineStr">
        <is>
          <t>Calculado com classes reportadas e PL oficial reconciliado</t>
        </is>
      </c>
      <c r="N82" s="140" t="n">
        <v>0.51</v>
      </c>
      <c r="O82" s="140" t="inlineStr">
        <is>
          <t>N/D</t>
        </is>
      </c>
      <c r="P82" s="140" t="inlineStr">
        <is>
          <t>N/D</t>
        </is>
      </c>
      <c r="Q82" s="140" t="n">
        <v>0.51</v>
      </c>
      <c r="R82" s="140" t="inlineStr">
        <is>
          <t>N/D</t>
        </is>
      </c>
      <c r="S82" s="140" t="n">
        <v>0.51</v>
      </c>
      <c r="T82" s="74" t="inlineStr">
        <is>
          <t>51,0%</t>
        </is>
      </c>
      <c r="U82" s="74" t="inlineStr">
        <is>
          <t>junior_pl</t>
        </is>
      </c>
      <c r="V82" s="74" t="inlineStr">
        <is>
          <t>direto no regulamento</t>
        </is>
      </c>
      <c r="W82" s="74" t="b">
        <v>1</v>
      </c>
      <c r="X82" s="74" t="inlineStr">
        <is>
          <t>Estrutura documental com cotas seniores e juniores; a métrica atual e o piso usam o total subordinado sobre o PL.</t>
        </is>
      </c>
      <c r="Y82" s="74" t="b">
        <v>0</v>
      </c>
      <c r="Z82" s="140" t="n">
        <v>0.1659511157311178</v>
      </c>
      <c r="AA82" s="140" t="n">
        <v>0.3386757463900362</v>
      </c>
      <c r="AB82" s="74" t="inlineStr">
        <is>
          <t>acima do mínimo</t>
        </is>
      </c>
      <c r="AC82" s="74" t="inlineStr">
        <is>
          <t>Agro, Indústria e Comércio</t>
        </is>
      </c>
      <c r="AD82" s="74" t="inlineStr">
        <is>
          <t>Multicarteira Agro, Indústria e Comércio</t>
        </is>
      </c>
      <c r="AE82" s="74" t="inlineStr">
        <is>
          <t>Agro / Revenda</t>
        </is>
      </c>
      <c r="AF82" s="74" t="inlineStr">
        <is>
          <t>Agro / Revenda</t>
        </is>
      </c>
      <c r="AG82" s="74" t="inlineStr">
        <is>
          <t>Agro / Revenda</t>
        </is>
      </c>
      <c r="AH82" s="74" t="inlineStr">
        <is>
          <t>Agro / Revenda</t>
        </is>
      </c>
      <c r="AI82" s="74" t="inlineStr">
        <is>
          <t>Recebíveis Gazin, natureza contratual não isolada</t>
        </is>
      </c>
      <c r="AJ82" s="74" t="b">
        <v>0</v>
      </c>
      <c r="AK82" s="74" t="inlineStr">
        <is>
          <t>PENDENTE_DOCUMENTAL</t>
        </is>
      </c>
      <c r="AL82" s="74" t="inlineStr">
        <is>
          <t>Falta distinguir crédito ao consumidor, cartão ou duplicatas comerciais</t>
        </is>
      </c>
      <c r="AM82" s="74" t="inlineStr">
        <is>
          <t>rating 321548 + regulamento 1117213</t>
        </is>
      </c>
      <c r="AN82" s="74" t="inlineStr">
        <is>
          <t>Pendente</t>
        </is>
      </c>
      <c r="AO82" s="74" t="inlineStr">
        <is>
          <t>rating 321548 + regulamento 1117213</t>
        </is>
      </c>
      <c r="AP82" s="74" t="inlineStr">
        <is>
          <t>N/D</t>
        </is>
      </c>
      <c r="AQ82" s="74" t="inlineStr">
        <is>
          <t>Agro / Revenda</t>
        </is>
      </c>
      <c r="AR82" s="74" t="inlineStr">
        <is>
          <t>Agro / Revenda</t>
        </is>
      </c>
      <c r="AS82" s="74" t="b">
        <v>0</v>
      </c>
      <c r="AT82" s="74" t="inlineStr">
        <is>
          <t>N/D</t>
        </is>
      </c>
      <c r="AU82" s="74" t="inlineStr">
        <is>
          <t>N/D</t>
        </is>
      </c>
      <c r="AV82" s="74" t="inlineStr">
        <is>
          <t>≥ 60%</t>
        </is>
      </c>
      <c r="AW82" s="74" t="b">
        <v>1</v>
      </c>
      <c r="AX82" s="74" t="inlineStr">
        <is>
          <t>acima do piso</t>
        </is>
      </c>
      <c r="AY82" s="74" t="inlineStr">
        <is>
          <t>sem benchmark confiável</t>
        </is>
      </c>
      <c r="AZ82" s="140" t="inlineStr">
        <is>
          <t>N/D</t>
        </is>
      </c>
      <c r="BA82" s="74" t="b">
        <v>0</v>
      </c>
      <c r="BB82" s="141" t="n">
        <v>0</v>
      </c>
      <c r="BC82" s="139" t="inlineStr">
        <is>
          <t>N/D</t>
        </is>
      </c>
      <c r="BD82" s="74" t="inlineStr">
        <is>
          <t>N/D</t>
        </is>
      </c>
      <c r="BE82" s="74" t="inlineStr">
        <is>
          <t>N/D</t>
        </is>
      </c>
      <c r="BF82" s="74" t="inlineStr">
        <is>
          <t>N/D</t>
        </is>
      </c>
      <c r="BG82" s="74" t="inlineStr">
        <is>
          <t>N/D</t>
        </is>
      </c>
      <c r="BH82" s="74" t="inlineStr">
        <is>
          <t>N/D</t>
        </is>
      </c>
      <c r="BI82" s="74" t="inlineStr">
        <is>
          <t>N/D</t>
        </is>
      </c>
      <c r="BJ82" s="74" t="inlineStr">
        <is>
          <t>não localizado</t>
        </is>
      </c>
      <c r="BK82" s="74" t="b">
        <v>0</v>
      </c>
      <c r="BL82" s="74" t="inlineStr">
        <is>
          <t>N/D</t>
        </is>
      </c>
      <c r="BM82" s="74" t="inlineStr">
        <is>
          <t>N/D</t>
        </is>
      </c>
      <c r="BN82" s="74" t="inlineStr">
        <is>
          <t>N/D</t>
        </is>
      </c>
      <c r="BO82" s="74" t="inlineStr">
        <is>
          <t>Gazin</t>
        </is>
      </c>
      <c r="BP82" s="74" t="inlineStr">
        <is>
          <t>N/D</t>
        </is>
      </c>
      <c r="BQ82" s="74" t="inlineStr">
        <is>
          <t>N/D</t>
        </is>
      </c>
      <c r="BR82" s="74" t="inlineStr">
        <is>
          <t>cedente: https://fnet.bmfbovespa.com.br/fnet/publico/downloadDocumento?id=321548</t>
        </is>
      </c>
      <c r="BS82" s="74" t="inlineStr">
        <is>
          <t>sem_overlay</t>
        </is>
      </c>
      <c r="BT82" s="74" t="inlineStr">
        <is>
          <t>N/D</t>
        </is>
      </c>
      <c r="BU82" s="74" t="inlineStr">
        <is>
          <t>1117213</t>
        </is>
      </c>
      <c r="BV82" s="74" t="inlineStr">
        <is>
          <t>2026-02-12</t>
        </is>
      </c>
      <c r="BW82" s="74" t="inlineStr">
        <is>
          <t>44</t>
        </is>
      </c>
      <c r="BX82" s="74" t="inlineStr">
        <is>
          <t>revisto — mínimo júnior localizado</t>
        </is>
      </c>
      <c r="BY82" s="74" t="inlineStr">
        <is>
          <t>FundosNet/B3; documento 1117213; referência 2026-02-12; p. 44</t>
        </is>
      </c>
      <c r="BZ82" s="74" t="inlineStr">
        <is>
          <t>O regulamento contém apenas cotas seniores e juniores; índice de subordinação mínimo de 51,0%.</t>
        </is>
      </c>
      <c r="CA82" s="74" t="inlineStr">
        <is>
          <t>preço unitário da cota; originador; sacado/devedor; tipo de recebível</t>
        </is>
      </c>
      <c r="CB82" s="74" t="inlineStr">
        <is>
          <t>completo_para_folga</t>
        </is>
      </c>
    </row>
    <row r="83" ht="31.5" customHeight="1">
      <c r="A83" s="75" t="n">
        <v>79</v>
      </c>
      <c r="B83" s="142" t="n">
        <v>31739396000117</v>
      </c>
      <c r="C83" s="75" t="inlineStr">
        <is>
          <t>31.739.396/0001-17</t>
        </is>
      </c>
      <c r="D83" s="75" t="inlineStr">
        <is>
          <t>LF III FUNDO DE INVESTIMENTO EM DIREITOS CREDITÓRIOS DE RESPONSABILIDADE LIMITADA</t>
        </is>
      </c>
      <c r="E83" s="75" t="inlineStr">
        <is>
          <t>FIDC LF III</t>
        </is>
      </c>
      <c r="F83" s="75" t="inlineStr">
        <is>
          <t>Carteira 101</t>
        </is>
      </c>
      <c r="G83" s="75" t="inlineStr">
        <is>
          <t>2026-06</t>
        </is>
      </c>
      <c r="H83" s="75" t="inlineStr">
        <is>
          <t>localizado</t>
        </is>
      </c>
      <c r="I83" s="143" t="n">
        <v>1385981646.72</v>
      </c>
      <c r="J83" s="143" t="n">
        <v>1385981646.865284</v>
      </c>
      <c r="K83" s="143" t="n">
        <v>110921515.8165764</v>
      </c>
      <c r="L83" s="144" t="n">
        <v>0.0800310134546717</v>
      </c>
      <c r="M83" s="75" t="inlineStr">
        <is>
          <t>Calculado com classes reportadas e PL oficial reconciliado</t>
        </is>
      </c>
      <c r="N83" s="144" t="n">
        <v>0.005</v>
      </c>
      <c r="O83" s="144" t="inlineStr">
        <is>
          <t>N/D</t>
        </is>
      </c>
      <c r="P83" s="144" t="inlineStr">
        <is>
          <t>N/D</t>
        </is>
      </c>
      <c r="Q83" s="144" t="inlineStr">
        <is>
          <t>N/D</t>
        </is>
      </c>
      <c r="R83" s="144" t="inlineStr">
        <is>
          <t>N/D</t>
        </is>
      </c>
      <c r="S83" s="144" t="n">
        <v>0.005</v>
      </c>
      <c r="T83" s="75" t="inlineStr">
        <is>
          <t>N/D</t>
        </is>
      </c>
      <c r="U83" s="75" t="inlineStr">
        <is>
          <t>junior_pl</t>
        </is>
      </c>
      <c r="V83" s="75" t="inlineStr">
        <is>
          <t>direto no regulamento</t>
        </is>
      </c>
      <c r="W83" s="75" t="b">
        <v>0</v>
      </c>
      <c r="X83" s="75" t="inlineStr">
        <is>
          <t>Mínimo júnior isolado; a subordinação atual disponível agrega todas as classes subordinadas.</t>
        </is>
      </c>
      <c r="Y83" s="75" t="b">
        <v>0</v>
      </c>
      <c r="Z83" s="144" t="inlineStr">
        <is>
          <t>N/D</t>
        </is>
      </c>
      <c r="AA83" s="144" t="inlineStr">
        <is>
          <t>N/D</t>
        </is>
      </c>
      <c r="AB83" s="75" t="inlineStr">
        <is>
          <t>não medido</t>
        </is>
      </c>
      <c r="AC83" s="75" t="inlineStr">
        <is>
          <t>Agro, Indústria e Comércio</t>
        </is>
      </c>
      <c r="AD83" s="75" t="inlineStr">
        <is>
          <t>Recebíveis Comerciais</t>
        </is>
      </c>
      <c r="AE83" s="75" t="inlineStr">
        <is>
          <t>Agro / Revenda</t>
        </is>
      </c>
      <c r="AF83" s="75" t="inlineStr">
        <is>
          <t>Agro / Revenda</t>
        </is>
      </c>
      <c r="AG83" s="75" t="inlineStr">
        <is>
          <t>Adquirência</t>
        </is>
      </c>
      <c r="AH83" s="75" t="inlineStr">
        <is>
          <t>Adquirência</t>
        </is>
      </c>
      <c r="AI83" s="75" t="inlineStr">
        <is>
          <t>N/D</t>
        </is>
      </c>
      <c r="AJ83" s="75" t="b">
        <v>0</v>
      </c>
      <c r="AK83" s="75" t="inlineStr">
        <is>
          <t>fora da revisão Financeiro/Agro</t>
        </is>
      </c>
      <c r="AL83" s="75" t="inlineStr">
        <is>
          <t>N/D</t>
        </is>
      </c>
      <c r="AM83" s="75" t="inlineStr">
        <is>
          <t>N/D</t>
        </is>
      </c>
      <c r="AN83" s="75" t="inlineStr">
        <is>
          <t>N/D</t>
        </is>
      </c>
      <c r="AO83" s="75" t="inlineStr">
        <is>
          <t>N/D</t>
        </is>
      </c>
      <c r="AP83" s="75" t="inlineStr">
        <is>
          <t>N/D</t>
        </is>
      </c>
      <c r="AQ83" s="75" t="inlineStr">
        <is>
          <t>Adquirência</t>
        </is>
      </c>
      <c r="AR83" s="75" t="inlineStr">
        <is>
          <t>Agro / Revenda</t>
        </is>
      </c>
      <c r="AS83" s="75" t="b">
        <v>1</v>
      </c>
      <c r="AT83" s="75" t="inlineStr">
        <is>
          <t>FundosNet/B3 doc. 1146939, p. 10; IMG_8706.JPG</t>
        </is>
      </c>
      <c r="AU83" s="75" t="inlineStr">
        <is>
          <t>Recebíveis da Listo IP contra emissores derivados de transações em arranjos de pagamento.</t>
        </is>
      </c>
      <c r="AV83" s="75" t="inlineStr">
        <is>
          <t>&lt; 10%</t>
        </is>
      </c>
      <c r="AW83" s="75" t="b">
        <v>1</v>
      </c>
      <c r="AX83" s="75" t="inlineStr">
        <is>
          <t>incomparável</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20/01/2026</t>
        </is>
      </c>
      <c r="BH83" s="75" t="inlineStr">
        <is>
          <t>1088682</t>
        </is>
      </c>
      <c r="BI83" s="75" t="inlineStr">
        <is>
          <t>https://fnet.bmfbovespa.com.br/fnet/publico/downloadDocumento?id=1088682</t>
        </is>
      </c>
      <c r="BJ83" s="75" t="inlineStr">
        <is>
          <t>localizado documentalmente</t>
        </is>
      </c>
      <c r="BK83" s="75" t="b">
        <v>0</v>
      </c>
      <c r="BL83" s="75" t="inlineStr">
        <is>
          <t>Listo IP</t>
        </is>
      </c>
      <c r="BM83" s="75" t="inlineStr">
        <is>
          <t>cedente</t>
        </is>
      </c>
      <c r="BN83" s="75" t="inlineStr">
        <is>
          <t>LISTO INSTITUIÇÃO DE PAGAMENTO LTDA.</t>
        </is>
      </c>
      <c r="BO83" s="75" t="inlineStr">
        <is>
          <t>Listo IP</t>
        </is>
      </c>
      <c r="BP83" s="75" t="inlineStr">
        <is>
          <t>N/D</t>
        </is>
      </c>
      <c r="BQ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3" s="75" t="inlineStr">
        <is>
          <t>originador: https://fnet.bmfbovespa.com.br/fnet/publico/downloadDocumento?id=1237167 | cedente: IMG_8706.JPG | tipo_recebivel: https://fnet.bmfbovespa.com.br/fnet/publico/downloadDocumento?id=1146939</t>
        </is>
      </c>
      <c r="BS83" s="75" t="inlineStr">
        <is>
          <t>manual_aplicado</t>
        </is>
      </c>
      <c r="BT83" s="75" t="inlineStr">
        <is>
          <t>OBS da foto: lista de concentração pré-aprovada.</t>
        </is>
      </c>
      <c r="BU83" s="75" t="inlineStr">
        <is>
          <t>1146939</t>
        </is>
      </c>
      <c r="BV83" s="75" t="inlineStr">
        <is>
          <t>2026-03-27</t>
        </is>
      </c>
      <c r="BW83" s="75" t="inlineStr">
        <is>
          <t>39</t>
        </is>
      </c>
      <c r="BX83" s="75" t="inlineStr">
        <is>
          <t>revisto — mínimo júnior localizado</t>
        </is>
      </c>
      <c r="BY83" s="75" t="inlineStr">
        <is>
          <t>FundosNet/B3; documento 1146939; referência 2026-03-27; p. 39</t>
        </is>
      </c>
      <c r="BZ83" s="75" t="inlineStr">
        <is>
          <t>Cotas subordinadas júnior / PL, mínimo de 0,5%.</t>
        </is>
      </c>
      <c r="CA83" s="75" t="inlineStr">
        <is>
          <t>sacado/devedor</t>
        </is>
      </c>
      <c r="CB83" s="75" t="inlineStr">
        <is>
          <t>estrutura_incomparavel</t>
        </is>
      </c>
    </row>
    <row r="84" ht="31.5" customHeight="1">
      <c r="A84" s="74" t="n">
        <v>80</v>
      </c>
      <c r="B84" s="138" t="n">
        <v>26749095000134</v>
      </c>
      <c r="C84" s="74" t="inlineStr">
        <is>
          <t>26.749.095/0001-34</t>
        </is>
      </c>
      <c r="D84" s="74" t="inlineStr">
        <is>
          <t>PRAVALER CRÉDITO UNIVERSITÁRIO II FUNDO DE INVESTIMENTO EM DIREITOS CREDITÓRIOS - RESP LIMITADAL</t>
        </is>
      </c>
      <c r="E84" s="74" t="inlineStr">
        <is>
          <t>CREDITO UNIVERSITARIO II FUNDO DE INVESTIMENTO EM</t>
        </is>
      </c>
      <c r="F84" s="74" t="inlineStr">
        <is>
          <t>Carteira 101</t>
        </is>
      </c>
      <c r="G84" s="74" t="inlineStr">
        <is>
          <t>2026-06</t>
        </is>
      </c>
      <c r="H84" s="74" t="inlineStr">
        <is>
          <t>localizado</t>
        </is>
      </c>
      <c r="I84" s="139" t="n">
        <v>392878603.09</v>
      </c>
      <c r="J84" s="139" t="n">
        <v>382813001.2497861</v>
      </c>
      <c r="K84" s="139" t="n">
        <v>98334639.56746107</v>
      </c>
      <c r="L84" s="140" t="inlineStr">
        <is>
          <t>N/D</t>
        </is>
      </c>
      <c r="M84" s="74" t="inlineStr">
        <is>
          <t>N/D</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mais de uma classe subordinada ou usa denominador distinto.</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Crédito estudantil</t>
        </is>
      </c>
      <c r="AJ84" s="74" t="b">
        <v>0</v>
      </c>
      <c r="AK84" s="74" t="inlineStr">
        <is>
          <t>MANTER_ALTA</t>
        </is>
      </c>
      <c r="AL84" s="74" t="inlineStr">
        <is>
          <t>Risco de financiamento estudantil Pravaler</t>
        </is>
      </c>
      <c r="AM84" s="74" t="inlineStr">
        <is>
          <t>IMG_8706</t>
        </is>
      </c>
      <c r="AN84" s="74" t="inlineStr">
        <is>
          <t>Não</t>
        </is>
      </c>
      <c r="AO84" s="74" t="inlineStr">
        <is>
          <t>IMG_8706</t>
        </is>
      </c>
      <c r="AP84" s="74" t="b">
        <v>0</v>
      </c>
      <c r="AQ84" s="74" t="inlineStr">
        <is>
          <t>Financeiro</t>
        </is>
      </c>
      <c r="AR84" s="74" t="inlineStr">
        <is>
          <t>Financeiro</t>
        </is>
      </c>
      <c r="AS84" s="74" t="b">
        <v>0</v>
      </c>
      <c r="AT84" s="74" t="inlineStr">
        <is>
          <t>N/D</t>
        </is>
      </c>
      <c r="AU84" s="74" t="inlineStr">
        <is>
          <t>N/D</t>
        </is>
      </c>
      <c r="AV84" s="74" t="inlineStr">
        <is>
          <t>N/D</t>
        </is>
      </c>
      <c r="AW84" s="74" t="b">
        <v>0</v>
      </c>
      <c r="AX84" s="74" t="inlineStr">
        <is>
          <t>N/D</t>
        </is>
      </c>
      <c r="AY84" s="74" t="inlineStr">
        <is>
          <t>sem benchmark confiável</t>
        </is>
      </c>
      <c r="AZ84" s="140" t="inlineStr">
        <is>
          <t>N/D</t>
        </is>
      </c>
      <c r="BA84" s="74" t="b">
        <v>1</v>
      </c>
      <c r="BB84" s="141" t="n">
        <v>12</v>
      </c>
      <c r="BC84" s="139" t="n">
        <v>1000</v>
      </c>
      <c r="BD84" s="74" t="inlineStr">
        <is>
          <t>R$1.000,00</t>
        </is>
      </c>
      <c r="BE84" s="74" t="inlineStr">
        <is>
          <t>preço/valor unitário de emissão</t>
        </is>
      </c>
      <c r="BF84" s="74" t="inlineStr">
        <is>
          <t>N/D</t>
        </is>
      </c>
      <c r="BG84" s="74" t="inlineStr">
        <is>
          <t>2025-11-19</t>
        </is>
      </c>
      <c r="BH84" s="74" t="inlineStr">
        <is>
          <t>1061833</t>
        </is>
      </c>
      <c r="BI84" s="74" t="inlineStr">
        <is>
          <t>https://fnet.bmfbovespa.com.br/fnet/publico/downloadDocumento?id=1061833</t>
        </is>
      </c>
      <c r="BJ84" s="74" t="inlineStr">
        <is>
          <t>localizado documentalmente</t>
        </is>
      </c>
      <c r="BK84" s="74" t="b">
        <v>1</v>
      </c>
      <c r="BL84" s="74" t="inlineStr">
        <is>
          <t>Pravaler</t>
        </is>
      </c>
      <c r="BM84" s="74" t="inlineStr">
        <is>
          <t>cedente</t>
        </is>
      </c>
      <c r="BN84" s="74" t="inlineStr">
        <is>
          <t>N/D</t>
        </is>
      </c>
      <c r="BO84" s="74" t="inlineStr">
        <is>
          <t>Pravaler</t>
        </is>
      </c>
      <c r="BP84" s="74" t="inlineStr">
        <is>
          <t>N/D</t>
        </is>
      </c>
      <c r="BQ84" s="74" t="inlineStr">
        <is>
          <t>Crédito Estudantil</t>
        </is>
      </c>
      <c r="BR84" s="74" t="inlineStr">
        <is>
          <t>cedente: IMG_8706.JPG | tipo_recebivel: IMG_8706.JPG</t>
        </is>
      </c>
      <c r="BS84" s="74" t="inlineStr">
        <is>
          <t>manual_aplicado</t>
        </is>
      </c>
      <c r="BT84" s="74" t="inlineStr">
        <is>
          <t>Denominação cortada pela largura da coluna na foto.</t>
        </is>
      </c>
      <c r="BU84" s="74" t="inlineStr">
        <is>
          <t>1061833</t>
        </is>
      </c>
      <c r="BV84" s="74" t="inlineStr">
        <is>
          <t>2025-11-19</t>
        </is>
      </c>
      <c r="BW84" s="74" t="inlineStr">
        <is>
          <t>152</t>
        </is>
      </c>
      <c r="BX84" s="74" t="inlineStr">
        <is>
          <t>revisto — mínimo júnior localizado</t>
        </is>
      </c>
      <c r="BY84" s="74" t="inlineStr">
        <is>
          <t>FundosNet/B3; documento 1061833; referência 2025-11-19; p. 152</t>
        </is>
      </c>
      <c r="BZ84" s="74" t="inlineStr">
        <is>
          <t>Cotas júnior / PL, mínimo de 10,0%; passa a 15,0% quando o atraso supera 6,0%.</t>
        </is>
      </c>
      <c r="CA84" s="74" t="inlineStr">
        <is>
          <t>Sub/PL atual; originador; sacado/devedor</t>
        </is>
      </c>
      <c r="CB84" s="74" t="inlineStr">
        <is>
          <t>sub_pl_atual_ausente</t>
        </is>
      </c>
    </row>
    <row r="85" ht="31.5" customHeight="1">
      <c r="A85" s="75" t="n">
        <v>81</v>
      </c>
      <c r="B85" s="142" t="n">
        <v>62393829000159</v>
      </c>
      <c r="C85" s="75" t="inlineStr">
        <is>
          <t>62.393.829/0001-59</t>
        </is>
      </c>
      <c r="D85" s="75" t="inlineStr">
        <is>
          <t>FUNDO DE INVESTIMENTO EM DIREITOS CREDITÓRIOS COMERCIAIS MEDICI I - RESPONSABILIDADE LIMITADA</t>
        </is>
      </c>
      <c r="E85" s="75" t="inlineStr">
        <is>
          <t>TOP 2025 V FIDC RESP LIMITADA</t>
        </is>
      </c>
      <c r="F85" s="75" t="inlineStr">
        <is>
          <t>Carteira 101</t>
        </is>
      </c>
      <c r="G85" s="75" t="inlineStr">
        <is>
          <t>2026-06</t>
        </is>
      </c>
      <c r="H85" s="75" t="inlineStr">
        <is>
          <t>localizado</t>
        </is>
      </c>
      <c r="I85" s="143" t="n">
        <v>3091715187.97</v>
      </c>
      <c r="J85" s="143" t="n">
        <v>3091715187.975349</v>
      </c>
      <c r="K85" s="143" t="n">
        <v>168780742.4243522</v>
      </c>
      <c r="L85" s="144" t="n">
        <v>0.0545912971159457</v>
      </c>
      <c r="M85" s="75" t="inlineStr">
        <is>
          <t>Calculado com classes reportadas e PL oficial reconciliado</t>
        </is>
      </c>
      <c r="N85" s="144" t="n">
        <v>0.05</v>
      </c>
      <c r="O85" s="144" t="inlineStr">
        <is>
          <t>N/D</t>
        </is>
      </c>
      <c r="P85" s="144" t="inlineStr">
        <is>
          <t>N/D</t>
        </is>
      </c>
      <c r="Q85" s="144" t="n">
        <v>0.05</v>
      </c>
      <c r="R85" s="144" t="inlineStr">
        <is>
          <t>N/D</t>
        </is>
      </c>
      <c r="S85" s="144" t="n">
        <v>0.05</v>
      </c>
      <c r="T85" s="75" t="inlineStr">
        <is>
          <t>5,0%</t>
        </is>
      </c>
      <c r="U85" s="75" t="inlineStr">
        <is>
          <t>junior_pl</t>
        </is>
      </c>
      <c r="V85" s="75" t="inlineStr">
        <is>
          <t>direto no regulamento</t>
        </is>
      </c>
      <c r="W85" s="75" t="b">
        <v>1</v>
      </c>
      <c r="X85" s="75" t="inlineStr">
        <is>
          <t>Estrutura com uma única classe subordinada; métrica atual e piso usam o total subordinado sobre o PL.</t>
        </is>
      </c>
      <c r="Y85" s="75" t="b">
        <v>0</v>
      </c>
      <c r="Z85" s="144" t="n">
        <v>0.004591297115945699</v>
      </c>
      <c r="AA85" s="144" t="n">
        <v>0.00483294433257442</v>
      </c>
      <c r="AB85" s="75" t="inlineStr">
        <is>
          <t>folga estreita</t>
        </is>
      </c>
      <c r="AC85" s="75" t="inlineStr">
        <is>
          <t>Fomento Mercantil</t>
        </is>
      </c>
      <c r="AD85" s="75" t="inlineStr">
        <is>
          <t>Fomento Mercantil</t>
        </is>
      </c>
      <c r="AE85" s="75" t="inlineStr">
        <is>
          <t>Factoring</t>
        </is>
      </c>
      <c r="AF85" s="75" t="inlineStr">
        <is>
          <t>Factoring</t>
        </is>
      </c>
      <c r="AG85" s="75" t="inlineStr">
        <is>
          <t>Agro / Revenda</t>
        </is>
      </c>
      <c r="AH85" s="75" t="inlineStr">
        <is>
          <t>Risco Corporativo</t>
        </is>
      </c>
      <c r="AI85" s="75" t="inlineStr">
        <is>
          <t>Monosacado/concentrado BRF e Marfrig</t>
        </is>
      </c>
      <c r="AJ85" s="75" t="b">
        <v>1</v>
      </c>
      <c r="AK85" s="75" t="inlineStr">
        <is>
          <t>APLICAR_ALTA</t>
        </is>
      </c>
      <c r="AL85" s="75" t="inlineStr">
        <is>
          <t>Risco corporativo concentrado em BRF e Marfrig, conforme classificação explícita fornecida para o slide</t>
        </is>
      </c>
      <c r="AM85" s="75" t="inlineStr">
        <is>
          <t>Comentário explícito do usuário e IMG_8706.JPG</t>
        </is>
      </c>
      <c r="AN85" s="75" t="inlineStr">
        <is>
          <t>Não</t>
        </is>
      </c>
      <c r="AO85" s="75" t="inlineStr">
        <is>
          <t>Comentário explícito do usuário e IMG_8706.JPG</t>
        </is>
      </c>
      <c r="AP85" s="75" t="b">
        <v>0</v>
      </c>
      <c r="AQ85" s="75" t="inlineStr">
        <is>
          <t>Risco Corporativo</t>
        </is>
      </c>
      <c r="AR85" s="75" t="inlineStr">
        <is>
          <t>Agro / Revenda</t>
        </is>
      </c>
      <c r="AS85" s="75" t="b">
        <v>1</v>
      </c>
      <c r="AT85" s="75" t="inlineStr">
        <is>
          <t>Comentário explícito do usuário e IMG_8706.JPG</t>
        </is>
      </c>
      <c r="AU85" s="75" t="inlineStr">
        <is>
          <t>Risco corporativo concentrado em BRF e Marfrig, conforme classificação explícita fornecida para o slide</t>
        </is>
      </c>
      <c r="AV85" s="75" t="inlineStr">
        <is>
          <t>&lt; 10%</t>
        </is>
      </c>
      <c r="AW85" s="75" t="b">
        <v>1</v>
      </c>
      <c r="AX85" s="75" t="inlineStr">
        <is>
          <t>até 2 p.p. acima</t>
        </is>
      </c>
      <c r="AY85" s="75" t="inlineStr">
        <is>
          <t>sem benchmark confiável</t>
        </is>
      </c>
      <c r="AZ85" s="144" t="inlineStr">
        <is>
          <t>N/D</t>
        </is>
      </c>
      <c r="BA85" s="75" t="b">
        <v>0</v>
      </c>
      <c r="BB85" s="145" t="n">
        <v>2</v>
      </c>
      <c r="BC85" s="143" t="n">
        <v>1000</v>
      </c>
      <c r="BD85" s="75" t="inlineStr">
        <is>
          <t>cotas seniores: R$1.000,00</t>
        </is>
      </c>
      <c r="BE85" s="75" t="inlineStr">
        <is>
          <t>valor nominal unitário (VNU)</t>
        </is>
      </c>
      <c r="BF85" s="75" t="inlineStr">
        <is>
          <t>cotas seniores</t>
        </is>
      </c>
      <c r="BG85" s="75" t="inlineStr">
        <is>
          <t>21/01/2026</t>
        </is>
      </c>
      <c r="BH85" s="75" t="inlineStr">
        <is>
          <t>1089672</t>
        </is>
      </c>
      <c r="BI85" s="75" t="inlineStr">
        <is>
          <t>https://fnet.bmfbovespa.com.br/fnet/publico/downloadDocumento?id=1089672</t>
        </is>
      </c>
      <c r="BJ85" s="75" t="inlineStr">
        <is>
          <t>localizado documentalmente</t>
        </is>
      </c>
      <c r="BK85" s="75" t="b">
        <v>0</v>
      </c>
      <c r="BL85" s="75" t="inlineStr">
        <is>
          <t>Multicedente</t>
        </is>
      </c>
      <c r="BM85" s="75" t="inlineStr">
        <is>
          <t>cedente</t>
        </is>
      </c>
      <c r="BN85" s="75" t="inlineStr">
        <is>
          <t>N/D</t>
        </is>
      </c>
      <c r="BO85" s="75" t="inlineStr">
        <is>
          <t>Multicedente</t>
        </is>
      </c>
      <c r="BP85" s="75" t="inlineStr">
        <is>
          <t>BRF</t>
        </is>
      </c>
      <c r="BQ85" s="75" t="inlineStr">
        <is>
          <t>Risco Sacado BRF</t>
        </is>
      </c>
      <c r="BR85" s="75" t="inlineStr">
        <is>
          <t>cedente: IMG_8706.JPG | sacado_devedor: IMG_8706.JPG | tipo_recebivel: IMG_8706.JPG</t>
        </is>
      </c>
      <c r="BS85" s="75" t="inlineStr">
        <is>
          <t>manual_aplicado</t>
        </is>
      </c>
      <c r="BT85" s="75" t="inlineStr">
        <is>
          <t>BRF foi desmembrado somente porque a fonte escreve literalmente Risco Sacado BRF.</t>
        </is>
      </c>
      <c r="BU85" s="75" t="inlineStr">
        <is>
          <t>1242436</t>
        </is>
      </c>
      <c r="BV85" s="75" t="inlineStr">
        <is>
          <t>2026-07-08</t>
        </is>
      </c>
      <c r="BW85" s="75" t="inlineStr">
        <is>
          <t>40–41</t>
        </is>
      </c>
      <c r="BX85" s="75" t="inlineStr">
        <is>
          <t>revisto — mínimo júnior localizado</t>
        </is>
      </c>
      <c r="BY85" s="75" t="inlineStr">
        <is>
          <t>FundosNet/B3; documento 1242436; referência 2026-07-08; p. 40–41</t>
        </is>
      </c>
      <c r="BZ85" s="75" t="inlineStr">
        <is>
          <t>Cotas subordinadas júnior / PL, mínimo regular de 5,0%; transição temporária de 3,0% encerrada.</t>
        </is>
      </c>
      <c r="CA85" s="75" t="inlineStr">
        <is>
          <t>originador</t>
        </is>
      </c>
      <c r="CB85" s="75" t="inlineStr">
        <is>
          <t>completo_para_folga</t>
        </is>
      </c>
    </row>
    <row r="86" ht="31.5" customHeight="1">
      <c r="A86" s="74" t="n">
        <v>82</v>
      </c>
      <c r="B86" s="138" t="n">
        <v>47640584000123</v>
      </c>
      <c r="C86" s="74" t="inlineStr">
        <is>
          <t>47.640.584/0001-23</t>
        </is>
      </c>
      <c r="D86" s="74" t="inlineStr">
        <is>
          <t>SOL AGORA GREEN ESG FIDC IS SEGMENTO FINANCEIRO DE RESPONSABILIDADE LIMITADA</t>
        </is>
      </c>
      <c r="E86" s="74" t="inlineStr">
        <is>
          <t>SOL AGORA GREEN ESG FIDC IS SEGMENTO FINANCEIRO DE</t>
        </is>
      </c>
      <c r="F86" s="74" t="inlineStr">
        <is>
          <t>Carteira 101</t>
        </is>
      </c>
      <c r="G86" s="74" t="inlineStr">
        <is>
          <t>2026-06</t>
        </is>
      </c>
      <c r="H86" s="74" t="inlineStr">
        <is>
          <t>localizado</t>
        </is>
      </c>
      <c r="I86" s="139" t="n">
        <v>285125290.74</v>
      </c>
      <c r="J86" s="139" t="n">
        <v>285125290.8203988</v>
      </c>
      <c r="K86" s="139" t="n">
        <v>86750548.68002474</v>
      </c>
      <c r="L86" s="140" t="n">
        <v>0.3042541349274092</v>
      </c>
      <c r="M86" s="74" t="inlineStr">
        <is>
          <t>Calculado com classes reportadas e PL oficial reconciliado</t>
        </is>
      </c>
      <c r="N86" s="140" t="n">
        <v>0.1</v>
      </c>
      <c r="O86" s="140" t="inlineStr">
        <is>
          <t>N/D</t>
        </is>
      </c>
      <c r="P86" s="140" t="inlineStr">
        <is>
          <t>N/D</t>
        </is>
      </c>
      <c r="Q86" s="140" t="inlineStr">
        <is>
          <t>N/D</t>
        </is>
      </c>
      <c r="R86" s="140" t="inlineStr">
        <is>
          <t>N/D</t>
        </is>
      </c>
      <c r="S86" s="140" t="n">
        <v>0.1</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Financeiro</t>
        </is>
      </c>
      <c r="AD86" s="74" t="inlineStr">
        <is>
          <t>Crédito Pessoal</t>
        </is>
      </c>
      <c r="AE86" s="74" t="inlineStr">
        <is>
          <t>Financeiro</t>
        </is>
      </c>
      <c r="AF86" s="74" t="inlineStr">
        <is>
          <t>Financeiro</t>
        </is>
      </c>
      <c r="AG86" s="74" t="inlineStr">
        <is>
          <t>Financeiro</t>
        </is>
      </c>
      <c r="AH86" s="74" t="inlineStr">
        <is>
          <t>Financeiro</t>
        </is>
      </c>
      <c r="AI86" s="74" t="inlineStr">
        <is>
          <t>Financiamento solar, CCBs</t>
        </is>
      </c>
      <c r="AJ86" s="74" t="b">
        <v>0</v>
      </c>
      <c r="AK86" s="74" t="inlineStr">
        <is>
          <t>MANTER_ALTA</t>
        </is>
      </c>
      <c r="AL86" s="74" t="inlineStr">
        <is>
          <t>Devedores PF/PJ financiam projetos solares por CCB</t>
        </is>
      </c>
      <c r="AM86" s="74" t="inlineStr">
        <is>
          <t>regulamento + IMG_8706</t>
        </is>
      </c>
      <c r="AN86" s="74" t="inlineStr">
        <is>
          <t>Não</t>
        </is>
      </c>
      <c r="AO86" s="74" t="inlineStr">
        <is>
          <t>regulamento + IMG_8706</t>
        </is>
      </c>
      <c r="AP86" s="74" t="b">
        <v>0</v>
      </c>
      <c r="AQ86" s="74" t="inlineStr">
        <is>
          <t>Financeiro</t>
        </is>
      </c>
      <c r="AR86" s="74" t="inlineStr">
        <is>
          <t>Financeiro</t>
        </is>
      </c>
      <c r="AS86" s="74" t="b">
        <v>0</v>
      </c>
      <c r="AT86" s="74" t="inlineStr">
        <is>
          <t>N/D</t>
        </is>
      </c>
      <c r="AU86" s="74" t="inlineStr">
        <is>
          <t>N/D</t>
        </is>
      </c>
      <c r="AV86" s="74" t="inlineStr">
        <is>
          <t>20%–35%</t>
        </is>
      </c>
      <c r="AW86" s="74" t="b">
        <v>1</v>
      </c>
      <c r="AX86" s="74" t="inlineStr">
        <is>
          <t>incomparável</t>
        </is>
      </c>
      <c r="AY86" s="74" t="inlineStr">
        <is>
          <t>em linha com o mercado</t>
        </is>
      </c>
      <c r="AZ86" s="140" t="n">
        <v>0.002794574646158121</v>
      </c>
      <c r="BA86" s="74" t="b">
        <v>1</v>
      </c>
      <c r="BB86" s="141" t="n">
        <v>12</v>
      </c>
      <c r="BC86" s="139" t="n">
        <v>1000</v>
      </c>
      <c r="BD86" s="74" t="inlineStr">
        <is>
          <t>Cotas Seniores: R$1.000,00</t>
        </is>
      </c>
      <c r="BE86" s="74" t="inlineStr">
        <is>
          <t>preço/valor unitário de emissão</t>
        </is>
      </c>
      <c r="BF86" s="74" t="inlineStr">
        <is>
          <t>Cotas Seniores</t>
        </is>
      </c>
      <c r="BG86" s="74" t="inlineStr">
        <is>
          <t>13/06/2025</t>
        </is>
      </c>
      <c r="BH86" s="74" t="inlineStr">
        <is>
          <t>930974</t>
        </is>
      </c>
      <c r="BI86" s="74" t="inlineStr">
        <is>
          <t>https://fnet.bmfbovespa.com.br/fnet/publico/downloadDocumento?id=930974</t>
        </is>
      </c>
      <c r="BJ86" s="74" t="inlineStr">
        <is>
          <t>localizado documentalmente</t>
        </is>
      </c>
      <c r="BK86" s="74" t="b">
        <v>0</v>
      </c>
      <c r="BL86" s="74" t="inlineStr">
        <is>
          <t>BMP</t>
        </is>
      </c>
      <c r="BM86" s="74" t="inlineStr">
        <is>
          <t>cedente</t>
        </is>
      </c>
      <c r="BN86" s="74" t="inlineStr">
        <is>
          <t>Sol Agora</t>
        </is>
      </c>
      <c r="BO86" s="74" t="inlineStr">
        <is>
          <t>BMP</t>
        </is>
      </c>
      <c r="BP86" s="74" t="inlineStr">
        <is>
          <t>pessoas físicas ou jurídicas que obtenham um financiamento de Projetos de Geração Energia Elétrica junto a uma Instituição Financeira Parceira por meio da Plataforma Sol Agora</t>
        </is>
      </c>
      <c r="BQ86" s="74" t="inlineStr">
        <is>
          <t>Recebíveis: CCBs</t>
        </is>
      </c>
      <c r="BR86" s="74" t="inlineStr">
        <is>
          <t>originador: https://fnet.bmfbovespa.com.br/fnet/publico/downloadDocumento?id=721487 | cedente: IMG_8706.JPG | sacado_devedor: https://fnet.bmfbovespa.com.br/fnet/publico/downloadDocumento?id=930974 | tipo_recebivel: IMG_8706.JPG</t>
        </is>
      </c>
      <c r="BS86" s="74" t="inlineStr">
        <is>
          <t>manual_aplicado</t>
        </is>
      </c>
      <c r="BT86" s="74" t="inlineStr">
        <is>
          <t>OBS da foto: a Sol Agora é o originador, mas o cedente das CCBs é o BMP (true sale). Os papéis foram desmembrados somente porque estão escritos literalmente na fonte. Denominação cortada.</t>
        </is>
      </c>
      <c r="BU86" s="74" t="inlineStr">
        <is>
          <t>930974</t>
        </is>
      </c>
      <c r="BV86" s="74" t="inlineStr">
        <is>
          <t>2025-06-13</t>
        </is>
      </c>
      <c r="BW86" s="74" t="inlineStr">
        <is>
          <t>91</t>
        </is>
      </c>
      <c r="BX86" s="74" t="inlineStr">
        <is>
          <t>revisto — mínimo júnior localizado</t>
        </is>
      </c>
      <c r="BY86" s="74" t="inlineStr">
        <is>
          <t>FundosNet/B3; documento 930974; referência 2025-06-13; p. 91</t>
        </is>
      </c>
      <c r="BZ86" s="74" t="inlineStr">
        <is>
          <t>Cotas júnior / PL ajustado: 10,0% até o 24º mês e 12,5% após esse período.</t>
        </is>
      </c>
      <c r="CA86" s="74" t="inlineStr">
        <is>
          <t>Nenhum</t>
        </is>
      </c>
      <c r="CB86" s="74" t="inlineStr">
        <is>
          <t>estrutura_incomparavel</t>
        </is>
      </c>
    </row>
    <row r="87" ht="31.5" customHeight="1">
      <c r="A87" s="75" t="n">
        <v>83</v>
      </c>
      <c r="B87" s="142" t="n">
        <v>57028406000108</v>
      </c>
      <c r="C87" s="75" t="inlineStr">
        <is>
          <t>57.028.406/0001-08</t>
        </is>
      </c>
      <c r="D87" s="75" t="inlineStr">
        <is>
          <t>IS GREEN SOLFÁCIL VI FUNDO DE INVESTIMENTO EM DIREITOS CREDITÓRIOS RESPONSABILIDADE LIMITADA</t>
        </is>
      </c>
      <c r="E87" s="75" t="inlineStr">
        <is>
          <t>IS GREEN SOLFACIL VI FIDC RL</t>
        </is>
      </c>
      <c r="F87" s="75" t="inlineStr">
        <is>
          <t>Carteira 101</t>
        </is>
      </c>
      <c r="G87" s="75" t="inlineStr">
        <is>
          <t>2026-06</t>
        </is>
      </c>
      <c r="H87" s="75" t="inlineStr">
        <is>
          <t>localizado</t>
        </is>
      </c>
      <c r="I87" s="143" t="n">
        <v>437421807.29</v>
      </c>
      <c r="J87" s="143" t="n">
        <v>437421807.2916817</v>
      </c>
      <c r="K87" s="143" t="n">
        <v>116406326.7001569</v>
      </c>
      <c r="L87" s="144" t="n">
        <v>0.2661191663519015</v>
      </c>
      <c r="M87" s="75" t="inlineStr">
        <is>
          <t>Calculado com classes reportadas e PL oficial reconciliado</t>
        </is>
      </c>
      <c r="N87" s="144" t="n">
        <v>0.02</v>
      </c>
      <c r="O87" s="144" t="inlineStr">
        <is>
          <t>N/D</t>
        </is>
      </c>
      <c r="P87" s="144" t="inlineStr">
        <is>
          <t>N/D</t>
        </is>
      </c>
      <c r="Q87" s="144" t="inlineStr">
        <is>
          <t>N/D</t>
        </is>
      </c>
      <c r="R87" s="144" t="inlineStr">
        <is>
          <t>N/D</t>
        </is>
      </c>
      <c r="S87" s="144" t="n">
        <v>0.02</v>
      </c>
      <c r="T87" s="75" t="inlineStr">
        <is>
          <t>N/D</t>
        </is>
      </c>
      <c r="U87" s="75" t="inlineStr">
        <is>
          <t>junior_pl</t>
        </is>
      </c>
      <c r="V87" s="75" t="inlineStr">
        <is>
          <t>direto no regulamento</t>
        </is>
      </c>
      <c r="W87" s="75" t="b">
        <v>0</v>
      </c>
      <c r="X87" s="75" t="inlineStr">
        <is>
          <t>Mínimo júnior isolado; a subordinação atual disponível agrega todas as classes subordinadas.</t>
        </is>
      </c>
      <c r="Y87" s="75" t="b">
        <v>0</v>
      </c>
      <c r="Z87" s="144" t="inlineStr">
        <is>
          <t>N/D</t>
        </is>
      </c>
      <c r="AA87" s="144" t="inlineStr">
        <is>
          <t>N/D</t>
        </is>
      </c>
      <c r="AB87" s="75" t="inlineStr">
        <is>
          <t>não medido</t>
        </is>
      </c>
      <c r="AC87" s="75" t="inlineStr">
        <is>
          <t>Financeiro</t>
        </is>
      </c>
      <c r="AD87" s="75" t="inlineStr">
        <is>
          <t>Crédito Pessoal</t>
        </is>
      </c>
      <c r="AE87" s="75" t="inlineStr">
        <is>
          <t>Financeiro</t>
        </is>
      </c>
      <c r="AF87" s="75" t="inlineStr">
        <is>
          <t>Financeiro</t>
        </is>
      </c>
      <c r="AG87" s="75" t="inlineStr">
        <is>
          <t>Financeiro</t>
        </is>
      </c>
      <c r="AH87" s="75" t="inlineStr">
        <is>
          <t>Financeiro</t>
        </is>
      </c>
      <c r="AI87" s="75" t="inlineStr">
        <is>
          <t>Financiamento solar, recebíveis performados</t>
        </is>
      </c>
      <c r="AJ87" s="75" t="b">
        <v>0</v>
      </c>
      <c r="AK87" s="75" t="inlineStr">
        <is>
          <t>MANTER_ALTA</t>
        </is>
      </c>
      <c r="AL87" s="75" t="inlineStr">
        <is>
          <t>Recebíveis de financiamento de placas solares</t>
        </is>
      </c>
      <c r="AM87" s="75" t="inlineStr">
        <is>
          <t>IMG_8706</t>
        </is>
      </c>
      <c r="AN87" s="75" t="inlineStr">
        <is>
          <t>Não</t>
        </is>
      </c>
      <c r="AO87" s="75" t="inlineStr">
        <is>
          <t>IMG_8706</t>
        </is>
      </c>
      <c r="AP87" s="75" t="b">
        <v>0</v>
      </c>
      <c r="AQ87" s="75" t="inlineStr">
        <is>
          <t>Financeiro</t>
        </is>
      </c>
      <c r="AR87" s="75" t="inlineStr">
        <is>
          <t>Financeiro</t>
        </is>
      </c>
      <c r="AS87" s="75" t="b">
        <v>0</v>
      </c>
      <c r="AT87" s="75" t="inlineStr">
        <is>
          <t>N/D</t>
        </is>
      </c>
      <c r="AU87" s="75" t="inlineStr">
        <is>
          <t>N/D</t>
        </is>
      </c>
      <c r="AV87" s="75" t="inlineStr">
        <is>
          <t>20%–35%</t>
        </is>
      </c>
      <c r="AW87" s="75" t="b">
        <v>1</v>
      </c>
      <c r="AX87" s="75" t="inlineStr">
        <is>
          <t>incomparável</t>
        </is>
      </c>
      <c r="AY87" s="75" t="inlineStr">
        <is>
          <t>abaixo do mercado</t>
        </is>
      </c>
      <c r="AZ87" s="144" t="n">
        <v>-0.03534039392934957</v>
      </c>
      <c r="BA87" s="75" t="b">
        <v>1</v>
      </c>
      <c r="BB87" s="145" t="n">
        <v>12</v>
      </c>
      <c r="BC87" s="143" t="n">
        <v>1000</v>
      </c>
      <c r="BD87" s="75" t="inlineStr">
        <is>
          <t>Cotas Seniores: R$ 1.000,00 | Cotas Subordinadas Mezanino: R$ 1.000,00</t>
        </is>
      </c>
      <c r="BE87" s="75" t="inlineStr">
        <is>
          <t>preço/valor unitário de emissão</t>
        </is>
      </c>
      <c r="BF87" s="75" t="inlineStr">
        <is>
          <t>Cotas Seniores | Cotas Subordinadas Mezanino</t>
        </is>
      </c>
      <c r="BG87" s="75" t="inlineStr">
        <is>
          <t>06/12/2024</t>
        </is>
      </c>
      <c r="BH87" s="75" t="inlineStr">
        <is>
          <t>796086</t>
        </is>
      </c>
      <c r="BI87" s="75" t="inlineStr">
        <is>
          <t>https://fnet.bmfbovespa.com.br/fnet/publico/downloadDocumento?id=796086</t>
        </is>
      </c>
      <c r="BJ87" s="75" t="inlineStr">
        <is>
          <t>localizado documentalmente — múltiplos valores/classes</t>
        </is>
      </c>
      <c r="BK87" s="75" t="b">
        <v>1</v>
      </c>
      <c r="BL87" s="75" t="inlineStr">
        <is>
          <t>Solfácil SCD</t>
        </is>
      </c>
      <c r="BM87" s="75" t="inlineStr">
        <is>
          <t>cedente</t>
        </is>
      </c>
      <c r="BN87" s="75" t="inlineStr">
        <is>
          <t>Solfácil Energia</t>
        </is>
      </c>
      <c r="BO87" s="75" t="inlineStr">
        <is>
          <t>Solfácil SCD</t>
        </is>
      </c>
      <c r="BP87" s="75" t="inlineStr">
        <is>
          <t>N/D</t>
        </is>
      </c>
      <c r="BQ87" s="75" t="inlineStr">
        <is>
          <t>Direitos Creditórios performados oriundos de financiamento de instalação de placas solares</t>
        </is>
      </c>
      <c r="BR87" s="75" t="inlineStr">
        <is>
          <t>originador: https://fnet.bmfbovespa.com.br/fnet/publico/downloadDocumento?id=1048522 | cedente: IMG_8706.JPG | tipo_recebivel: IMG_8706.JPG</t>
        </is>
      </c>
      <c r="BS87" s="75" t="inlineStr">
        <is>
          <t>manual_aplicado</t>
        </is>
      </c>
      <c r="BT87" s="75" t="inlineStr">
        <is>
          <t>FIDC pulverizado para aquisição dos direitos creditórios descritos.</t>
        </is>
      </c>
      <c r="BU87" s="75" t="inlineStr">
        <is>
          <t>1202319</t>
        </is>
      </c>
      <c r="BV87" s="75" t="inlineStr">
        <is>
          <t>2026-05-21</t>
        </is>
      </c>
      <c r="BW87" s="75" t="inlineStr">
        <is>
          <t>112</t>
        </is>
      </c>
      <c r="BX87" s="75" t="inlineStr">
        <is>
          <t>revisto — mínimo júnior localizado</t>
        </is>
      </c>
      <c r="BY87" s="75" t="inlineStr">
        <is>
          <t>FundosNet/B3; documento 1202319; referência 2026-05-21; p. 112</t>
        </is>
      </c>
      <c r="BZ87" s="75" t="inlineStr">
        <is>
          <t>Índice de Subordinação das cotas júnior / PL, mínimo de 2,0%.</t>
        </is>
      </c>
      <c r="CA87" s="75" t="inlineStr">
        <is>
          <t>sacado/devedor</t>
        </is>
      </c>
      <c r="CB87" s="75" t="inlineStr">
        <is>
          <t>estrutura_incomparavel</t>
        </is>
      </c>
    </row>
    <row r="88" ht="31.5" customHeight="1">
      <c r="A88" s="74" t="n">
        <v>84</v>
      </c>
      <c r="B88" s="138" t="n">
        <v>31570767000180</v>
      </c>
      <c r="C88" s="74" t="inlineStr">
        <is>
          <t>31.570.767/0001-80</t>
        </is>
      </c>
      <c r="D88" s="74" t="inlineStr">
        <is>
          <t>FUNDO DE INVESTIMENTO EM DIREITOS CREDITÓRIOS TRADEPAY VAREJO I - RESPONSABILIDADE LIMITADA</t>
        </is>
      </c>
      <c r="E88" s="74" t="inlineStr">
        <is>
          <t>FUNDO DE INVESTIMENTO EM DIREITOS</t>
        </is>
      </c>
      <c r="F88" s="74" t="inlineStr">
        <is>
          <t>Carteira 101</t>
        </is>
      </c>
      <c r="G88" s="74" t="inlineStr">
        <is>
          <t>2026-06</t>
        </is>
      </c>
      <c r="H88" s="74" t="inlineStr">
        <is>
          <t>localizado</t>
        </is>
      </c>
      <c r="I88" s="139" t="n">
        <v>702136589.85</v>
      </c>
      <c r="J88" s="139" t="n">
        <v>702136589.8502237</v>
      </c>
      <c r="K88" s="139" t="n">
        <v>163659203.2401963</v>
      </c>
      <c r="L88" s="140" t="n">
        <v>0.2330874157621659</v>
      </c>
      <c r="M88" s="74" t="inlineStr">
        <is>
          <t>Calculado com classes reportadas e PL oficial reconciliado</t>
        </is>
      </c>
      <c r="N88" s="140" t="n">
        <v>0.05</v>
      </c>
      <c r="O88" s="140" t="inlineStr">
        <is>
          <t>N/D</t>
        </is>
      </c>
      <c r="P88" s="140" t="inlineStr">
        <is>
          <t>N/D</t>
        </is>
      </c>
      <c r="Q88" s="140" t="inlineStr">
        <is>
          <t>N/D</t>
        </is>
      </c>
      <c r="R88" s="140" t="inlineStr">
        <is>
          <t>N/D</t>
        </is>
      </c>
      <c r="S88" s="140" t="n">
        <v>0.05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Agro, Indústria e Comércio</t>
        </is>
      </c>
      <c r="AD88" s="74" t="inlineStr">
        <is>
          <t>Recebíveis Comerciais</t>
        </is>
      </c>
      <c r="AE88" s="74" t="inlineStr">
        <is>
          <t>Agro / Revenda</t>
        </is>
      </c>
      <c r="AF88" s="74" t="inlineStr">
        <is>
          <t>Agro / Revenda</t>
        </is>
      </c>
      <c r="AG88" s="74" t="inlineStr">
        <is>
          <t>Agro / Revenda</t>
        </is>
      </c>
      <c r="AH88" s="74" t="inlineStr">
        <is>
          <t>Risco Corporativo</t>
        </is>
      </c>
      <c r="AI88" s="74" t="inlineStr">
        <is>
          <t>Recebíveis comerciais pulverizados Trademaster</t>
        </is>
      </c>
      <c r="AJ88" s="74" t="b">
        <v>1</v>
      </c>
      <c r="AK88" s="74" t="inlineStr">
        <is>
          <t>APLICAR_ALTA</t>
        </is>
      </c>
      <c r="AL88" s="74" t="inlineStr">
        <is>
          <t>Notas fiscais e duplicatas de vendas/serviços, mínimo 2.500 devedores e máximo 5% por devedor</t>
        </is>
      </c>
      <c r="AM88" s="74" t="inlineStr">
        <is>
          <t>regulamento 1203635, 80 páginas</t>
        </is>
      </c>
      <c r="AN88" s="74" t="inlineStr">
        <is>
          <t>Candidato</t>
        </is>
      </c>
      <c r="AO88" s="74" t="inlineStr">
        <is>
          <t>regulamento 1203635, 80 páginas</t>
        </is>
      </c>
      <c r="AP88" s="74" t="inlineStr">
        <is>
          <t>N/D</t>
        </is>
      </c>
      <c r="AQ88" s="74" t="inlineStr">
        <is>
          <t>Risco Corporativo</t>
        </is>
      </c>
      <c r="AR88" s="74" t="inlineStr">
        <is>
          <t>Agro / Revenda</t>
        </is>
      </c>
      <c r="AS88" s="74" t="b">
        <v>1</v>
      </c>
      <c r="AT88" s="74" t="inlineStr">
        <is>
          <t>regulamento 1203635, 80 páginas</t>
        </is>
      </c>
      <c r="AU88" s="74" t="inlineStr">
        <is>
          <t>Notas fiscais e duplicatas de vendas/serviços, mínimo 2.500 devedores e máximo 5% por devedor</t>
        </is>
      </c>
      <c r="AV88" s="74" t="inlineStr">
        <is>
          <t>20%–35%</t>
        </is>
      </c>
      <c r="AW88" s="74" t="b">
        <v>1</v>
      </c>
      <c r="AX88" s="74" t="inlineStr">
        <is>
          <t>incomparável</t>
        </is>
      </c>
      <c r="AY88" s="74" t="inlineStr">
        <is>
          <t>sem benchmark confiável</t>
        </is>
      </c>
      <c r="AZ88" s="140" t="inlineStr">
        <is>
          <t>N/D</t>
        </is>
      </c>
      <c r="BA88" s="74" t="b">
        <v>0</v>
      </c>
      <c r="BB88" s="141" t="n">
        <v>0</v>
      </c>
      <c r="BC88" s="139" t="inlineStr">
        <is>
          <t>N/D</t>
        </is>
      </c>
      <c r="BD88" s="74" t="inlineStr">
        <is>
          <t>N/D</t>
        </is>
      </c>
      <c r="BE88" s="74" t="inlineStr">
        <is>
          <t>N/D</t>
        </is>
      </c>
      <c r="BF88" s="74" t="inlineStr">
        <is>
          <t>N/D</t>
        </is>
      </c>
      <c r="BG88" s="74" t="inlineStr">
        <is>
          <t>N/D</t>
        </is>
      </c>
      <c r="BH88" s="74" t="inlineStr">
        <is>
          <t>N/D</t>
        </is>
      </c>
      <c r="BI88" s="74" t="inlineStr">
        <is>
          <t>N/D</t>
        </is>
      </c>
      <c r="BJ88" s="74" t="inlineStr">
        <is>
          <t>não localizado</t>
        </is>
      </c>
      <c r="BK88" s="74" t="b">
        <v>0</v>
      </c>
      <c r="BL88" s="74" t="inlineStr">
        <is>
          <t>Trademaster</t>
        </is>
      </c>
      <c r="BM88" s="74" t="inlineStr">
        <is>
          <t>cedente</t>
        </is>
      </c>
      <c r="BN88" s="74" t="inlineStr">
        <is>
          <t>N/D</t>
        </is>
      </c>
      <c r="BO88" s="74" t="inlineStr">
        <is>
          <t>Trademaster</t>
        </is>
      </c>
      <c r="BP88" s="74" t="inlineStr">
        <is>
          <t>N/D</t>
        </is>
      </c>
      <c r="BQ88" s="74" t="inlineStr">
        <is>
          <t>N/D</t>
        </is>
      </c>
      <c r="BR88" s="74" t="inlineStr">
        <is>
          <t>cedente: IMG_8706.JPG</t>
        </is>
      </c>
      <c r="BS88" s="74" t="inlineStr">
        <is>
          <t>manual_aplicado</t>
        </is>
      </c>
      <c r="BT88" s="74" t="inlineStr">
        <is>
          <t>Denominação cortada pela largura da coluna na foto.</t>
        </is>
      </c>
      <c r="BU88" s="74" t="inlineStr">
        <is>
          <t>1203635</t>
        </is>
      </c>
      <c r="BV88" s="74" t="inlineStr">
        <is>
          <t>2026-05-25</t>
        </is>
      </c>
      <c r="BW88" s="74" t="inlineStr">
        <is>
          <t>39</t>
        </is>
      </c>
      <c r="BX88" s="74" t="inlineStr">
        <is>
          <t>revisto — mínimo júnior localizado</t>
        </is>
      </c>
      <c r="BY88" s="74" t="inlineStr">
        <is>
          <t>FundosNet/B3; documento 1203635; referência 2026-05-25; p. 39</t>
        </is>
      </c>
      <c r="BZ88" s="74" t="inlineStr">
        <is>
          <t>Cotas subordinadas júnior / PL, mínimo de 5,0%.</t>
        </is>
      </c>
      <c r="CA88" s="74" t="inlineStr">
        <is>
          <t>preço unitário da cota; originador; sacado/devedor; tipo de recebível</t>
        </is>
      </c>
      <c r="CB88" s="74" t="inlineStr">
        <is>
          <t>estrutura_incomparavel</t>
        </is>
      </c>
    </row>
    <row r="89" ht="31.5" customHeight="1">
      <c r="A89" s="75" t="n">
        <v>85</v>
      </c>
      <c r="B89" s="142" t="n">
        <v>54464892000100</v>
      </c>
      <c r="C89" s="75" t="inlineStr">
        <is>
          <t>54.464.892/0001-00</t>
        </is>
      </c>
      <c r="D89" s="75" t="inlineStr">
        <is>
          <t>FUNDO DE INVESTIMENTO EM DIREITOS CREDITÓRIOS MT FGTS RECEIVABLES II</t>
        </is>
      </c>
      <c r="E89" s="75" t="inlineStr">
        <is>
          <t>FUNDO I E D C MF RECEIV</t>
        </is>
      </c>
      <c r="F89" s="75" t="inlineStr">
        <is>
          <t>Carteira 101</t>
        </is>
      </c>
      <c r="G89" s="75" t="inlineStr">
        <is>
          <t>2026-06</t>
        </is>
      </c>
      <c r="H89" s="75" t="inlineStr">
        <is>
          <t>localizado</t>
        </is>
      </c>
      <c r="I89" s="143" t="n">
        <v>697493758.97</v>
      </c>
      <c r="J89" s="143" t="n">
        <v>697493753.1297442</v>
      </c>
      <c r="K89" s="143" t="n">
        <v>135018676.3259432</v>
      </c>
      <c r="L89" s="144" t="n">
        <v>0.1935768952618692</v>
      </c>
      <c r="M89" s="75" t="inlineStr">
        <is>
          <t>Calculado com classes reportadas e PL oficial reconciliado</t>
        </is>
      </c>
      <c r="N89" s="144" t="n">
        <v>0.035</v>
      </c>
      <c r="O89" s="144" t="inlineStr">
        <is>
          <t>N/D</t>
        </is>
      </c>
      <c r="P89" s="144" t="inlineStr">
        <is>
          <t>N/D</t>
        </is>
      </c>
      <c r="Q89" s="144" t="inlineStr">
        <is>
          <t>N/D</t>
        </is>
      </c>
      <c r="R89" s="144" t="inlineStr">
        <is>
          <t>N/D</t>
        </is>
      </c>
      <c r="S89" s="144" t="n">
        <v>0.035</v>
      </c>
      <c r="T89" s="75" t="inlineStr">
        <is>
          <t>N/D</t>
        </is>
      </c>
      <c r="U89" s="75" t="inlineStr">
        <is>
          <t>junior_pl</t>
        </is>
      </c>
      <c r="V89" s="75" t="inlineStr">
        <is>
          <t>direto no regulamento</t>
        </is>
      </c>
      <c r="W89" s="75" t="b">
        <v>0</v>
      </c>
      <c r="X89" s="75" t="inlineStr">
        <is>
          <t>Mínimo júnior isolado; a subordinação atual disponível agrega mais de uma classe subordinada ou usa denominador distinto.</t>
        </is>
      </c>
      <c r="Y89" s="75" t="b">
        <v>0</v>
      </c>
      <c r="Z89" s="144" t="inlineStr">
        <is>
          <t>N/D</t>
        </is>
      </c>
      <c r="AA89" s="144" t="inlineStr">
        <is>
          <t>N/D</t>
        </is>
      </c>
      <c r="AB89" s="75" t="inlineStr">
        <is>
          <t>não medido</t>
        </is>
      </c>
      <c r="AC89" s="75" t="inlineStr">
        <is>
          <t>Financeiro</t>
        </is>
      </c>
      <c r="AD89" s="75" t="inlineStr">
        <is>
          <t>Crédito Pessoal</t>
        </is>
      </c>
      <c r="AE89" s="75" t="inlineStr">
        <is>
          <t>Consignado FGTS</t>
        </is>
      </c>
      <c r="AF89" s="75" t="inlineStr">
        <is>
          <t>Consignado FGTS</t>
        </is>
      </c>
      <c r="AG89" s="75" t="inlineStr">
        <is>
          <t>Consignado INSS e FGTS</t>
        </is>
      </c>
      <c r="AH89" s="75" t="inlineStr">
        <is>
          <t>Consignado INSS e FGTS</t>
        </is>
      </c>
      <c r="AI89" s="75" t="inlineStr">
        <is>
          <t>N/D</t>
        </is>
      </c>
      <c r="AJ89" s="75" t="b">
        <v>0</v>
      </c>
      <c r="AK89" s="75" t="inlineStr">
        <is>
          <t>fora da revisão Financeiro/Agro</t>
        </is>
      </c>
      <c r="AL89" s="75" t="inlineStr">
        <is>
          <t>N/D</t>
        </is>
      </c>
      <c r="AM89" s="75" t="inlineStr">
        <is>
          <t>N/D</t>
        </is>
      </c>
      <c r="AN89" s="75" t="inlineStr">
        <is>
          <t>N/D</t>
        </is>
      </c>
      <c r="AO89" s="75" t="inlineStr">
        <is>
          <t>N/D</t>
        </is>
      </c>
      <c r="AP89" s="75" t="inlineStr">
        <is>
          <t>N/D</t>
        </is>
      </c>
      <c r="AQ89" s="75" t="inlineStr">
        <is>
          <t>Consignado INSS e FGTS</t>
        </is>
      </c>
      <c r="AR89" s="75" t="inlineStr">
        <is>
          <t>Consignado INSS e FGTS</t>
        </is>
      </c>
      <c r="AS89" s="75" t="b">
        <v>0</v>
      </c>
      <c r="AT89" s="75" t="inlineStr">
        <is>
          <t>N/D</t>
        </is>
      </c>
      <c r="AU89" s="75" t="inlineStr">
        <is>
          <t>N/D</t>
        </is>
      </c>
      <c r="AV89" s="75" t="inlineStr">
        <is>
          <t>15%–20%</t>
        </is>
      </c>
      <c r="AW89" s="75" t="b">
        <v>1</v>
      </c>
      <c r="AX89" s="75" t="inlineStr">
        <is>
          <t>incomparável</t>
        </is>
      </c>
      <c r="AY89" s="75" t="inlineStr">
        <is>
          <t>acima do mercado</t>
        </is>
      </c>
      <c r="AZ89" s="144" t="n">
        <v>0.02171366682489409</v>
      </c>
      <c r="BA89" s="75" t="b">
        <v>1</v>
      </c>
      <c r="BB89" s="145" t="n">
        <v>5</v>
      </c>
      <c r="BC89" s="143" t="n">
        <v>1000</v>
      </c>
      <c r="BD89" s="75" t="inlineStr">
        <is>
          <t>Cotas Subordinadas Mezanino: R$ 1.000,00</t>
        </is>
      </c>
      <c r="BE89" s="75" t="inlineStr">
        <is>
          <t>valor nominal unitário (VNU)</t>
        </is>
      </c>
      <c r="BF89" s="75" t="inlineStr">
        <is>
          <t>Cotas Subordinadas Mezanino</t>
        </is>
      </c>
      <c r="BG89" s="75" t="inlineStr">
        <is>
          <t>10/11/2025</t>
        </is>
      </c>
      <c r="BH89" s="75" t="inlineStr">
        <is>
          <t>1033290</t>
        </is>
      </c>
      <c r="BI89" s="75" t="inlineStr">
        <is>
          <t>https://fnet.bmfbovespa.com.br/fnet/publico/downloadDocumento?id=1033290</t>
        </is>
      </c>
      <c r="BJ89" s="75" t="inlineStr">
        <is>
          <t>localizado documentalmente</t>
        </is>
      </c>
      <c r="BK89" s="75" t="b">
        <v>0</v>
      </c>
      <c r="BL89" s="75" t="inlineStr">
        <is>
          <t>75% Parati / 25% QI Tech</t>
        </is>
      </c>
      <c r="BM89" s="75" t="inlineStr">
        <is>
          <t>cedente</t>
        </is>
      </c>
      <c r="BN89" s="75" t="inlineStr">
        <is>
          <t>N/D</t>
        </is>
      </c>
      <c r="BO89" s="75" t="inlineStr">
        <is>
          <t>75% Parati / 25% QI Tech</t>
        </is>
      </c>
      <c r="BP89" s="75" t="inlineStr">
        <is>
          <t>N/D</t>
        </is>
      </c>
      <c r="BQ89" s="75" t="inlineStr">
        <is>
          <t>N/D</t>
        </is>
      </c>
      <c r="BR89" s="75" t="inlineStr">
        <is>
          <t>cedente: IMG_8707.jpg</t>
        </is>
      </c>
      <c r="BS89" s="75" t="inlineStr">
        <is>
          <t>manual_aplicado</t>
        </is>
      </c>
      <c r="BT89" s="75" t="inlineStr">
        <is>
          <t>OBS da foto: Rating atual Ba1; se ajustar o rating na base, pode considerar perspectiva estável. Denominação cortada.</t>
        </is>
      </c>
      <c r="BU89" s="75" t="inlineStr">
        <is>
          <t>884293</t>
        </is>
      </c>
      <c r="BV89" s="75" t="inlineStr">
        <is>
          <t>2025-04-23</t>
        </is>
      </c>
      <c r="BW89" s="75" t="inlineStr">
        <is>
          <t>85–86</t>
        </is>
      </c>
      <c r="BX89" s="75" t="inlineStr">
        <is>
          <t>revisto — mínimo júnior localizado</t>
        </is>
      </c>
      <c r="BY89" s="75" t="inlineStr">
        <is>
          <t>FundosNet/B3; documento 884293; referência 2025-04-23; p. 85–86</t>
        </is>
      </c>
      <c r="BZ89" s="75" t="inlineStr">
        <is>
          <t>Cotas júnior / PL, mínimo de 3,5% no período de investimento e 5,0% depois.</t>
        </is>
      </c>
      <c r="CA89" s="75" t="inlineStr">
        <is>
          <t>originador; sacado/devedor; tipo de recebível</t>
        </is>
      </c>
      <c r="CB89" s="75" t="inlineStr">
        <is>
          <t>estrutura_incomparavel</t>
        </is>
      </c>
    </row>
    <row r="90" ht="31.5" customHeight="1">
      <c r="A90" s="74" t="n">
        <v>86</v>
      </c>
      <c r="B90" s="138" t="n">
        <v>11468186000124</v>
      </c>
      <c r="C90" s="74" t="inlineStr">
        <is>
          <t>11.468.186/0001-24</t>
        </is>
      </c>
      <c r="D90" s="74" t="inlineStr">
        <is>
          <t>ATLANTA FUNDO DE INVESTIMENTO EM DIREITOS CREDITÓRIOS DE RESPONSABILIDADE LIMITADA</t>
        </is>
      </c>
      <c r="E90" s="74" t="inlineStr">
        <is>
          <t>ATLANTA FIDC NAO PADRONIZADO</t>
        </is>
      </c>
      <c r="F90" s="74" t="inlineStr">
        <is>
          <t>Carteira 101</t>
        </is>
      </c>
      <c r="G90" s="74" t="inlineStr">
        <is>
          <t>2026-06</t>
        </is>
      </c>
      <c r="H90" s="74" t="inlineStr">
        <is>
          <t>localizado</t>
        </is>
      </c>
      <c r="I90" s="139" t="n">
        <v>3090301588.05</v>
      </c>
      <c r="J90" s="139" t="n">
        <v>3090301588.083072</v>
      </c>
      <c r="K90" s="139" t="n">
        <v>2464460756.163795</v>
      </c>
      <c r="L90" s="140" t="n">
        <v>0.7974822799475976</v>
      </c>
      <c r="M90" s="74" t="inlineStr">
        <is>
          <t>Calculado com classes reportadas e PL oficial reconciliado</t>
        </is>
      </c>
      <c r="N90" s="140" t="n">
        <v>0.5</v>
      </c>
      <c r="O90" s="140" t="inlineStr">
        <is>
          <t>N/D</t>
        </is>
      </c>
      <c r="P90" s="140" t="inlineStr">
        <is>
          <t>N/D</t>
        </is>
      </c>
      <c r="Q90" s="140" t="inlineStr">
        <is>
          <t>N/D</t>
        </is>
      </c>
      <c r="R90" s="140" t="inlineStr">
        <is>
          <t>N/D</t>
        </is>
      </c>
      <c r="S90" s="140" t="n">
        <v>0.5</v>
      </c>
      <c r="T90" s="74" t="inlineStr">
        <is>
          <t>N/D</t>
        </is>
      </c>
      <c r="U90" s="74" t="inlineStr">
        <is>
          <t>junior_pl</t>
        </is>
      </c>
      <c r="V90" s="74" t="inlineStr">
        <is>
          <t>direto no regulamento</t>
        </is>
      </c>
      <c r="W90" s="74" t="b">
        <v>0</v>
      </c>
      <c r="X90" s="74" t="inlineStr">
        <is>
          <t>Mínimo júnior isolado; a subordinação atual disponível agrega todas as classes subordinadas.</t>
        </is>
      </c>
      <c r="Y90" s="74" t="b">
        <v>0</v>
      </c>
      <c r="Z90" s="140" t="inlineStr">
        <is>
          <t>N/D</t>
        </is>
      </c>
      <c r="AA90" s="140" t="inlineStr">
        <is>
          <t>N/D</t>
        </is>
      </c>
      <c r="AB90" s="74" t="inlineStr">
        <is>
          <t>não medido</t>
        </is>
      </c>
      <c r="AC90" s="74" t="inlineStr">
        <is>
          <t>Fomento Mercantil</t>
        </is>
      </c>
      <c r="AD90" s="74" t="inlineStr">
        <is>
          <t>Fomento Mercantil</t>
        </is>
      </c>
      <c r="AE90" s="74" t="inlineStr">
        <is>
          <t>Factoring</t>
        </is>
      </c>
      <c r="AF90" s="74" t="inlineStr">
        <is>
          <t>Factoring</t>
        </is>
      </c>
      <c r="AG90" s="74" t="inlineStr">
        <is>
          <t>Factoring</t>
        </is>
      </c>
      <c r="AH90" s="74" t="inlineStr">
        <is>
          <t>Factoring</t>
        </is>
      </c>
      <c r="AI90" s="74" t="inlineStr">
        <is>
          <t>N/D</t>
        </is>
      </c>
      <c r="AJ90" s="74" t="b">
        <v>0</v>
      </c>
      <c r="AK90" s="74" t="inlineStr">
        <is>
          <t>fora da revisão Financeiro/Agro</t>
        </is>
      </c>
      <c r="AL90" s="74" t="inlineStr">
        <is>
          <t>N/D</t>
        </is>
      </c>
      <c r="AM90" s="74" t="inlineStr">
        <is>
          <t>N/D</t>
        </is>
      </c>
      <c r="AN90" s="74" t="inlineStr">
        <is>
          <t>N/D</t>
        </is>
      </c>
      <c r="AO90" s="74" t="inlineStr">
        <is>
          <t>N/D</t>
        </is>
      </c>
      <c r="AP90" s="74" t="inlineStr">
        <is>
          <t>N/D</t>
        </is>
      </c>
      <c r="AQ90" s="74" t="inlineStr">
        <is>
          <t>Factoring</t>
        </is>
      </c>
      <c r="AR90" s="74" t="inlineStr">
        <is>
          <t>Factoring</t>
        </is>
      </c>
      <c r="AS90" s="74" t="b">
        <v>0</v>
      </c>
      <c r="AT90" s="74" t="inlineStr">
        <is>
          <t>N/D</t>
        </is>
      </c>
      <c r="AU90" s="74" t="inlineStr">
        <is>
          <t>N/D</t>
        </is>
      </c>
      <c r="AV90" s="74" t="inlineStr">
        <is>
          <t>≥ 60%</t>
        </is>
      </c>
      <c r="AW90" s="74" t="b">
        <v>1</v>
      </c>
      <c r="AX90" s="74" t="inlineStr">
        <is>
          <t>incomparável</t>
        </is>
      </c>
      <c r="AY90" s="74" t="inlineStr">
        <is>
          <t>sem benchmark confiável</t>
        </is>
      </c>
      <c r="AZ90" s="140" t="inlineStr">
        <is>
          <t>N/D</t>
        </is>
      </c>
      <c r="BA90" s="74" t="b">
        <v>0</v>
      </c>
      <c r="BB90" s="141" t="n">
        <v>2</v>
      </c>
      <c r="BC90" s="139" t="n">
        <v>1000000</v>
      </c>
      <c r="BD90" s="74" t="inlineStr">
        <is>
          <t>Cotas Seniores: R$ 1.000.000,00</t>
        </is>
      </c>
      <c r="BE90" s="74" t="inlineStr">
        <is>
          <t>preço/valor unitário de emissão</t>
        </is>
      </c>
      <c r="BF90" s="74" t="inlineStr">
        <is>
          <t>Cotas Seniores</t>
        </is>
      </c>
      <c r="BG90" s="74" t="inlineStr">
        <is>
          <t>06/03/2026</t>
        </is>
      </c>
      <c r="BH90" s="74" t="inlineStr">
        <is>
          <t>1130308</t>
        </is>
      </c>
      <c r="BI90" s="74" t="inlineStr">
        <is>
          <t>https://fnet.bmfbovespa.com.br/fnet/publico/downloadDocumento?id=1130308</t>
        </is>
      </c>
      <c r="BJ90" s="74" t="inlineStr">
        <is>
          <t>localizado documentalmente</t>
        </is>
      </c>
      <c r="BK90" s="74" t="b">
        <v>0</v>
      </c>
      <c r="BL90" s="74" t="inlineStr">
        <is>
          <t>Multicedentes e Multisacados</t>
        </is>
      </c>
      <c r="BM90" s="74" t="inlineStr">
        <is>
          <t>cedente</t>
        </is>
      </c>
      <c r="BN90" s="74" t="inlineStr">
        <is>
          <t>N/D</t>
        </is>
      </c>
      <c r="BO90" s="74" t="inlineStr">
        <is>
          <t>Multicedentes e Multisacados</t>
        </is>
      </c>
      <c r="BP90" s="74" t="inlineStr">
        <is>
          <t>N/D</t>
        </is>
      </c>
      <c r="BQ90" s="74" t="inlineStr">
        <is>
          <t>FIDC Multicedentes &amp; Multisacados</t>
        </is>
      </c>
      <c r="BR90" s="74" t="inlineStr">
        <is>
          <t>cedente: IMG_8707.jpg | tipo_recebivel: IMG_8707.jpg</t>
        </is>
      </c>
      <c r="BS90" s="74" t="inlineStr">
        <is>
          <t>manual_aplicado</t>
        </is>
      </c>
      <c r="BT90" s="74" t="inlineStr">
        <is>
          <t>N/D</t>
        </is>
      </c>
      <c r="BU90" s="74" t="inlineStr">
        <is>
          <t>1130308</t>
        </is>
      </c>
      <c r="BV90" s="74" t="inlineStr">
        <is>
          <t>2026-03-06</t>
        </is>
      </c>
      <c r="BW90" s="74" t="inlineStr">
        <is>
          <t>47</t>
        </is>
      </c>
      <c r="BX90" s="74" t="inlineStr">
        <is>
          <t>revisto — mínimo júnior localizado</t>
        </is>
      </c>
      <c r="BY90" s="74" t="inlineStr">
        <is>
          <t>FundosNet/B3; documento 1130308; referência 2026-03-06; p. 47</t>
        </is>
      </c>
      <c r="BZ90" s="74" t="inlineStr">
        <is>
          <t>Cotas subordinadas júnior / PL, mínimo de 50,0%.</t>
        </is>
      </c>
      <c r="CA90" s="74" t="inlineStr">
        <is>
          <t>originador; sacado/devedor</t>
        </is>
      </c>
      <c r="CB90" s="74" t="inlineStr">
        <is>
          <t>estrutura_incomparavel</t>
        </is>
      </c>
    </row>
    <row r="91" ht="31.5" customHeight="1">
      <c r="A91" s="75" t="n">
        <v>87</v>
      </c>
      <c r="B91" s="142" t="n">
        <v>43193260000133</v>
      </c>
      <c r="C91" s="75" t="inlineStr">
        <is>
          <t>43.193.260/0001-33</t>
        </is>
      </c>
      <c r="D91" s="75" t="inlineStr">
        <is>
          <t>RESIDENCE CLUB FUNDO DE INVESTIMENTO EM DIREITOS CREDITÓRIOS</t>
        </is>
      </c>
      <c r="E91" s="75" t="inlineStr">
        <is>
          <t>RESIDENCE CLUB FIDC</t>
        </is>
      </c>
      <c r="F91" s="75" t="inlineStr">
        <is>
          <t>Carteira 101</t>
        </is>
      </c>
      <c r="G91" s="75" t="inlineStr">
        <is>
          <t>2026-06</t>
        </is>
      </c>
      <c r="H91" s="75" t="inlineStr">
        <is>
          <t>localizado</t>
        </is>
      </c>
      <c r="I91" s="143" t="n">
        <v>403404357.91</v>
      </c>
      <c r="J91" s="143" t="n">
        <v>403404357.908273</v>
      </c>
      <c r="K91" s="143" t="n">
        <v>278624335.3379012</v>
      </c>
      <c r="L91" s="144" t="n">
        <v>0.6906825121608197</v>
      </c>
      <c r="M91" s="75" t="inlineStr">
        <is>
          <t>Calculado com classes reportadas e PL oficial reconciliado</t>
        </is>
      </c>
      <c r="N91" s="144" t="inlineStr">
        <is>
          <t>N/D</t>
        </is>
      </c>
      <c r="O91" s="144" t="n">
        <v>0.15</v>
      </c>
      <c r="P91" s="144" t="inlineStr">
        <is>
          <t>N/D</t>
        </is>
      </c>
      <c r="Q91" s="144" t="n">
        <v>0.5</v>
      </c>
      <c r="R91" s="144" t="inlineStr">
        <is>
          <t>N/D</t>
        </is>
      </c>
      <c r="S91" s="144" t="n">
        <v>0.5</v>
      </c>
      <c r="T91" s="75" t="inlineStr">
        <is>
          <t>50,0%*</t>
        </is>
      </c>
      <c r="U91" s="75" t="inlineStr">
        <is>
          <t>junior_pl_calculado</t>
        </is>
      </c>
      <c r="V91" s="75" t="inlineStr">
        <is>
          <t>calculado: 50,0% × 30,0%</t>
        </is>
      </c>
      <c r="W91" s="75" t="b">
        <v>0</v>
      </c>
      <c r="X91" s="75" t="inlineStr">
        <is>
          <t>Mínimo júnior isolado; a subordinação atual disponível agrega mais de uma classe subordinada ou usa denominador distinto.</t>
        </is>
      </c>
      <c r="Y91" s="75" t="b">
        <v>1</v>
      </c>
      <c r="Z91" s="144" t="inlineStr">
        <is>
          <t>N/D</t>
        </is>
      </c>
      <c r="AA91" s="144" t="inlineStr">
        <is>
          <t>N/D</t>
        </is>
      </c>
      <c r="AB91" s="75" t="inlineStr">
        <is>
          <t>não medido</t>
        </is>
      </c>
      <c r="AC91" s="75" t="inlineStr">
        <is>
          <t>Financeiro</t>
        </is>
      </c>
      <c r="AD91" s="75" t="inlineStr">
        <is>
          <t>Crédito Imobiliário</t>
        </is>
      </c>
      <c r="AE91" s="75" t="inlineStr">
        <is>
          <t>Financeiro</t>
        </is>
      </c>
      <c r="AF91" s="75" t="inlineStr">
        <is>
          <t>Financeiro</t>
        </is>
      </c>
      <c r="AG91" s="75" t="inlineStr">
        <is>
          <t>Financeiro</t>
        </is>
      </c>
      <c r="AH91" s="75" t="inlineStr">
        <is>
          <t>Financeiro</t>
        </is>
      </c>
      <c r="AI91" s="75" t="inlineStr">
        <is>
          <t>Tipo de crédito não isolado</t>
        </is>
      </c>
      <c r="AJ91" s="75" t="b">
        <v>0</v>
      </c>
      <c r="AK91" s="75" t="inlineStr">
        <is>
          <t>PENDENTE_DOCUMENTAL</t>
        </is>
      </c>
      <c r="AL91" s="75" t="inlineStr">
        <is>
          <t>Somente VCI foi identificada</t>
        </is>
      </c>
      <c r="AM91" s="75" t="inlineStr">
        <is>
          <t>IMG_8707 + regulamento 1044387</t>
        </is>
      </c>
      <c r="AN91" s="75" t="inlineStr">
        <is>
          <t>Pendente</t>
        </is>
      </c>
      <c r="AO91" s="75" t="inlineStr">
        <is>
          <t>IMG_8707 + regulamento 1044387</t>
        </is>
      </c>
      <c r="AP91" s="75" t="inlineStr">
        <is>
          <t>N/D</t>
        </is>
      </c>
      <c r="AQ91" s="75" t="inlineStr">
        <is>
          <t>Financeiro</t>
        </is>
      </c>
      <c r="AR91" s="75" t="inlineStr">
        <is>
          <t>Financeiro</t>
        </is>
      </c>
      <c r="AS91" s="75" t="b">
        <v>0</v>
      </c>
      <c r="AT91" s="75" t="inlineStr">
        <is>
          <t>N/D</t>
        </is>
      </c>
      <c r="AU91" s="75" t="inlineStr">
        <is>
          <t>N/D</t>
        </is>
      </c>
      <c r="AV91" s="75" t="inlineStr">
        <is>
          <t>≥ 60%</t>
        </is>
      </c>
      <c r="AW91" s="75" t="b">
        <v>1</v>
      </c>
      <c r="AX91" s="75" t="inlineStr">
        <is>
          <t>incomparável</t>
        </is>
      </c>
      <c r="AY91" s="75" t="inlineStr">
        <is>
          <t>acima do mercado</t>
        </is>
      </c>
      <c r="AZ91" s="144" t="n">
        <v>0.3892229518795686</v>
      </c>
      <c r="BA91" s="75" t="b">
        <v>1</v>
      </c>
      <c r="BB91" s="145" t="n">
        <v>12</v>
      </c>
      <c r="BC91" s="143" t="n">
        <v>1000</v>
      </c>
      <c r="BD91" s="75" t="inlineStr">
        <is>
          <t>Cotas Seniores: R$ 1.000,00</t>
        </is>
      </c>
      <c r="BE91" s="75" t="inlineStr">
        <is>
          <t>valor nominal unitário (VNU)</t>
        </is>
      </c>
      <c r="BF91" s="75" t="inlineStr">
        <is>
          <t>Cotas Seniores</t>
        </is>
      </c>
      <c r="BG91" s="75" t="inlineStr">
        <is>
          <t>29/05/2023</t>
        </is>
      </c>
      <c r="BH91" s="75" t="inlineStr">
        <is>
          <t>470871</t>
        </is>
      </c>
      <c r="BI91" s="75" t="inlineStr">
        <is>
          <t>https://fnet.bmfbovespa.com.br/fnet/publico/downloadDocumento?id=470871</t>
        </is>
      </c>
      <c r="BJ91" s="75" t="inlineStr">
        <is>
          <t>localizado documentalmente</t>
        </is>
      </c>
      <c r="BK91" s="75" t="b">
        <v>0</v>
      </c>
      <c r="BL91" s="75" t="inlineStr">
        <is>
          <t>VCI</t>
        </is>
      </c>
      <c r="BM91" s="75" t="inlineStr">
        <is>
          <t>cedente</t>
        </is>
      </c>
      <c r="BN91" s="75" t="inlineStr">
        <is>
          <t>N/D</t>
        </is>
      </c>
      <c r="BO91" s="75" t="inlineStr">
        <is>
          <t>VCI</t>
        </is>
      </c>
      <c r="BP91" s="75" t="inlineStr">
        <is>
          <t>N/D</t>
        </is>
      </c>
      <c r="BQ91" s="75" t="inlineStr">
        <is>
          <t>N/D</t>
        </is>
      </c>
      <c r="BR91" s="75" t="inlineStr">
        <is>
          <t>cedente: IMG_8707.jpg</t>
        </is>
      </c>
      <c r="BS91" s="75" t="inlineStr">
        <is>
          <t>manual_aplicado</t>
        </is>
      </c>
      <c r="BT91" s="75" t="inlineStr">
        <is>
          <t>OBS aparece apenas como FIDC de receb... e foi excluída da transcrição estruturada.</t>
        </is>
      </c>
      <c r="BU91" s="75" t="inlineStr">
        <is>
          <t>1044387</t>
        </is>
      </c>
      <c r="BV91" s="75" t="inlineStr">
        <is>
          <t>2025-11-17</t>
        </is>
      </c>
      <c r="BW91" s="75" t="inlineStr">
        <is>
          <t>26</t>
        </is>
      </c>
      <c r="BX91" s="75" t="inlineStr">
        <is>
          <t>revisto — mínimo júnior localizado</t>
        </is>
      </c>
      <c r="BY91" s="75" t="inlineStr">
        <is>
          <t>FundosNet/B3; documento 1044387; referência 2025-11-17; p. 26</t>
        </is>
      </c>
      <c r="BZ91" s="75" t="inlineStr">
        <is>
          <t>Mínimo júnior calculado: subordinadas = 50,0% do PL e júnior = 30,0% das subordinadas.</t>
        </is>
      </c>
      <c r="CA91" s="75" t="inlineStr">
        <is>
          <t>originador; sacado/devedor; tipo de recebível</t>
        </is>
      </c>
      <c r="CB91" s="75" t="inlineStr">
        <is>
          <t>estrutura_incomparavel</t>
        </is>
      </c>
    </row>
    <row r="92" ht="31.5" customHeight="1">
      <c r="A92" s="74" t="n">
        <v>88</v>
      </c>
      <c r="B92" s="138" t="n">
        <v>58152340000118</v>
      </c>
      <c r="C92" s="74" t="inlineStr">
        <is>
          <t>58.152.340/0001-18</t>
        </is>
      </c>
      <c r="D92" s="74" t="inlineStr">
        <is>
          <t>MONEE II FUNDO DE INVESTIMENTO EM DIREITOS CREDITÓRIOS SEGMENTO FINANCEIRO - RESP. LIMITADA</t>
        </is>
      </c>
      <c r="E92" s="74" t="inlineStr">
        <is>
          <t>MONEE II FUNDO DE INVESTIMENTO</t>
        </is>
      </c>
      <c r="F92" s="74" t="inlineStr">
        <is>
          <t>Carteira 101</t>
        </is>
      </c>
      <c r="G92" s="74" t="inlineStr">
        <is>
          <t>2026-06</t>
        </is>
      </c>
      <c r="H92" s="74" t="inlineStr">
        <is>
          <t>localizado</t>
        </is>
      </c>
      <c r="I92" s="139" t="n">
        <v>442213717.89</v>
      </c>
      <c r="J92" s="139" t="n">
        <v>442213717.8892243</v>
      </c>
      <c r="K92" s="139" t="n">
        <v>179487964.2749178</v>
      </c>
      <c r="L92" s="140" t="n">
        <v>0.4058851116861218</v>
      </c>
      <c r="M92" s="74" t="inlineStr">
        <is>
          <t>Calculado com classes reportadas e PL oficial reconciliado</t>
        </is>
      </c>
      <c r="N92" s="140" t="n">
        <v>0.3</v>
      </c>
      <c r="O92" s="140" t="inlineStr">
        <is>
          <t>N/D</t>
        </is>
      </c>
      <c r="P92" s="140" t="inlineStr">
        <is>
          <t>N/D</t>
        </is>
      </c>
      <c r="Q92" s="140" t="n">
        <v>0.3</v>
      </c>
      <c r="R92" s="140" t="inlineStr">
        <is>
          <t>N/D</t>
        </is>
      </c>
      <c r="S92" s="140" t="n">
        <v>0.3</v>
      </c>
      <c r="T92" s="74" t="inlineStr">
        <is>
          <t>30,0%</t>
        </is>
      </c>
      <c r="U92" s="74" t="inlineStr">
        <is>
          <t>junior_pl</t>
        </is>
      </c>
      <c r="V92" s="74" t="inlineStr">
        <is>
          <t>direto no regulamento</t>
        </is>
      </c>
      <c r="W92" s="74" t="b">
        <v>1</v>
      </c>
      <c r="X92" s="74" t="inlineStr">
        <is>
          <t>Estrutura com uma única classe subordinada; métrica atual e piso usam o total subordinado sobre o PL.</t>
        </is>
      </c>
      <c r="Y92" s="74" t="b">
        <v>0</v>
      </c>
      <c r="Z92" s="140" t="n">
        <v>0.1058851116861219</v>
      </c>
      <c r="AA92" s="140" t="n">
        <v>0.1512644452658884</v>
      </c>
      <c r="AB92" s="74" t="inlineStr">
        <is>
          <t>acima do mínimo</t>
        </is>
      </c>
      <c r="AC92" s="74" t="inlineStr">
        <is>
          <t>Financeiro</t>
        </is>
      </c>
      <c r="AD92" s="74" t="inlineStr">
        <is>
          <t>Crédito Pessoal</t>
        </is>
      </c>
      <c r="AE92" s="74" t="inlineStr">
        <is>
          <t>Financeiro</t>
        </is>
      </c>
      <c r="AF92" s="74" t="inlineStr">
        <is>
          <t>Financeiro</t>
        </is>
      </c>
      <c r="AG92" s="74" t="inlineStr">
        <is>
          <t>Financeiro</t>
        </is>
      </c>
      <c r="AH92" s="74" t="inlineStr">
        <is>
          <t>Financeiro</t>
        </is>
      </c>
      <c r="AI92" s="74" t="inlineStr">
        <is>
          <t>Empréstimos Monee SCD, CCBs</t>
        </is>
      </c>
      <c r="AJ92" s="74" t="b">
        <v>0</v>
      </c>
      <c r="AK92" s="74" t="inlineStr">
        <is>
          <t>MANTER_ALTA</t>
        </is>
      </c>
      <c r="AL92" s="74" t="inlineStr">
        <is>
          <t>CCBs originadas em empréstimos da Monee SCD</t>
        </is>
      </c>
      <c r="AM92" s="74" t="inlineStr">
        <is>
          <t>regulamento 1191019, 117 páginas</t>
        </is>
      </c>
      <c r="AN92" s="74" t="inlineStr">
        <is>
          <t>Não</t>
        </is>
      </c>
      <c r="AO92" s="74" t="inlineStr">
        <is>
          <t>regulamento 1191019, 117 páginas</t>
        </is>
      </c>
      <c r="AP92" s="74" t="b">
        <v>0</v>
      </c>
      <c r="AQ92" s="74" t="inlineStr">
        <is>
          <t>Financeiro</t>
        </is>
      </c>
      <c r="AR92" s="74" t="inlineStr">
        <is>
          <t>Financeiro</t>
        </is>
      </c>
      <c r="AS92" s="74" t="b">
        <v>0</v>
      </c>
      <c r="AT92" s="74" t="inlineStr">
        <is>
          <t>N/D</t>
        </is>
      </c>
      <c r="AU92" s="74" t="inlineStr">
        <is>
          <t>N/D</t>
        </is>
      </c>
      <c r="AV92" s="74" t="inlineStr">
        <is>
          <t>35%–60%</t>
        </is>
      </c>
      <c r="AW92" s="74" t="b">
        <v>1</v>
      </c>
      <c r="AX92" s="74" t="inlineStr">
        <is>
          <t>acima do piso</t>
        </is>
      </c>
      <c r="AY92" s="74" t="inlineStr">
        <is>
          <t>acima do mercado</t>
        </is>
      </c>
      <c r="AZ92" s="140" t="n">
        <v>0.1044255514048708</v>
      </c>
      <c r="BA92" s="74" t="b">
        <v>1</v>
      </c>
      <c r="BB92" s="141" t="n">
        <v>12</v>
      </c>
      <c r="BC92" s="139" t="inlineStr">
        <is>
          <t>N/D</t>
        </is>
      </c>
      <c r="BD92" s="74" t="inlineStr">
        <is>
          <t>N/D</t>
        </is>
      </c>
      <c r="BE92" s="74" t="inlineStr">
        <is>
          <t>N/D</t>
        </is>
      </c>
      <c r="BF92" s="74" t="inlineStr">
        <is>
          <t>N/D</t>
        </is>
      </c>
      <c r="BG92" s="74" t="inlineStr">
        <is>
          <t>N/D</t>
        </is>
      </c>
      <c r="BH92" s="74" t="inlineStr">
        <is>
          <t>N/D</t>
        </is>
      </c>
      <c r="BI92" s="74" t="inlineStr">
        <is>
          <t>N/D</t>
        </is>
      </c>
      <c r="BJ92" s="74" t="inlineStr">
        <is>
          <t>não localizado</t>
        </is>
      </c>
      <c r="BK92" s="74" t="b">
        <v>0</v>
      </c>
      <c r="BL92" s="74" t="inlineStr">
        <is>
          <t>SHPP IP</t>
        </is>
      </c>
      <c r="BM92" s="74" t="inlineStr">
        <is>
          <t>cedente</t>
        </is>
      </c>
      <c r="BN92" s="74" t="inlineStr">
        <is>
          <t>N/D</t>
        </is>
      </c>
      <c r="BO92" s="74" t="inlineStr">
        <is>
          <t>SHPP IP</t>
        </is>
      </c>
      <c r="BP92" s="74" t="inlineStr">
        <is>
          <t>N/D</t>
        </is>
      </c>
      <c r="BQ92" s="74" t="inlineStr">
        <is>
          <t>N/D</t>
        </is>
      </c>
      <c r="BR92" s="74" t="inlineStr">
        <is>
          <t>cedente: IMG_8707.jpg</t>
        </is>
      </c>
      <c r="BS92" s="74" t="inlineStr">
        <is>
          <t>manual_aplicado</t>
        </is>
      </c>
      <c r="BT92" s="74" t="inlineStr">
        <is>
          <t>Denominação cortada pela largura da coluna na foto.</t>
        </is>
      </c>
      <c r="BU92" s="74" t="inlineStr">
        <is>
          <t>1191019</t>
        </is>
      </c>
      <c r="BV92" s="74" t="inlineStr">
        <is>
          <t>2026-05-14</t>
        </is>
      </c>
      <c r="BW92" s="74" t="inlineStr">
        <is>
          <t>105</t>
        </is>
      </c>
      <c r="BX92" s="74" t="inlineStr">
        <is>
          <t>revisto — mínimo júnior localizado</t>
        </is>
      </c>
      <c r="BY92" s="74" t="inlineStr">
        <is>
          <t>FundosNet/B3; documento 1191019; referência 2026-05-14; p. 105</t>
        </is>
      </c>
      <c r="BZ92" s="74" t="inlineStr">
        <is>
          <t>Cotas subordinadas / PL, mínimo de 30,0%; estrutura com uma única classe residual.</t>
        </is>
      </c>
      <c r="CA92" s="74" t="inlineStr">
        <is>
          <t>preço unitário da cota; originador; sacado/devedor; tipo de recebível</t>
        </is>
      </c>
      <c r="CB92" s="74" t="inlineStr">
        <is>
          <t>completo_para_folga</t>
        </is>
      </c>
    </row>
    <row r="93" ht="31.5" customHeight="1">
      <c r="A93" s="75" t="n">
        <v>89</v>
      </c>
      <c r="B93" s="142" t="n">
        <v>52340225000190</v>
      </c>
      <c r="C93" s="75" t="inlineStr">
        <is>
          <t>52.340.225/0001-90</t>
        </is>
      </c>
      <c r="D93" s="75" t="inlineStr">
        <is>
          <t>INOVA CREDTECH III FIDC SEGMENTO MULTICARTEIRA DE RESPONSABILIDADE LIMITADA</t>
        </is>
      </c>
      <c r="E93" s="75" t="inlineStr">
        <is>
          <t>INOVA CREDTECH III FUNDO DE INVESTIMENTO</t>
        </is>
      </c>
      <c r="F93" s="75" t="inlineStr">
        <is>
          <t>Carteira 101</t>
        </is>
      </c>
      <c r="G93" s="75" t="inlineStr">
        <is>
          <t>2026-06</t>
        </is>
      </c>
      <c r="H93" s="75" t="inlineStr">
        <is>
          <t>localizado</t>
        </is>
      </c>
      <c r="I93" s="143" t="n">
        <v>86060327.05</v>
      </c>
      <c r="J93" s="143" t="n">
        <v>86060327.04986423</v>
      </c>
      <c r="K93" s="143" t="n">
        <v>19065912.03999182</v>
      </c>
      <c r="L93" s="144" t="n">
        <v>0.2215412454674354</v>
      </c>
      <c r="M93" s="75" t="inlineStr">
        <is>
          <t>Calculado com classes reportadas e PL oficial reconciliado</t>
        </is>
      </c>
      <c r="N93" s="144" t="n">
        <v>0.075</v>
      </c>
      <c r="O93" s="144" t="inlineStr">
        <is>
          <t>N/D</t>
        </is>
      </c>
      <c r="P93" s="144" t="inlineStr">
        <is>
          <t>N/D</t>
        </is>
      </c>
      <c r="Q93" s="144" t="inlineStr">
        <is>
          <t>N/D</t>
        </is>
      </c>
      <c r="R93" s="144" t="inlineStr">
        <is>
          <t>N/D</t>
        </is>
      </c>
      <c r="S93" s="144" t="n">
        <v>0.075</v>
      </c>
      <c r="T93" s="75" t="inlineStr">
        <is>
          <t>N/D</t>
        </is>
      </c>
      <c r="U93" s="75" t="inlineStr">
        <is>
          <t>junior_pl</t>
        </is>
      </c>
      <c r="V93" s="75" t="inlineStr">
        <is>
          <t>direto no regulamento</t>
        </is>
      </c>
      <c r="W93" s="75" t="b">
        <v>0</v>
      </c>
      <c r="X93" s="75" t="inlineStr">
        <is>
          <t>Mínimo júnior isolado; a subordinação atual disponível agrega todas as classes subordinadas.</t>
        </is>
      </c>
      <c r="Y93" s="75" t="b">
        <v>0</v>
      </c>
      <c r="Z93" s="144" t="inlineStr">
        <is>
          <t>N/D</t>
        </is>
      </c>
      <c r="AA93" s="144" t="inlineStr">
        <is>
          <t>N/D</t>
        </is>
      </c>
      <c r="AB93" s="75" t="inlineStr">
        <is>
          <t>não medido</t>
        </is>
      </c>
      <c r="AC93" s="75" t="inlineStr">
        <is>
          <t>Agro, Indústria e Comércio</t>
        </is>
      </c>
      <c r="AD93" s="75" t="inlineStr">
        <is>
          <t>Multicarteira Agro, Indústria e Comércio</t>
        </is>
      </c>
      <c r="AE93" s="75" t="inlineStr">
        <is>
          <t>Agro / Revenda</t>
        </is>
      </c>
      <c r="AF93" s="75" t="inlineStr">
        <is>
          <t>Agro / Revenda</t>
        </is>
      </c>
      <c r="AG93" s="75" t="inlineStr">
        <is>
          <t>Agro / Revenda</t>
        </is>
      </c>
      <c r="AH93" s="75" t="inlineStr">
        <is>
          <t>Risco Corporativo</t>
        </is>
      </c>
      <c r="AI93" s="75" t="inlineStr">
        <is>
          <t>Duplicatas, notas comerciais e CCBs corporativas</t>
        </is>
      </c>
      <c r="AJ93" s="75" t="b">
        <v>1</v>
      </c>
      <c r="AK93" s="75" t="inlineStr">
        <is>
          <t>APLICAR_ALTA</t>
        </is>
      </c>
      <c r="AL93" s="75" t="inlineStr">
        <is>
          <t>Instrumentos corporativos explícitos, com originadora e porte ainda ausentes</t>
        </is>
      </c>
      <c r="AM93" s="75" t="inlineStr">
        <is>
          <t>regulamento 1171206</t>
        </is>
      </c>
      <c r="AN93" s="75" t="inlineStr">
        <is>
          <t>Candidato</t>
        </is>
      </c>
      <c r="AO93" s="75" t="inlineStr">
        <is>
          <t>regulamento 1171206</t>
        </is>
      </c>
      <c r="AP93" s="75" t="inlineStr">
        <is>
          <t>N/D</t>
        </is>
      </c>
      <c r="AQ93" s="75" t="inlineStr">
        <is>
          <t>Risco Corporativo</t>
        </is>
      </c>
      <c r="AR93" s="75" t="inlineStr">
        <is>
          <t>Agro / Revenda</t>
        </is>
      </c>
      <c r="AS93" s="75" t="b">
        <v>1</v>
      </c>
      <c r="AT93" s="75" t="inlineStr">
        <is>
          <t>regulamento 1171206</t>
        </is>
      </c>
      <c r="AU93" s="75" t="inlineStr">
        <is>
          <t>Instrumentos corporativos explícitos, com originadora e porte ainda ausentes</t>
        </is>
      </c>
      <c r="AV93" s="75" t="inlineStr">
        <is>
          <t>20%–35%</t>
        </is>
      </c>
      <c r="AW93" s="75" t="b">
        <v>1</v>
      </c>
      <c r="AX93" s="75" t="inlineStr">
        <is>
          <t>incomparável</t>
        </is>
      </c>
      <c r="AY93" s="75" t="inlineStr">
        <is>
          <t>sem benchmark confiável</t>
        </is>
      </c>
      <c r="AZ93" s="144" t="inlineStr">
        <is>
          <t>N/D</t>
        </is>
      </c>
      <c r="BA93" s="75" t="b">
        <v>0</v>
      </c>
      <c r="BB93" s="145" t="n">
        <v>0</v>
      </c>
      <c r="BC93" s="143" t="n">
        <v>1000</v>
      </c>
      <c r="BD93" s="75" t="inlineStr">
        <is>
          <t>R$ 1.000,00</t>
        </is>
      </c>
      <c r="BE93" s="75" t="inlineStr">
        <is>
          <t>preço/valor unitário de emissão</t>
        </is>
      </c>
      <c r="BF93" s="75" t="inlineStr">
        <is>
          <t>N/D</t>
        </is>
      </c>
      <c r="BG93" s="75" t="inlineStr">
        <is>
          <t>30/09/2025</t>
        </is>
      </c>
      <c r="BH93" s="75" t="inlineStr">
        <is>
          <t>1010103</t>
        </is>
      </c>
      <c r="BI93" s="75" t="inlineStr">
        <is>
          <t>https://fnet.bmfbovespa.com.br/fnet/publico/downloadDocumento?id=1010103</t>
        </is>
      </c>
      <c r="BJ93" s="75" t="inlineStr">
        <is>
          <t>localizado documentalmente</t>
        </is>
      </c>
      <c r="BK93" s="75" t="b">
        <v>1</v>
      </c>
      <c r="BL93" s="75" t="inlineStr">
        <is>
          <t>N/D</t>
        </is>
      </c>
      <c r="BM93" s="75" t="inlineStr">
        <is>
          <t>N/D</t>
        </is>
      </c>
      <c r="BN93" s="75" t="inlineStr">
        <is>
          <t>N/D</t>
        </is>
      </c>
      <c r="BO93" s="75" t="inlineStr">
        <is>
          <t>N/D</t>
        </is>
      </c>
      <c r="BP93" s="75" t="inlineStr">
        <is>
          <t>o devedor dos Direitos Creditórios Adquiridos</t>
        </is>
      </c>
      <c r="BQ93" s="75" t="inlineStr">
        <is>
          <t>os direitos creditórios originados pela Originadora e devidos pelos Devedores, os quais podem ser formalizados por Duplicatas, Notas Comerciais ou CCBs</t>
        </is>
      </c>
      <c r="BR93" s="75" t="inlineStr">
        <is>
          <t>sacado_devedor: https://fnet.bmfbovespa.com.br/fnet/publico/downloadDocumento?id=1171206 | tipo_recebivel: https://fnet.bmfbovespa.com.br/fnet/publico/downloadDocumento?id=1171206</t>
        </is>
      </c>
      <c r="BS93" s="75" t="inlineStr">
        <is>
          <t>sem_overlay</t>
        </is>
      </c>
      <c r="BT93" s="75" t="inlineStr">
        <is>
          <t>N/D</t>
        </is>
      </c>
      <c r="BU93" s="75" t="inlineStr">
        <is>
          <t>1171206</t>
        </is>
      </c>
      <c r="BV93" s="75" t="inlineStr">
        <is>
          <t>2026-03-25</t>
        </is>
      </c>
      <c r="BW93" s="75" t="inlineStr">
        <is>
          <t>77</t>
        </is>
      </c>
      <c r="BX93" s="75" t="inlineStr">
        <is>
          <t>revisto — mínimo júnior localizado</t>
        </is>
      </c>
      <c r="BY93" s="75" t="inlineStr">
        <is>
          <t>FundosNet/B3; documento 1171206; referência 2026-03-25; p. 77</t>
        </is>
      </c>
      <c r="BZ93" s="75" t="inlineStr">
        <is>
          <t>Índice de Subordinação Mezanino B: cotas júnior / PL, mínimo de 7,5%.</t>
        </is>
      </c>
      <c r="CA93" s="75" t="inlineStr">
        <is>
          <t>originador; cedente</t>
        </is>
      </c>
      <c r="CB93" s="75" t="inlineStr">
        <is>
          <t>estrutura_incomparavel</t>
        </is>
      </c>
    </row>
    <row r="94" ht="31.5" customHeight="1">
      <c r="A94" s="74" t="n">
        <v>90</v>
      </c>
      <c r="B94" s="138" t="n">
        <v>63546406000194</v>
      </c>
      <c r="C94" s="74" t="inlineStr">
        <is>
          <t>63.546.406/0001-94</t>
        </is>
      </c>
      <c r="D94" s="74" t="inlineStr">
        <is>
          <t>PINE INSS III FUNDO DE INVESTIMENTO EM DIREITOS CREDITÓRIOS RESPONSABILIDADE LIMITADA</t>
        </is>
      </c>
      <c r="E94" s="74" t="inlineStr">
        <is>
          <t>PINE INSS III FUNDO DE INVESTIMENTO EM DIREITOS CREDITORIOS RESPONSABILIDADE</t>
        </is>
      </c>
      <c r="F94" s="74" t="inlineStr">
        <is>
          <t>Carteira 101</t>
        </is>
      </c>
      <c r="G94" s="74" t="inlineStr">
        <is>
          <t>2026-06</t>
        </is>
      </c>
      <c r="H94" s="74" t="inlineStr">
        <is>
          <t>localizado</t>
        </is>
      </c>
      <c r="I94" s="139" t="n">
        <v>1153763377.65</v>
      </c>
      <c r="J94" s="139" t="n">
        <v>1153763377.6455</v>
      </c>
      <c r="K94" s="139" t="n">
        <v>172223714.7399375</v>
      </c>
      <c r="L94" s="140" t="n">
        <v>0.1492712614008645</v>
      </c>
      <c r="M94" s="74" t="inlineStr">
        <is>
          <t>Calculado com classes reportadas e PL oficial reconciliado</t>
        </is>
      </c>
      <c r="N94" s="140" t="n">
        <v>0.015</v>
      </c>
      <c r="O94" s="140" t="inlineStr">
        <is>
          <t>N/D</t>
        </is>
      </c>
      <c r="P94" s="140" t="inlineStr">
        <is>
          <t>N/D</t>
        </is>
      </c>
      <c r="Q94" s="140" t="inlineStr">
        <is>
          <t>N/D</t>
        </is>
      </c>
      <c r="R94" s="140" t="inlineStr">
        <is>
          <t>N/D</t>
        </is>
      </c>
      <c r="S94" s="140" t="n">
        <v>0.015</v>
      </c>
      <c r="T94" s="74" t="inlineStr">
        <is>
          <t>N/D</t>
        </is>
      </c>
      <c r="U94" s="74" t="inlineStr">
        <is>
          <t>junior_pl</t>
        </is>
      </c>
      <c r="V94" s="74" t="inlineStr">
        <is>
          <t>direto no regulamento</t>
        </is>
      </c>
      <c r="W94" s="74" t="b">
        <v>0</v>
      </c>
      <c r="X94" s="74" t="inlineStr">
        <is>
          <t>Mínimo júnior isolado; a subordinação atual disponível agrega todas as classes subordinadas.</t>
        </is>
      </c>
      <c r="Y94" s="74" t="b">
        <v>0</v>
      </c>
      <c r="Z94" s="140" t="inlineStr">
        <is>
          <t>N/D</t>
        </is>
      </c>
      <c r="AA94" s="140" t="inlineStr">
        <is>
          <t>N/D</t>
        </is>
      </c>
      <c r="AB94" s="74" t="inlineStr">
        <is>
          <t>não medido</t>
        </is>
      </c>
      <c r="AC94" s="74" t="inlineStr">
        <is>
          <t>Financeiro</t>
        </is>
      </c>
      <c r="AD94" s="74" t="inlineStr">
        <is>
          <t>Multicarteira Financeiro</t>
        </is>
      </c>
      <c r="AE94" s="74" t="inlineStr">
        <is>
          <t>Consignado INSS</t>
        </is>
      </c>
      <c r="AF94" s="74" t="inlineStr">
        <is>
          <t>Consignado INSS</t>
        </is>
      </c>
      <c r="AG94" s="74" t="inlineStr">
        <is>
          <t>Consignado INSS e FGTS</t>
        </is>
      </c>
      <c r="AH94" s="74" t="inlineStr">
        <is>
          <t>Consignado INSS e FGTS</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Consignado INSS e FGTS</t>
        </is>
      </c>
      <c r="AR94" s="74" t="inlineStr">
        <is>
          <t>Consignado INSS e FGTS</t>
        </is>
      </c>
      <c r="AS94" s="74" t="b">
        <v>0</v>
      </c>
      <c r="AT94" s="74" t="inlineStr">
        <is>
          <t>N/D</t>
        </is>
      </c>
      <c r="AU94" s="74" t="inlineStr">
        <is>
          <t>N/D</t>
        </is>
      </c>
      <c r="AV94" s="74" t="inlineStr">
        <is>
          <t>10%–15%</t>
        </is>
      </c>
      <c r="AW94" s="74" t="b">
        <v>1</v>
      </c>
      <c r="AX94" s="74" t="inlineStr">
        <is>
          <t>incomparável</t>
        </is>
      </c>
      <c r="AY94" s="74" t="inlineStr">
        <is>
          <t>em linha com o mercado</t>
        </is>
      </c>
      <c r="AZ94" s="140" t="n">
        <v>-0.01189728877231469</v>
      </c>
      <c r="BA94" s="74" t="b">
        <v>1</v>
      </c>
      <c r="BB94" s="141" t="n">
        <v>5</v>
      </c>
      <c r="BC94" s="139" t="n">
        <v>1000</v>
      </c>
      <c r="BD94" s="74" t="inlineStr">
        <is>
          <t>R$ 1.000,00 | cotas seniores: R$ 1.000,00 | cotas subordinadas júnior: R$ 1.000,00 | cotas subordinadas mezanino: R$ 1.000,00</t>
        </is>
      </c>
      <c r="BE94" s="74" t="inlineStr">
        <is>
          <t>preço/valor unitário de emissão | valor nominal unitário (VNU)</t>
        </is>
      </c>
      <c r="BF94" s="74" t="inlineStr">
        <is>
          <t>cotas seniores | cotas subordinadas júnior | cotas subordinadas mezanino</t>
        </is>
      </c>
      <c r="BG94" s="74" t="inlineStr">
        <is>
          <t>2026-03-05</t>
        </is>
      </c>
      <c r="BH94" s="74" t="inlineStr">
        <is>
          <t>1130481 | 1130478</t>
        </is>
      </c>
      <c r="BI94" s="74" t="inlineStr">
        <is>
          <t>https://fnet.bmfbovespa.com.br/fnet/publico/downloadDocumento?id=1130481 | https://fnet.bmfbovespa.com.br/fnet/publico/downloadDocumento?id=1130478</t>
        </is>
      </c>
      <c r="BJ94" s="74" t="inlineStr">
        <is>
          <t>localizado documentalmente — múltiplos valores/classes</t>
        </is>
      </c>
      <c r="BK94" s="74" t="b">
        <v>1</v>
      </c>
      <c r="BL94" s="74" t="inlineStr">
        <is>
          <t>N/D</t>
        </is>
      </c>
      <c r="BM94" s="74" t="inlineStr">
        <is>
          <t>N/D</t>
        </is>
      </c>
      <c r="BN94" s="74" t="inlineStr">
        <is>
          <t>N/D</t>
        </is>
      </c>
      <c r="BO94" s="74" t="inlineStr">
        <is>
          <t>o Banco Pine, conforme o caso;</t>
        </is>
      </c>
      <c r="BP94" s="74" t="inlineStr">
        <is>
          <t>os devedores das CCBs relativas aos Direitos Creditórios;</t>
        </is>
      </c>
      <c r="BQ94" s="74" t="inlineStr">
        <is>
          <t>N/D</t>
        </is>
      </c>
      <c r="BR94" s="74" t="inlineStr">
        <is>
          <t>cedente: https://fnet.bmfbovespa.com.br/fnet/publico/downloadDocumento?id=1130481 | sacado_devedor: https://fnet.bmfbovespa.com.br/fnet/publico/downloadDocumento?id=1130481</t>
        </is>
      </c>
      <c r="BS94" s="74" t="inlineStr">
        <is>
          <t>sem_overlay</t>
        </is>
      </c>
      <c r="BT94" s="74" t="inlineStr">
        <is>
          <t>N/D</t>
        </is>
      </c>
      <c r="BU94" s="74" t="inlineStr">
        <is>
          <t>1130481</t>
        </is>
      </c>
      <c r="BV94" s="74" t="inlineStr">
        <is>
          <t>2026-03-05</t>
        </is>
      </c>
      <c r="BW94" s="74" t="inlineStr">
        <is>
          <t>142</t>
        </is>
      </c>
      <c r="BX94" s="74" t="inlineStr">
        <is>
          <t>revisto — mínimo júnior localizado</t>
        </is>
      </c>
      <c r="BY94" s="74" t="inlineStr">
        <is>
          <t>FundosNet/B3; documento 1130481; referência 2026-03-05; p. 142</t>
        </is>
      </c>
      <c r="BZ94" s="74" t="inlineStr">
        <is>
          <t>Cotas júnior / PL sem efeito de derivativos: mínimo inicial de 1,5%; meta de 2,5%.</t>
        </is>
      </c>
      <c r="CA94" s="74" t="inlineStr">
        <is>
          <t>originador; tipo de recebível</t>
        </is>
      </c>
      <c r="CB94" s="74" t="inlineStr">
        <is>
          <t>estrutura_incomparavel</t>
        </is>
      </c>
    </row>
    <row r="95" ht="31.5" customHeight="1">
      <c r="A95" s="75" t="n">
        <v>91</v>
      </c>
      <c r="B95" s="142" t="n">
        <v>37294759000134</v>
      </c>
      <c r="C95" s="75" t="inlineStr">
        <is>
          <t>37.294.759/0001-34</t>
        </is>
      </c>
      <c r="D95" s="75" t="inlineStr">
        <is>
          <t>GALLERIA HOME EQUITY FIDC</t>
        </is>
      </c>
      <c r="E95" s="75" t="inlineStr">
        <is>
          <t>FUNDO I E D C GALLERIA</t>
        </is>
      </c>
      <c r="F95" s="75" t="inlineStr">
        <is>
          <t>Carteira 101</t>
        </is>
      </c>
      <c r="G95" s="75" t="inlineStr">
        <is>
          <t>2026-06</t>
        </is>
      </c>
      <c r="H95" s="75" t="inlineStr">
        <is>
          <t>localizado</t>
        </is>
      </c>
      <c r="I95" s="143" t="n">
        <v>513226571.59</v>
      </c>
      <c r="J95" s="143" t="n">
        <v>513226571.4282056</v>
      </c>
      <c r="K95" s="143" t="n">
        <v>163152649.59795</v>
      </c>
      <c r="L95" s="144" t="n">
        <v>0.3178959520597218</v>
      </c>
      <c r="M95" s="75" t="inlineStr">
        <is>
          <t>Calculado com classes reportadas e PL oficial reconciliado</t>
        </is>
      </c>
      <c r="N95" s="144" t="inlineStr">
        <is>
          <t>N/D</t>
        </is>
      </c>
      <c r="O95" s="144" t="inlineStr">
        <is>
          <t>N/D</t>
        </is>
      </c>
      <c r="P95" s="144" t="inlineStr">
        <is>
          <t>N/D</t>
        </is>
      </c>
      <c r="Q95" s="144" t="n">
        <v>0.047619047619</v>
      </c>
      <c r="R95" s="144" t="inlineStr">
        <is>
          <t>N/D</t>
        </is>
      </c>
      <c r="S95" s="144" t="n">
        <v>0.047619047619</v>
      </c>
      <c r="T95" s="75" t="inlineStr">
        <is>
          <t>4,76%*</t>
        </is>
      </c>
      <c r="U95" s="75" t="inlineStr">
        <is>
          <t>suporte_total_pl</t>
        </is>
      </c>
      <c r="V95" s="75" t="inlineStr">
        <is>
          <t>calculado: 1 − 1/1,05</t>
        </is>
      </c>
      <c r="W95" s="75" t="b">
        <v>1</v>
      </c>
      <c r="X95" s="75" t="inlineStr">
        <is>
          <t>Suporte total ou combinado; não representa mínimo júnior isolado.</t>
        </is>
      </c>
      <c r="Y95" s="75" t="b">
        <v>1</v>
      </c>
      <c r="Z95" s="144" t="n">
        <v>0.2702769044407218</v>
      </c>
      <c r="AA95" s="144" t="n">
        <v>0.2837907496627437</v>
      </c>
      <c r="AB95" s="75" t="inlineStr">
        <is>
          <t>acima do mínimo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Home equity PF/PJ, CCB com alienação fiduciária</t>
        </is>
      </c>
      <c r="AJ95" s="75" t="b">
        <v>0</v>
      </c>
      <c r="AK95" s="75" t="inlineStr">
        <is>
          <t>MANTER_ALTA</t>
        </is>
      </c>
      <c r="AL95" s="75" t="inlineStr">
        <is>
          <t>CCBs com garantia imobiliária</t>
        </is>
      </c>
      <c r="AM95" s="75" t="inlineStr">
        <is>
          <t>IMG_8707</t>
        </is>
      </c>
      <c r="AN95" s="75" t="inlineStr">
        <is>
          <t>Não</t>
        </is>
      </c>
      <c r="AO95" s="75" t="inlineStr">
        <is>
          <t>IMG_8707</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acima do piso</t>
        </is>
      </c>
      <c r="AY95" s="75" t="inlineStr">
        <is>
          <t>em linha com o mercado</t>
        </is>
      </c>
      <c r="AZ95" s="144" t="n">
        <v>0.01643639177847067</v>
      </c>
      <c r="BA95" s="75" t="b">
        <v>1</v>
      </c>
      <c r="BB95" s="145" t="n">
        <v>12</v>
      </c>
      <c r="BC95" s="143" t="n">
        <v>1</v>
      </c>
      <c r="BD95" s="75" t="inlineStr">
        <is>
          <t>Cotas Subordinadas Mezanino: R$ 1,00</t>
        </is>
      </c>
      <c r="BE95" s="75" t="inlineStr">
        <is>
          <t>preço/valor unitário de emissão</t>
        </is>
      </c>
      <c r="BF95" s="75" t="inlineStr">
        <is>
          <t>Cotas Subordinadas Mezanino</t>
        </is>
      </c>
      <c r="BG95" s="75" t="inlineStr">
        <is>
          <t>10/07/2026</t>
        </is>
      </c>
      <c r="BH95" s="75" t="inlineStr">
        <is>
          <t>1243617</t>
        </is>
      </c>
      <c r="BI95" s="75" t="inlineStr">
        <is>
          <t>https://fnet.bmfbovespa.com.br/fnet/publico/downloadDocumento?id=1243617</t>
        </is>
      </c>
      <c r="BJ95" s="75" t="inlineStr">
        <is>
          <t>localizado documentalmente</t>
        </is>
      </c>
      <c r="BK95" s="75" t="b">
        <v>0</v>
      </c>
      <c r="BL95" s="75" t="inlineStr">
        <is>
          <t>Galleria SCD</t>
        </is>
      </c>
      <c r="BM95" s="75" t="inlineStr">
        <is>
          <t>cedente</t>
        </is>
      </c>
      <c r="BN95" s="75" t="inlineStr">
        <is>
          <t>N/D</t>
        </is>
      </c>
      <c r="BO95" s="75" t="inlineStr">
        <is>
          <t>Galleria SCD</t>
        </is>
      </c>
      <c r="BP95" s="75" t="inlineStr">
        <is>
          <t>N/D</t>
        </is>
      </c>
      <c r="BQ95" s="75" t="inlineStr">
        <is>
          <t>CCBs com AF de Imóvel oriundos de empréstimo PF e PJs</t>
        </is>
      </c>
      <c r="BR95" s="75" t="inlineStr">
        <is>
          <t>cedente: IMG_8707.jpg | tipo_recebivel: IMG_8707.jpg</t>
        </is>
      </c>
      <c r="BS95" s="75" t="inlineStr">
        <is>
          <t>manual_aplicado</t>
        </is>
      </c>
      <c r="BT95" s="75" t="inlineStr">
        <is>
          <t>N/D</t>
        </is>
      </c>
      <c r="BU95" s="75" t="inlineStr">
        <is>
          <t>927443</t>
        </is>
      </c>
      <c r="BV95" s="75" t="inlineStr">
        <is>
          <t>2026-07-10</t>
        </is>
      </c>
      <c r="BW95" s="75" t="inlineStr">
        <is>
          <t>110</t>
        </is>
      </c>
      <c r="BX95" s="75" t="inlineStr">
        <is>
          <t>revisto — suporte estrutural total localizado</t>
        </is>
      </c>
      <c r="BY95" s="75" t="inlineStr">
        <is>
          <t>FundosNet/B3; documento 927443; referência 2026-07-10; p. 110</t>
        </is>
      </c>
      <c r="BZ95" s="75" t="inlineStr">
        <is>
          <t>N/D</t>
        </is>
      </c>
      <c r="CA95" s="75" t="inlineStr">
        <is>
          <t>originador; sacado/devedor</t>
        </is>
      </c>
      <c r="CB95" s="75" t="inlineStr">
        <is>
          <t>completo_para_folga</t>
        </is>
      </c>
    </row>
    <row r="96" ht="31.5" customHeight="1">
      <c r="A96" s="74" t="n">
        <v>92</v>
      </c>
      <c r="B96" s="138" t="n">
        <v>42085830000109</v>
      </c>
      <c r="C96" s="74" t="inlineStr">
        <is>
          <t>42.085.830/0001-09</t>
        </is>
      </c>
      <c r="D96" s="74" t="inlineStr">
        <is>
          <t>CLOUDWALK AKIRA I FUNDO DE INVESTIMENTO EM DIREITOS CREDITÓRIOS SEGMENTO MEIOS DE PAGAMENTO</t>
        </is>
      </c>
      <c r="E96" s="74" t="inlineStr">
        <is>
          <t>CLOUDWALK AKIRA I FUNDO DE INVESTIMENTO EM DIREITO</t>
        </is>
      </c>
      <c r="F96" s="74" t="inlineStr">
        <is>
          <t>Carteira 101</t>
        </is>
      </c>
      <c r="G96" s="74" t="inlineStr">
        <is>
          <t>2026-06</t>
        </is>
      </c>
      <c r="H96" s="74" t="inlineStr">
        <is>
          <t>localizado</t>
        </is>
      </c>
      <c r="I96" s="139" t="n">
        <v>308205214.77</v>
      </c>
      <c r="J96" s="139" t="n">
        <v>308205214.7699943</v>
      </c>
      <c r="K96" s="139" t="n">
        <v>16372205.88999423</v>
      </c>
      <c r="L96" s="140" t="n">
        <v>0.05312111899927486</v>
      </c>
      <c r="M96" s="74" t="inlineStr">
        <is>
          <t>Calculado com classes reportadas e PL oficial reconciliado</t>
        </is>
      </c>
      <c r="N96" s="140" t="n">
        <v>0.03</v>
      </c>
      <c r="O96" s="140" t="inlineStr">
        <is>
          <t>N/D</t>
        </is>
      </c>
      <c r="P96" s="140" t="inlineStr">
        <is>
          <t>N/D</t>
        </is>
      </c>
      <c r="Q96" s="140" t="n">
        <v>0.03</v>
      </c>
      <c r="R96" s="140" t="inlineStr">
        <is>
          <t>N/D</t>
        </is>
      </c>
      <c r="S96" s="140" t="n">
        <v>0.03</v>
      </c>
      <c r="T96" s="74" t="inlineStr">
        <is>
          <t>3,0%</t>
        </is>
      </c>
      <c r="U96" s="74" t="inlineStr">
        <is>
          <t>junior_pl</t>
        </is>
      </c>
      <c r="V96" s="74" t="inlineStr">
        <is>
          <t>direto no regulamento</t>
        </is>
      </c>
      <c r="W96" s="74" t="b">
        <v>1</v>
      </c>
      <c r="X96" s="74" t="inlineStr">
        <is>
          <t>Estrutura com uma única classe subordinada; métrica atual e piso usam o total subordinado sobre o PL.</t>
        </is>
      </c>
      <c r="Y96" s="74" t="b">
        <v>0</v>
      </c>
      <c r="Z96" s="140" t="n">
        <v>0.02312111899927486</v>
      </c>
      <c r="AA96" s="140" t="n">
        <v>0.02383620515389161</v>
      </c>
      <c r="AB96" s="74" t="inlineStr">
        <is>
          <t>folga estreita</t>
        </is>
      </c>
      <c r="AC96" s="74" t="inlineStr">
        <is>
          <t>Financeiro</t>
        </is>
      </c>
      <c r="AD96" s="74" t="inlineStr">
        <is>
          <t>Adquirência</t>
        </is>
      </c>
      <c r="AE96" s="74" t="inlineStr">
        <is>
          <t>Adquirência</t>
        </is>
      </c>
      <c r="AF96" s="74" t="inlineStr">
        <is>
          <t>Adquirência</t>
        </is>
      </c>
      <c r="AG96" s="74" t="inlineStr">
        <is>
          <t>Adquirência</t>
        </is>
      </c>
      <c r="AH96" s="74" t="inlineStr">
        <is>
          <t>Adquirência</t>
        </is>
      </c>
      <c r="AI96" s="74" t="inlineStr">
        <is>
          <t>N/D</t>
        </is>
      </c>
      <c r="AJ96" s="74" t="b">
        <v>0</v>
      </c>
      <c r="AK96" s="74" t="inlineStr">
        <is>
          <t>fora da revisão Financeiro/Agro</t>
        </is>
      </c>
      <c r="AL96" s="74" t="inlineStr">
        <is>
          <t>N/D</t>
        </is>
      </c>
      <c r="AM96" s="74" t="inlineStr">
        <is>
          <t>N/D</t>
        </is>
      </c>
      <c r="AN96" s="74" t="inlineStr">
        <is>
          <t>N/D</t>
        </is>
      </c>
      <c r="AO96" s="74" t="inlineStr">
        <is>
          <t>N/D</t>
        </is>
      </c>
      <c r="AP96" s="74" t="inlineStr">
        <is>
          <t>N/D</t>
        </is>
      </c>
      <c r="AQ96" s="74" t="inlineStr">
        <is>
          <t>Adquirência</t>
        </is>
      </c>
      <c r="AR96" s="74" t="inlineStr">
        <is>
          <t>Adquirência</t>
        </is>
      </c>
      <c r="AS96" s="74" t="b">
        <v>0</v>
      </c>
      <c r="AT96" s="74" t="inlineStr">
        <is>
          <t>N/D</t>
        </is>
      </c>
      <c r="AU96" s="74" t="inlineStr">
        <is>
          <t>N/D</t>
        </is>
      </c>
      <c r="AV96" s="74" t="inlineStr">
        <is>
          <t>&lt; 10%</t>
        </is>
      </c>
      <c r="AW96" s="74" t="b">
        <v>1</v>
      </c>
      <c r="AX96" s="74" t="inlineStr">
        <is>
          <t>acima do piso</t>
        </is>
      </c>
      <c r="AY96" s="74" t="inlineStr">
        <is>
          <t>abaixo do mercado</t>
        </is>
      </c>
      <c r="AZ96" s="140" t="n">
        <v>-0.1022383352256313</v>
      </c>
      <c r="BA96" s="74" t="b">
        <v>1</v>
      </c>
      <c r="BB96" s="141" t="n">
        <v>15</v>
      </c>
      <c r="BC96" s="139" t="n">
        <v>1000</v>
      </c>
      <c r="BD96" s="74" t="inlineStr">
        <is>
          <t>Cotas Seniores: R$1.000 | Cotas Subordinadas: R$1.000</t>
        </is>
      </c>
      <c r="BE96" s="74" t="inlineStr">
        <is>
          <t>valor nominal unitário (VNU)</t>
        </is>
      </c>
      <c r="BF96" s="74" t="inlineStr">
        <is>
          <t>Cotas Seniores | Cotas Subordinadas</t>
        </is>
      </c>
      <c r="BG96" s="74" t="inlineStr">
        <is>
          <t>2025-07-24</t>
        </is>
      </c>
      <c r="BH96" s="74" t="inlineStr">
        <is>
          <t>966441</t>
        </is>
      </c>
      <c r="BI96" s="74" t="inlineStr">
        <is>
          <t>https://fnet.bmfbovespa.com.br/fnet/publico/downloadDocumento?id=966441</t>
        </is>
      </c>
      <c r="BJ96" s="74" t="inlineStr">
        <is>
          <t>localizado documentalmente — múltiplos valores/classes</t>
        </is>
      </c>
      <c r="BK96" s="74" t="b">
        <v>1</v>
      </c>
      <c r="BL96" s="74" t="inlineStr">
        <is>
          <t>Cloudwalk IP</t>
        </is>
      </c>
      <c r="BM96" s="74" t="inlineStr">
        <is>
          <t>cedente</t>
        </is>
      </c>
      <c r="BN96" s="74" t="inlineStr">
        <is>
          <t>N/D</t>
        </is>
      </c>
      <c r="BO96" s="74" t="inlineStr">
        <is>
          <t>a CloudWalk que, de tempos em tempos, nos termos do Contrato de Cessão, cede seus respectivos Direitos Creditórios Elegíveis ao Fundo</t>
        </is>
      </c>
      <c r="BP96" s="74" t="inlineStr">
        <is>
          <t>os Emissores Qualificados</t>
        </is>
      </c>
      <c r="BQ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6" s="74" t="inlineStr">
        <is>
          <t>cedente: https://fnet.bmfbovespa.com.br/fnet/publico/downloadDocumento?id=966441 | sacado_devedor: https://fnet.bmfbovespa.com.br/fnet/publico/downloadDocumento?id=966441 | tipo_recebivel: https://fnet.bmfbovespa.com.br/fnet/publico/downloadDocumento?id=966441</t>
        </is>
      </c>
      <c r="BS96" s="74" t="inlineStr">
        <is>
          <t>manual_aplicado</t>
        </is>
      </c>
      <c r="BT96" s="74" t="inlineStr">
        <is>
          <t>OBS da foto: Risco Banco Emissor Itaú. Denominação cortada.</t>
        </is>
      </c>
      <c r="BU96" s="74" t="inlineStr">
        <is>
          <t>966441</t>
        </is>
      </c>
      <c r="BV96" s="74" t="inlineStr">
        <is>
          <t>2025-07-24</t>
        </is>
      </c>
      <c r="BW96" s="74" t="inlineStr">
        <is>
          <t>99</t>
        </is>
      </c>
      <c r="BX96" s="74" t="inlineStr">
        <is>
          <t>revisto — mínimo júnior localizado</t>
        </is>
      </c>
      <c r="BY96" s="74" t="inlineStr">
        <is>
          <t>FundosNet/B3; documento 966441; referência 2025-07-24; p. 99</t>
        </is>
      </c>
      <c r="BZ96" s="74" t="inlineStr">
        <is>
          <t>Cotas subordinadas / PL, mínimo de 3,0%; estrutura com uma única classe residual.</t>
        </is>
      </c>
      <c r="CA96" s="74" t="inlineStr">
        <is>
          <t>originador</t>
        </is>
      </c>
      <c r="CB96" s="74" t="inlineStr">
        <is>
          <t>completo_para_folga</t>
        </is>
      </c>
    </row>
    <row r="97" ht="31.5" customHeight="1">
      <c r="A97" s="75" t="n">
        <v>93</v>
      </c>
      <c r="B97" s="142" t="n">
        <v>61288838000117</v>
      </c>
      <c r="C97" s="75" t="inlineStr">
        <is>
          <t>61.288.838/0001-17</t>
        </is>
      </c>
      <c r="D97" s="75" t="inlineStr">
        <is>
          <t>IFOOD PAGO CRÉDITO III FUNDO DE INVESTIMENTO EM DIREITOS CREDITÓRIOS FINANCEIRO RESP. LIMITADA</t>
        </is>
      </c>
      <c r="E97" s="75" t="inlineStr">
        <is>
          <t>FIDC MOVILE III</t>
        </is>
      </c>
      <c r="F97" s="75" t="inlineStr">
        <is>
          <t>Carteira 101</t>
        </is>
      </c>
      <c r="G97" s="75" t="inlineStr">
        <is>
          <t>2026-06</t>
        </is>
      </c>
      <c r="H97" s="75" t="inlineStr">
        <is>
          <t>localizado</t>
        </is>
      </c>
      <c r="I97" s="143" t="n">
        <v>722466359.01</v>
      </c>
      <c r="J97" s="143" t="n">
        <v>722466359.0096748</v>
      </c>
      <c r="K97" s="143" t="n">
        <v>219014167.7696747</v>
      </c>
      <c r="L97" s="144" t="n">
        <v>0.3031479113709754</v>
      </c>
      <c r="M97" s="75" t="inlineStr">
        <is>
          <t>Calculado com classes reportadas e PL oficial reconciliado</t>
        </is>
      </c>
      <c r="N97" s="144" t="n">
        <v>0.15</v>
      </c>
      <c r="O97" s="144" t="inlineStr">
        <is>
          <t>N/D</t>
        </is>
      </c>
      <c r="P97" s="144" t="inlineStr">
        <is>
          <t>N/D</t>
        </is>
      </c>
      <c r="Q97" s="144" t="inlineStr">
        <is>
          <t>N/D</t>
        </is>
      </c>
      <c r="R97" s="144" t="inlineStr">
        <is>
          <t>N/D</t>
        </is>
      </c>
      <c r="S97" s="144" t="n">
        <v>0.15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Financeiro</t>
        </is>
      </c>
      <c r="AD97" s="75" t="inlineStr">
        <is>
          <t>Multicarteira Financeiro</t>
        </is>
      </c>
      <c r="AE97" s="75" t="inlineStr">
        <is>
          <t>Financeiro</t>
        </is>
      </c>
      <c r="AF97" s="75" t="inlineStr">
        <is>
          <t>Financeiro</t>
        </is>
      </c>
      <c r="AG97" s="75" t="inlineStr">
        <is>
          <t>Financeiro</t>
        </is>
      </c>
      <c r="AH97" s="75" t="inlineStr">
        <is>
          <t>Financeiro</t>
        </is>
      </c>
      <c r="AI97" s="75" t="inlineStr">
        <is>
          <t>Estrutura mista, CCB + recebíveis de credenciadoras</t>
        </is>
      </c>
      <c r="AJ97" s="75" t="b">
        <v>0</v>
      </c>
      <c r="AK97" s="75" t="inlineStr">
        <is>
          <t>MANTER_ASTERISCO</t>
        </is>
      </c>
      <c r="AL97" s="75" t="inlineStr">
        <is>
          <t>Combina crédito e adquirência</t>
        </is>
      </c>
      <c r="AM97" s="75" t="inlineStr">
        <is>
          <t>regulamentos 1073756 e 1240846</t>
        </is>
      </c>
      <c r="AN97" s="75" t="inlineStr">
        <is>
          <t>Não</t>
        </is>
      </c>
      <c r="AO97" s="75" t="inlineStr">
        <is>
          <t>regulamentos 1073756 e 1240846</t>
        </is>
      </c>
      <c r="AP97" s="75" t="b">
        <v>0</v>
      </c>
      <c r="AQ97" s="75" t="inlineStr">
        <is>
          <t>Financeiro</t>
        </is>
      </c>
      <c r="AR97" s="75" t="inlineStr">
        <is>
          <t>Financeiro</t>
        </is>
      </c>
      <c r="AS97" s="75" t="b">
        <v>0</v>
      </c>
      <c r="AT97" s="75" t="inlineStr">
        <is>
          <t>N/D</t>
        </is>
      </c>
      <c r="AU97" s="75" t="inlineStr">
        <is>
          <t>N/D</t>
        </is>
      </c>
      <c r="AV97" s="75" t="inlineStr">
        <is>
          <t>20%–35%</t>
        </is>
      </c>
      <c r="AW97" s="75" t="b">
        <v>1</v>
      </c>
      <c r="AX97" s="75" t="inlineStr">
        <is>
          <t>incomparável</t>
        </is>
      </c>
      <c r="AY97" s="75" t="inlineStr">
        <is>
          <t>em linha com o mercado</t>
        </is>
      </c>
      <c r="AZ97" s="144" t="n">
        <v>0.00168835108972426</v>
      </c>
      <c r="BA97" s="75" t="b">
        <v>1</v>
      </c>
      <c r="BB97" s="145" t="n">
        <v>12</v>
      </c>
      <c r="BC97" s="143" t="n">
        <v>1000</v>
      </c>
      <c r="BD97" s="75" t="inlineStr">
        <is>
          <t>Cotas Seniores: R$ 1.000,00</t>
        </is>
      </c>
      <c r="BE97" s="75" t="inlineStr">
        <is>
          <t>preço/valor unitário de emissão</t>
        </is>
      </c>
      <c r="BF97" s="75" t="inlineStr">
        <is>
          <t>Cotas Seniores</t>
        </is>
      </c>
      <c r="BG97" s="75" t="inlineStr">
        <is>
          <t>14/07/2026</t>
        </is>
      </c>
      <c r="BH97" s="75" t="inlineStr">
        <is>
          <t>1247950</t>
        </is>
      </c>
      <c r="BI97" s="75" t="inlineStr">
        <is>
          <t>https://fnet.bmfbovespa.com.br/fnet/publico/downloadDocumento?id=1247950</t>
        </is>
      </c>
      <c r="BJ97" s="75" t="inlineStr">
        <is>
          <t>localizado documentalmente</t>
        </is>
      </c>
      <c r="BK97" s="75" t="b">
        <v>0</v>
      </c>
      <c r="BL97" s="75" t="inlineStr">
        <is>
          <t>MovilePay / iFood</t>
        </is>
      </c>
      <c r="BM97" s="75" t="inlineStr">
        <is>
          <t>cedente</t>
        </is>
      </c>
      <c r="BN97" s="75" t="inlineStr">
        <is>
          <t>N/D</t>
        </is>
      </c>
      <c r="BO97" s="75" t="inlineStr">
        <is>
          <t>a Subcredenciadora</t>
        </is>
      </c>
      <c r="BP97" s="75" t="inlineStr">
        <is>
          <t>pessoas físicas ou jurídicas que possuam uma Conta Digital do Devedor CCB e que emitam uma CCB em favor da Instituição Financeira Parceira, conforme aplicável, com o objetivo de realizar uma operação de crédito</t>
        </is>
      </c>
      <c r="BQ97" s="75" t="inlineStr">
        <is>
          <t>os Direitos Creditórios CCB e os Direitos Creditórios Credenciadoras, quando referidos em conjunto ou indistintamente</t>
        </is>
      </c>
      <c r="BR97" s="75" t="inlineStr">
        <is>
          <t>cedente: https://fnet.bmfbovespa.com.br/fnet/publico/downloadDocumento?id=1073756 | sacado_devedor: https://fnet.bmfbovespa.com.br/fnet/publico/downloadDocumento?id=1073756 | tipo_recebivel: https://fnet.bmfbovespa.com.br/fnet/publico/downloadDocumento?id=1073756</t>
        </is>
      </c>
      <c r="BS97" s="75" t="inlineStr">
        <is>
          <t>manual_aplicado</t>
        </is>
      </c>
      <c r="BT97" s="75" t="inlineStr">
        <is>
          <t>N/D</t>
        </is>
      </c>
      <c r="BU97" s="75" t="inlineStr">
        <is>
          <t>1240846</t>
        </is>
      </c>
      <c r="BV97" s="75" t="inlineStr">
        <is>
          <t>2026-07-03</t>
        </is>
      </c>
      <c r="BW97" s="75" t="inlineStr">
        <is>
          <t>114</t>
        </is>
      </c>
      <c r="BX97" s="75" t="inlineStr">
        <is>
          <t>revisto — mínimo júnior localizado</t>
        </is>
      </c>
      <c r="BY97" s="75" t="inlineStr">
        <is>
          <t>FundosNet/B3; documento 1240846; referência 2026-07-03; p. 114</t>
        </is>
      </c>
      <c r="BZ97" s="75" t="inlineStr">
        <is>
          <t>Índice de Subordinação Mezanino: cotas júnior / PL, mínimo de 15,0%.</t>
        </is>
      </c>
      <c r="CA97" s="75" t="inlineStr">
        <is>
          <t>originador</t>
        </is>
      </c>
      <c r="CB97" s="75" t="inlineStr">
        <is>
          <t>estrutura_incomparavel</t>
        </is>
      </c>
    </row>
    <row r="98" ht="31.5" customHeight="1">
      <c r="A98" s="74" t="n">
        <v>94</v>
      </c>
      <c r="B98" s="138" t="n">
        <v>30035329000159</v>
      </c>
      <c r="C98" s="74" t="inlineStr">
        <is>
          <t>30.035.329/0001-59</t>
        </is>
      </c>
      <c r="D98" s="74" t="inlineStr">
        <is>
          <t>VIA INVEST II FUNDO DE INVESTIMENTO EM DIREITOS CREDITÓRIOS RESPONSABILIDADE LIMITADA</t>
        </is>
      </c>
      <c r="E98" s="74" t="inlineStr">
        <is>
          <t>VIAINVEST II FIDC MULTISSETORIAL</t>
        </is>
      </c>
      <c r="F98" s="74" t="inlineStr">
        <is>
          <t>Carteira 101</t>
        </is>
      </c>
      <c r="G98" s="74" t="inlineStr">
        <is>
          <t>2026-06</t>
        </is>
      </c>
      <c r="H98" s="74" t="inlineStr">
        <is>
          <t>localizado</t>
        </is>
      </c>
      <c r="I98" s="139" t="n">
        <v>202884356.35</v>
      </c>
      <c r="J98" s="139" t="n">
        <v>199464232.4041373</v>
      </c>
      <c r="K98" s="139" t="n">
        <v>94585360.6541986</v>
      </c>
      <c r="L98" s="140" t="inlineStr">
        <is>
          <t>N/D</t>
        </is>
      </c>
      <c r="M98" s="74" t="inlineStr">
        <is>
          <t>N/D</t>
        </is>
      </c>
      <c r="N98" s="140" t="n">
        <v>0.15</v>
      </c>
      <c r="O98" s="140" t="inlineStr">
        <is>
          <t>N/D</t>
        </is>
      </c>
      <c r="P98" s="140" t="inlineStr">
        <is>
          <t>N/D</t>
        </is>
      </c>
      <c r="Q98" s="140" t="inlineStr">
        <is>
          <t>N/D</t>
        </is>
      </c>
      <c r="R98" s="140" t="inlineStr">
        <is>
          <t>N/D</t>
        </is>
      </c>
      <c r="S98" s="140" t="n">
        <v>0.15</v>
      </c>
      <c r="T98" s="74" t="inlineStr">
        <is>
          <t>N/D</t>
        </is>
      </c>
      <c r="U98" s="74" t="inlineStr">
        <is>
          <t>junior_pl</t>
        </is>
      </c>
      <c r="V98" s="74" t="inlineStr">
        <is>
          <t>direto no regulamento</t>
        </is>
      </c>
      <c r="W98" s="74" t="b">
        <v>0</v>
      </c>
      <c r="X98" s="74" t="inlineStr">
        <is>
          <t>Mínimo júnior isolado; a subordinação atual disponível agrega mais de uma classe subordinada ou usa denominador distinto.</t>
        </is>
      </c>
      <c r="Y98" s="74" t="b">
        <v>0</v>
      </c>
      <c r="Z98" s="140" t="inlineStr">
        <is>
          <t>N/D</t>
        </is>
      </c>
      <c r="AA98" s="140" t="inlineStr">
        <is>
          <t>N/D</t>
        </is>
      </c>
      <c r="AB98" s="74" t="inlineStr">
        <is>
          <t>não medido</t>
        </is>
      </c>
      <c r="AC98" s="74" t="inlineStr">
        <is>
          <t>Financeiro</t>
        </is>
      </c>
      <c r="AD98" s="74" t="inlineStr">
        <is>
          <t>Crédito Consignado</t>
        </is>
      </c>
      <c r="AE98" s="74" t="inlineStr">
        <is>
          <t>Financeiro</t>
        </is>
      </c>
      <c r="AF98" s="74" t="inlineStr">
        <is>
          <t>Financeiro</t>
        </is>
      </c>
      <c r="AG98" s="74" t="inlineStr">
        <is>
          <t>Financeiro</t>
        </is>
      </c>
      <c r="AH98" s="74" t="inlineStr">
        <is>
          <t>Consignado INSS e FGTS</t>
        </is>
      </c>
      <c r="AI98" s="74" t="inlineStr">
        <is>
          <t>Antecipação do saque-aniversário FGTS, CCBs</t>
        </is>
      </c>
      <c r="AJ98" s="74" t="b">
        <v>1</v>
      </c>
      <c r="AK98" s="74" t="inlineStr">
        <is>
          <t>APLICAR_ALTA</t>
        </is>
      </c>
      <c r="AL98" s="74" t="inlineStr">
        <is>
          <t>Devedores são titulares de FGTS e emitem CCB</t>
        </is>
      </c>
      <c r="AM98" s="74" t="inlineStr">
        <is>
          <t>regulamento + auditoria documental</t>
        </is>
      </c>
      <c r="AN98" s="74" t="inlineStr">
        <is>
          <t>Não</t>
        </is>
      </c>
      <c r="AO98" s="74" t="inlineStr">
        <is>
          <t>regulamento + auditoria documental</t>
        </is>
      </c>
      <c r="AP98" s="74" t="b">
        <v>0</v>
      </c>
      <c r="AQ98" s="74" t="inlineStr">
        <is>
          <t>Consignado INSS e FGTS</t>
        </is>
      </c>
      <c r="AR98" s="74" t="inlineStr">
        <is>
          <t>Financeiro</t>
        </is>
      </c>
      <c r="AS98" s="74" t="b">
        <v>1</v>
      </c>
      <c r="AT98" s="74" t="inlineStr">
        <is>
          <t>regulamento + auditoria documental</t>
        </is>
      </c>
      <c r="AU98" s="74" t="inlineStr">
        <is>
          <t>Devedores são titulares de FGTS e emitem CCB</t>
        </is>
      </c>
      <c r="AV98" s="74" t="inlineStr">
        <is>
          <t>N/D</t>
        </is>
      </c>
      <c r="AW98" s="74" t="b">
        <v>0</v>
      </c>
      <c r="AX98" s="74" t="inlineStr">
        <is>
          <t>N/D</t>
        </is>
      </c>
      <c r="AY98" s="74" t="inlineStr">
        <is>
          <t>sem benchmark confiável</t>
        </is>
      </c>
      <c r="AZ98" s="140" t="inlineStr">
        <is>
          <t>N/D</t>
        </is>
      </c>
      <c r="BA98" s="74" t="b">
        <v>1</v>
      </c>
      <c r="BB98" s="141" t="n">
        <v>12</v>
      </c>
      <c r="BC98" s="139" t="n">
        <v>1000</v>
      </c>
      <c r="BD98" s="74" t="inlineStr">
        <is>
          <t>Cotas Seniores: R$ 1.000,00</t>
        </is>
      </c>
      <c r="BE98" s="74" t="inlineStr">
        <is>
          <t>valor nominal unitário (VNU)</t>
        </is>
      </c>
      <c r="BF98" s="74" t="inlineStr">
        <is>
          <t>Cotas Seniores</t>
        </is>
      </c>
      <c r="BG98" s="74" t="inlineStr">
        <is>
          <t>30/09/2025</t>
        </is>
      </c>
      <c r="BH98" s="74" t="inlineStr">
        <is>
          <t>1003989</t>
        </is>
      </c>
      <c r="BI98" s="74" t="inlineStr">
        <is>
          <t>https://fnet.bmfbovespa.com.br/fnet/publico/downloadDocumento?id=1003989</t>
        </is>
      </c>
      <c r="BJ98" s="74" t="inlineStr">
        <is>
          <t>localizado documentalmente</t>
        </is>
      </c>
      <c r="BK98" s="74" t="b">
        <v>0</v>
      </c>
      <c r="BL98" s="74" t="inlineStr">
        <is>
          <t>BMP (Bancarizador)</t>
        </is>
      </c>
      <c r="BM98" s="74" t="inlineStr">
        <is>
          <t>cedente</t>
        </is>
      </c>
      <c r="BN98" s="74" t="inlineStr">
        <is>
          <t>N/D</t>
        </is>
      </c>
      <c r="BO98" s="74" t="inlineStr">
        <is>
          <t>BMP (Bancarizador)</t>
        </is>
      </c>
      <c r="BP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8" s="74" t="inlineStr">
        <is>
          <t>N/D</t>
        </is>
      </c>
      <c r="BR98" s="74" t="inlineStr">
        <is>
          <t>cedente: IMG_8707.jpg | sacado_devedor: https://fnet.bmfbovespa.com.br/fnet/publico/downloadDocumento?id=998769</t>
        </is>
      </c>
      <c r="BS98" s="74" t="inlineStr">
        <is>
          <t>manual_aplicado</t>
        </is>
      </c>
      <c r="BT98" s="74" t="inlineStr">
        <is>
          <t>OBS parcialmente legível: Via Invest (Gestorada grupo faz co-gestão). Denominação cortada.</t>
        </is>
      </c>
      <c r="BU98" s="74" t="inlineStr">
        <is>
          <t>998769</t>
        </is>
      </c>
      <c r="BV98" s="74" t="inlineStr">
        <is>
          <t>2025-09-22</t>
        </is>
      </c>
      <c r="BW98" s="74" t="inlineStr">
        <is>
          <t>44; 64</t>
        </is>
      </c>
      <c r="BX98" s="74" t="inlineStr">
        <is>
          <t>revisto — mínimo júnior localizado</t>
        </is>
      </c>
      <c r="BY98" s="74" t="inlineStr">
        <is>
          <t>FundosNet/B3; documento 998769; referência 2025-09-22; p. 44; 64</t>
        </is>
      </c>
      <c r="BZ98" s="74" t="inlineStr">
        <is>
          <t>Índice mantido pelas cotas júnior / PL, mínimo de 15,0%; há classe mezanino.</t>
        </is>
      </c>
      <c r="CA98" s="74" t="inlineStr">
        <is>
          <t>Sub/PL atual; originador; tipo de recebível</t>
        </is>
      </c>
      <c r="CB98" s="74" t="inlineStr">
        <is>
          <t>sub_pl_atual_ausente</t>
        </is>
      </c>
    </row>
    <row r="99" ht="31.5" customHeight="1">
      <c r="A99" s="75" t="n">
        <v>95</v>
      </c>
      <c r="B99" s="142" t="n">
        <v>63657457000193</v>
      </c>
      <c r="C99" s="75" t="inlineStr">
        <is>
          <t>63.657.457/0001-93</t>
        </is>
      </c>
      <c r="D99" s="75" t="inlineStr">
        <is>
          <t>MSV3 FUNDO DE INVESTIMENTO EM DIREITOS CREDITÓRIOS RECEBÍVEIS COMERCIAIS RESPONSABILIDADE LIMITADA</t>
        </is>
      </c>
      <c r="E99" s="75" t="inlineStr">
        <is>
          <t>MSV3 FUNDO DE INVESTIMENTO EM DIREITOS CREDITORIOS RECEBIVEIS COMERCIAIS</t>
        </is>
      </c>
      <c r="F99" s="75" t="inlineStr">
        <is>
          <t>Carteira 101</t>
        </is>
      </c>
      <c r="G99" s="75" t="inlineStr">
        <is>
          <t>2026-06</t>
        </is>
      </c>
      <c r="H99" s="75" t="inlineStr">
        <is>
          <t>localizado</t>
        </is>
      </c>
      <c r="I99" s="143" t="n">
        <v>311503782.69</v>
      </c>
      <c r="J99" s="143" t="n">
        <v>311503782.6895735</v>
      </c>
      <c r="K99" s="143" t="n">
        <v>113127865.2589735</v>
      </c>
      <c r="L99" s="144" t="n">
        <v>0.3631669069378692</v>
      </c>
      <c r="M99" s="75" t="inlineStr">
        <is>
          <t>Calculado com classes reportadas e PL oficial reconciliado</t>
        </is>
      </c>
      <c r="N99" s="144" t="n">
        <v>0.25</v>
      </c>
      <c r="O99" s="144" t="inlineStr">
        <is>
          <t>N/D</t>
        </is>
      </c>
      <c r="P99" s="144" t="inlineStr">
        <is>
          <t>N/D</t>
        </is>
      </c>
      <c r="Q99" s="144" t="inlineStr">
        <is>
          <t>N/D</t>
        </is>
      </c>
      <c r="R99" s="144" t="inlineStr">
        <is>
          <t>N/D</t>
        </is>
      </c>
      <c r="S99" s="144" t="n">
        <v>0.25</v>
      </c>
      <c r="T99" s="75" t="inlineStr">
        <is>
          <t>N/D</t>
        </is>
      </c>
      <c r="U99" s="75" t="inlineStr">
        <is>
          <t>junior_pl</t>
        </is>
      </c>
      <c r="V99" s="75" t="inlineStr">
        <is>
          <t>direto no regulamento</t>
        </is>
      </c>
      <c r="W99" s="75" t="b">
        <v>0</v>
      </c>
      <c r="X99" s="75" t="inlineStr">
        <is>
          <t>Mínimo júnior isolado; a subordinação atual disponível agrega todas as classes subordinadas.</t>
        </is>
      </c>
      <c r="Y99" s="75" t="b">
        <v>0</v>
      </c>
      <c r="Z99" s="144" t="inlineStr">
        <is>
          <t>N/D</t>
        </is>
      </c>
      <c r="AA99" s="144" t="inlineStr">
        <is>
          <t>N/D</t>
        </is>
      </c>
      <c r="AB99" s="75" t="inlineStr">
        <is>
          <t>não medido</t>
        </is>
      </c>
      <c r="AC99" s="75" t="inlineStr">
        <is>
          <t>Agro, Indústria e Comércio</t>
        </is>
      </c>
      <c r="AD99" s="75" t="inlineStr">
        <is>
          <t>Recebíveis Comerciais</t>
        </is>
      </c>
      <c r="AE99" s="75" t="inlineStr">
        <is>
          <t>Agro / Revenda</t>
        </is>
      </c>
      <c r="AF99" s="75" t="inlineStr">
        <is>
          <t>Agro / Revenda</t>
        </is>
      </c>
      <c r="AG99" s="75" t="inlineStr">
        <is>
          <t>Agro / Revenda</t>
        </is>
      </c>
      <c r="AH99" s="75" t="inlineStr">
        <is>
          <t>Risco Corporativo</t>
        </is>
      </c>
      <c r="AI99" s="75" t="inlineStr">
        <is>
          <t>Recebíveis comerciais de serviços/indústria</t>
        </is>
      </c>
      <c r="AJ99" s="75" t="b">
        <v>1</v>
      </c>
      <c r="AK99" s="75" t="inlineStr">
        <is>
          <t>APLICAR_ALTA</t>
        </is>
      </c>
      <c r="AL99" s="75" t="inlineStr">
        <is>
          <t>Originadores ligados à Manserv e carteira comercial</t>
        </is>
      </c>
      <c r="AM99" s="75" t="inlineStr">
        <is>
          <t>rating 1118693</t>
        </is>
      </c>
      <c r="AN99" s="75" t="inlineStr">
        <is>
          <t>Candidato</t>
        </is>
      </c>
      <c r="AO99" s="75" t="inlineStr">
        <is>
          <t>rating 1118693</t>
        </is>
      </c>
      <c r="AP99" s="75" t="inlineStr">
        <is>
          <t>N/D</t>
        </is>
      </c>
      <c r="AQ99" s="75" t="inlineStr">
        <is>
          <t>Risco Corporativo</t>
        </is>
      </c>
      <c r="AR99" s="75" t="inlineStr">
        <is>
          <t>Agro / Revenda</t>
        </is>
      </c>
      <c r="AS99" s="75" t="b">
        <v>1</v>
      </c>
      <c r="AT99" s="75" t="inlineStr">
        <is>
          <t>rating 1118693</t>
        </is>
      </c>
      <c r="AU99" s="75" t="inlineStr">
        <is>
          <t>Originadores ligados à Manserv e carteira comercial</t>
        </is>
      </c>
      <c r="AV99" s="75" t="inlineStr">
        <is>
          <t>35%–60%</t>
        </is>
      </c>
      <c r="AW99" s="75" t="b">
        <v>1</v>
      </c>
      <c r="AX99" s="75" t="inlineStr">
        <is>
          <t>incomparável</t>
        </is>
      </c>
      <c r="AY99" s="75" t="inlineStr">
        <is>
          <t>sem benchmark confiável</t>
        </is>
      </c>
      <c r="AZ99" s="144" t="inlineStr">
        <is>
          <t>N/D</t>
        </is>
      </c>
      <c r="BA99" s="75" t="b">
        <v>0</v>
      </c>
      <c r="BB99" s="145" t="n">
        <v>0</v>
      </c>
      <c r="BC99" s="143" t="n">
        <v>1000</v>
      </c>
      <c r="BD99" s="75" t="inlineStr">
        <is>
          <t>R$ 1.000,00</t>
        </is>
      </c>
      <c r="BE99" s="75" t="inlineStr">
        <is>
          <t>preço/valor unitário de emissão</t>
        </is>
      </c>
      <c r="BF99" s="75" t="inlineStr">
        <is>
          <t>N/D</t>
        </is>
      </c>
      <c r="BG99" s="75" t="inlineStr">
        <is>
          <t>27/05/2026</t>
        </is>
      </c>
      <c r="BH99" s="75" t="inlineStr">
        <is>
          <t>1205333</t>
        </is>
      </c>
      <c r="BI99" s="75" t="inlineStr">
        <is>
          <t>https://fnet.bmfbovespa.com.br/fnet/publico/downloadDocumento?id=1205333</t>
        </is>
      </c>
      <c r="BJ99" s="75" t="inlineStr">
        <is>
          <t>localizado documentalmente</t>
        </is>
      </c>
      <c r="BK99" s="75" t="b">
        <v>1</v>
      </c>
      <c r="BL99" s="75" t="inlineStr">
        <is>
          <t>N/D</t>
        </is>
      </c>
      <c r="BM99" s="75" t="inlineStr">
        <is>
          <t>N/D</t>
        </is>
      </c>
      <c r="BN99" s="75" t="inlineStr">
        <is>
          <t>N/D</t>
        </is>
      </c>
      <c r="BO99" s="75" t="inlineStr">
        <is>
          <t>Originadores</t>
        </is>
      </c>
      <c r="BP99" s="75" t="inlineStr">
        <is>
          <t>não tenham relação com qualquer comercialização de tabaco ou qualquer espécie de fumo ou com distribuição de combustíveis (exceto, nesse último caso, se forem companhias abertas), conforme informado pela respectiva</t>
        </is>
      </c>
      <c r="BQ99" s="75" t="inlineStr">
        <is>
          <t>N/D</t>
        </is>
      </c>
      <c r="BR99" s="75" t="inlineStr">
        <is>
          <t>cedente: https://fnet.bmfbovespa.com.br/fnet/publico/downloadDocumento?id=1118693 | sacado_devedor: https://fnet.bmfbovespa.com.br/fnet/publico/downloadDocumento?id=1118693</t>
        </is>
      </c>
      <c r="BS99" s="75" t="inlineStr">
        <is>
          <t>sem_overlay</t>
        </is>
      </c>
      <c r="BT99" s="75" t="inlineStr">
        <is>
          <t>N/D</t>
        </is>
      </c>
      <c r="BU99" s="75" t="inlineStr">
        <is>
          <t>1205333</t>
        </is>
      </c>
      <c r="BV99" s="75" t="inlineStr">
        <is>
          <t>2026-05-27</t>
        </is>
      </c>
      <c r="BW99" s="75" t="inlineStr">
        <is>
          <t>28</t>
        </is>
      </c>
      <c r="BX99" s="75" t="inlineStr">
        <is>
          <t>revisto — mínimo júnior localizado</t>
        </is>
      </c>
      <c r="BY99" s="75" t="inlineStr">
        <is>
          <t>FundosNet/B3; documento 1205333; referência 2026-05-27; p. 28</t>
        </is>
      </c>
      <c r="BZ99" s="75" t="inlineStr">
        <is>
          <t>Cotas subordinadas júnior / PL, mínimo de 25,0%.</t>
        </is>
      </c>
      <c r="CA99" s="75" t="inlineStr">
        <is>
          <t>originador; tipo de recebível</t>
        </is>
      </c>
      <c r="CB99" s="75" t="inlineStr">
        <is>
          <t>estrutura_incomparavel</t>
        </is>
      </c>
    </row>
    <row r="100" ht="31.5" customHeight="1">
      <c r="A100" s="74" t="n">
        <v>96</v>
      </c>
      <c r="B100" s="138" t="n">
        <v>63066147000102</v>
      </c>
      <c r="C100" s="74" t="inlineStr">
        <is>
          <t>63.066.147/0001-02</t>
        </is>
      </c>
      <c r="D100" s="74" t="inlineStr">
        <is>
          <t>FUNDO DE INVESTIMENTO EM DIREITOS CREDITÓRIOS INCLUSÃO CREDIÁRIA RESPONSABILIDADE LIMITADA</t>
        </is>
      </c>
      <c r="E100" s="74" t="inlineStr">
        <is>
          <t>FUNDO DE INVESTIMENTO EM DIREITOS</t>
        </is>
      </c>
      <c r="F100" s="74" t="inlineStr">
        <is>
          <t>Carteira 101</t>
        </is>
      </c>
      <c r="G100" s="74" t="inlineStr">
        <is>
          <t>2026-06</t>
        </is>
      </c>
      <c r="H100" s="74" t="inlineStr">
        <is>
          <t>localizado</t>
        </is>
      </c>
      <c r="I100" s="139" t="n">
        <v>156443253.15</v>
      </c>
      <c r="J100" s="139" t="n">
        <v>156443271.1184409</v>
      </c>
      <c r="K100" s="139" t="n">
        <v>81292572.48349294</v>
      </c>
      <c r="L100" s="140" t="n">
        <v>0.519629775312512</v>
      </c>
      <c r="M100" s="74" t="inlineStr">
        <is>
          <t>Calculado com classes reportadas e PL oficial reconciliado</t>
        </is>
      </c>
      <c r="N100" s="140" t="n">
        <v>0.125</v>
      </c>
      <c r="O100" s="140" t="inlineStr">
        <is>
          <t>N/D</t>
        </is>
      </c>
      <c r="P100" s="140" t="inlineStr">
        <is>
          <t>N/D</t>
        </is>
      </c>
      <c r="Q100" s="140" t="inlineStr">
        <is>
          <t>N/D</t>
        </is>
      </c>
      <c r="R100" s="140" t="inlineStr">
        <is>
          <t>N/D</t>
        </is>
      </c>
      <c r="S100" s="140" t="n">
        <v>0.125</v>
      </c>
      <c r="T100" s="74" t="inlineStr">
        <is>
          <t>N/D</t>
        </is>
      </c>
      <c r="U100" s="74" t="inlineStr">
        <is>
          <t>junior_pl</t>
        </is>
      </c>
      <c r="V100" s="74" t="inlineStr">
        <is>
          <t>direto no regulamento</t>
        </is>
      </c>
      <c r="W100" s="74" t="b">
        <v>0</v>
      </c>
      <c r="X100" s="74" t="inlineStr">
        <is>
          <t>Mínimo júnior isolado; a subordinação atual disponível agrega todas as classes subordinadas.</t>
        </is>
      </c>
      <c r="Y100" s="74" t="b">
        <v>0</v>
      </c>
      <c r="Z100" s="140" t="inlineStr">
        <is>
          <t>N/D</t>
        </is>
      </c>
      <c r="AA100" s="140" t="inlineStr">
        <is>
          <t>N/D</t>
        </is>
      </c>
      <c r="AB100" s="74" t="inlineStr">
        <is>
          <t>não medido</t>
        </is>
      </c>
      <c r="AC100" s="74" t="inlineStr">
        <is>
          <t>Financeiro</t>
        </is>
      </c>
      <c r="AD100" s="74" t="inlineStr">
        <is>
          <t>Multicarteira Financeiro</t>
        </is>
      </c>
      <c r="AE100" s="74" t="inlineStr">
        <is>
          <t>Financeiro</t>
        </is>
      </c>
      <c r="AF100" s="74" t="inlineStr">
        <is>
          <t>Financeiro</t>
        </is>
      </c>
      <c r="AG100" s="74" t="inlineStr">
        <is>
          <t>Financeiro</t>
        </is>
      </c>
      <c r="AH100" s="74" t="inlineStr">
        <is>
          <t>Financeiro</t>
        </is>
      </c>
      <c r="AI100" s="74" t="inlineStr">
        <is>
          <t>Crédito Supersim, CCBs</t>
        </is>
      </c>
      <c r="AJ100" s="74" t="b">
        <v>0</v>
      </c>
      <c r="AK100" s="74" t="inlineStr">
        <is>
          <t>MANTER_ALTA</t>
        </is>
      </c>
      <c r="AL100" s="74" t="inlineStr">
        <is>
          <t>Direitos são CCBs de operações de crédito</t>
        </is>
      </c>
      <c r="AM100" s="74" t="inlineStr">
        <is>
          <t>regulamento 1085943</t>
        </is>
      </c>
      <c r="AN100" s="74" t="inlineStr">
        <is>
          <t>Não</t>
        </is>
      </c>
      <c r="AO100" s="74" t="inlineStr">
        <is>
          <t>regulamento 1085943</t>
        </is>
      </c>
      <c r="AP100" s="74" t="b">
        <v>0</v>
      </c>
      <c r="AQ100" s="74" t="inlineStr">
        <is>
          <t>Financeiro</t>
        </is>
      </c>
      <c r="AR100" s="74" t="inlineStr">
        <is>
          <t>Financeiro</t>
        </is>
      </c>
      <c r="AS100" s="74" t="b">
        <v>0</v>
      </c>
      <c r="AT100" s="74" t="inlineStr">
        <is>
          <t>N/D</t>
        </is>
      </c>
      <c r="AU100" s="74" t="inlineStr">
        <is>
          <t>N/D</t>
        </is>
      </c>
      <c r="AV100" s="74" t="inlineStr">
        <is>
          <t>35%–60%</t>
        </is>
      </c>
      <c r="AW100" s="74" t="b">
        <v>1</v>
      </c>
      <c r="AX100" s="74" t="inlineStr">
        <is>
          <t>incomparável</t>
        </is>
      </c>
      <c r="AY100" s="74" t="inlineStr">
        <is>
          <t>acima do mercado</t>
        </is>
      </c>
      <c r="AZ100" s="140" t="n">
        <v>0.2181702150312609</v>
      </c>
      <c r="BA100" s="74" t="b">
        <v>1</v>
      </c>
      <c r="BB100" s="141" t="n">
        <v>12</v>
      </c>
      <c r="BC100" s="139" t="n">
        <v>1000</v>
      </c>
      <c r="BD100" s="74" t="inlineStr">
        <is>
          <t>R$ 1.000,00</t>
        </is>
      </c>
      <c r="BE100" s="74" t="inlineStr">
        <is>
          <t>valor nominal unitário (VNU)</t>
        </is>
      </c>
      <c r="BF100" s="74" t="inlineStr">
        <is>
          <t>N/D</t>
        </is>
      </c>
      <c r="BG100" s="74" t="inlineStr">
        <is>
          <t>2026-01-15</t>
        </is>
      </c>
      <c r="BH100" s="74" t="inlineStr">
        <is>
          <t>1085943</t>
        </is>
      </c>
      <c r="BI100" s="74" t="inlineStr">
        <is>
          <t>https://fnet.bmfbovespa.com.br/fnet/publico/downloadDocumento?id=1085943</t>
        </is>
      </c>
      <c r="BJ100" s="74" t="inlineStr">
        <is>
          <t>localizado documentalmente</t>
        </is>
      </c>
      <c r="BK100" s="74" t="b">
        <v>1</v>
      </c>
      <c r="BL100" s="74" t="inlineStr">
        <is>
          <t>Supersim</t>
        </is>
      </c>
      <c r="BM100" s="74" t="inlineStr">
        <is>
          <t>cedente</t>
        </is>
      </c>
      <c r="BN100" s="74" t="inlineStr">
        <is>
          <t>N/D</t>
        </is>
      </c>
      <c r="BO100" s="74" t="inlineStr">
        <is>
          <t>Supersim</t>
        </is>
      </c>
      <c r="BP100" s="74" t="inlineStr">
        <is>
          <t>N/D</t>
        </is>
      </c>
      <c r="BQ100" s="74" t="inlineStr">
        <is>
          <t>todos os direitos de crédito vincendos adquiridos ou a serem adquiridos pela Classe Única, representados por CCBs decorrentes da concessão de Crédito Docusign Envelope ID: 9DE35450-3BDE-4638-A712-3F4C7F8F1EF5</t>
        </is>
      </c>
      <c r="BR100" s="74" t="inlineStr">
        <is>
          <t>cedente: IMG_8707.jpg | tipo_recebivel: https://fnet.bmfbovespa.com.br/fnet/publico/downloadDocumento?id=1085943</t>
        </is>
      </c>
      <c r="BS100" s="74" t="inlineStr">
        <is>
          <t>manual_aplicado</t>
        </is>
      </c>
      <c r="BT100" s="74" t="inlineStr">
        <is>
          <t>Denominação cortada pela largura da coluna na foto.</t>
        </is>
      </c>
      <c r="BU100" s="74" t="inlineStr">
        <is>
          <t>1085946</t>
        </is>
      </c>
      <c r="BV100" s="74" t="inlineStr">
        <is>
          <t>2026-01-15</t>
        </is>
      </c>
      <c r="BW100" s="74" t="inlineStr">
        <is>
          <t>12</t>
        </is>
      </c>
      <c r="BX100" s="74" t="inlineStr">
        <is>
          <t>revisto — mínimo júnior localizado</t>
        </is>
      </c>
      <c r="BY100" s="74" t="inlineStr">
        <is>
          <t>FundosNet/B3; documento 1085946; referência 2026-01-15; p. 12</t>
        </is>
      </c>
      <c r="BZ100" s="74" t="inlineStr">
        <is>
          <t>Cotas júnior / PL, mínimo de 12,5%; 17,5% enquanto houver rebaixamento contratualmente definido.</t>
        </is>
      </c>
      <c r="CA100" s="74" t="inlineStr">
        <is>
          <t>originador; sacado/devedor</t>
        </is>
      </c>
      <c r="CB100" s="74" t="inlineStr">
        <is>
          <t>estrutura_incomparavel</t>
        </is>
      </c>
    </row>
    <row r="101" ht="31.5" customHeight="1">
      <c r="A101" s="75" t="n">
        <v>97</v>
      </c>
      <c r="B101" s="142" t="n">
        <v>65836995000170</v>
      </c>
      <c r="C101" s="75" t="inlineStr">
        <is>
          <t>65.836.995/0001-70</t>
        </is>
      </c>
      <c r="D101" s="75" t="inlineStr">
        <is>
          <t>PNEUCASH II FUNDO DE INVESTIMENTO EM DIREITOS CREDITÓRIOS DE CLASSE ÚNICA FECHADA RESP LIMITADA</t>
        </is>
      </c>
      <c r="E101" s="75" t="inlineStr">
        <is>
          <t>DAYCOVAL 0410 FUNDO DE INV EM DIREITOS CREDITORIOS</t>
        </is>
      </c>
      <c r="F101" s="75" t="inlineStr">
        <is>
          <t>Carteira 101</t>
        </is>
      </c>
      <c r="G101" s="75" t="inlineStr">
        <is>
          <t>2026-06</t>
        </is>
      </c>
      <c r="H101" s="75" t="inlineStr">
        <is>
          <t>localizado</t>
        </is>
      </c>
      <c r="I101" s="143" t="n">
        <v>154321628.99</v>
      </c>
      <c r="J101" s="143" t="n">
        <v>153129896.940435</v>
      </c>
      <c r="K101" s="143" t="n">
        <v>30662317.480035</v>
      </c>
      <c r="L101" s="144" t="inlineStr">
        <is>
          <t>N/D</t>
        </is>
      </c>
      <c r="M101" s="75" t="inlineStr">
        <is>
          <t>N/D</t>
        </is>
      </c>
      <c r="N101" s="144" t="inlineStr">
        <is>
          <t>N/D</t>
        </is>
      </c>
      <c r="O101" s="144" t="inlineStr">
        <is>
          <t>N/D</t>
        </is>
      </c>
      <c r="P101" s="144" t="inlineStr">
        <is>
          <t>N/D</t>
        </is>
      </c>
      <c r="Q101" s="144" t="n">
        <v>0.2</v>
      </c>
      <c r="R101" s="144" t="inlineStr">
        <is>
          <t>N/D</t>
        </is>
      </c>
      <c r="S101" s="144" t="n">
        <v>0.2</v>
      </c>
      <c r="T101" s="75" t="inlineStr">
        <is>
          <t>20,0%*</t>
        </is>
      </c>
      <c r="U101" s="75" t="inlineStr">
        <is>
          <t>suporte_total_pl</t>
        </is>
      </c>
      <c r="V101" s="75" t="inlineStr">
        <is>
          <t>direto no regulamento</t>
        </is>
      </c>
      <c r="W101" s="75" t="b">
        <v>1</v>
      </c>
      <c r="X101" s="75" t="inlineStr">
        <is>
          <t>Suporte total ou combinado; não representa mínimo júnior isolado.</t>
        </is>
      </c>
      <c r="Y101" s="75" t="b">
        <v>1</v>
      </c>
      <c r="Z101" s="144" t="inlineStr">
        <is>
          <t>N/D</t>
        </is>
      </c>
      <c r="AA101" s="144" t="inlineStr">
        <is>
          <t>N/D</t>
        </is>
      </c>
      <c r="AB101" s="75" t="inlineStr">
        <is>
          <t>não medido</t>
        </is>
      </c>
      <c r="AC101" s="75" t="inlineStr">
        <is>
          <t>Financeiro</t>
        </is>
      </c>
      <c r="AD101" s="75" t="inlineStr">
        <is>
          <t>Multicarteira Financeiro</t>
        </is>
      </c>
      <c r="AE101" s="75" t="inlineStr">
        <is>
          <t>Financeiro</t>
        </is>
      </c>
      <c r="AF101" s="75" t="inlineStr">
        <is>
          <t>Financeiro</t>
        </is>
      </c>
      <c r="AG101" s="75" t="inlineStr">
        <is>
          <t>Financeiro</t>
        </is>
      </c>
      <c r="AH101" s="75" t="inlineStr">
        <is>
          <t>Risco Corporativo</t>
        </is>
      </c>
      <c r="AI101" s="75" t="inlineStr">
        <is>
          <t>Recebíveis comerciais de produtos Cantu Store</t>
        </is>
      </c>
      <c r="AJ101" s="75" t="b">
        <v>1</v>
      </c>
      <c r="AK101" s="75" t="inlineStr">
        <is>
          <t>APLICAR_ALTA</t>
        </is>
      </c>
      <c r="AL101" s="75" t="inlineStr">
        <is>
          <t>Vendas locais a prazo para PF/PJ</t>
        </is>
      </c>
      <c r="AM101" s="75" t="inlineStr">
        <is>
          <t>regulamento 1184844</t>
        </is>
      </c>
      <c r="AN101" s="75" t="inlineStr">
        <is>
          <t>Candidato</t>
        </is>
      </c>
      <c r="AO101" s="75" t="inlineStr">
        <is>
          <t>regulamento 1184844</t>
        </is>
      </c>
      <c r="AP101" s="75" t="inlineStr">
        <is>
          <t>N/D</t>
        </is>
      </c>
      <c r="AQ101" s="75" t="inlineStr">
        <is>
          <t>Risco Corporativo</t>
        </is>
      </c>
      <c r="AR101" s="75" t="inlineStr">
        <is>
          <t>Financeiro</t>
        </is>
      </c>
      <c r="AS101" s="75" t="b">
        <v>1</v>
      </c>
      <c r="AT101" s="75" t="inlineStr">
        <is>
          <t>regulamento 1184844</t>
        </is>
      </c>
      <c r="AU101" s="75" t="inlineStr">
        <is>
          <t>Vendas locais a prazo para PF/PJ</t>
        </is>
      </c>
      <c r="AV101" s="75" t="inlineStr">
        <is>
          <t>N/D</t>
        </is>
      </c>
      <c r="AW101" s="75" t="b">
        <v>0</v>
      </c>
      <c r="AX101" s="75" t="inlineStr">
        <is>
          <t>N/D</t>
        </is>
      </c>
      <c r="AY101" s="75" t="inlineStr">
        <is>
          <t>sem benchmark confiável</t>
        </is>
      </c>
      <c r="AZ101" s="144" t="inlineStr">
        <is>
          <t>N/D</t>
        </is>
      </c>
      <c r="BA101" s="75" t="b">
        <v>1</v>
      </c>
      <c r="BB101" s="145" t="n">
        <v>12</v>
      </c>
      <c r="BC101" s="143" t="n">
        <v>1000</v>
      </c>
      <c r="BD101" s="75" t="inlineStr">
        <is>
          <t>Cotas Subordinadas Junior: R$ 1.000,00 | Cotas Subordinadas Mezanino: R$ 1.000,00 | Série de Cotas Seniores: R$ 1.000,00</t>
        </is>
      </c>
      <c r="BE101" s="75" t="inlineStr">
        <is>
          <t>preço/valor unitário de emissão</t>
        </is>
      </c>
      <c r="BF101" s="75" t="inlineStr">
        <is>
          <t>Cotas Subordinadas Junior | Cotas Subordinadas Mezanino | Série de Cotas Seniores</t>
        </is>
      </c>
      <c r="BG101" s="75" t="inlineStr">
        <is>
          <t>2026-05-11</t>
        </is>
      </c>
      <c r="BH101" s="75" t="inlineStr">
        <is>
          <t>1188501</t>
        </is>
      </c>
      <c r="BI101" s="75" t="inlineStr">
        <is>
          <t>https://fnet.bmfbovespa.com.br/fnet/publico/downloadDocumento?id=1188501</t>
        </is>
      </c>
      <c r="BJ101" s="75" t="inlineStr">
        <is>
          <t>localizado documentalmente — múltiplos valores/classes</t>
        </is>
      </c>
      <c r="BK101" s="75" t="b">
        <v>1</v>
      </c>
      <c r="BL101" s="75" t="inlineStr">
        <is>
          <t>Cantu Store</t>
        </is>
      </c>
      <c r="BM101" s="75" t="inlineStr">
        <is>
          <t>cedente</t>
        </is>
      </c>
      <c r="BN101" s="75" t="inlineStr">
        <is>
          <t>N/D</t>
        </is>
      </c>
      <c r="BO101" s="75" t="inlineStr">
        <is>
          <t>Cantu Store</t>
        </is>
      </c>
      <c r="BP101" s="75" t="inlineStr">
        <is>
          <t>os devedores (sacados), pessoas físicas ou jurídicas, que tenham estabelecido relação de consumo dos Direitos Creditórios com as Cedentes</t>
        </is>
      </c>
      <c r="BQ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101" s="75" t="inlineStr">
        <is>
          <t>cedente: IMG_8707.jpg | sacado_devedor: https://fnet.bmfbovespa.com.br/fnet/publico/downloadDocumento?id=1184844 | tipo_recebivel: https://fnet.bmfbovespa.com.br/fnet/publico/downloadDocumento?id=1184844</t>
        </is>
      </c>
      <c r="BS101" s="75" t="inlineStr">
        <is>
          <t>manual_aplicado</t>
        </is>
      </c>
      <c r="BT101" s="75" t="inlineStr">
        <is>
          <t>N/D</t>
        </is>
      </c>
      <c r="BU101" s="75" t="inlineStr">
        <is>
          <t>1184847</t>
        </is>
      </c>
      <c r="BV101" s="75" t="inlineStr">
        <is>
          <t>2026-05-11</t>
        </is>
      </c>
      <c r="BW101" s="75" t="inlineStr">
        <is>
          <t>49–50</t>
        </is>
      </c>
      <c r="BX101" s="75" t="inlineStr">
        <is>
          <t>revisto — suporte estrutural total localizado</t>
        </is>
      </c>
      <c r="BY101" s="75" t="inlineStr">
        <is>
          <t>FundosNet/B3; documento 1184847; referência 2026-05-11; p. 49–50</t>
        </is>
      </c>
      <c r="BZ101" s="75" t="inlineStr">
        <is>
          <t>N/D</t>
        </is>
      </c>
      <c r="CA101" s="75" t="inlineStr">
        <is>
          <t>Sub/PL atual; originador</t>
        </is>
      </c>
      <c r="CB101" s="75" t="inlineStr">
        <is>
          <t>sub_pl_atual_ausente</t>
        </is>
      </c>
    </row>
    <row r="102" ht="31.5" customHeight="1">
      <c r="A102" s="74" t="n">
        <v>98</v>
      </c>
      <c r="B102" s="138" t="n">
        <v>65873297000145</v>
      </c>
      <c r="C102" s="74" t="inlineStr">
        <is>
          <t>65.873.297/0001-45</t>
        </is>
      </c>
      <c r="D102" s="74" t="inlineStr">
        <is>
          <t>ARCELORMITTAL VÉRTICE FUNDO DE INVESTIMENTO EM DIREITOS CREDITÓRIOS COMERCIAIS - RESP LIMITADA</t>
        </is>
      </c>
      <c r="E102" s="74" t="inlineStr">
        <is>
          <t>ARCELORMITTAL VERTICE FUNDO DE INVESTIMENTO EM DIREITOS CRED</t>
        </is>
      </c>
      <c r="F102" s="74" t="inlineStr">
        <is>
          <t>Carteira 101</t>
        </is>
      </c>
      <c r="G102" s="74" t="inlineStr">
        <is>
          <t>2026-06</t>
        </is>
      </c>
      <c r="H102" s="74" t="inlineStr">
        <is>
          <t>localizado</t>
        </is>
      </c>
      <c r="I102" s="139" t="n">
        <v>162575853.76</v>
      </c>
      <c r="J102" s="139" t="n">
        <v>162575853.7551636</v>
      </c>
      <c r="K102" s="139" t="n">
        <v>30287869.38012357</v>
      </c>
      <c r="L102" s="140" t="n">
        <v>0.1862999251096387</v>
      </c>
      <c r="M102" s="74" t="inlineStr">
        <is>
          <t>Calculado com classes reportadas e PL oficial reconciliado</t>
        </is>
      </c>
      <c r="N102" s="140" t="n">
        <v>0.12</v>
      </c>
      <c r="O102" s="140" t="inlineStr">
        <is>
          <t>N/D</t>
        </is>
      </c>
      <c r="P102" s="140" t="inlineStr">
        <is>
          <t>N/D</t>
        </is>
      </c>
      <c r="Q102" s="140" t="n">
        <v>0.12</v>
      </c>
      <c r="R102" s="140" t="inlineStr">
        <is>
          <t>N/D</t>
        </is>
      </c>
      <c r="S102" s="140" t="n">
        <v>0.12</v>
      </c>
      <c r="T102" s="74" t="inlineStr">
        <is>
          <t>12,0%</t>
        </is>
      </c>
      <c r="U102" s="74" t="inlineStr">
        <is>
          <t>junior_pl</t>
        </is>
      </c>
      <c r="V102" s="74" t="inlineStr">
        <is>
          <t>direto no regulamento</t>
        </is>
      </c>
      <c r="W102" s="74" t="b">
        <v>1</v>
      </c>
      <c r="X102" s="74" t="inlineStr">
        <is>
          <t>Estrutura com uma única classe subordinada; métrica atual e piso usam o total subordinado sobre o PL.</t>
        </is>
      </c>
      <c r="Y102" s="74" t="b">
        <v>0</v>
      </c>
      <c r="Z102" s="140" t="n">
        <v>0.06629992510963872</v>
      </c>
      <c r="AA102" s="140" t="n">
        <v>0.07534082398822582</v>
      </c>
      <c r="AB102" s="74" t="inlineStr">
        <is>
          <t>acima do mínimo</t>
        </is>
      </c>
      <c r="AC102" s="74" t="inlineStr">
        <is>
          <t>Agro, Indústria e Comércio</t>
        </is>
      </c>
      <c r="AD102" s="74" t="inlineStr">
        <is>
          <t>Recebíveis Comerciais</t>
        </is>
      </c>
      <c r="AE102" s="74" t="inlineStr">
        <is>
          <t>Agro / Revenda</t>
        </is>
      </c>
      <c r="AF102" s="74" t="inlineStr">
        <is>
          <t>Agro / Revenda</t>
        </is>
      </c>
      <c r="AG102" s="74" t="inlineStr">
        <is>
          <t>Agro / Revenda</t>
        </is>
      </c>
      <c r="AH102" s="74" t="inlineStr">
        <is>
          <t>Risco Corporativo</t>
        </is>
      </c>
      <c r="AI102" s="74" t="inlineStr">
        <is>
          <t>Supplier finance, ArcelorMittal como devedora</t>
        </is>
      </c>
      <c r="AJ102" s="74" t="b">
        <v>1</v>
      </c>
      <c r="AK102" s="74" t="inlineStr">
        <is>
          <t>APLICAR_ALTA</t>
        </is>
      </c>
      <c r="AL102" s="74" t="inlineStr">
        <is>
          <t>Fornecedores cedem notas fiscais devidas pela ArcelorMittal</t>
        </is>
      </c>
      <c r="AM102" s="74" t="inlineStr">
        <is>
          <t>regulamento 1226438</t>
        </is>
      </c>
      <c r="AN102" s="74" t="inlineStr">
        <is>
          <t>Não</t>
        </is>
      </c>
      <c r="AO102" s="74" t="inlineStr">
        <is>
          <t>regulamento 1226438</t>
        </is>
      </c>
      <c r="AP102" s="74" t="b">
        <v>0</v>
      </c>
      <c r="AQ102" s="74" t="inlineStr">
        <is>
          <t>Risco Corporativo</t>
        </is>
      </c>
      <c r="AR102" s="74" t="inlineStr">
        <is>
          <t>Agro / Revenda</t>
        </is>
      </c>
      <c r="AS102" s="74" t="b">
        <v>1</v>
      </c>
      <c r="AT102" s="74" t="inlineStr">
        <is>
          <t>regulamento 1226438</t>
        </is>
      </c>
      <c r="AU102" s="74" t="inlineStr">
        <is>
          <t>Fornecedores cedem notas fiscais devidas pela ArcelorMittal</t>
        </is>
      </c>
      <c r="AV102" s="74" t="inlineStr">
        <is>
          <t>15%–20%</t>
        </is>
      </c>
      <c r="AW102" s="74" t="b">
        <v>1</v>
      </c>
      <c r="AX102" s="74" t="inlineStr">
        <is>
          <t>acima do piso</t>
        </is>
      </c>
      <c r="AY102" s="74" t="inlineStr">
        <is>
          <t>sem benchmark confiável</t>
        </is>
      </c>
      <c r="AZ102" s="140" t="inlineStr">
        <is>
          <t>N/D</t>
        </is>
      </c>
      <c r="BA102" s="74" t="b">
        <v>0</v>
      </c>
      <c r="BB102" s="141" t="n">
        <v>0</v>
      </c>
      <c r="BC102" s="139" t="n">
        <v>1000</v>
      </c>
      <c r="BD102" s="74" t="inlineStr">
        <is>
          <t>Cotas Seniores: R$ 1.000,00 | Cotas Subordinadas: R$ 1.000,00</t>
        </is>
      </c>
      <c r="BE102" s="74" t="inlineStr">
        <is>
          <t>preço/valor unitário de emissão</t>
        </is>
      </c>
      <c r="BF102" s="74" t="inlineStr">
        <is>
          <t>Cotas Seniores | Cotas Subordinadas</t>
        </is>
      </c>
      <c r="BG102" s="74" t="inlineStr">
        <is>
          <t>20/05/2026</t>
        </is>
      </c>
      <c r="BH102" s="74" t="inlineStr">
        <is>
          <t>1226438</t>
        </is>
      </c>
      <c r="BI102" s="74" t="inlineStr">
        <is>
          <t>https://fnet.bmfbovespa.com.br/fnet/publico/downloadDocumento?id=1226438</t>
        </is>
      </c>
      <c r="BJ102" s="74" t="inlineStr">
        <is>
          <t>localizado documentalmente — múltiplos valores/classes</t>
        </is>
      </c>
      <c r="BK102" s="74" t="b">
        <v>1</v>
      </c>
      <c r="BL102" s="74" t="inlineStr">
        <is>
          <t>N/D</t>
        </is>
      </c>
      <c r="BM102" s="74" t="inlineStr">
        <is>
          <t>N/D</t>
        </is>
      </c>
      <c r="BN102" s="74" t="inlineStr">
        <is>
          <t>N/D</t>
        </is>
      </c>
      <c r="BO102" s="74" t="inlineStr">
        <is>
          <t>os Fornecedores que cedem Direitos Creditórios à Classe</t>
        </is>
      </c>
      <c r="BP102" s="74" t="inlineStr">
        <is>
          <t>N/D</t>
        </is>
      </c>
      <c r="BQ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2" s="74" t="inlineStr">
        <is>
          <t>cedente: https://fnet.bmfbovespa.com.br/fnet/publico/downloadDocumento?id=1226438 | tipo_recebivel: https://fnet.bmfbovespa.com.br/fnet/publico/downloadDocumento?id=1226438</t>
        </is>
      </c>
      <c r="BS102" s="74" t="inlineStr">
        <is>
          <t>sem_overlay</t>
        </is>
      </c>
      <c r="BT102" s="74" t="inlineStr">
        <is>
          <t>N/D</t>
        </is>
      </c>
      <c r="BU102" s="74" t="inlineStr">
        <is>
          <t>1226438</t>
        </is>
      </c>
      <c r="BV102" s="74" t="inlineStr">
        <is>
          <t>2026-05-20</t>
        </is>
      </c>
      <c r="BW102" s="74" t="inlineStr">
        <is>
          <t>34</t>
        </is>
      </c>
      <c r="BX102" s="74" t="inlineStr">
        <is>
          <t>revisto — mínimo júnior localizado</t>
        </is>
      </c>
      <c r="BY102" s="74" t="inlineStr">
        <is>
          <t>FundosNet/B3; documento 1226438; referência 2026-05-20; p. 34</t>
        </is>
      </c>
      <c r="BZ102" s="74" t="inlineStr">
        <is>
          <t>Cotas subordinadas / PL, mínimo de 12,0%; estrutura com uma única classe residual.</t>
        </is>
      </c>
      <c r="CA102" s="74" t="inlineStr">
        <is>
          <t>originador; sacado/devedor</t>
        </is>
      </c>
      <c r="CB102" s="74" t="inlineStr">
        <is>
          <t>completo_para_folga</t>
        </is>
      </c>
    </row>
    <row r="103" ht="31.5" customHeight="1">
      <c r="A103" s="75" t="n">
        <v>99</v>
      </c>
      <c r="B103" s="142" t="n">
        <v>65347578000164</v>
      </c>
      <c r="C103" s="75" t="inlineStr">
        <is>
          <t>65.347.578/0001-64</t>
        </is>
      </c>
      <c r="D103" s="75" t="inlineStr">
        <is>
          <t>ICRED INSS III FUNDO DE INVESTIMENTO EM DIREITOS CREDITÓRIOS RESPONSABILIDADE LIMITADA</t>
        </is>
      </c>
      <c r="E103" s="75" t="inlineStr">
        <is>
          <t>ICRED INSS III FUNDO DE INVESTIMENTO EM DIREITOS CREDITORIOS RESPONSABILIDADE</t>
        </is>
      </c>
      <c r="F103" s="75" t="inlineStr">
        <is>
          <t>Carteira 101</t>
        </is>
      </c>
      <c r="G103" s="75" t="inlineStr">
        <is>
          <t>2026-06</t>
        </is>
      </c>
      <c r="H103" s="75" t="inlineStr">
        <is>
          <t>localizado</t>
        </is>
      </c>
      <c r="I103" s="143" t="n">
        <v>664757336.15</v>
      </c>
      <c r="J103" s="143" t="n">
        <v>664757336.1491944</v>
      </c>
      <c r="K103" s="143" t="n">
        <v>89859810.10020947</v>
      </c>
      <c r="L103" s="144" t="n">
        <v>0.1351768611094093</v>
      </c>
      <c r="M103" s="75" t="inlineStr">
        <is>
          <t>Calculado com classes reportadas e PL oficial reconciliado</t>
        </is>
      </c>
      <c r="N103" s="144" t="n">
        <v>0.025</v>
      </c>
      <c r="O103" s="144" t="inlineStr">
        <is>
          <t>N/D</t>
        </is>
      </c>
      <c r="P103" s="144" t="inlineStr">
        <is>
          <t>N/D</t>
        </is>
      </c>
      <c r="Q103" s="144" t="inlineStr">
        <is>
          <t>N/D</t>
        </is>
      </c>
      <c r="R103" s="144" t="inlineStr">
        <is>
          <t>N/D</t>
        </is>
      </c>
      <c r="S103" s="144" t="n">
        <v>0.025</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Multicarteira Financeiro</t>
        </is>
      </c>
      <c r="AE103" s="75" t="inlineStr">
        <is>
          <t>Consignado INSS</t>
        </is>
      </c>
      <c r="AF103" s="75" t="inlineStr">
        <is>
          <t>Consignado INSS</t>
        </is>
      </c>
      <c r="AG103" s="75" t="inlineStr">
        <is>
          <t>Consignado INSS e FGTS</t>
        </is>
      </c>
      <c r="AH103" s="75" t="inlineStr">
        <is>
          <t>Consignado INSS e FGTS</t>
        </is>
      </c>
      <c r="AI103" s="75" t="inlineStr">
        <is>
          <t>N/D</t>
        </is>
      </c>
      <c r="AJ103" s="75" t="b">
        <v>0</v>
      </c>
      <c r="AK103" s="75" t="inlineStr">
        <is>
          <t>fora da revisão Financeiro/Agro</t>
        </is>
      </c>
      <c r="AL103" s="75" t="inlineStr">
        <is>
          <t>N/D</t>
        </is>
      </c>
      <c r="AM103" s="75" t="inlineStr">
        <is>
          <t>N/D</t>
        </is>
      </c>
      <c r="AN103" s="75" t="inlineStr">
        <is>
          <t>N/D</t>
        </is>
      </c>
      <c r="AO103" s="75" t="inlineStr">
        <is>
          <t>N/D</t>
        </is>
      </c>
      <c r="AP103" s="75" t="inlineStr">
        <is>
          <t>N/D</t>
        </is>
      </c>
      <c r="AQ103" s="75" t="inlineStr">
        <is>
          <t>Consignado INSS e FGTS</t>
        </is>
      </c>
      <c r="AR103" s="75" t="inlineStr">
        <is>
          <t>Consignado INSS e FGTS</t>
        </is>
      </c>
      <c r="AS103" s="75" t="b">
        <v>0</v>
      </c>
      <c r="AT103" s="75" t="inlineStr">
        <is>
          <t>N/D</t>
        </is>
      </c>
      <c r="AU103" s="75" t="inlineStr">
        <is>
          <t>N/D</t>
        </is>
      </c>
      <c r="AV103" s="75" t="inlineStr">
        <is>
          <t>10%–15%</t>
        </is>
      </c>
      <c r="AW103" s="75" t="b">
        <v>1</v>
      </c>
      <c r="AX103" s="75" t="inlineStr">
        <is>
          <t>incomparável</t>
        </is>
      </c>
      <c r="AY103" s="75" t="inlineStr">
        <is>
          <t>abaixo do mercado</t>
        </is>
      </c>
      <c r="AZ103" s="144" t="n">
        <v>-0.02599168906376986</v>
      </c>
      <c r="BA103" s="75" t="b">
        <v>1</v>
      </c>
      <c r="BB103" s="145" t="n">
        <v>5</v>
      </c>
      <c r="BC103" s="143" t="n">
        <v>1000</v>
      </c>
      <c r="BD103" s="75" t="inlineStr">
        <is>
          <t>R$ 1.000,00</t>
        </is>
      </c>
      <c r="BE103" s="75" t="inlineStr">
        <is>
          <t>preço/valor unitário de emissão</t>
        </is>
      </c>
      <c r="BF103" s="75" t="inlineStr">
        <is>
          <t>N/D</t>
        </is>
      </c>
      <c r="BG103" s="75" t="inlineStr">
        <is>
          <t>25/05/2026</t>
        </is>
      </c>
      <c r="BH103" s="75" t="inlineStr">
        <is>
          <t>1211821</t>
        </is>
      </c>
      <c r="BI103" s="75" t="inlineStr">
        <is>
          <t>https://fnet.bmfbovespa.com.br/fnet/publico/downloadDocumento?id=1211821</t>
        </is>
      </c>
      <c r="BJ103" s="75" t="inlineStr">
        <is>
          <t>localizado documentalmente</t>
        </is>
      </c>
      <c r="BK103" s="75" t="b">
        <v>1</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1211821</t>
        </is>
      </c>
      <c r="BV103" s="75" t="inlineStr">
        <is>
          <t>2026-05-25</t>
        </is>
      </c>
      <c r="BW103" s="75" t="inlineStr">
        <is>
          <t>186</t>
        </is>
      </c>
      <c r="BX103" s="75" t="inlineStr">
        <is>
          <t>revisto — mínimo júnior localizado</t>
        </is>
      </c>
      <c r="BY103" s="75" t="inlineStr">
        <is>
          <t>FundosNet/B3; documento 1211821; referência 2026-05-25; p. 186</t>
        </is>
      </c>
      <c r="BZ103" s="75" t="inlineStr">
        <is>
          <t>Cotas júnior / PL: mínimo inicial de 2,5%; 4,0% após o índice atingir esse patamar.</t>
        </is>
      </c>
      <c r="CA103" s="75" t="inlineStr">
        <is>
          <t>originador; cedente; sacado/devedor; tipo de recebível</t>
        </is>
      </c>
      <c r="CB103" s="75" t="inlineStr">
        <is>
          <t>estrutura_incomparavel</t>
        </is>
      </c>
    </row>
    <row r="104" ht="31.5" customHeight="1">
      <c r="A104" s="74" t="n">
        <v>100</v>
      </c>
      <c r="B104" s="138" t="n">
        <v>18185812000114</v>
      </c>
      <c r="C104" s="74" t="inlineStr">
        <is>
          <t>18.185.812/0001-14</t>
        </is>
      </c>
      <c r="D104" s="74" t="inlineStr">
        <is>
          <t>GAVEA SUL FUNDO DE INVESTIMENTO EM DIREITOS CREDITÓRIOS MULTISSETORIAL LP</t>
        </is>
      </c>
      <c r="E104" s="74" t="inlineStr">
        <is>
          <t>GAVEA SUL FUNDO DE INVESTIMENTO EM DIREITOS CREDITORIOS MULTISSETORIAL</t>
        </is>
      </c>
      <c r="F104" s="74" t="inlineStr">
        <is>
          <t>Carteira 101</t>
        </is>
      </c>
      <c r="G104" s="74" t="inlineStr">
        <is>
          <t>2026-06</t>
        </is>
      </c>
      <c r="H104" s="74" t="inlineStr">
        <is>
          <t>localizado</t>
        </is>
      </c>
      <c r="I104" s="139" t="n">
        <v>561951177.27</v>
      </c>
      <c r="J104" s="139" t="n">
        <v>561951177.2989568</v>
      </c>
      <c r="K104" s="139" t="n">
        <v>257268349.3297246</v>
      </c>
      <c r="L104" s="140" t="n">
        <v>0.4578126352178015</v>
      </c>
      <c r="M104" s="74" t="inlineStr">
        <is>
          <t>Calculado com classes reportadas e PL oficial reconciliado</t>
        </is>
      </c>
      <c r="N104" s="140" t="n">
        <v>0.22</v>
      </c>
      <c r="O104" s="140" t="inlineStr">
        <is>
          <t>N/D</t>
        </is>
      </c>
      <c r="P104" s="140" t="inlineStr">
        <is>
          <t>N/D</t>
        </is>
      </c>
      <c r="Q104" s="140" t="inlineStr">
        <is>
          <t>N/D</t>
        </is>
      </c>
      <c r="R104" s="140" t="inlineStr">
        <is>
          <t>N/D</t>
        </is>
      </c>
      <c r="S104" s="140" t="n">
        <v>0.22</v>
      </c>
      <c r="T104" s="74" t="inlineStr">
        <is>
          <t>N/D</t>
        </is>
      </c>
      <c r="U104" s="74" t="inlineStr">
        <is>
          <t>junior_pl</t>
        </is>
      </c>
      <c r="V104" s="74" t="inlineStr">
        <is>
          <t>direto no regulamento</t>
        </is>
      </c>
      <c r="W104" s="74" t="b">
        <v>0</v>
      </c>
      <c r="X104" s="74" t="inlineStr">
        <is>
          <t>Mínimo júnior isolado; a subordinação atual disponível agrega todas as classes subordinadas.</t>
        </is>
      </c>
      <c r="Y104" s="74" t="b">
        <v>0</v>
      </c>
      <c r="Z104" s="140" t="inlineStr">
        <is>
          <t>N/D</t>
        </is>
      </c>
      <c r="AA104" s="140" t="inlineStr">
        <is>
          <t>N/D</t>
        </is>
      </c>
      <c r="AB104" s="74" t="inlineStr">
        <is>
          <t>não medido</t>
        </is>
      </c>
      <c r="AC104" s="74" t="inlineStr">
        <is>
          <t>Fomento Mercantil</t>
        </is>
      </c>
      <c r="AD104" s="74" t="inlineStr">
        <is>
          <t>Fomento Mercantil</t>
        </is>
      </c>
      <c r="AE104" s="74" t="inlineStr">
        <is>
          <t>Factoring</t>
        </is>
      </c>
      <c r="AF104" s="74" t="inlineStr">
        <is>
          <t>Factoring</t>
        </is>
      </c>
      <c r="AG104" s="74" t="inlineStr">
        <is>
          <t>Factoring</t>
        </is>
      </c>
      <c r="AH104" s="74" t="inlineStr">
        <is>
          <t>Factoring</t>
        </is>
      </c>
      <c r="AI104" s="74" t="inlineStr">
        <is>
          <t>N/D</t>
        </is>
      </c>
      <c r="AJ104" s="74" t="b">
        <v>0</v>
      </c>
      <c r="AK104" s="74" t="inlineStr">
        <is>
          <t>fora da revisão Financeiro/Agro</t>
        </is>
      </c>
      <c r="AL104" s="74" t="inlineStr">
        <is>
          <t>N/D</t>
        </is>
      </c>
      <c r="AM104" s="74" t="inlineStr">
        <is>
          <t>N/D</t>
        </is>
      </c>
      <c r="AN104" s="74" t="inlineStr">
        <is>
          <t>N/D</t>
        </is>
      </c>
      <c r="AO104" s="74" t="inlineStr">
        <is>
          <t>N/D</t>
        </is>
      </c>
      <c r="AP104" s="74" t="inlineStr">
        <is>
          <t>N/D</t>
        </is>
      </c>
      <c r="AQ104" s="74" t="inlineStr">
        <is>
          <t>Factoring</t>
        </is>
      </c>
      <c r="AR104" s="74" t="inlineStr">
        <is>
          <t>Factoring</t>
        </is>
      </c>
      <c r="AS104" s="74" t="b">
        <v>0</v>
      </c>
      <c r="AT104" s="74" t="inlineStr">
        <is>
          <t>N/D</t>
        </is>
      </c>
      <c r="AU104" s="74" t="inlineStr">
        <is>
          <t>N/D</t>
        </is>
      </c>
      <c r="AV104" s="74" t="inlineStr">
        <is>
          <t>35%–60%</t>
        </is>
      </c>
      <c r="AW104" s="74" t="b">
        <v>1</v>
      </c>
      <c r="AX104" s="74" t="inlineStr">
        <is>
          <t>incomparável</t>
        </is>
      </c>
      <c r="AY104" s="74" t="inlineStr">
        <is>
          <t>sem benchmark confiável</t>
        </is>
      </c>
      <c r="AZ104" s="140" t="inlineStr">
        <is>
          <t>N/D</t>
        </is>
      </c>
      <c r="BA104" s="74" t="b">
        <v>0</v>
      </c>
      <c r="BB104" s="141" t="n">
        <v>2</v>
      </c>
      <c r="BC104" s="139" t="n">
        <v>1000</v>
      </c>
      <c r="BD104" s="74" t="inlineStr">
        <is>
          <t>Cotas Seniores: R$ 1.000,00 | Cotas Subordinadas: R$ 1.000,00 | Cotas Subordinadas Mezanino: R$ 1.000,00</t>
        </is>
      </c>
      <c r="BE104" s="74" t="inlineStr">
        <is>
          <t>preço/valor unitário de emissão</t>
        </is>
      </c>
      <c r="BF104" s="74" t="inlineStr">
        <is>
          <t>Cotas Seniores | Cotas Subordinadas | Cotas Subordinadas Mezanino</t>
        </is>
      </c>
      <c r="BG104" s="74" t="inlineStr">
        <is>
          <t>2025-10-13</t>
        </is>
      </c>
      <c r="BH104" s="74" t="inlineStr">
        <is>
          <t>1011996</t>
        </is>
      </c>
      <c r="BI104" s="74" t="inlineStr">
        <is>
          <t>https://fnet.bmfbovespa.com.br/fnet/publico/downloadDocumento?id=1011996</t>
        </is>
      </c>
      <c r="BJ104" s="74" t="inlineStr">
        <is>
          <t>localizado documentalmente — múltiplos valores/classes</t>
        </is>
      </c>
      <c r="BK104" s="74" t="b">
        <v>1</v>
      </c>
      <c r="BL104" s="74" t="inlineStr">
        <is>
          <t>N/D</t>
        </is>
      </c>
      <c r="BM104" s="74" t="inlineStr">
        <is>
          <t>N/D</t>
        </is>
      </c>
      <c r="BN104" s="74" t="inlineStr">
        <is>
          <t>N/D</t>
        </is>
      </c>
      <c r="BO104" s="74" t="inlineStr">
        <is>
          <t>5 outros 4,62% 3,17% 3,03% 2,46% 2,41% 84,29%</t>
        </is>
      </c>
      <c r="BP104" s="74" t="inlineStr">
        <is>
          <t>5 outros Tipo Recebível valor % PL Duplicata 318.392.662,74R$ 68,17% Duplicata de Servico Fisico 27.816.143,36R$ 5,96% Nota Comercial Pós 37.486.768,91R$ 8,03%</t>
        </is>
      </c>
      <c r="BQ104" s="74" t="inlineStr">
        <is>
          <t>N/D</t>
        </is>
      </c>
      <c r="BR104" s="74" t="inlineStr">
        <is>
          <t>cedente: https://fnet.bmfbovespa.com.br/fnet/publico/downloadDocumento?id=1118448 | sacado_devedor: https://fnet.bmfbovespa.com.br/fnet/publico/downloadDocumento?id=1118448</t>
        </is>
      </c>
      <c r="BS104" s="74" t="inlineStr">
        <is>
          <t>sem_overlay</t>
        </is>
      </c>
      <c r="BT104" s="74" t="inlineStr">
        <is>
          <t>N/D</t>
        </is>
      </c>
      <c r="BU104" s="74" t="inlineStr">
        <is>
          <t>1011996</t>
        </is>
      </c>
      <c r="BV104" s="74" t="inlineStr">
        <is>
          <t>2025-10-13</t>
        </is>
      </c>
      <c r="BW104" s="74" t="inlineStr">
        <is>
          <t>53</t>
        </is>
      </c>
      <c r="BX104" s="74" t="inlineStr">
        <is>
          <t>revisto — mínimo júnior localizado</t>
        </is>
      </c>
      <c r="BY104" s="74" t="inlineStr">
        <is>
          <t>FundosNet/B3; documento 1011996; referência 2025-10-13; p. 53</t>
        </is>
      </c>
      <c r="BZ104" s="74" t="inlineStr">
        <is>
          <t>Cotas subordinadas júnior / PL, mínimo de 22,0%.</t>
        </is>
      </c>
      <c r="CA104" s="74" t="inlineStr">
        <is>
          <t>originador; tipo de recebível</t>
        </is>
      </c>
      <c r="CB104" s="74" t="inlineStr">
        <is>
          <t>estrutura_incomparavel</t>
        </is>
      </c>
    </row>
    <row r="105" ht="31.5" customHeight="1">
      <c r="A105" s="75" t="n">
        <v>101</v>
      </c>
      <c r="B105" s="142" t="n">
        <v>49113994000141</v>
      </c>
      <c r="C105" s="75" t="inlineStr">
        <is>
          <t>49.113.994/0001-41</t>
        </is>
      </c>
      <c r="D105" s="75" t="inlineStr">
        <is>
          <t>FUNDO DE INVESTIMENTO EM DIREITOS CREDITÓRIOS CAP - RESPONSABILIDADE LIMITADA</t>
        </is>
      </c>
      <c r="E105" s="75" t="inlineStr">
        <is>
          <t>FUNDO DE INVESTIMENTO EM DIREITOS CREDITORIOS CAP RESPONSABILIDADE LIMITADA</t>
        </is>
      </c>
      <c r="F105" s="75" t="inlineStr">
        <is>
          <t>Carteira 101</t>
        </is>
      </c>
      <c r="G105" s="75" t="inlineStr">
        <is>
          <t>2026-06</t>
        </is>
      </c>
      <c r="H105" s="75" t="inlineStr">
        <is>
          <t>localizado</t>
        </is>
      </c>
      <c r="I105" s="143" t="n">
        <v>99273854.97</v>
      </c>
      <c r="J105" s="143" t="n">
        <v>99273854.99061295</v>
      </c>
      <c r="K105" s="143" t="n">
        <v>43769680.90915325</v>
      </c>
      <c r="L105" s="144" t="n">
        <v>0.4408983706977049</v>
      </c>
      <c r="M105" s="75" t="inlineStr">
        <is>
          <t>Calculado com classes reportadas e PL oficial reconciliado</t>
        </is>
      </c>
      <c r="N105" s="144" t="n">
        <v>0.14</v>
      </c>
      <c r="O105" s="144" t="inlineStr">
        <is>
          <t>N/D</t>
        </is>
      </c>
      <c r="P105" s="144" t="inlineStr">
        <is>
          <t>N/D</t>
        </is>
      </c>
      <c r="Q105" s="144" t="inlineStr">
        <is>
          <t>N/D</t>
        </is>
      </c>
      <c r="R105" s="144" t="inlineStr">
        <is>
          <t>N/D</t>
        </is>
      </c>
      <c r="S105" s="144" t="n">
        <v>0.14</v>
      </c>
      <c r="T105" s="75" t="inlineStr">
        <is>
          <t>N/D</t>
        </is>
      </c>
      <c r="U105" s="75" t="inlineStr">
        <is>
          <t>junior_pl</t>
        </is>
      </c>
      <c r="V105" s="75" t="inlineStr">
        <is>
          <t>direto no regulamento</t>
        </is>
      </c>
      <c r="W105" s="75" t="b">
        <v>0</v>
      </c>
      <c r="X105" s="75" t="inlineStr">
        <is>
          <t>Mínimo júnior isolado; a subordinação atual disponível agrega todas as classes subordinadas.</t>
        </is>
      </c>
      <c r="Y105" s="75" t="b">
        <v>0</v>
      </c>
      <c r="Z105" s="144" t="inlineStr">
        <is>
          <t>N/D</t>
        </is>
      </c>
      <c r="AA105" s="144" t="inlineStr">
        <is>
          <t>N/D</t>
        </is>
      </c>
      <c r="AB105" s="75" t="inlineStr">
        <is>
          <t>não medido</t>
        </is>
      </c>
      <c r="AC105" s="75" t="inlineStr">
        <is>
          <t>Financeiro</t>
        </is>
      </c>
      <c r="AD105" s="75" t="inlineStr">
        <is>
          <t>Crédito Pessoal</t>
        </is>
      </c>
      <c r="AE105" s="75" t="inlineStr">
        <is>
          <t>Financeiro</t>
        </is>
      </c>
      <c r="AF105" s="75" t="inlineStr">
        <is>
          <t>Financeiro</t>
        </is>
      </c>
      <c r="AG105" s="75" t="inlineStr">
        <is>
          <t>Financeiro</t>
        </is>
      </c>
      <c r="AH105" s="75" t="inlineStr">
        <is>
          <t>Financeiro</t>
        </is>
      </c>
      <c r="AI105" s="75" t="inlineStr">
        <is>
          <t>Tipo de crédito não isolado</t>
        </is>
      </c>
      <c r="AJ105" s="75" t="b">
        <v>0</v>
      </c>
      <c r="AK105" s="75" t="inlineStr">
        <is>
          <t>PENDENTE_DOCUMENTAL</t>
        </is>
      </c>
      <c r="AL105" s="75" t="inlineStr">
        <is>
          <t>Nenhum originador, cedente, devedor ou tipo localizado</t>
        </is>
      </c>
      <c r="AM105" s="75" t="inlineStr">
        <is>
          <t>regulamento 788104 apenas estrutural</t>
        </is>
      </c>
      <c r="AN105" s="75" t="inlineStr">
        <is>
          <t>Pendente</t>
        </is>
      </c>
      <c r="AO105" s="75" t="inlineStr">
        <is>
          <t>regulamento 788104 apenas estrutural</t>
        </is>
      </c>
      <c r="AP105" s="75" t="inlineStr">
        <is>
          <t>N/D</t>
        </is>
      </c>
      <c r="AQ105" s="75" t="inlineStr">
        <is>
          <t>Financeiro</t>
        </is>
      </c>
      <c r="AR105" s="75" t="inlineStr">
        <is>
          <t>Financeiro</t>
        </is>
      </c>
      <c r="AS105" s="75" t="b">
        <v>0</v>
      </c>
      <c r="AT105" s="75" t="inlineStr">
        <is>
          <t>N/D</t>
        </is>
      </c>
      <c r="AU105" s="75" t="inlineStr">
        <is>
          <t>N/D</t>
        </is>
      </c>
      <c r="AV105" s="75" t="inlineStr">
        <is>
          <t>35%–60%</t>
        </is>
      </c>
      <c r="AW105" s="75" t="b">
        <v>1</v>
      </c>
      <c r="AX105" s="75" t="inlineStr">
        <is>
          <t>incomparável</t>
        </is>
      </c>
      <c r="AY105" s="75" t="inlineStr">
        <is>
          <t>acima do mercado</t>
        </is>
      </c>
      <c r="AZ105" s="144" t="n">
        <v>0.1394388104164538</v>
      </c>
      <c r="BA105" s="75" t="b">
        <v>1</v>
      </c>
      <c r="BB105" s="145" t="n">
        <v>12</v>
      </c>
      <c r="BC105" s="143" t="n">
        <v>1000</v>
      </c>
      <c r="BD105" s="75" t="inlineStr">
        <is>
          <t>Cotas Subordinadas Júnior: R$ 1.000,00</t>
        </is>
      </c>
      <c r="BE105" s="75" t="inlineStr">
        <is>
          <t>preço/valor unitário de emissão</t>
        </is>
      </c>
      <c r="BF105" s="75" t="inlineStr">
        <is>
          <t>Cotas Subordinadas Júnior</t>
        </is>
      </c>
      <c r="BG105" s="75" t="inlineStr">
        <is>
          <t>22/11/2024</t>
        </is>
      </c>
      <c r="BH105" s="75" t="inlineStr">
        <is>
          <t>788104</t>
        </is>
      </c>
      <c r="BI105" s="75" t="inlineStr">
        <is>
          <t>https://fnet.bmfbovespa.com.br/fnet/publico/downloadDocumento?id=788104</t>
        </is>
      </c>
      <c r="BJ105" s="75" t="inlineStr">
        <is>
          <t>localizado documentalmente</t>
        </is>
      </c>
      <c r="BK105" s="75" t="b">
        <v>0</v>
      </c>
      <c r="BL105" s="75" t="inlineStr">
        <is>
          <t>N/D</t>
        </is>
      </c>
      <c r="BM105" s="75" t="inlineStr">
        <is>
          <t>N/D</t>
        </is>
      </c>
      <c r="BN105" s="75" t="inlineStr">
        <is>
          <t>N/D</t>
        </is>
      </c>
      <c r="BO105" s="75" t="inlineStr">
        <is>
          <t>N/D</t>
        </is>
      </c>
      <c r="BP105" s="75" t="inlineStr">
        <is>
          <t>N/D</t>
        </is>
      </c>
      <c r="BQ105" s="75" t="inlineStr">
        <is>
          <t>N/D</t>
        </is>
      </c>
      <c r="BR105" s="75" t="inlineStr">
        <is>
          <t>N/D</t>
        </is>
      </c>
      <c r="BS105" s="75" t="inlineStr">
        <is>
          <t>sem_overlay</t>
        </is>
      </c>
      <c r="BT105" s="75" t="inlineStr">
        <is>
          <t>N/D</t>
        </is>
      </c>
      <c r="BU105" s="75" t="inlineStr">
        <is>
          <t>788104</t>
        </is>
      </c>
      <c r="BV105" s="75" t="inlineStr">
        <is>
          <t>2024-11-22</t>
        </is>
      </c>
      <c r="BW105" s="75" t="inlineStr">
        <is>
          <t>53</t>
        </is>
      </c>
      <c r="BX105" s="75" t="inlineStr">
        <is>
          <t>revisto — mínimo júnior localizado</t>
        </is>
      </c>
      <c r="BY105" s="75" t="inlineStr">
        <is>
          <t>FundosNet/B3; documento 788104; referência 2024-11-22; p. 53</t>
        </is>
      </c>
      <c r="BZ105" s="75" t="inlineStr">
        <is>
          <t>Cotas júnior / PL: mínimo de 14,0%; 15,0% no último dia útil de cada mês.</t>
        </is>
      </c>
      <c r="CA105" s="75" t="inlineStr">
        <is>
          <t>originador; cedente; sacado/devedor; tipo de recebível</t>
        </is>
      </c>
      <c r="CB105"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5">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5">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5">
    <cfRule type="containsText" priority="17" operator="containsText" dxfId="1" text="manual_aplicado"/>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B103"/>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Casos 99 · base manipulável de risco estrutural</t>
        </is>
      </c>
    </row>
    <row r="2" ht="22.5" customHeight="1">
      <c r="A2" s="29" t="inlineStr">
        <is>
          <t>99 CNPJs no universo operacional validável. Os dois CNPJs fora desta visão permanecem na aba Carteira 101, com identidade/perímetro N/D documentados.</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Cartão de crédito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29</v>
      </c>
      <c r="B32" s="138" t="n">
        <v>50857998000113</v>
      </c>
      <c r="C32" s="74" t="inlineStr">
        <is>
          <t>50.857.998/0001-13</t>
        </is>
      </c>
      <c r="D32" s="74" t="inlineStr">
        <is>
          <t>LEO MADEIRAS FIDC SEGMENTO MEIOS DE PAGAMENTO DE RESPONSABILIDADE LIMITADA</t>
        </is>
      </c>
      <c r="E32" s="74" t="inlineStr">
        <is>
          <t>LEO I FUNDO INV DIR CREDITORIOS</t>
        </is>
      </c>
      <c r="F32" s="74" t="inlineStr">
        <is>
          <t>Carteira 101</t>
        </is>
      </c>
      <c r="G32" s="74" t="inlineStr">
        <is>
          <t>2026-06</t>
        </is>
      </c>
      <c r="H32" s="74" t="inlineStr">
        <is>
          <t>localizado</t>
        </is>
      </c>
      <c r="I32" s="139" t="n">
        <v>176969443.65</v>
      </c>
      <c r="J32" s="139" t="n">
        <v>176969443.6493321</v>
      </c>
      <c r="K32" s="139" t="n">
        <v>22295230.79968528</v>
      </c>
      <c r="L32" s="140" t="n">
        <v>0.1259835050607918</v>
      </c>
      <c r="M32" s="74" t="inlineStr">
        <is>
          <t>Calculado com classes reportadas e PL oficial reconciliado</t>
        </is>
      </c>
      <c r="N32" s="140" t="n">
        <v>0.05</v>
      </c>
      <c r="O32" s="140" t="inlineStr">
        <is>
          <t>N/D</t>
        </is>
      </c>
      <c r="P32" s="140" t="inlineStr">
        <is>
          <t>N/D</t>
        </is>
      </c>
      <c r="Q32" s="140" t="inlineStr">
        <is>
          <t>N/D</t>
        </is>
      </c>
      <c r="R32" s="140" t="inlineStr">
        <is>
          <t>N/D</t>
        </is>
      </c>
      <c r="S32" s="140" t="n">
        <v>0.05</v>
      </c>
      <c r="T32" s="74" t="inlineStr">
        <is>
          <t>N/D</t>
        </is>
      </c>
      <c r="U32" s="74" t="inlineStr">
        <is>
          <t>junior_pl</t>
        </is>
      </c>
      <c r="V32" s="74" t="inlineStr">
        <is>
          <t>direto no regulamento</t>
        </is>
      </c>
      <c r="W32" s="74" t="b">
        <v>0</v>
      </c>
      <c r="X32" s="74" t="inlineStr">
        <is>
          <t>Mínimo júnior isolado; a subordinação atual disponível agrega todas as classes subordinadas.</t>
        </is>
      </c>
      <c r="Y32" s="74" t="b">
        <v>0</v>
      </c>
      <c r="Z32" s="140" t="inlineStr">
        <is>
          <t>N/D</t>
        </is>
      </c>
      <c r="AA32" s="140" t="inlineStr">
        <is>
          <t>N/D</t>
        </is>
      </c>
      <c r="AB32" s="74" t="inlineStr">
        <is>
          <t>não medido</t>
        </is>
      </c>
      <c r="AC32" s="74" t="inlineStr">
        <is>
          <t>Agro, Indústria e Comércio</t>
        </is>
      </c>
      <c r="AD32" s="74" t="inlineStr">
        <is>
          <t>Recebíveis Comerciais</t>
        </is>
      </c>
      <c r="AE32" s="74" t="inlineStr">
        <is>
          <t>Agro / Revenda</t>
        </is>
      </c>
      <c r="AF32" s="74" t="inlineStr">
        <is>
          <t>Agro / Revenda</t>
        </is>
      </c>
      <c r="AG32" s="74" t="inlineStr">
        <is>
          <t>Agro / Revenda</t>
        </is>
      </c>
      <c r="AH32" s="74" t="inlineStr">
        <is>
          <t>Adquirência</t>
        </is>
      </c>
      <c r="AI32" s="74" t="inlineStr">
        <is>
          <t>Recebíveis de pagamento, subcredenciadora como devedora</t>
        </is>
      </c>
      <c r="AJ32" s="74" t="b">
        <v>1</v>
      </c>
      <c r="AK32" s="74" t="inlineStr">
        <is>
          <t>APLICAR_ALTA</t>
        </is>
      </c>
      <c r="AL32" s="74" t="inlineStr">
        <is>
          <t>Devedora é a subcredenciadora da Rede Leo</t>
        </is>
      </c>
      <c r="AM32" s="74" t="inlineStr">
        <is>
          <t>regulamento e auditoria documental</t>
        </is>
      </c>
      <c r="AN32" s="74" t="inlineStr">
        <is>
          <t>Não</t>
        </is>
      </c>
      <c r="AO32" s="74" t="inlineStr">
        <is>
          <t>regulamento e auditoria documental</t>
        </is>
      </c>
      <c r="AP32" s="74" t="b">
        <v>0</v>
      </c>
      <c r="AQ32" s="74" t="inlineStr">
        <is>
          <t>Adquirência</t>
        </is>
      </c>
      <c r="AR32" s="74" t="inlineStr">
        <is>
          <t>Agro / Revenda</t>
        </is>
      </c>
      <c r="AS32" s="74" t="b">
        <v>1</v>
      </c>
      <c r="AT32" s="74" t="inlineStr">
        <is>
          <t>regulamento e auditoria documental</t>
        </is>
      </c>
      <c r="AU32" s="74" t="inlineStr">
        <is>
          <t>Devedora é a subcredenciadora da Rede Leo</t>
        </is>
      </c>
      <c r="AV32" s="74" t="inlineStr">
        <is>
          <t>10%–15%</t>
        </is>
      </c>
      <c r="AW32" s="74" t="b">
        <v>1</v>
      </c>
      <c r="AX32" s="74" t="inlineStr">
        <is>
          <t>incomparável</t>
        </is>
      </c>
      <c r="AY32" s="74" t="inlineStr">
        <is>
          <t>sem benchmark confiável</t>
        </is>
      </c>
      <c r="AZ32" s="140" t="inlineStr">
        <is>
          <t>N/D</t>
        </is>
      </c>
      <c r="BA32" s="74" t="b">
        <v>0</v>
      </c>
      <c r="BB32" s="141" t="n">
        <v>0</v>
      </c>
      <c r="BC32" s="139" t="n">
        <v>1000</v>
      </c>
      <c r="BD32" s="74" t="inlineStr">
        <is>
          <t>Cotas Seniores: R$1.000,00</t>
        </is>
      </c>
      <c r="BE32" s="74" t="inlineStr">
        <is>
          <t>valor nominal unitário (VNU)</t>
        </is>
      </c>
      <c r="BF32" s="74" t="inlineStr">
        <is>
          <t>Cotas Seniores</t>
        </is>
      </c>
      <c r="BG32" s="74" t="inlineStr">
        <is>
          <t>22/05/2025</t>
        </is>
      </c>
      <c r="BH32" s="74" t="inlineStr">
        <is>
          <t>910444</t>
        </is>
      </c>
      <c r="BI32" s="74" t="inlineStr">
        <is>
          <t>https://fnet.bmfbovespa.com.br/fnet/publico/downloadDocumento?id=910444</t>
        </is>
      </c>
      <c r="BJ32" s="74" t="inlineStr">
        <is>
          <t>localizado documentalmente</t>
        </is>
      </c>
      <c r="BK32" s="74" t="b">
        <v>0</v>
      </c>
      <c r="BL32" s="74" t="inlineStr">
        <is>
          <t>N/D</t>
        </is>
      </c>
      <c r="BM32" s="74" t="inlineStr">
        <is>
          <t>N/D</t>
        </is>
      </c>
      <c r="BN32" s="74" t="inlineStr">
        <is>
          <t>N/D</t>
        </is>
      </c>
      <c r="BO32" s="74"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2" s="74" t="inlineStr">
        <is>
          <t>a Subcredenciadora, na qualidade de devedora dos Direitos Creditórios</t>
        </is>
      </c>
      <c r="BQ32" s="74" t="inlineStr">
        <is>
          <t>N/D</t>
        </is>
      </c>
      <c r="BR32" s="74" t="inlineStr">
        <is>
          <t>cedente: https://fnet.bmfbovespa.com.br/fnet/publico/downloadDocumento?id=910444 | sacado_devedor: https://fnet.bmfbovespa.com.br/fnet/publico/downloadDocumento?id=910444</t>
        </is>
      </c>
      <c r="BS32" s="74" t="inlineStr">
        <is>
          <t>sem_overlay</t>
        </is>
      </c>
      <c r="BT32" s="74" t="inlineStr">
        <is>
          <t>N/D</t>
        </is>
      </c>
      <c r="BU32" s="74" t="inlineStr">
        <is>
          <t>1017825</t>
        </is>
      </c>
      <c r="BV32" s="74" t="inlineStr">
        <is>
          <t>2025-10-06</t>
        </is>
      </c>
      <c r="BW32" s="74" t="inlineStr">
        <is>
          <t>62</t>
        </is>
      </c>
      <c r="BX32" s="74" t="inlineStr">
        <is>
          <t>revisto — mínimo júnior localizado</t>
        </is>
      </c>
      <c r="BY32" s="74" t="inlineStr">
        <is>
          <t>FundosNet/B3; documento 1017825; referência 2025-10-06; p. 62</t>
        </is>
      </c>
      <c r="BZ32" s="74" t="inlineStr">
        <is>
          <t>Índice de Subordinação Mezanino: cotas júnior / PL, mínimo de 5,0%.</t>
        </is>
      </c>
      <c r="CA32" s="74" t="inlineStr">
        <is>
          <t>originador; tipo de recebível</t>
        </is>
      </c>
      <c r="CB32" s="74" t="inlineStr">
        <is>
          <t>estrutura_incomparavel</t>
        </is>
      </c>
    </row>
    <row r="33" ht="31.5" customHeight="1">
      <c r="A33" s="75" t="n">
        <v>30</v>
      </c>
      <c r="B33" s="142" t="n">
        <v>38376526000143</v>
      </c>
      <c r="C33" s="75" t="inlineStr">
        <is>
          <t>38.376.526/0001-43</t>
        </is>
      </c>
      <c r="D33" s="75" t="inlineStr">
        <is>
          <t>HOTFUND FUNDO DE INVESTIMENTO EM DIREITOS CREDITÓRIOS SEGMENTO MEIOS DE PAGAMENTO DE RESPONSABILIDAD</t>
        </is>
      </c>
      <c r="E33" s="75" t="inlineStr">
        <is>
          <t>HOTFUND FIDC</t>
        </is>
      </c>
      <c r="F33" s="75" t="inlineStr">
        <is>
          <t>Carteira 101</t>
        </is>
      </c>
      <c r="G33" s="75" t="inlineStr">
        <is>
          <t>2026-06</t>
        </is>
      </c>
      <c r="H33" s="75" t="inlineStr">
        <is>
          <t>localizado</t>
        </is>
      </c>
      <c r="I33" s="143" t="n">
        <v>1702368453.87</v>
      </c>
      <c r="J33" s="143" t="n">
        <v>1702368453.86967</v>
      </c>
      <c r="K33" s="143" t="n">
        <v>1300897053.13867</v>
      </c>
      <c r="L33" s="144" t="n">
        <v>0.7641689143036789</v>
      </c>
      <c r="M33" s="75" t="inlineStr">
        <is>
          <t>Calculado com classes reportadas e PL oficial reconciliado</t>
        </is>
      </c>
      <c r="N33" s="144" t="n">
        <v>0.21</v>
      </c>
      <c r="O33" s="144" t="inlineStr">
        <is>
          <t>N/D</t>
        </is>
      </c>
      <c r="P33" s="144" t="inlineStr">
        <is>
          <t>N/D</t>
        </is>
      </c>
      <c r="Q33" s="144" t="inlineStr">
        <is>
          <t>N/D</t>
        </is>
      </c>
      <c r="R33" s="144" t="inlineStr">
        <is>
          <t>N/D</t>
        </is>
      </c>
      <c r="S33" s="144" t="n">
        <v>0.21</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Financeiro</t>
        </is>
      </c>
      <c r="AD33" s="75" t="inlineStr">
        <is>
          <t>Adquirência</t>
        </is>
      </c>
      <c r="AE33" s="75" t="inlineStr">
        <is>
          <t>Financeiro</t>
        </is>
      </c>
      <c r="AF33" s="75" t="inlineStr">
        <is>
          <t>Financeiro</t>
        </is>
      </c>
      <c r="AG33" s="75" t="inlineStr">
        <is>
          <t>Financeiro</t>
        </is>
      </c>
      <c r="AH33" s="75" t="inlineStr">
        <is>
          <t>Adquirência</t>
        </is>
      </c>
      <c r="AI33" s="75" t="inlineStr">
        <is>
          <t>Recebíveis de cartão / Hotmart</t>
        </is>
      </c>
      <c r="AJ33" s="75" t="b">
        <v>1</v>
      </c>
      <c r="AK33" s="75" t="inlineStr">
        <is>
          <t>APLICAR_ALTA</t>
        </is>
      </c>
      <c r="AL33" s="75" t="inlineStr">
        <is>
          <t>Hotmart é devedora dos direitos de cartões</t>
        </is>
      </c>
      <c r="AM33" s="75" t="inlineStr">
        <is>
          <t>regulamento 948252</t>
        </is>
      </c>
      <c r="AN33" s="75" t="inlineStr">
        <is>
          <t>Não</t>
        </is>
      </c>
      <c r="AO33" s="75" t="inlineStr">
        <is>
          <t>regulamento 948252</t>
        </is>
      </c>
      <c r="AP33" s="75" t="b">
        <v>0</v>
      </c>
      <c r="AQ33" s="75" t="inlineStr">
        <is>
          <t>Adquirência</t>
        </is>
      </c>
      <c r="AR33" s="75" t="inlineStr">
        <is>
          <t>Financeiro</t>
        </is>
      </c>
      <c r="AS33" s="75" t="b">
        <v>1</v>
      </c>
      <c r="AT33" s="75" t="inlineStr">
        <is>
          <t>regulamento 948252</t>
        </is>
      </c>
      <c r="AU33" s="75" t="inlineStr">
        <is>
          <t>Hotmart é devedora dos direitos de cartões</t>
        </is>
      </c>
      <c r="AV33" s="75" t="inlineStr">
        <is>
          <t>≥ 60%</t>
        </is>
      </c>
      <c r="AW33" s="75" t="b">
        <v>1</v>
      </c>
      <c r="AX33" s="75" t="inlineStr">
        <is>
          <t>incomparável</t>
        </is>
      </c>
      <c r="AY33" s="75" t="inlineStr">
        <is>
          <t>acima do mercado</t>
        </is>
      </c>
      <c r="AZ33" s="144" t="n">
        <v>0.4627093540224279</v>
      </c>
      <c r="BA33" s="75" t="b">
        <v>1</v>
      </c>
      <c r="BB33" s="145" t="n">
        <v>12</v>
      </c>
      <c r="BC33" s="143" t="n">
        <v>1000</v>
      </c>
      <c r="BD33" s="75" t="inlineStr">
        <is>
          <t>Cotas Subordinadas Júnior: R$ 1.000,00</t>
        </is>
      </c>
      <c r="BE33" s="75" t="inlineStr">
        <is>
          <t>valor nominal unitário (VNU)</t>
        </is>
      </c>
      <c r="BF33" s="75" t="inlineStr">
        <is>
          <t>Cotas Subordinadas Júnior</t>
        </is>
      </c>
      <c r="BG33" s="75" t="inlineStr">
        <is>
          <t>02/07/2025</t>
        </is>
      </c>
      <c r="BH33" s="75" t="inlineStr">
        <is>
          <t>948252</t>
        </is>
      </c>
      <c r="BI33" s="75" t="inlineStr">
        <is>
          <t>https://fnet.bmfbovespa.com.br/fnet/publico/downloadDocumento?id=948252</t>
        </is>
      </c>
      <c r="BJ33" s="75" t="inlineStr">
        <is>
          <t>localizado documentalmente</t>
        </is>
      </c>
      <c r="BK33" s="75" t="b">
        <v>0</v>
      </c>
      <c r="BL33" s="75" t="inlineStr">
        <is>
          <t>Hotmart</t>
        </is>
      </c>
      <c r="BM33" s="75" t="inlineStr">
        <is>
          <t>cedente</t>
        </is>
      </c>
      <c r="BN33" s="75" t="inlineStr">
        <is>
          <t>N/D</t>
        </is>
      </c>
      <c r="BO33"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3" s="75" t="inlineStr">
        <is>
          <t>a Hotmart, na qualidade de devedora dos Direitos Creditórios Cartões</t>
        </is>
      </c>
      <c r="BQ33" s="75" t="inlineStr">
        <is>
          <t>os Direitos Creditórios Cartões e os Direitos Creditórios Recebíveis a Prazo, quando referidos em conjunto ou indistintamente</t>
        </is>
      </c>
      <c r="BR33" s="75" t="inlineStr">
        <is>
          <t>cedente: https://fnet.bmfbovespa.com.br/fnet/publico/downloadDocumento?id=948252 | sacado_devedor: https://fnet.bmfbovespa.com.br/fnet/publico/downloadDocumento?id=948252 | tipo_recebivel: https://fnet.bmfbovespa.com.br/fnet/publico/downloadDocumento?id=948252</t>
        </is>
      </c>
      <c r="BS33" s="75" t="inlineStr">
        <is>
          <t>manual_aplicado</t>
        </is>
      </c>
      <c r="BT33" s="75" t="inlineStr">
        <is>
          <t>OBS parcialmente legível: FIDC antecipa recebíveis de funding para a Hotmart antecipar parcelas aos criadores de conteúdo; final cortado pela foto.</t>
        </is>
      </c>
      <c r="BU33" s="75" t="inlineStr">
        <is>
          <t>948252</t>
        </is>
      </c>
      <c r="BV33" s="75" t="inlineStr">
        <is>
          <t>2025-07-02</t>
        </is>
      </c>
      <c r="BW33" s="75" t="inlineStr">
        <is>
          <t>68</t>
        </is>
      </c>
      <c r="BX33" s="75" t="inlineStr">
        <is>
          <t>revisto — mínimo júnior localizado</t>
        </is>
      </c>
      <c r="BY33" s="75" t="inlineStr">
        <is>
          <t>FundosNet/B3; documento 948252; referência 2025-07-02; p. 68</t>
        </is>
      </c>
      <c r="BZ33" s="75" t="inlineStr">
        <is>
          <t>Cotas subordinadas júnior / PL, mínimo de 21,0%.</t>
        </is>
      </c>
      <c r="CA33" s="75" t="inlineStr">
        <is>
          <t>originador</t>
        </is>
      </c>
      <c r="CB33" s="75" t="inlineStr">
        <is>
          <t>estrutura_incomparavel</t>
        </is>
      </c>
    </row>
    <row r="34" ht="31.5" customHeight="1">
      <c r="A34" s="74" t="n">
        <v>31</v>
      </c>
      <c r="B34" s="138" t="n">
        <v>45598747000121</v>
      </c>
      <c r="C34" s="74" t="inlineStr">
        <is>
          <t>45.598.747/0001-21</t>
        </is>
      </c>
      <c r="D34" s="74" t="inlineStr">
        <is>
          <t>SUMUP SOLO FUNDO DE INVESTIMENTO EM DIREITOS CREDITÓRIOS SEGMENTO MEIOS DE PAGAMENTO DE RESPONSABILI</t>
        </is>
      </c>
      <c r="E34" s="74" t="inlineStr">
        <is>
          <t>FIDC SUMUP</t>
        </is>
      </c>
      <c r="F34" s="74" t="inlineStr">
        <is>
          <t>Carteira 101</t>
        </is>
      </c>
      <c r="G34" s="74" t="inlineStr">
        <is>
          <t>2026-06</t>
        </is>
      </c>
      <c r="H34" s="74" t="inlineStr">
        <is>
          <t>localizado</t>
        </is>
      </c>
      <c r="I34" s="139" t="n">
        <v>378059320.79</v>
      </c>
      <c r="J34" s="139" t="n">
        <v>378059320.8573863</v>
      </c>
      <c r="K34" s="139" t="n">
        <v>38437128.5999613</v>
      </c>
      <c r="L34" s="140" t="n">
        <v>0.1016695700548854</v>
      </c>
      <c r="M34" s="74" t="inlineStr">
        <is>
          <t>Calculado com classes reportadas e PL oficial reconciliado</t>
        </is>
      </c>
      <c r="N34" s="140" t="inlineStr">
        <is>
          <t>N/D</t>
        </is>
      </c>
      <c r="O34" s="140" t="n">
        <v>0.047619047619</v>
      </c>
      <c r="P34" s="140" t="inlineStr">
        <is>
          <t>N/D</t>
        </is>
      </c>
      <c r="Q34" s="140" t="n">
        <v>0.047619047619</v>
      </c>
      <c r="R34" s="140" t="inlineStr">
        <is>
          <t>N/D</t>
        </is>
      </c>
      <c r="S34" s="140" t="n">
        <v>0.047619047619</v>
      </c>
      <c r="T34" s="74" t="inlineStr">
        <is>
          <t>4,76%*</t>
        </is>
      </c>
      <c r="U34" s="74" t="inlineStr">
        <is>
          <t>junior_pl_calculado</t>
        </is>
      </c>
      <c r="V34" s="74" t="inlineStr">
        <is>
          <t>calculado: 1 − 1/1,05</t>
        </is>
      </c>
      <c r="W34" s="74" t="b">
        <v>1</v>
      </c>
      <c r="X34" s="74" t="inlineStr">
        <is>
          <t>Estrutura com uma única classe subordinada; métrica atual e piso usam o total subordinado sobre o PL.</t>
        </is>
      </c>
      <c r="Y34" s="74" t="b">
        <v>1</v>
      </c>
      <c r="Z34" s="140" t="n">
        <v>0.05405052243588541</v>
      </c>
      <c r="AA34" s="140" t="n">
        <v>0.05675304855767685</v>
      </c>
      <c r="AB34" s="74" t="inlineStr">
        <is>
          <t>acima do mínimo</t>
        </is>
      </c>
      <c r="AC34" s="74" t="inlineStr">
        <is>
          <t>Agro, Indústria e Comércio</t>
        </is>
      </c>
      <c r="AD34" s="74" t="inlineStr">
        <is>
          <t>Recebíveis Comerciais</t>
        </is>
      </c>
      <c r="AE34" s="74" t="inlineStr">
        <is>
          <t>Agro / Revenda</t>
        </is>
      </c>
      <c r="AF34" s="74" t="inlineStr">
        <is>
          <t>Agro / Revenda</t>
        </is>
      </c>
      <c r="AG34" s="74" t="inlineStr">
        <is>
          <t>Adquirência</t>
        </is>
      </c>
      <c r="AH34" s="74" t="inlineStr">
        <is>
          <t>Adquirência</t>
        </is>
      </c>
      <c r="AI34" s="74" t="inlineStr">
        <is>
          <t>N/D</t>
        </is>
      </c>
      <c r="AJ34" s="74" t="b">
        <v>0</v>
      </c>
      <c r="AK34" s="74" t="inlineStr">
        <is>
          <t>fora da revisão Financeiro/Agro</t>
        </is>
      </c>
      <c r="AL34" s="74" t="inlineStr">
        <is>
          <t>N/D</t>
        </is>
      </c>
      <c r="AM34" s="74" t="inlineStr">
        <is>
          <t>N/D</t>
        </is>
      </c>
      <c r="AN34" s="74" t="inlineStr">
        <is>
          <t>N/D</t>
        </is>
      </c>
      <c r="AO34" s="74" t="inlineStr">
        <is>
          <t>N/D</t>
        </is>
      </c>
      <c r="AP34" s="74" t="inlineStr">
        <is>
          <t>N/D</t>
        </is>
      </c>
      <c r="AQ34" s="74" t="inlineStr">
        <is>
          <t>Adquirência</t>
        </is>
      </c>
      <c r="AR34" s="74" t="inlineStr">
        <is>
          <t>Agro / Revenda</t>
        </is>
      </c>
      <c r="AS34" s="74" t="b">
        <v>1</v>
      </c>
      <c r="AT34" s="74" t="inlineStr">
        <is>
          <t>FundosNet/B3 doc. 883977; IMG_8705.JPG</t>
        </is>
      </c>
      <c r="AU34" s="74" t="inlineStr">
        <is>
          <t>Créditos contra emissores derivados de transações de pagamento processadas pelo Sistema SumUp.</t>
        </is>
      </c>
      <c r="AV34" s="74" t="inlineStr">
        <is>
          <t>10%–15%</t>
        </is>
      </c>
      <c r="AW34" s="74" t="b">
        <v>1</v>
      </c>
      <c r="AX34" s="74" t="inlineStr">
        <is>
          <t>acima do piso</t>
        </is>
      </c>
      <c r="AY34" s="74" t="inlineStr">
        <is>
          <t>sem benchmark confiável</t>
        </is>
      </c>
      <c r="AZ34" s="140" t="inlineStr">
        <is>
          <t>N/D</t>
        </is>
      </c>
      <c r="BA34" s="74" t="b">
        <v>0</v>
      </c>
      <c r="BB34" s="141" t="n">
        <v>0</v>
      </c>
      <c r="BC34" s="139" t="n">
        <v>1</v>
      </c>
      <c r="BD34" s="74" t="inlineStr">
        <is>
          <t>Cotas Subordinadas Junior: R$1</t>
        </is>
      </c>
      <c r="BE34" s="74" t="inlineStr">
        <is>
          <t>preço/valor unitário de emissão</t>
        </is>
      </c>
      <c r="BF34" s="74" t="inlineStr">
        <is>
          <t>Cotas Subordinadas Junior</t>
        </is>
      </c>
      <c r="BG34" s="74" t="inlineStr">
        <is>
          <t>2025-04-22</t>
        </is>
      </c>
      <c r="BH34" s="74" t="inlineStr">
        <is>
          <t>883977</t>
        </is>
      </c>
      <c r="BI34" s="74" t="inlineStr">
        <is>
          <t>https://fnet.bmfbovespa.com.br/fnet/publico/downloadDocumento?id=883977</t>
        </is>
      </c>
      <c r="BJ34" s="74" t="inlineStr">
        <is>
          <t>localizado documentalmente</t>
        </is>
      </c>
      <c r="BK34" s="74" t="b">
        <v>0</v>
      </c>
      <c r="BL34" s="74" t="inlineStr">
        <is>
          <t>Sumup IP</t>
        </is>
      </c>
      <c r="BM34" s="74" t="inlineStr">
        <is>
          <t>cedente</t>
        </is>
      </c>
      <c r="BN34" s="74" t="inlineStr">
        <is>
          <t>N/D</t>
        </is>
      </c>
      <c r="BO34" s="74" t="inlineStr">
        <is>
          <t>a SUMUP INSTITUIÇÃO DE PAGAMENTO BRASIL LTDA., sociedade limitada com sede na Cidade e Estado de São Paulo, na Rua Gilberto Sabino, nº 215, 10º andar, Pinheiros, CEP: 05425-020, inscrita no CNPJ/MF sob o nº 16.668.076/0001-20</t>
        </is>
      </c>
      <c r="BP34" s="74" t="inlineStr">
        <is>
          <t>os Emissores</t>
        </is>
      </c>
      <c r="BQ34"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4" s="74" t="inlineStr">
        <is>
          <t>cedente: https://fnet.bmfbovespa.com.br/fnet/publico/downloadDocumento?id=883977 | sacado_devedor: https://fnet.bmfbovespa.com.br/fnet/publico/downloadDocumento?id=883977 | tipo_recebivel: https://fnet.bmfbovespa.com.br/fnet/publico/downloadDocumento?id=883977</t>
        </is>
      </c>
      <c r="BS34" s="74" t="inlineStr">
        <is>
          <t>manual_aplicado</t>
        </is>
      </c>
      <c r="BT34" s="74" t="inlineStr">
        <is>
          <t>OBS da foto: Risco Banco Emissor Itaú.</t>
        </is>
      </c>
      <c r="BU34" s="74" t="inlineStr">
        <is>
          <t>883977</t>
        </is>
      </c>
      <c r="BV34" s="74" t="inlineStr">
        <is>
          <t>2025-04-22</t>
        </is>
      </c>
      <c r="BW34" s="74" t="inlineStr">
        <is>
          <t>95</t>
        </is>
      </c>
      <c r="BX34" s="74" t="inlineStr">
        <is>
          <t>revisto — mínimo júnior localizado</t>
        </is>
      </c>
      <c r="BY34" s="74" t="inlineStr">
        <is>
          <t>FundosNet/B3; documento 883977; referência 2025-04-22; p. 95</t>
        </is>
      </c>
      <c r="BZ34" s="74" t="inlineStr">
        <is>
          <t>Mínimo júnior implícito na relação PL / cotas seniores de 105,0%.</t>
        </is>
      </c>
      <c r="CA34" s="74" t="inlineStr">
        <is>
          <t>originador</t>
        </is>
      </c>
      <c r="CB34" s="74" t="inlineStr">
        <is>
          <t>completo_para_folga</t>
        </is>
      </c>
    </row>
    <row r="35" ht="31.5" customHeight="1">
      <c r="A35" s="75" t="n">
        <v>32</v>
      </c>
      <c r="B35" s="142" t="n">
        <v>41197066000109</v>
      </c>
      <c r="C35" s="75" t="inlineStr">
        <is>
          <t>41.197.066/0001-09</t>
        </is>
      </c>
      <c r="D35" s="75" t="inlineStr">
        <is>
          <t>IFOOD PAGO CRÉDITO I FUNDO DE INVESTIMENTO EM DIREITOS CREDITÓRIOS FINANCEIRO DE RESP LIMITADA</t>
        </is>
      </c>
      <c r="E35" s="75" t="inlineStr">
        <is>
          <t>MOVILEPAY CREDITO I FIDC SEGMENTO FINANCEIRO DE RE</t>
        </is>
      </c>
      <c r="F35" s="75" t="inlineStr">
        <is>
          <t>Carteira 101</t>
        </is>
      </c>
      <c r="G35" s="75" t="inlineStr">
        <is>
          <t>2026-06</t>
        </is>
      </c>
      <c r="H35" s="75" t="inlineStr">
        <is>
          <t>localizado</t>
        </is>
      </c>
      <c r="I35" s="143" t="n">
        <v>657095062.27</v>
      </c>
      <c r="J35" s="143" t="n">
        <v>657096870.4194191</v>
      </c>
      <c r="K35" s="143" t="n">
        <v>239570556.9596191</v>
      </c>
      <c r="L35" s="144" t="n">
        <v>0.3645904081701647</v>
      </c>
      <c r="M35" s="75" t="inlineStr">
        <is>
          <t>Calculado com classes reportadas e PL oficial reconciliado</t>
        </is>
      </c>
      <c r="N35" s="144" t="n">
        <v>0.1</v>
      </c>
      <c r="O35" s="144" t="inlineStr">
        <is>
          <t>N/D</t>
        </is>
      </c>
      <c r="P35" s="144" t="inlineStr">
        <is>
          <t>N/D</t>
        </is>
      </c>
      <c r="Q35" s="144" t="inlineStr">
        <is>
          <t>N/D</t>
        </is>
      </c>
      <c r="R35" s="144" t="inlineStr">
        <is>
          <t>N/D</t>
        </is>
      </c>
      <c r="S35" s="144" t="n">
        <v>0.1</v>
      </c>
      <c r="T35" s="75" t="inlineStr">
        <is>
          <t>N/D</t>
        </is>
      </c>
      <c r="U35" s="75" t="inlineStr">
        <is>
          <t>junior_pl</t>
        </is>
      </c>
      <c r="V35" s="75" t="inlineStr">
        <is>
          <t>direto no regulamento</t>
        </is>
      </c>
      <c r="W35" s="75" t="b">
        <v>0</v>
      </c>
      <c r="X35" s="75" t="inlineStr">
        <is>
          <t>Mínimo júnior isolado; a subordinação atual disponível agrega todas as classes subordinadas.</t>
        </is>
      </c>
      <c r="Y35" s="75" t="b">
        <v>0</v>
      </c>
      <c r="Z35" s="144" t="inlineStr">
        <is>
          <t>N/D</t>
        </is>
      </c>
      <c r="AA35" s="144" t="inlineStr">
        <is>
          <t>N/D</t>
        </is>
      </c>
      <c r="AB35" s="75" t="inlineStr">
        <is>
          <t>não medido</t>
        </is>
      </c>
      <c r="AC35" s="75" t="inlineStr">
        <is>
          <t>Financeiro</t>
        </is>
      </c>
      <c r="AD35" s="75" t="inlineStr">
        <is>
          <t>Crédito Pessoal</t>
        </is>
      </c>
      <c r="AE35" s="75" t="inlineStr">
        <is>
          <t>Financeiro</t>
        </is>
      </c>
      <c r="AF35" s="75" t="inlineStr">
        <is>
          <t>Financeiro</t>
        </is>
      </c>
      <c r="AG35" s="75" t="inlineStr">
        <is>
          <t>Financeiro</t>
        </is>
      </c>
      <c r="AH35" s="75" t="inlineStr">
        <is>
          <t>Financeiro</t>
        </is>
      </c>
      <c r="AI35" s="75" t="inlineStr">
        <is>
          <t>Crédito embedded PF/PJ, CCBs no ecossistema iFood</t>
        </is>
      </c>
      <c r="AJ35" s="75" t="b">
        <v>0</v>
      </c>
      <c r="AK35" s="75" t="inlineStr">
        <is>
          <t>MANTER_ALTA</t>
        </is>
      </c>
      <c r="AL35" s="75" t="inlineStr">
        <is>
          <t>Operações de crédito formalizadas por CCB</t>
        </is>
      </c>
      <c r="AM35" s="75" t="inlineStr">
        <is>
          <t>regulamento 1076481</t>
        </is>
      </c>
      <c r="AN35" s="75" t="inlineStr">
        <is>
          <t>Não</t>
        </is>
      </c>
      <c r="AO35" s="75" t="inlineStr">
        <is>
          <t>regulamento 1076481</t>
        </is>
      </c>
      <c r="AP35" s="75" t="b">
        <v>0</v>
      </c>
      <c r="AQ35" s="75" t="inlineStr">
        <is>
          <t>Financeiro</t>
        </is>
      </c>
      <c r="AR35" s="75" t="inlineStr">
        <is>
          <t>Financeiro</t>
        </is>
      </c>
      <c r="AS35" s="75" t="b">
        <v>0</v>
      </c>
      <c r="AT35" s="75" t="inlineStr">
        <is>
          <t>N/D</t>
        </is>
      </c>
      <c r="AU35" s="75" t="inlineStr">
        <is>
          <t>N/D</t>
        </is>
      </c>
      <c r="AV35" s="75" t="inlineStr">
        <is>
          <t>35%–60%</t>
        </is>
      </c>
      <c r="AW35" s="75" t="b">
        <v>1</v>
      </c>
      <c r="AX35" s="75" t="inlineStr">
        <is>
          <t>incomparável</t>
        </is>
      </c>
      <c r="AY35" s="75" t="inlineStr">
        <is>
          <t>acima do mercado</t>
        </is>
      </c>
      <c r="AZ35" s="144" t="n">
        <v>0.06313084788891365</v>
      </c>
      <c r="BA35" s="75" t="b">
        <v>1</v>
      </c>
      <c r="BB35" s="145" t="n">
        <v>12</v>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MovilePay / iFood</t>
        </is>
      </c>
      <c r="BM35" s="75" t="inlineStr">
        <is>
          <t>cedente</t>
        </is>
      </c>
      <c r="BN35" s="75" t="inlineStr">
        <is>
          <t>N/D</t>
        </is>
      </c>
      <c r="BO35" s="75" t="inlineStr">
        <is>
          <t>MovilePay / iFood</t>
        </is>
      </c>
      <c r="BP35"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5"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5" s="75" t="inlineStr">
        <is>
          <t>cedente: IMG_8705.JPG | sacado_devedor: https://fnet.bmfbovespa.com.br/fnet/publico/downloadDocumento?id=1076481 | tipo_recebivel: https://fnet.bmfbovespa.com.br/fnet/publico/downloadDocumento?id=1076481</t>
        </is>
      </c>
      <c r="BS35" s="75" t="inlineStr">
        <is>
          <t>manual_aplicado</t>
        </is>
      </c>
      <c r="BT35" s="75" t="inlineStr">
        <is>
          <t>Denominação cortada pela largura da coluna na foto.</t>
        </is>
      </c>
      <c r="BU35" s="75" t="inlineStr">
        <is>
          <t>1076481</t>
        </is>
      </c>
      <c r="BV35" s="75" t="inlineStr">
        <is>
          <t>2025-12-30</t>
        </is>
      </c>
      <c r="BW35" s="75" t="inlineStr">
        <is>
          <t>89</t>
        </is>
      </c>
      <c r="BX35" s="75" t="inlineStr">
        <is>
          <t>revisto — mínimo júnior localizado</t>
        </is>
      </c>
      <c r="BY35" s="75" t="inlineStr">
        <is>
          <t>FundosNet/B3; documento 1076481; referência 2025-12-30; p. 89</t>
        </is>
      </c>
      <c r="BZ35" s="75" t="inlineStr">
        <is>
          <t>Cotas júnior / PL: 10,0% até o gatilho contratual e 20,0% depois de atingido o novo patamar.</t>
        </is>
      </c>
      <c r="CA35" s="75" t="inlineStr">
        <is>
          <t>preço unitário da cota; originador</t>
        </is>
      </c>
      <c r="CB35" s="75" t="inlineStr">
        <is>
          <t>estrutura_incomparavel</t>
        </is>
      </c>
    </row>
    <row r="36" ht="31.5" customHeight="1">
      <c r="A36" s="74" t="n">
        <v>33</v>
      </c>
      <c r="B36" s="138" t="n">
        <v>44124617000194</v>
      </c>
      <c r="C36" s="74" t="inlineStr">
        <is>
          <t>44.124.617/0001-94</t>
        </is>
      </c>
      <c r="D36" s="74" t="inlineStr">
        <is>
          <t>CLOUDWALK AKIRA II FIDC SEGMENTO MEIOS DE PAGAMENTO</t>
        </is>
      </c>
      <c r="E36" s="74" t="inlineStr">
        <is>
          <t>CLOUDWALK AKIRA II FUNDO DE INVESTIMENTO EM DIREITO</t>
        </is>
      </c>
      <c r="F36" s="74" t="inlineStr">
        <is>
          <t>Carteira 101</t>
        </is>
      </c>
      <c r="G36" s="74" t="inlineStr">
        <is>
          <t>2026-06</t>
        </is>
      </c>
      <c r="H36" s="74" t="inlineStr">
        <is>
          <t>localizado</t>
        </is>
      </c>
      <c r="I36" s="139" t="inlineStr">
        <is>
          <t>N/D</t>
        </is>
      </c>
      <c r="J36" s="139" t="inlineStr">
        <is>
          <t>N/D</t>
        </is>
      </c>
      <c r="K36" s="139" t="inlineStr">
        <is>
          <t>N/D</t>
        </is>
      </c>
      <c r="L36" s="140" t="inlineStr">
        <is>
          <t>N/D</t>
        </is>
      </c>
      <c r="M36" s="74" t="inlineStr">
        <is>
          <t>PL oficial ausente em 2026-06</t>
        </is>
      </c>
      <c r="N36" s="140" t="n">
        <v>0.05</v>
      </c>
      <c r="O36" s="140" t="inlineStr">
        <is>
          <t>N/D</t>
        </is>
      </c>
      <c r="P36" s="140" t="inlineStr">
        <is>
          <t>N/D</t>
        </is>
      </c>
      <c r="Q36" s="140" t="n">
        <v>0.05</v>
      </c>
      <c r="R36" s="140" t="inlineStr">
        <is>
          <t>N/D</t>
        </is>
      </c>
      <c r="S36" s="140" t="n">
        <v>0.05</v>
      </c>
      <c r="T36" s="74" t="inlineStr">
        <is>
          <t>5,0%</t>
        </is>
      </c>
      <c r="U36" s="74" t="inlineStr">
        <is>
          <t>junior_pl</t>
        </is>
      </c>
      <c r="V36" s="74" t="inlineStr">
        <is>
          <t>direto no regulamento</t>
        </is>
      </c>
      <c r="W36" s="74" t="b">
        <v>1</v>
      </c>
      <c r="X36" s="74" t="inlineStr">
        <is>
          <t>Estrutura com uma única classe subordinada; métrica atual e piso usam o total subordinado sobre o PL.</t>
        </is>
      </c>
      <c r="Y36" s="74" t="b">
        <v>0</v>
      </c>
      <c r="Z36" s="140" t="inlineStr">
        <is>
          <t>N/D</t>
        </is>
      </c>
      <c r="AA36" s="140" t="inlineStr">
        <is>
          <t>N/D</t>
        </is>
      </c>
      <c r="AB36" s="74" t="inlineStr">
        <is>
          <t>não medido</t>
        </is>
      </c>
      <c r="AC36" s="74" t="inlineStr">
        <is>
          <t>Financeiro</t>
        </is>
      </c>
      <c r="AD36" s="74" t="inlineStr">
        <is>
          <t>Adquirência</t>
        </is>
      </c>
      <c r="AE36" s="74" t="inlineStr">
        <is>
          <t>Adquirência</t>
        </is>
      </c>
      <c r="AF36" s="74" t="inlineStr">
        <is>
          <t>Adquirência</t>
        </is>
      </c>
      <c r="AG36" s="74" t="inlineStr">
        <is>
          <t>Adquirência</t>
        </is>
      </c>
      <c r="AH36" s="74" t="inlineStr">
        <is>
          <t>Adquirência</t>
        </is>
      </c>
      <c r="AI36" s="74" t="inlineStr">
        <is>
          <t>N/D</t>
        </is>
      </c>
      <c r="AJ36" s="74" t="b">
        <v>0</v>
      </c>
      <c r="AK36" s="74" t="inlineStr">
        <is>
          <t>fora da revisão Financeiro/Agro</t>
        </is>
      </c>
      <c r="AL36" s="74" t="inlineStr">
        <is>
          <t>N/D</t>
        </is>
      </c>
      <c r="AM36" s="74" t="inlineStr">
        <is>
          <t>N/D</t>
        </is>
      </c>
      <c r="AN36" s="74" t="inlineStr">
        <is>
          <t>N/D</t>
        </is>
      </c>
      <c r="AO36" s="74" t="inlineStr">
        <is>
          <t>N/D</t>
        </is>
      </c>
      <c r="AP36" s="74" t="inlineStr">
        <is>
          <t>N/D</t>
        </is>
      </c>
      <c r="AQ36" s="74" t="inlineStr">
        <is>
          <t>Adquirência</t>
        </is>
      </c>
      <c r="AR36" s="74" t="inlineStr">
        <is>
          <t>Adquirência</t>
        </is>
      </c>
      <c r="AS36" s="74" t="b">
        <v>0</v>
      </c>
      <c r="AT36" s="74" t="inlineStr">
        <is>
          <t>N/D</t>
        </is>
      </c>
      <c r="AU36" s="74" t="inlineStr">
        <is>
          <t>N/D</t>
        </is>
      </c>
      <c r="AV36" s="74" t="inlineStr">
        <is>
          <t>N/D</t>
        </is>
      </c>
      <c r="AW36" s="74" t="b">
        <v>0</v>
      </c>
      <c r="AX36" s="74" t="inlineStr">
        <is>
          <t>N/D</t>
        </is>
      </c>
      <c r="AY36" s="74" t="inlineStr">
        <is>
          <t>sem benchmark confiável</t>
        </is>
      </c>
      <c r="AZ36" s="140" t="inlineStr">
        <is>
          <t>N/D</t>
        </is>
      </c>
      <c r="BA36" s="74" t="b">
        <v>1</v>
      </c>
      <c r="BB36" s="141" t="n">
        <v>15</v>
      </c>
      <c r="BC36" s="139" t="n">
        <v>1000</v>
      </c>
      <c r="BD36" s="74" t="inlineStr">
        <is>
          <t>Cotas Seniores: R$1.000</t>
        </is>
      </c>
      <c r="BE36" s="74" t="inlineStr">
        <is>
          <t>valor nominal unitário (VNU)</t>
        </is>
      </c>
      <c r="BF36" s="74" t="inlineStr">
        <is>
          <t>Cotas Seniores</t>
        </is>
      </c>
      <c r="BG36" s="74" t="inlineStr">
        <is>
          <t>2025-02-28</t>
        </is>
      </c>
      <c r="BH36" s="74" t="inlineStr">
        <is>
          <t>851798</t>
        </is>
      </c>
      <c r="BI36" s="74" t="inlineStr">
        <is>
          <t>https://fnet.bmfbovespa.com.br/fnet/publico/downloadDocumento?id=851798</t>
        </is>
      </c>
      <c r="BJ36" s="74" t="inlineStr">
        <is>
          <t>localizado documentalmente</t>
        </is>
      </c>
      <c r="BK36" s="74" t="b">
        <v>0</v>
      </c>
      <c r="BL36" s="74" t="inlineStr">
        <is>
          <t>Cloudwalk</t>
        </is>
      </c>
      <c r="BM36" s="74" t="inlineStr">
        <is>
          <t>cedente</t>
        </is>
      </c>
      <c r="BN36" s="74" t="inlineStr">
        <is>
          <t>N/D</t>
        </is>
      </c>
      <c r="BO36" s="74" t="inlineStr">
        <is>
          <t>a CloudWalk que, de tempos em tempos, nos termos do Contrato de Cessão, cede seus respectivos Direitos Creditórios Elegíveis ao Fundo</t>
        </is>
      </c>
      <c r="BP36" s="74" t="inlineStr">
        <is>
          <t>cada Devedor de Direitos Creditórios Cedidos que represente 5% ( cinco por cento) ou mais do Patrimônio Líquido do Fundo</t>
        </is>
      </c>
      <c r="BQ36" s="74"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6" s="74" t="inlineStr">
        <is>
          <t>cedente: https://fnet.bmfbovespa.com.br/fnet/publico/downloadDocumento?id=851798 | sacado_devedor: https://fnet.bmfbovespa.com.br/fnet/publico/downloadDocumento?id=851798 | tipo_recebivel: https://fnet.bmfbovespa.com.br/fnet/publico/downloadDocumento?id=851798</t>
        </is>
      </c>
      <c r="BS36" s="74" t="inlineStr">
        <is>
          <t>manual_aplicado</t>
        </is>
      </c>
      <c r="BT36" s="74" t="inlineStr">
        <is>
          <t>OBS da foto: Alongamento discutido recentemente (mas com run-off). Denominação cortada.</t>
        </is>
      </c>
      <c r="BU36" s="74" t="inlineStr">
        <is>
          <t>851798</t>
        </is>
      </c>
      <c r="BV36" s="74" t="inlineStr">
        <is>
          <t>2025-02-28</t>
        </is>
      </c>
      <c r="BW36" s="74" t="inlineStr">
        <is>
          <t>101–102</t>
        </is>
      </c>
      <c r="BX36" s="74" t="inlineStr">
        <is>
          <t>revisto — mínimo júnior localizado</t>
        </is>
      </c>
      <c r="BY36" s="74" t="inlineStr">
        <is>
          <t>FundosNet/B3; documento 851798; referência 2025-02-28; p. 101–102</t>
        </is>
      </c>
      <c r="BZ36" s="74" t="inlineStr">
        <is>
          <t>Cotas subordinadas / PL, mínimo de 5,0%; estrutura com uma única classe residual.</t>
        </is>
      </c>
      <c r="CA36" s="74" t="inlineStr">
        <is>
          <t>PL atual; Sub/PL atual; originador</t>
        </is>
      </c>
      <c r="CB36" s="74" t="inlineStr">
        <is>
          <t>sub_pl_atual_ausente</t>
        </is>
      </c>
    </row>
    <row r="37" ht="31.5" customHeight="1">
      <c r="A37" s="75" t="n">
        <v>34</v>
      </c>
      <c r="B37" s="142" t="n">
        <v>42085816000105</v>
      </c>
      <c r="C37" s="75" t="inlineStr">
        <is>
          <t>42.085.816/0001-05</t>
        </is>
      </c>
      <c r="D37" s="75" t="inlineStr">
        <is>
          <t>CLOUDWALK KICK ASS I FUNDO DE INVESTIMENTO EM DIREITOS CREDITÓRIOS SEGMENTO MEIOS DE PAGAMENTO</t>
        </is>
      </c>
      <c r="E37" s="75" t="inlineStr">
        <is>
          <t>CLOUDWALK KICK ASS I FUNDO DE INVESTIMENTO EM DIRE</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0.048</v>
      </c>
      <c r="O37" s="144" t="inlineStr">
        <is>
          <t>N/D</t>
        </is>
      </c>
      <c r="P37" s="144" t="inlineStr">
        <is>
          <t>N/D</t>
        </is>
      </c>
      <c r="Q37" s="144" t="n">
        <v>0.048</v>
      </c>
      <c r="R37" s="144" t="inlineStr">
        <is>
          <t>N/D</t>
        </is>
      </c>
      <c r="S37" s="144" t="n">
        <v>0.048</v>
      </c>
      <c r="T37" s="75" t="inlineStr">
        <is>
          <t>4,8%</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Subordinadas: R$ 1.000,00</t>
        </is>
      </c>
      <c r="BE37" s="75" t="inlineStr">
        <is>
          <t>valor nominal unitário (VNU)</t>
        </is>
      </c>
      <c r="BF37" s="75" t="inlineStr">
        <is>
          <t>Cotas Subordinadas</t>
        </is>
      </c>
      <c r="BG37" s="75" t="inlineStr">
        <is>
          <t>2021-09-01</t>
        </is>
      </c>
      <c r="BH37" s="75" t="inlineStr">
        <is>
          <t>211003</t>
        </is>
      </c>
      <c r="BI37" s="75" t="inlineStr">
        <is>
          <t>https://fnet.bmfbovespa.com.br/fnet/publico/downloadDocumento?id=211003</t>
        </is>
      </c>
      <c r="BJ37" s="75" t="inlineStr">
        <is>
          <t>localizado documentalmente</t>
        </is>
      </c>
      <c r="BK37" s="75" t="b">
        <v>0</v>
      </c>
      <c r="BL37" s="75" t="inlineStr">
        <is>
          <t>Cloudwalk IP</t>
        </is>
      </c>
      <c r="BM37" s="75" t="inlineStr">
        <is>
          <t>cedente</t>
        </is>
      </c>
      <c r="BN37" s="75" t="inlineStr">
        <is>
          <t>N/D</t>
        </is>
      </c>
      <c r="BO37" s="75" t="inlineStr">
        <is>
          <t>a CloudWalk que, de tempos em tempos, nos termos do Contrato de Cessão, cede seus respectivos Direitos Creditórios Elegíveis ao Fundo</t>
        </is>
      </c>
      <c r="BP37" s="75" t="inlineStr">
        <is>
          <t>os Emissores Qualificados</t>
        </is>
      </c>
      <c r="BQ37"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7" s="75" t="inlineStr">
        <is>
          <t>cedente: https://fnet.bmfbovespa.com.br/fnet/publico/downloadDocumento?id=513540 | sacado_devedor: https://fnet.bmfbovespa.com.br/fnet/publico/downloadDocumento?id=513540 | tipo_recebivel: https://fnet.bmfbovespa.com.br/fnet/publico/downloadDocumento?id=513540</t>
        </is>
      </c>
      <c r="BS37" s="75" t="inlineStr">
        <is>
          <t>manual_aplicado</t>
        </is>
      </c>
      <c r="BT37" s="75" t="inlineStr">
        <is>
          <t>OBS da foto: Risco Banco Emissor Itaú. Denominação cortada.</t>
        </is>
      </c>
      <c r="BU37" s="75" t="inlineStr">
        <is>
          <t>733165</t>
        </is>
      </c>
      <c r="BV37" s="75" t="inlineStr">
        <is>
          <t>2024-09-05</t>
        </is>
      </c>
      <c r="BW37" s="75" t="inlineStr">
        <is>
          <t>98</t>
        </is>
      </c>
      <c r="BX37" s="75" t="inlineStr">
        <is>
          <t>revisto — mínimo júnior localizado</t>
        </is>
      </c>
      <c r="BY37" s="75" t="inlineStr">
        <is>
          <t>FundosNet/B3; documento 733165; referência 2024-09-05; p. 98</t>
        </is>
      </c>
      <c r="BZ37" s="75" t="inlineStr">
        <is>
          <t>Cotas subordinadas / PL, mínimo de 4,8%; estrutura com uma única classe residual.</t>
        </is>
      </c>
      <c r="CA37" s="75" t="inlineStr">
        <is>
          <t>PL atual; Sub/PL atual; originador</t>
        </is>
      </c>
      <c r="CB37" s="75" t="inlineStr">
        <is>
          <t>sub_pl_atual_ausente</t>
        </is>
      </c>
    </row>
    <row r="38" ht="31.5" customHeight="1">
      <c r="A38" s="74" t="n">
        <v>35</v>
      </c>
      <c r="B38" s="138" t="n">
        <v>38385876000176</v>
      </c>
      <c r="C38" s="74" t="inlineStr">
        <is>
          <t>38.385.876/0001-76</t>
        </is>
      </c>
      <c r="D38" s="74" t="inlineStr">
        <is>
          <t>ESTRATÉGIA EDUCACIONAL FUNDO DE INVESTIMENTO EM DIREITOS CREDITÓRIOS</t>
        </is>
      </c>
      <c r="E38" s="74" t="inlineStr">
        <is>
          <t>ESTRATEGIA EDUCACIONAL FIDC</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0.1</v>
      </c>
      <c r="O38" s="140" t="inlineStr">
        <is>
          <t>N/D</t>
        </is>
      </c>
      <c r="P38" s="140" t="inlineStr">
        <is>
          <t>N/D</t>
        </is>
      </c>
      <c r="Q38" s="140" t="inlineStr">
        <is>
          <t>N/D</t>
        </is>
      </c>
      <c r="R38" s="140" t="inlineStr">
        <is>
          <t>N/D</t>
        </is>
      </c>
      <c r="S38" s="140" t="n">
        <v>0.1</v>
      </c>
      <c r="T38" s="74" t="inlineStr">
        <is>
          <t>N/D</t>
        </is>
      </c>
      <c r="U38" s="74" t="inlineStr">
        <is>
          <t>junior_pl</t>
        </is>
      </c>
      <c r="V38" s="74" t="inlineStr">
        <is>
          <t>direto no regulamento</t>
        </is>
      </c>
      <c r="W38" s="74" t="b">
        <v>0</v>
      </c>
      <c r="X38" s="74" t="inlineStr">
        <is>
          <t>Mínimo júnior isolado; a subordinação atual disponível agrega todas as classes subordinadas.</t>
        </is>
      </c>
      <c r="Y38" s="74" t="b">
        <v>0</v>
      </c>
      <c r="Z38" s="140" t="inlineStr">
        <is>
          <t>N/D</t>
        </is>
      </c>
      <c r="AA38" s="140" t="inlineStr">
        <is>
          <t>N/D</t>
        </is>
      </c>
      <c r="AB38" s="74" t="inlineStr">
        <is>
          <t>não medido</t>
        </is>
      </c>
      <c r="AC38" s="74" t="inlineStr">
        <is>
          <t>Agro, Indústria e Comércio</t>
        </is>
      </c>
      <c r="AD38" s="74" t="inlineStr">
        <is>
          <t>Recebíveis Comerciais</t>
        </is>
      </c>
      <c r="AE38" s="74" t="inlineStr">
        <is>
          <t>Agro / Revenda</t>
        </is>
      </c>
      <c r="AF38" s="74" t="inlineStr">
        <is>
          <t>Agro / Revenda</t>
        </is>
      </c>
      <c r="AG38" s="74" t="inlineStr">
        <is>
          <t>Agro / Revenda</t>
        </is>
      </c>
      <c r="AH38" s="74" t="inlineStr">
        <is>
          <t>Adquirência</t>
        </is>
      </c>
      <c r="AI38" s="74" t="inlineStr">
        <is>
          <t>Agenda de recebíveis de transações de pagamento</t>
        </is>
      </c>
      <c r="AJ38" s="74" t="b">
        <v>1</v>
      </c>
      <c r="AK38" s="74" t="inlineStr">
        <is>
          <t>APLICAR_ALTA</t>
        </is>
      </c>
      <c r="AL38" s="74" t="inlineStr">
        <is>
          <t>Direitos constam da agenda de recebíveis do arranjo</t>
        </is>
      </c>
      <c r="AM38" s="74" t="inlineStr">
        <is>
          <t>regulamento 719764</t>
        </is>
      </c>
      <c r="AN38" s="74" t="inlineStr">
        <is>
          <t>Não</t>
        </is>
      </c>
      <c r="AO38" s="74" t="inlineStr">
        <is>
          <t>regulamento 719764</t>
        </is>
      </c>
      <c r="AP38" s="74" t="b">
        <v>0</v>
      </c>
      <c r="AQ38" s="74" t="inlineStr">
        <is>
          <t>Adquirência</t>
        </is>
      </c>
      <c r="AR38" s="74" t="inlineStr">
        <is>
          <t>Agro / Revenda</t>
        </is>
      </c>
      <c r="AS38" s="74" t="b">
        <v>1</v>
      </c>
      <c r="AT38" s="74" t="inlineStr">
        <is>
          <t>regulamento 719764</t>
        </is>
      </c>
      <c r="AU38" s="74" t="inlineStr">
        <is>
          <t>Direitos constam da agenda de recebíveis do arranjo</t>
        </is>
      </c>
      <c r="AV38" s="74" t="inlineStr">
        <is>
          <t>N/D</t>
        </is>
      </c>
      <c r="AW38" s="74" t="b">
        <v>0</v>
      </c>
      <c r="AX38" s="74" t="inlineStr">
        <is>
          <t>N/D</t>
        </is>
      </c>
      <c r="AY38" s="74" t="inlineStr">
        <is>
          <t>sem benchmark confiável</t>
        </is>
      </c>
      <c r="AZ38" s="140" t="inlineStr">
        <is>
          <t>N/D</t>
        </is>
      </c>
      <c r="BA38" s="74" t="b">
        <v>0</v>
      </c>
      <c r="BB38" s="141" t="n">
        <v>0</v>
      </c>
      <c r="BC38" s="139" t="n">
        <v>1000</v>
      </c>
      <c r="BD38" s="74" t="inlineStr">
        <is>
          <t>R$1.000,00</t>
        </is>
      </c>
      <c r="BE38" s="74" t="inlineStr">
        <is>
          <t>preço/valor unitário de emissão</t>
        </is>
      </c>
      <c r="BF38" s="74" t="inlineStr">
        <is>
          <t>N/D</t>
        </is>
      </c>
      <c r="BG38" s="74" t="inlineStr">
        <is>
          <t>14/08/2024</t>
        </is>
      </c>
      <c r="BH38" s="74" t="inlineStr">
        <is>
          <t>719764</t>
        </is>
      </c>
      <c r="BI38" s="74" t="inlineStr">
        <is>
          <t>https://fnet.bmfbovespa.com.br/fnet/publico/downloadDocumento?id=719764</t>
        </is>
      </c>
      <c r="BJ38" s="74" t="inlineStr">
        <is>
          <t>localizado documentalmente</t>
        </is>
      </c>
      <c r="BK38" s="74" t="b">
        <v>1</v>
      </c>
      <c r="BL38" s="74" t="inlineStr">
        <is>
          <t>Estratégia Concursos</t>
        </is>
      </c>
      <c r="BM38" s="74" t="inlineStr">
        <is>
          <t>cedente</t>
        </is>
      </c>
      <c r="BN38" s="74" t="inlineStr">
        <is>
          <t>N/D</t>
        </is>
      </c>
      <c r="BO38" s="74" t="inlineStr">
        <is>
          <t>Estratégia Concursos</t>
        </is>
      </c>
      <c r="BP38" s="74" t="inlineStr">
        <is>
          <t>N/D</t>
        </is>
      </c>
      <c r="BQ38" s="74"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8" s="74" t="inlineStr">
        <is>
          <t>cedente: IMG_8705.JPG | tipo_recebivel: https://fnet.bmfbovespa.com.br/fnet/publico/downloadDocumento?id=719764</t>
        </is>
      </c>
      <c r="BS38" s="74" t="inlineStr">
        <is>
          <t>manual_aplicado</t>
        </is>
      </c>
      <c r="BT38" s="74" t="inlineStr">
        <is>
          <t>N/D</t>
        </is>
      </c>
      <c r="BU38" s="74" t="inlineStr">
        <is>
          <t>719764</t>
        </is>
      </c>
      <c r="BV38" s="74" t="inlineStr">
        <is>
          <t>2024-08-14</t>
        </is>
      </c>
      <c r="BW38" s="74" t="inlineStr">
        <is>
          <t>11</t>
        </is>
      </c>
      <c r="BX38" s="74" t="inlineStr">
        <is>
          <t>revisto — mínimo júnior localizado</t>
        </is>
      </c>
      <c r="BY38" s="74" t="inlineStr">
        <is>
          <t>FundosNet/B3; documento 719764; referência 2024-08-14; p. 11</t>
        </is>
      </c>
      <c r="BZ38" s="74" t="inlineStr">
        <is>
          <t>Relação Mínima Subordinada: cotas júnior / PL, mínimo de 10,0%.</t>
        </is>
      </c>
      <c r="CA38" s="74" t="inlineStr">
        <is>
          <t>PL atual; Sub/PL atual; originador; sacado/devedor</t>
        </is>
      </c>
      <c r="CB38" s="74" t="inlineStr">
        <is>
          <t>sub_pl_atual_ausente</t>
        </is>
      </c>
    </row>
    <row r="39" ht="31.5" customHeight="1">
      <c r="A39" s="75" t="n">
        <v>36</v>
      </c>
      <c r="B39" s="142" t="n">
        <v>40919667000107</v>
      </c>
      <c r="C39" s="75" t="inlineStr">
        <is>
          <t>40.919.667/0001-07</t>
        </is>
      </c>
      <c r="D39" s="75" t="inlineStr">
        <is>
          <t>RECARGAPAY I FUNDO DE INVESTIMENTO EM DIREITOS CREDITÓRIOS</t>
        </is>
      </c>
      <c r="E39" s="75" t="inlineStr">
        <is>
          <t>RECARGAPAY I FUNDO DE INVESTIMENTO EM DIREITOS CRE</t>
        </is>
      </c>
      <c r="F39" s="75" t="inlineStr">
        <is>
          <t>Carteira 101</t>
        </is>
      </c>
      <c r="G39" s="75" t="inlineStr">
        <is>
          <t>2026-06</t>
        </is>
      </c>
      <c r="H39" s="75" t="inlineStr">
        <is>
          <t>localizado</t>
        </is>
      </c>
      <c r="I39" s="143" t="n">
        <v>281538432.34</v>
      </c>
      <c r="J39" s="143" t="n">
        <v>281538432.3402482</v>
      </c>
      <c r="K39" s="143" t="n">
        <v>275884717.0402057</v>
      </c>
      <c r="L39" s="144" t="n">
        <v>0.9799184954863761</v>
      </c>
      <c r="M39" s="75" t="inlineStr">
        <is>
          <t>Calculado com classes reportadas e PL oficial reconciliado</t>
        </is>
      </c>
      <c r="N39" s="144" t="n">
        <v>0.5</v>
      </c>
      <c r="O39" s="144" t="inlineStr">
        <is>
          <t>N/D</t>
        </is>
      </c>
      <c r="P39" s="144" t="inlineStr">
        <is>
          <t>N/D</t>
        </is>
      </c>
      <c r="Q39" s="144" t="n">
        <v>0.5</v>
      </c>
      <c r="R39" s="144" t="inlineStr">
        <is>
          <t>N/D</t>
        </is>
      </c>
      <c r="S39" s="144" t="n">
        <v>0.5</v>
      </c>
      <c r="T39" s="75" t="inlineStr">
        <is>
          <t>50,0%</t>
        </is>
      </c>
      <c r="U39" s="75" t="inlineStr">
        <is>
          <t>junior_pl</t>
        </is>
      </c>
      <c r="V39" s="75" t="inlineStr">
        <is>
          <t>direto no regulamento</t>
        </is>
      </c>
      <c r="W39" s="75" t="b">
        <v>1</v>
      </c>
      <c r="X39" s="75" t="inlineStr">
        <is>
          <t>Estrutura com uma única classe subordinada; métrica atual e piso usam o total subordinado sobre o PL.</t>
        </is>
      </c>
      <c r="Y39" s="75" t="b">
        <v>0</v>
      </c>
      <c r="Z39" s="144" t="n">
        <v>0.4799184954863761</v>
      </c>
      <c r="AA39" s="144" t="n">
        <v>0.9598369909727522</v>
      </c>
      <c r="AB39" s="75" t="inlineStr">
        <is>
          <t>acima do mínimo</t>
        </is>
      </c>
      <c r="AC39" s="75" t="inlineStr">
        <is>
          <t>Agro, Indústria e Comércio</t>
        </is>
      </c>
      <c r="AD39" s="75" t="inlineStr">
        <is>
          <t>Recebíveis Comerciais</t>
        </is>
      </c>
      <c r="AE39" s="75" t="inlineStr">
        <is>
          <t>Agro / Revenda</t>
        </is>
      </c>
      <c r="AF39" s="75" t="inlineStr">
        <is>
          <t>Agro / Revenda</t>
        </is>
      </c>
      <c r="AG39" s="75" t="inlineStr">
        <is>
          <t>Adquirência</t>
        </is>
      </c>
      <c r="AH39" s="75" t="inlineStr">
        <is>
          <t>Adquirência</t>
        </is>
      </c>
      <c r="AI39" s="75" t="inlineStr">
        <is>
          <t>N/D</t>
        </is>
      </c>
      <c r="AJ39" s="75" t="b">
        <v>0</v>
      </c>
      <c r="AK39" s="75" t="inlineStr">
        <is>
          <t>fora da revisão Financeiro/Agro</t>
        </is>
      </c>
      <c r="AL39" s="75" t="inlineStr">
        <is>
          <t>N/D</t>
        </is>
      </c>
      <c r="AM39" s="75" t="inlineStr">
        <is>
          <t>N/D</t>
        </is>
      </c>
      <c r="AN39" s="75" t="inlineStr">
        <is>
          <t>N/D</t>
        </is>
      </c>
      <c r="AO39" s="75" t="inlineStr">
        <is>
          <t>N/D</t>
        </is>
      </c>
      <c r="AP39" s="75" t="inlineStr">
        <is>
          <t>N/D</t>
        </is>
      </c>
      <c r="AQ39" s="75" t="inlineStr">
        <is>
          <t>Adquirência</t>
        </is>
      </c>
      <c r="AR39" s="75" t="inlineStr">
        <is>
          <t>Agro / Revenda</t>
        </is>
      </c>
      <c r="AS39" s="75" t="b">
        <v>1</v>
      </c>
      <c r="AT39" s="75" t="inlineStr">
        <is>
          <t>FundosNet/B3 doc. 1118056, p. 24 e 36–38; IMG_8705.JPG e IMG_8707.jpg</t>
        </is>
      </c>
      <c r="AU39" s="75" t="inlineStr">
        <is>
          <t>Direitos de clientes e estabelecimentos contra RecargaPay por transações de pagamento; RecargaPay atua como subcredenciadora.</t>
        </is>
      </c>
      <c r="AV39" s="75" t="inlineStr">
        <is>
          <t>≥ 60%</t>
        </is>
      </c>
      <c r="AW39" s="75" t="b">
        <v>1</v>
      </c>
      <c r="AX39" s="75" t="inlineStr">
        <is>
          <t>acima do piso</t>
        </is>
      </c>
      <c r="AY39" s="75" t="inlineStr">
        <is>
          <t>sem benchmark confiável</t>
        </is>
      </c>
      <c r="AZ39" s="144" t="inlineStr">
        <is>
          <t>N/D</t>
        </is>
      </c>
      <c r="BA39" s="75" t="b">
        <v>0</v>
      </c>
      <c r="BB39" s="145" t="n">
        <v>0</v>
      </c>
      <c r="BC39" s="143" t="n">
        <v>1000</v>
      </c>
      <c r="BD39" s="75" t="inlineStr">
        <is>
          <t>Cotas Seniores: R$1.000,00</t>
        </is>
      </c>
      <c r="BE39" s="75" t="inlineStr">
        <is>
          <t>valor nominal unitário (VNU)</t>
        </is>
      </c>
      <c r="BF39" s="75" t="inlineStr">
        <is>
          <t>Cotas Seniores</t>
        </is>
      </c>
      <c r="BG39" s="75" t="inlineStr">
        <is>
          <t>22/12/2023</t>
        </is>
      </c>
      <c r="BH39" s="75" t="inlineStr">
        <is>
          <t>574657</t>
        </is>
      </c>
      <c r="BI39" s="75" t="inlineStr">
        <is>
          <t>https://fnet.bmfbovespa.com.br/fnet/publico/downloadDocumento?id=574657</t>
        </is>
      </c>
      <c r="BJ39" s="75" t="inlineStr">
        <is>
          <t>localizado documentalmente</t>
        </is>
      </c>
      <c r="BK39" s="75" t="b">
        <v>0</v>
      </c>
      <c r="BL39" s="75" t="inlineStr">
        <is>
          <t>RecargaPay</t>
        </is>
      </c>
      <c r="BM39" s="75" t="inlineStr">
        <is>
          <t>cedente</t>
        </is>
      </c>
      <c r="BN39" s="75" t="inlineStr">
        <is>
          <t>N/D</t>
        </is>
      </c>
      <c r="BO39" s="75" t="inlineStr">
        <is>
          <t>RecargaPay</t>
        </is>
      </c>
      <c r="BP39" s="75" t="inlineStr">
        <is>
          <t>N/D</t>
        </is>
      </c>
      <c r="BQ39" s="75" t="inlineStr">
        <is>
          <t>recebíveis de cartão</t>
        </is>
      </c>
      <c r="BR39" s="75" t="inlineStr">
        <is>
          <t>cedente: IMG_8705.JPG | tipo_recebivel: IMG_8705.JPG</t>
        </is>
      </c>
      <c r="BS39" s="75" t="inlineStr">
        <is>
          <t>manual_aplicado</t>
        </is>
      </c>
      <c r="BT39" s="75" t="inlineStr">
        <is>
          <t>OBS da foto: FIDC "Bolso próprio", onde a Recarga fez aportes iniciais e utiliza o veículo para antecipar os recebíveis de cartão. Denominação cortada.</t>
        </is>
      </c>
      <c r="BU39" s="75" t="inlineStr">
        <is>
          <t>1118056</t>
        </is>
      </c>
      <c r="BV39" s="75" t="inlineStr">
        <is>
          <t>2026-02-12</t>
        </is>
      </c>
      <c r="BW39" s="75" t="inlineStr">
        <is>
          <t>31</t>
        </is>
      </c>
      <c r="BX39" s="75" t="inlineStr">
        <is>
          <t>revisto — mínimo júnior localizado</t>
        </is>
      </c>
      <c r="BY39" s="75" t="inlineStr">
        <is>
          <t>FundosNet/B3; documento 1118056; referência 2026-02-12; p. 31</t>
        </is>
      </c>
      <c r="BZ39" s="75" t="inlineStr">
        <is>
          <t>Cotas subordinadas / PL, mínimo de 50,0%; estrutura com uma única classe residual.</t>
        </is>
      </c>
      <c r="CA39" s="75" t="inlineStr">
        <is>
          <t>originador; sacado/devedor</t>
        </is>
      </c>
      <c r="CB39" s="75" t="inlineStr">
        <is>
          <t>completo_para_folga</t>
        </is>
      </c>
    </row>
    <row r="40" ht="31.5" customHeight="1">
      <c r="A40" s="74" t="n">
        <v>37</v>
      </c>
      <c r="B40" s="138" t="n">
        <v>42102603000144</v>
      </c>
      <c r="C40" s="74" t="inlineStr">
        <is>
          <t>42.102.603/0001-44</t>
        </is>
      </c>
      <c r="D40" s="74" t="inlineStr">
        <is>
          <t>CLOUDWALK KICK ASS II FUNDO DE INVESTIMENTO EM DIREITOS CREDITÓRIOS SEGMENTO MEIOS DE PAGAMENTO</t>
        </is>
      </c>
      <c r="E40" s="74" t="inlineStr">
        <is>
          <t>CLOUDWALK KICK ASS II FUNDO DE INVESTIMENTO EM DIR</t>
        </is>
      </c>
      <c r="F40" s="74" t="inlineStr">
        <is>
          <t>Carteira 101</t>
        </is>
      </c>
      <c r="G40" s="74" t="inlineStr">
        <is>
          <t>2026-06</t>
        </is>
      </c>
      <c r="H40" s="74" t="inlineStr">
        <is>
          <t>localizado</t>
        </is>
      </c>
      <c r="I40" s="139" t="inlineStr">
        <is>
          <t>N/D</t>
        </is>
      </c>
      <c r="J40" s="139" t="inlineStr">
        <is>
          <t>N/D</t>
        </is>
      </c>
      <c r="K40" s="139" t="inlineStr">
        <is>
          <t>N/D</t>
        </is>
      </c>
      <c r="L40" s="140" t="inlineStr">
        <is>
          <t>N/D</t>
        </is>
      </c>
      <c r="M40" s="74" t="inlineStr">
        <is>
          <t>PL oficial ausente em 2026-06</t>
        </is>
      </c>
      <c r="N40" s="140" t="n">
        <v>0.068</v>
      </c>
      <c r="O40" s="140" t="inlineStr">
        <is>
          <t>N/D</t>
        </is>
      </c>
      <c r="P40" s="140" t="inlineStr">
        <is>
          <t>N/D</t>
        </is>
      </c>
      <c r="Q40" s="140" t="n">
        <v>0.068</v>
      </c>
      <c r="R40" s="140" t="inlineStr">
        <is>
          <t>N/D</t>
        </is>
      </c>
      <c r="S40" s="140" t="n">
        <v>0.068</v>
      </c>
      <c r="T40" s="74" t="inlineStr">
        <is>
          <t>6,8%</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inlineStr">
        <is>
          <t>N/D</t>
        </is>
      </c>
      <c r="AA40" s="140" t="inlineStr">
        <is>
          <t>N/D</t>
        </is>
      </c>
      <c r="AB40" s="74" t="inlineStr">
        <is>
          <t>não medido</t>
        </is>
      </c>
      <c r="AC40" s="74" t="inlineStr">
        <is>
          <t>Financeiro</t>
        </is>
      </c>
      <c r="AD40" s="74" t="inlineStr">
        <is>
          <t>Adquirência</t>
        </is>
      </c>
      <c r="AE40" s="74" t="inlineStr">
        <is>
          <t>Adquirência</t>
        </is>
      </c>
      <c r="AF40" s="74" t="inlineStr">
        <is>
          <t>Adquirência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Adquirência</t>
        </is>
      </c>
      <c r="AS40" s="74" t="b">
        <v>0</v>
      </c>
      <c r="AT40" s="74" t="inlineStr">
        <is>
          <t>N/D</t>
        </is>
      </c>
      <c r="AU40" s="74" t="inlineStr">
        <is>
          <t>N/D</t>
        </is>
      </c>
      <c r="AV40" s="74" t="inlineStr">
        <is>
          <t>N/D</t>
        </is>
      </c>
      <c r="AW40" s="74" t="b">
        <v>0</v>
      </c>
      <c r="AX40" s="74" t="inlineStr">
        <is>
          <t>N/D</t>
        </is>
      </c>
      <c r="AY40" s="74" t="inlineStr">
        <is>
          <t>sem benchmark confiável</t>
        </is>
      </c>
      <c r="AZ40" s="140" t="inlineStr">
        <is>
          <t>N/D</t>
        </is>
      </c>
      <c r="BA40" s="74" t="b">
        <v>1</v>
      </c>
      <c r="BB40" s="141" t="n">
        <v>15</v>
      </c>
      <c r="BC40" s="139" t="n">
        <v>1000</v>
      </c>
      <c r="BD40" s="74" t="inlineStr">
        <is>
          <t>Cotas Seniores: R$1.000,00 | Cotas Subordinadas: R$1.000,00</t>
        </is>
      </c>
      <c r="BE40" s="74" t="inlineStr">
        <is>
          <t>valor nominal unitário (VNU)</t>
        </is>
      </c>
      <c r="BF40" s="74" t="inlineStr">
        <is>
          <t>Cotas Seniores | Cotas Subordinadas</t>
        </is>
      </c>
      <c r="BG40" s="74" t="inlineStr">
        <is>
          <t>2024-09-05</t>
        </is>
      </c>
      <c r="BH40" s="74" t="inlineStr">
        <is>
          <t>733239</t>
        </is>
      </c>
      <c r="BI40" s="74" t="inlineStr">
        <is>
          <t>https://fnet.bmfbovespa.com.br/fnet/publico/downloadDocumento?id=733239</t>
        </is>
      </c>
      <c r="BJ40" s="74" t="inlineStr">
        <is>
          <t>localizado documentalmente — múltiplos valores/classes</t>
        </is>
      </c>
      <c r="BK40" s="74" t="b">
        <v>1</v>
      </c>
      <c r="BL40" s="74" t="inlineStr">
        <is>
          <t>Cloudwalk</t>
        </is>
      </c>
      <c r="BM40" s="74" t="inlineStr">
        <is>
          <t>cedente</t>
        </is>
      </c>
      <c r="BN40" s="74" t="inlineStr">
        <is>
          <t>N/D</t>
        </is>
      </c>
      <c r="BO40" s="74" t="inlineStr">
        <is>
          <t>a CloudWalk que, de tempos em tempos, nos termos do Contrato de Cessão, cede seus respectivos Direitos Creditórios Elegíveis ao Fundo</t>
        </is>
      </c>
      <c r="BP40" s="74" t="inlineStr">
        <is>
          <t>cada Devedor de Direitos Creditórios Cedidos que represente 6,8% (seis inteiros e oito décimos por cento) ou mais do Patrimônio Líquido do Fundo</t>
        </is>
      </c>
      <c r="BQ40" s="74" t="inlineStr">
        <is>
          <t>os direitos creditórios de tempos em tempos detidos pela Cedente em face dos Devedores , conforme as regras dos Arranjos de Pagamentos, decorrentes de Docusign Envelope ID: C7A68EEF-E1CC-4C50-9460-07F207F1899B</t>
        </is>
      </c>
      <c r="BR40" s="74" t="inlineStr">
        <is>
          <t>cedente: https://fnet.bmfbovespa.com.br/fnet/publico/downloadDocumento?id=733239 | sacado_devedor: https://fnet.bmfbovespa.com.br/fnet/publico/downloadDocumento?id=733239 | tipo_recebivel: https://fnet.bmfbovespa.com.br/fnet/publico/downloadDocumento?id=733239</t>
        </is>
      </c>
      <c r="BS40" s="74" t="inlineStr">
        <is>
          <t>manual_aplicado</t>
        </is>
      </c>
      <c r="BT40" s="74" t="inlineStr">
        <is>
          <t>OBS da foto: Alongamento discutido recentemente (mas com run-off). Denominação cortada.</t>
        </is>
      </c>
      <c r="BU40" s="74" t="inlineStr">
        <is>
          <t>733239</t>
        </is>
      </c>
      <c r="BV40" s="74" t="inlineStr">
        <is>
          <t>2024-09-05</t>
        </is>
      </c>
      <c r="BW40" s="74" t="inlineStr">
        <is>
          <t>99</t>
        </is>
      </c>
      <c r="BX40" s="74" t="inlineStr">
        <is>
          <t>revisto — mínimo júnior localizado</t>
        </is>
      </c>
      <c r="BY40" s="74" t="inlineStr">
        <is>
          <t>FundosNet/B3; documento 733239; referência 2024-09-05; p. 99</t>
        </is>
      </c>
      <c r="BZ40" s="74" t="inlineStr">
        <is>
          <t>Cotas subordinadas / PL, mínimo de 6,8%; estrutura com uma única classe residual.</t>
        </is>
      </c>
      <c r="CA40" s="74" t="inlineStr">
        <is>
          <t>PL atual; Sub/PL atual; originador</t>
        </is>
      </c>
      <c r="CB40" s="74" t="inlineStr">
        <is>
          <t>sub_pl_atual_ausente</t>
        </is>
      </c>
    </row>
    <row r="41" ht="31.5" customHeight="1">
      <c r="A41" s="75" t="n">
        <v>38</v>
      </c>
      <c r="B41" s="142" t="n">
        <v>28169275000172</v>
      </c>
      <c r="C41" s="75" t="inlineStr">
        <is>
          <t>28.169.275/0001-72</t>
        </is>
      </c>
      <c r="D41" s="75" t="inlineStr">
        <is>
          <t>FUNDO DE INVESTIMENTO EM DIREITOS CREDITÓRIOS PAGSEGURO I</t>
        </is>
      </c>
      <c r="E41" s="75" t="inlineStr">
        <is>
          <t>FUNDO DE INVESTIMENTO EM DIREITOS CREDITORIOS PAGSEGURO I</t>
        </is>
      </c>
      <c r="F41" s="75" t="inlineStr">
        <is>
          <t>Carteira 101</t>
        </is>
      </c>
      <c r="G41" s="75" t="inlineStr">
        <is>
          <t>2026-06</t>
        </is>
      </c>
      <c r="H41" s="75" t="inlineStr">
        <is>
          <t>localizado</t>
        </is>
      </c>
      <c r="I41" s="143" t="n">
        <v>6234652185.61</v>
      </c>
      <c r="J41" s="143" t="n">
        <v>6233925629.525884</v>
      </c>
      <c r="K41" s="143" t="n">
        <v>3942647146.695884</v>
      </c>
      <c r="L41" s="144" t="n">
        <v>0.6323764388646702</v>
      </c>
      <c r="M41" s="75" t="inlineStr">
        <is>
          <t>Calculado com classes reportadas e PL oficial reconciliado</t>
        </is>
      </c>
      <c r="N41" s="144" t="n">
        <v>0.5</v>
      </c>
      <c r="O41" s="144" t="inlineStr">
        <is>
          <t>N/D</t>
        </is>
      </c>
      <c r="P41" s="144" t="inlineStr">
        <is>
          <t>N/D</t>
        </is>
      </c>
      <c r="Q41" s="144" t="inlineStr">
        <is>
          <t>N/D</t>
        </is>
      </c>
      <c r="R41" s="144" t="inlineStr">
        <is>
          <t>N/D</t>
        </is>
      </c>
      <c r="S41" s="144" t="n">
        <v>0.5</v>
      </c>
      <c r="T41" s="75" t="inlineStr">
        <is>
          <t>N/D</t>
        </is>
      </c>
      <c r="U41" s="75" t="inlineStr">
        <is>
          <t>junior_pl</t>
        </is>
      </c>
      <c r="V41" s="75" t="inlineStr">
        <is>
          <t>direto no regulamento</t>
        </is>
      </c>
      <c r="W41" s="75" t="b">
        <v>0</v>
      </c>
      <c r="X41" s="75" t="inlineStr">
        <is>
          <t>Mínimo júnior isolado; a subordinação atual disponível agrega mais de uma classe subordinada ou usa denominador distinto.</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 60%</t>
        </is>
      </c>
      <c r="AW41" s="75" t="b">
        <v>1</v>
      </c>
      <c r="AX41" s="75" t="inlineStr">
        <is>
          <t>incomparável</t>
        </is>
      </c>
      <c r="AY41" s="75" t="inlineStr">
        <is>
          <t>acima do mercado</t>
        </is>
      </c>
      <c r="AZ41" s="144" t="n">
        <v>0.4770169846397641</v>
      </c>
      <c r="BA41" s="75" t="b">
        <v>1</v>
      </c>
      <c r="BB41" s="145" t="n">
        <v>15</v>
      </c>
      <c r="BC41" s="143" t="n">
        <v>1000</v>
      </c>
      <c r="BD41" s="75" t="inlineStr">
        <is>
          <t>Cotas Seniores: R$ 1.000,00 | Cotas Subordinadas: R$ 1.000,00 | R$ 1.000,00</t>
        </is>
      </c>
      <c r="BE41" s="75" t="inlineStr">
        <is>
          <t>valor nominal unitário (VNU)</t>
        </is>
      </c>
      <c r="BF41" s="75" t="inlineStr">
        <is>
          <t>Cotas Seniores | Cotas Subordinadas</t>
        </is>
      </c>
      <c r="BG41" s="75" t="inlineStr">
        <is>
          <t>2026-03-25</t>
        </is>
      </c>
      <c r="BH41" s="75" t="inlineStr">
        <is>
          <t>1149521</t>
        </is>
      </c>
      <c r="BI41" s="75" t="inlineStr">
        <is>
          <t>https://fnet.bmfbovespa.com.br/fnet/publico/downloadDocumento?id=1149521</t>
        </is>
      </c>
      <c r="BJ41" s="75" t="inlineStr">
        <is>
          <t>localizado documentalmente — múltiplos valores/classes</t>
        </is>
      </c>
      <c r="BK41" s="75" t="b">
        <v>1</v>
      </c>
      <c r="BL41" s="75" t="inlineStr">
        <is>
          <t>PagBank (originador) | PagSeguro (cedente)</t>
        </is>
      </c>
      <c r="BM41" s="75" t="inlineStr">
        <is>
          <t>originador | cedente</t>
        </is>
      </c>
      <c r="BN41" s="75" t="inlineStr">
        <is>
          <t>PagBank</t>
        </is>
      </c>
      <c r="BO41" s="75" t="inlineStr">
        <is>
          <t>PagSeguro</t>
        </is>
      </c>
      <c r="BP41" s="75" t="inlineStr">
        <is>
          <t>N/D</t>
        </is>
      </c>
      <c r="BQ41"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1" s="75" t="inlineStr">
        <is>
          <t>cedente: IMG_8705.JPG | tipo_recebivel: https://fnet.bmfbovespa.com.br/fnet/publico/downloadDocumento?id=1147067</t>
        </is>
      </c>
      <c r="BS41" s="75" t="inlineStr">
        <is>
          <t>manual_aplicado</t>
        </is>
      </c>
      <c r="BT41" s="75" t="inlineStr">
        <is>
          <t>IMG_8698 identifica PagBank como originador; IMG_8705 identifica PagSeguro como cedente e recebíveis dos ECs.</t>
        </is>
      </c>
      <c r="BU41" s="75" t="inlineStr">
        <is>
          <t>1149521</t>
        </is>
      </c>
      <c r="BV41" s="75" t="inlineStr">
        <is>
          <t>2026-03-25</t>
        </is>
      </c>
      <c r="BW41" s="75" t="inlineStr">
        <is>
          <t>44</t>
        </is>
      </c>
      <c r="BX41" s="75" t="inlineStr">
        <is>
          <t>revisto — mínimo júnior localizado</t>
        </is>
      </c>
      <c r="BY41" s="75" t="inlineStr">
        <is>
          <t>FundosNet/B3; documento 1149521; referência 2026-03-25; p. 44</t>
        </is>
      </c>
      <c r="BZ41" s="75" t="inlineStr">
        <is>
          <t>Cotas subordinadas júnior / PL, mínimo de 50,0%; há classe mezanino.</t>
        </is>
      </c>
      <c r="CA41" s="75" t="inlineStr">
        <is>
          <t>sacado/devedor</t>
        </is>
      </c>
      <c r="CB41" s="75" t="inlineStr">
        <is>
          <t>estrutura_incomparavel</t>
        </is>
      </c>
    </row>
    <row r="42" ht="31.5" customHeight="1">
      <c r="A42" s="74" t="n">
        <v>39</v>
      </c>
      <c r="B42" s="138" t="n">
        <v>38658727000133</v>
      </c>
      <c r="C42" s="74" t="inlineStr">
        <is>
          <t>38.658.727/0001-33</t>
        </is>
      </c>
      <c r="D42" s="74" t="inlineStr">
        <is>
          <t>FUNDO DE INVESTIMENTO EM DIREITOS CREDITÓRIOS FORNECEDORES MADEIRA MADEIRA I</t>
        </is>
      </c>
      <c r="E42" s="74" t="inlineStr">
        <is>
          <t>FIDC FORNEC MADEIRA MADEIRA I</t>
        </is>
      </c>
      <c r="F42" s="74" t="inlineStr">
        <is>
          <t>Carteira 101</t>
        </is>
      </c>
      <c r="G42" s="74" t="inlineStr">
        <is>
          <t>2026-06</t>
        </is>
      </c>
      <c r="H42" s="74" t="inlineStr">
        <is>
          <t>localizado</t>
        </is>
      </c>
      <c r="I42" s="139" t="n">
        <v>196699440.04</v>
      </c>
      <c r="J42" s="139" t="n">
        <v>196699440.0404932</v>
      </c>
      <c r="K42" s="139" t="n">
        <v>92283651.41021584</v>
      </c>
      <c r="L42" s="140" t="n">
        <v>0.4691607225289987</v>
      </c>
      <c r="M42" s="74" t="inlineStr">
        <is>
          <t>Calculado com classes reportadas e PL oficial reconciliado</t>
        </is>
      </c>
      <c r="N42" s="140" t="inlineStr">
        <is>
          <t>N/D</t>
        </is>
      </c>
      <c r="O42" s="140" t="n">
        <v>0.26665</v>
      </c>
      <c r="P42" s="140" t="inlineStr">
        <is>
          <t>N/D</t>
        </is>
      </c>
      <c r="Q42" s="140" t="n">
        <v>0.26665</v>
      </c>
      <c r="R42" s="140" t="inlineStr">
        <is>
          <t>N/D</t>
        </is>
      </c>
      <c r="S42" s="140" t="n">
        <v>0.26665</v>
      </c>
      <c r="T42" s="74" t="inlineStr">
        <is>
          <t>26,67%*</t>
        </is>
      </c>
      <c r="U42" s="74" t="inlineStr">
        <is>
          <t>junior_pl_calculado</t>
        </is>
      </c>
      <c r="V42" s="74" t="inlineStr">
        <is>
          <t>calculado: 1 − 1/1,3636</t>
        </is>
      </c>
      <c r="W42" s="74" t="b">
        <v>1</v>
      </c>
      <c r="X42" s="74" t="inlineStr">
        <is>
          <t>Estrutura com uma única classe subordinada; métrica atual e piso usam o total subordinado sobre o PL.</t>
        </is>
      </c>
      <c r="Y42" s="74" t="b">
        <v>1</v>
      </c>
      <c r="Z42" s="140" t="n">
        <v>0.2025107225289987</v>
      </c>
      <c r="AA42" s="140" t="n">
        <v>0.276144709250697</v>
      </c>
      <c r="AB42" s="74" t="inlineStr">
        <is>
          <t>acima do mínimo</t>
        </is>
      </c>
      <c r="AC42" s="74" t="inlineStr">
        <is>
          <t>Agro, Indústria e Comércio</t>
        </is>
      </c>
      <c r="AD42" s="74" t="inlineStr">
        <is>
          <t>Recebíveis Comerciais</t>
        </is>
      </c>
      <c r="AE42" s="74" t="inlineStr">
        <is>
          <t>Agro / Revenda</t>
        </is>
      </c>
      <c r="AF42" s="74" t="inlineStr">
        <is>
          <t>Agro / Revenda</t>
        </is>
      </c>
      <c r="AG42" s="74" t="inlineStr">
        <is>
          <t>Agro / Revenda</t>
        </is>
      </c>
      <c r="AH42" s="74" t="inlineStr">
        <is>
          <t>Risco Corporativo</t>
        </is>
      </c>
      <c r="AI42" s="74" t="inlineStr">
        <is>
          <t>Supplier finance, MadeiraMadeira como devedora</t>
        </is>
      </c>
      <c r="AJ42" s="74" t="b">
        <v>1</v>
      </c>
      <c r="AK42" s="74" t="inlineStr">
        <is>
          <t>APLICAR_ALTA</t>
        </is>
      </c>
      <c r="AL42" s="74" t="inlineStr">
        <is>
          <t>Fornecedores cedem créditos comerciais contra MadeiraMadeira</t>
        </is>
      </c>
      <c r="AM42" s="74" t="inlineStr">
        <is>
          <t>regulamento 691063</t>
        </is>
      </c>
      <c r="AN42" s="74" t="inlineStr">
        <is>
          <t>Não</t>
        </is>
      </c>
      <c r="AO42" s="74" t="inlineStr">
        <is>
          <t>regulamento 691063</t>
        </is>
      </c>
      <c r="AP42" s="74" t="b">
        <v>0</v>
      </c>
      <c r="AQ42" s="74" t="inlineStr">
        <is>
          <t>Risco Corporativo</t>
        </is>
      </c>
      <c r="AR42" s="74" t="inlineStr">
        <is>
          <t>Agro / Revenda</t>
        </is>
      </c>
      <c r="AS42" s="74" t="b">
        <v>1</v>
      </c>
      <c r="AT42" s="74" t="inlineStr">
        <is>
          <t>regulamento 691063</t>
        </is>
      </c>
      <c r="AU42" s="74" t="inlineStr">
        <is>
          <t>Fornecedores cedem créditos comerciais contra MadeiraMadeira</t>
        </is>
      </c>
      <c r="AV42" s="74" t="inlineStr">
        <is>
          <t>35%–60%</t>
        </is>
      </c>
      <c r="AW42" s="74" t="b">
        <v>1</v>
      </c>
      <c r="AX42" s="74" t="inlineStr">
        <is>
          <t>acima do piso</t>
        </is>
      </c>
      <c r="AY42" s="74" t="inlineStr">
        <is>
          <t>sem benchmark confiável</t>
        </is>
      </c>
      <c r="AZ42" s="140" t="inlineStr">
        <is>
          <t>N/D</t>
        </is>
      </c>
      <c r="BA42" s="74" t="b">
        <v>0</v>
      </c>
      <c r="BB42" s="141" t="n">
        <v>0</v>
      </c>
      <c r="BC42" s="139" t="n">
        <v>1000</v>
      </c>
      <c r="BD42" s="74" t="inlineStr">
        <is>
          <t>Cotas Seniores: R$ 1.000,00</t>
        </is>
      </c>
      <c r="BE42" s="74" t="inlineStr">
        <is>
          <t>preço/valor unitário de emissão</t>
        </is>
      </c>
      <c r="BF42" s="74" t="inlineStr">
        <is>
          <t>Cotas Seniores</t>
        </is>
      </c>
      <c r="BG42" s="74" t="inlineStr">
        <is>
          <t>2024-06-13</t>
        </is>
      </c>
      <c r="BH42" s="74" t="inlineStr">
        <is>
          <t>691063</t>
        </is>
      </c>
      <c r="BI42" s="74" t="inlineStr">
        <is>
          <t>https://fnet.bmfbovespa.com.br/fnet/publico/downloadDocumento?id=691063</t>
        </is>
      </c>
      <c r="BJ42" s="74" t="inlineStr">
        <is>
          <t>localizado documentalmente</t>
        </is>
      </c>
      <c r="BK42" s="74" t="b">
        <v>0</v>
      </c>
      <c r="BL42" s="74" t="inlineStr">
        <is>
          <t>Fornecedores: Madeira/Madeira</t>
        </is>
      </c>
      <c r="BM42" s="74" t="inlineStr">
        <is>
          <t>cedente</t>
        </is>
      </c>
      <c r="BN42" s="74" t="inlineStr">
        <is>
          <t>N/D</t>
        </is>
      </c>
      <c r="BO42" s="74" t="inlineStr">
        <is>
          <t>Fornecedores: Madeira/Madeira</t>
        </is>
      </c>
      <c r="BP42" s="74" t="inlineStr">
        <is>
          <t>Madeira/Madeira</t>
        </is>
      </c>
      <c r="BQ42" s="74"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2" s="74" t="inlineStr">
        <is>
          <t>cedente: IMG_8705.JPG | sacado_devedor: IMG_8705.JPG | tipo_recebivel: https://fnet.bmfbovespa.com.br/fnet/publico/downloadDocumento?id=691063</t>
        </is>
      </c>
      <c r="BS42" s="74" t="inlineStr">
        <is>
          <t>manual_aplicado</t>
        </is>
      </c>
      <c r="BT42" s="74" t="inlineStr">
        <is>
          <t>OBS da foto: FIDC Multicedente (Fornecedores) &amp; Monosacado (Madeira/Madeira). O sacado foi desmembrado somente porque a função Monosacado está escrita na fonte.</t>
        </is>
      </c>
      <c r="BU42" s="74" t="inlineStr">
        <is>
          <t>1216296</t>
        </is>
      </c>
      <c r="BV42" s="74" t="inlineStr">
        <is>
          <t>2026-06-05</t>
        </is>
      </c>
      <c r="BW42" s="74" t="inlineStr">
        <is>
          <t>62</t>
        </is>
      </c>
      <c r="BX42" s="74" t="inlineStr">
        <is>
          <t>revisto — mínimo júnior localizado</t>
        </is>
      </c>
      <c r="BY42" s="74" t="inlineStr">
        <is>
          <t>FundosNet/B3; documento 1216296; referência 2026-06-05; p. 62</t>
        </is>
      </c>
      <c r="BZ42" s="74" t="inlineStr">
        <is>
          <t>Mínimo júnior implícito na relação PL / cotas seniores de 136,36%.</t>
        </is>
      </c>
      <c r="CA42" s="74" t="inlineStr">
        <is>
          <t>originador</t>
        </is>
      </c>
      <c r="CB42" s="74" t="inlineStr">
        <is>
          <t>completo_para_folga</t>
        </is>
      </c>
    </row>
    <row r="43" ht="31.5" customHeight="1">
      <c r="A43" s="75" t="n">
        <v>40</v>
      </c>
      <c r="B43" s="142" t="n">
        <v>52271464000136</v>
      </c>
      <c r="C43" s="75" t="inlineStr">
        <is>
          <t>52.271.464/0001-36</t>
        </is>
      </c>
      <c r="D43" s="75" t="inlineStr">
        <is>
          <t>KIWIFY FUNDO DE INVESTIMENTO EM DIREITOS CREDITÓRIOS SEGMENTO MEIOS DE PAGAMENTO DE RESPONSABILIDADE</t>
        </is>
      </c>
      <c r="E43" s="75" t="inlineStr">
        <is>
          <t>KIWIFY FUNDO DE INVESTIMENTO E</t>
        </is>
      </c>
      <c r="F43" s="75" t="inlineStr">
        <is>
          <t>Carteira 101</t>
        </is>
      </c>
      <c r="G43" s="75" t="inlineStr">
        <is>
          <t>2026-06</t>
        </is>
      </c>
      <c r="H43" s="75" t="inlineStr">
        <is>
          <t>localizado</t>
        </is>
      </c>
      <c r="I43" s="143" t="n">
        <v>347342248.66</v>
      </c>
      <c r="J43" s="143" t="n">
        <v>347342248.62347</v>
      </c>
      <c r="K43" s="143" t="n">
        <v>70030404.01372002</v>
      </c>
      <c r="L43" s="144" t="n">
        <v>0.2016178690726163</v>
      </c>
      <c r="M43" s="75" t="inlineStr">
        <is>
          <t>Calculado com classes reportadas e PL oficial reconciliado</t>
        </is>
      </c>
      <c r="N43" s="144" t="n">
        <v>0.06</v>
      </c>
      <c r="O43" s="144" t="inlineStr">
        <is>
          <t>N/D</t>
        </is>
      </c>
      <c r="P43" s="144" t="inlineStr">
        <is>
          <t>N/D</t>
        </is>
      </c>
      <c r="Q43" s="144" t="inlineStr">
        <is>
          <t>N/D</t>
        </is>
      </c>
      <c r="R43" s="144" t="inlineStr">
        <is>
          <t>N/D</t>
        </is>
      </c>
      <c r="S43" s="144" t="n">
        <v>0.06</v>
      </c>
      <c r="T43" s="75" t="inlineStr">
        <is>
          <t>N/D</t>
        </is>
      </c>
      <c r="U43" s="75" t="inlineStr">
        <is>
          <t>junior_pl</t>
        </is>
      </c>
      <c r="V43" s="75" t="inlineStr">
        <is>
          <t>direto no regulamento</t>
        </is>
      </c>
      <c r="W43" s="75" t="b">
        <v>0</v>
      </c>
      <c r="X43" s="75" t="inlineStr">
        <is>
          <t>Mínimo júnior isolado; a subordinação atual disponível agrega todas as classes subordinadas.</t>
        </is>
      </c>
      <c r="Y43" s="75" t="b">
        <v>0</v>
      </c>
      <c r="Z43" s="144" t="inlineStr">
        <is>
          <t>N/D</t>
        </is>
      </c>
      <c r="AA43" s="144" t="inlineStr">
        <is>
          <t>N/D</t>
        </is>
      </c>
      <c r="AB43" s="75" t="inlineStr">
        <is>
          <t>não medido</t>
        </is>
      </c>
      <c r="AC43" s="75" t="inlineStr">
        <is>
          <t>Agro, Indústria e Comércio</t>
        </is>
      </c>
      <c r="AD43" s="75" t="inlineStr">
        <is>
          <t>Recebíveis Comerciais</t>
        </is>
      </c>
      <c r="AE43" s="75" t="inlineStr">
        <is>
          <t>Agro / Revenda</t>
        </is>
      </c>
      <c r="AF43" s="75" t="inlineStr">
        <is>
          <t>Agro / Revenda</t>
        </is>
      </c>
      <c r="AG43" s="75" t="inlineStr">
        <is>
          <t>Adquirência</t>
        </is>
      </c>
      <c r="AH43" s="75" t="inlineStr">
        <is>
          <t>Adquirência</t>
        </is>
      </c>
      <c r="AI43" s="75" t="inlineStr">
        <is>
          <t>N/D</t>
        </is>
      </c>
      <c r="AJ43" s="75" t="b">
        <v>0</v>
      </c>
      <c r="AK43" s="75" t="inlineStr">
        <is>
          <t>fora da revisão Financeiro/Agro</t>
        </is>
      </c>
      <c r="AL43" s="75" t="inlineStr">
        <is>
          <t>N/D</t>
        </is>
      </c>
      <c r="AM43" s="75" t="inlineStr">
        <is>
          <t>N/D</t>
        </is>
      </c>
      <c r="AN43" s="75" t="inlineStr">
        <is>
          <t>N/D</t>
        </is>
      </c>
      <c r="AO43" s="75" t="inlineStr">
        <is>
          <t>N/D</t>
        </is>
      </c>
      <c r="AP43" s="75" t="inlineStr">
        <is>
          <t>N/D</t>
        </is>
      </c>
      <c r="AQ43" s="75" t="inlineStr">
        <is>
          <t>Adquirência</t>
        </is>
      </c>
      <c r="AR43" s="75" t="inlineStr">
        <is>
          <t>Agro / Revenda</t>
        </is>
      </c>
      <c r="AS43" s="75" t="b">
        <v>1</v>
      </c>
      <c r="AT43" s="75" t="inlineStr">
        <is>
          <t>FundosNet/B3 doc. 1155755, p. 13; IMG_8705.JPG e IMG_8707.jpg</t>
        </is>
      </c>
      <c r="AU43" s="75" t="inlineStr">
        <is>
          <t>Direitos da Kiwify, na condição de subcredenciadora, contra credenciadoras de transações de pagamento.</t>
        </is>
      </c>
      <c r="AV43" s="75" t="inlineStr">
        <is>
          <t>20%–35%</t>
        </is>
      </c>
      <c r="AW43" s="75" t="b">
        <v>1</v>
      </c>
      <c r="AX43" s="75" t="inlineStr">
        <is>
          <t>incomparável</t>
        </is>
      </c>
      <c r="AY43" s="75" t="inlineStr">
        <is>
          <t>sem benchmark confiável</t>
        </is>
      </c>
      <c r="AZ43" s="144" t="inlineStr">
        <is>
          <t>N/D</t>
        </is>
      </c>
      <c r="BA43" s="75" t="b">
        <v>0</v>
      </c>
      <c r="BB43" s="145" t="n">
        <v>0</v>
      </c>
      <c r="BC43" s="143" t="n">
        <v>1000</v>
      </c>
      <c r="BD43" s="75" t="inlineStr">
        <is>
          <t>Cotas Seniores: R$1.000,00</t>
        </is>
      </c>
      <c r="BE43" s="75" t="inlineStr">
        <is>
          <t>valor nominal unitário (VNU)</t>
        </is>
      </c>
      <c r="BF43" s="75" t="inlineStr">
        <is>
          <t>Cotas Seniores</t>
        </is>
      </c>
      <c r="BG43" s="75" t="inlineStr">
        <is>
          <t>29/12/2025</t>
        </is>
      </c>
      <c r="BH43" s="75" t="inlineStr">
        <is>
          <t>1072777</t>
        </is>
      </c>
      <c r="BI43" s="75" t="inlineStr">
        <is>
          <t>https://fnet.bmfbovespa.com.br/fnet/publico/downloadDocumento?id=1072777</t>
        </is>
      </c>
      <c r="BJ43" s="75" t="inlineStr">
        <is>
          <t>localizado documentalmente</t>
        </is>
      </c>
      <c r="BK43" s="75" t="b">
        <v>0</v>
      </c>
      <c r="BL43" s="75" t="inlineStr">
        <is>
          <t>N/D</t>
        </is>
      </c>
      <c r="BM43" s="75" t="inlineStr">
        <is>
          <t>N/D</t>
        </is>
      </c>
      <c r="BN43" s="75" t="inlineStr">
        <is>
          <t>N/D</t>
        </is>
      </c>
      <c r="BO43" s="75" t="inlineStr">
        <is>
          <t>a Subcredenciadora</t>
        </is>
      </c>
      <c r="BP43" s="75" t="inlineStr">
        <is>
          <t>a Credenciadora, na qualidade de devedora dos Direitos Creditórios</t>
        </is>
      </c>
      <c r="BQ43"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3" s="75" t="inlineStr">
        <is>
          <t>cedente: https://fnet.bmfbovespa.com.br/fnet/publico/downloadDocumento?id=1155755 | sacado_devedor: https://fnet.bmfbovespa.com.br/fnet/publico/downloadDocumento?id=1155755 | tipo_recebivel: https://fnet.bmfbovespa.com.br/fnet/publico/downloadDocumento?id=1155755</t>
        </is>
      </c>
      <c r="BS43" s="75" t="inlineStr">
        <is>
          <t>sem_overlay</t>
        </is>
      </c>
      <c r="BT43" s="75" t="inlineStr">
        <is>
          <t>N/D</t>
        </is>
      </c>
      <c r="BU43" s="75" t="inlineStr">
        <is>
          <t>1155755</t>
        </is>
      </c>
      <c r="BV43" s="75" t="inlineStr">
        <is>
          <t>2026-03-18</t>
        </is>
      </c>
      <c r="BW43" s="75" t="inlineStr">
        <is>
          <t>18</t>
        </is>
      </c>
      <c r="BX43" s="75" t="inlineStr">
        <is>
          <t>revisto — mínimo júnior localizado</t>
        </is>
      </c>
      <c r="BY43" s="75" t="inlineStr">
        <is>
          <t>FundosNet/B3; documento 1155755; referência 2026-03-18; p. 18</t>
        </is>
      </c>
      <c r="BZ43" s="75" t="inlineStr">
        <is>
          <t>Cotas subordinadas júnior / PL, mínimo de 6,0%.</t>
        </is>
      </c>
      <c r="CA43" s="75" t="inlineStr">
        <is>
          <t>originador</t>
        </is>
      </c>
      <c r="CB43" s="75" t="inlineStr">
        <is>
          <t>estrutura_incomparavel</t>
        </is>
      </c>
    </row>
    <row r="44" ht="31.5" customHeight="1">
      <c r="A44" s="74" t="n">
        <v>41</v>
      </c>
      <c r="B44" s="138" t="n">
        <v>29226654000110</v>
      </c>
      <c r="C44" s="74" t="inlineStr">
        <is>
          <t>29.226.654/0001-10</t>
        </is>
      </c>
      <c r="D44" s="74" t="inlineStr">
        <is>
          <t>INVESTCRED FUNDO DE INVESTIMENTO EM DIREITOS CREDITÓRIOS</t>
        </is>
      </c>
      <c r="E44" s="74" t="inlineStr">
        <is>
          <t>INVESTCRED FUNDO DE INVESTIMENTO EM DIREITOS CREDI</t>
        </is>
      </c>
      <c r="F44" s="74" t="inlineStr">
        <is>
          <t>Carteira 101</t>
        </is>
      </c>
      <c r="G44" s="74" t="inlineStr">
        <is>
          <t>2026-06</t>
        </is>
      </c>
      <c r="H44" s="74" t="inlineStr">
        <is>
          <t>localizado</t>
        </is>
      </c>
      <c r="I44" s="139" t="n">
        <v>1193589922.6</v>
      </c>
      <c r="J44" s="139" t="n">
        <v>1193589922.607721</v>
      </c>
      <c r="K44" s="139" t="n">
        <v>950612296.4778208</v>
      </c>
      <c r="L44" s="140" t="n">
        <v>0.7964312352831361</v>
      </c>
      <c r="M44" s="74" t="inlineStr">
        <is>
          <t>Calculado com classes reportadas e PL oficial reconciliado</t>
        </is>
      </c>
      <c r="N44" s="140" t="inlineStr">
        <is>
          <t>N/D</t>
        </is>
      </c>
      <c r="O44" s="140" t="n">
        <v>0.6742671009769999</v>
      </c>
      <c r="P44" s="140" t="inlineStr">
        <is>
          <t>N/D</t>
        </is>
      </c>
      <c r="Q44" s="140" t="n">
        <v>0.6742671009769999</v>
      </c>
      <c r="R44" s="140" t="inlineStr">
        <is>
          <t>N/D</t>
        </is>
      </c>
      <c r="S44" s="140" t="n">
        <v>0.6742671009769999</v>
      </c>
      <c r="T44" s="74" t="inlineStr">
        <is>
          <t>67,43%*</t>
        </is>
      </c>
      <c r="U44" s="74" t="inlineStr">
        <is>
          <t>junior_pl_calculado</t>
        </is>
      </c>
      <c r="V44" s="74" t="inlineStr">
        <is>
          <t>calculado: 1 − 1/3,07</t>
        </is>
      </c>
      <c r="W44" s="74" t="b">
        <v>1</v>
      </c>
      <c r="X44" s="74" t="inlineStr">
        <is>
          <t>Estrutura com uma única classe subordinada; métrica atual e piso usam o total subordinado sobre o PL.</t>
        </is>
      </c>
      <c r="Y44" s="74" t="b">
        <v>1</v>
      </c>
      <c r="Z44" s="140" t="n">
        <v>0.1221641343061362</v>
      </c>
      <c r="AA44" s="140" t="n">
        <v>0.3750438923196091</v>
      </c>
      <c r="AB44" s="74" t="inlineStr">
        <is>
          <t>acima do mínimo</t>
        </is>
      </c>
      <c r="AC44" s="74" t="inlineStr">
        <is>
          <t>Agro, Indústria e Comércio</t>
        </is>
      </c>
      <c r="AD44" s="74" t="inlineStr">
        <is>
          <t>Recebíveis Comerciais</t>
        </is>
      </c>
      <c r="AE44" s="74" t="inlineStr">
        <is>
          <t>Agro / Revenda</t>
        </is>
      </c>
      <c r="AF44" s="74" t="inlineStr">
        <is>
          <t>Agro / Revenda</t>
        </is>
      </c>
      <c r="AG44" s="74" t="inlineStr">
        <is>
          <t>Agro / Revenda</t>
        </is>
      </c>
      <c r="AH44" s="74" t="inlineStr">
        <is>
          <t>Agro / Revenda</t>
        </is>
      </c>
      <c r="AI44" s="74" t="inlineStr">
        <is>
          <t>Cartão/CCB, ecossistema Credsystem</t>
        </is>
      </c>
      <c r="AJ44" s="74" t="b">
        <v>0</v>
      </c>
      <c r="AK44" s="74" t="inlineStr">
        <is>
          <t>PENDENTE_FONTE_PRIMARIA</t>
        </is>
      </c>
      <c r="AL44" s="74" t="inlineStr">
        <is>
          <t>Risco informado como cartão/consumidor, sem cláusula primária registrada</t>
        </is>
      </c>
      <c r="AM44" s="74" t="inlineStr">
        <is>
          <t>IMG_8705</t>
        </is>
      </c>
      <c r="AN44" s="74" t="inlineStr">
        <is>
          <t>Não</t>
        </is>
      </c>
      <c r="AO44" s="74" t="inlineStr">
        <is>
          <t>IMG_8705</t>
        </is>
      </c>
      <c r="AP44" s="74" t="b">
        <v>0</v>
      </c>
      <c r="AQ44" s="74" t="inlineStr">
        <is>
          <t>Agro / Revenda</t>
        </is>
      </c>
      <c r="AR44" s="74" t="inlineStr">
        <is>
          <t>Agro / Revenda</t>
        </is>
      </c>
      <c r="AS44" s="74" t="b">
        <v>0</v>
      </c>
      <c r="AT44" s="74" t="inlineStr">
        <is>
          <t>N/D</t>
        </is>
      </c>
      <c r="AU44" s="74" t="inlineStr">
        <is>
          <t>N/D</t>
        </is>
      </c>
      <c r="AV44" s="74" t="inlineStr">
        <is>
          <t>≥ 60%</t>
        </is>
      </c>
      <c r="AW44" s="74" t="b">
        <v>1</v>
      </c>
      <c r="AX44" s="74" t="inlineStr">
        <is>
          <t>acima do piso</t>
        </is>
      </c>
      <c r="AY44" s="74" t="inlineStr">
        <is>
          <t>sem benchmark confiável</t>
        </is>
      </c>
      <c r="AZ44" s="140" t="inlineStr">
        <is>
          <t>N/D</t>
        </is>
      </c>
      <c r="BA44" s="74" t="b">
        <v>0</v>
      </c>
      <c r="BB44" s="141" t="n">
        <v>0</v>
      </c>
      <c r="BC44" s="139" t="n">
        <v>1000</v>
      </c>
      <c r="BD44" s="74" t="inlineStr">
        <is>
          <t>R$ 1.000,00</t>
        </is>
      </c>
      <c r="BE44" s="74" t="inlineStr">
        <is>
          <t>valor nominal unitário (VNU)</t>
        </is>
      </c>
      <c r="BF44" s="74" t="inlineStr">
        <is>
          <t>N/D</t>
        </is>
      </c>
      <c r="BG44" s="74" t="inlineStr">
        <is>
          <t>2025-10-28</t>
        </is>
      </c>
      <c r="BH44" s="74" t="inlineStr">
        <is>
          <t>1023320</t>
        </is>
      </c>
      <c r="BI44" s="74" t="inlineStr">
        <is>
          <t>https://fnet.bmfbovespa.com.br/fnet/publico/downloadDocumento?id=1023320</t>
        </is>
      </c>
      <c r="BJ44" s="74" t="inlineStr">
        <is>
          <t>localizado documentalmente</t>
        </is>
      </c>
      <c r="BK44" s="74" t="b">
        <v>1</v>
      </c>
      <c r="BL44" s="74" t="inlineStr">
        <is>
          <t>CredSystem</t>
        </is>
      </c>
      <c r="BM44" s="74" t="inlineStr">
        <is>
          <t>cedente</t>
        </is>
      </c>
      <c r="BN44" s="74" t="inlineStr">
        <is>
          <t>N/D</t>
        </is>
      </c>
      <c r="BO44" s="74" t="inlineStr">
        <is>
          <t>CredSystem</t>
        </is>
      </c>
      <c r="BP44" s="74" t="inlineStr">
        <is>
          <t>N/D</t>
        </is>
      </c>
      <c r="BQ44" s="74" t="inlineStr">
        <is>
          <t>Cartão de Crédito - ecossistema Credsystem</t>
        </is>
      </c>
      <c r="BR44" s="74" t="inlineStr">
        <is>
          <t>cedente: IMG_8705.JPG | tipo_recebivel: IMG_8705.JPG</t>
        </is>
      </c>
      <c r="BS44" s="74" t="inlineStr">
        <is>
          <t>manual_aplicado</t>
        </is>
      </c>
      <c r="BT44" s="74" t="inlineStr">
        <is>
          <t>Denominação cortada pela largura da coluna na foto.</t>
        </is>
      </c>
      <c r="BU44" s="74" t="inlineStr">
        <is>
          <t>1023848</t>
        </is>
      </c>
      <c r="BV44" s="74" t="inlineStr">
        <is>
          <t>2025-10-28</t>
        </is>
      </c>
      <c r="BW44" s="74" t="inlineStr">
        <is>
          <t>3–4; 9–10</t>
        </is>
      </c>
      <c r="BX44" s="74" t="inlineStr">
        <is>
          <t>revisto — mínimo júnior localizado</t>
        </is>
      </c>
      <c r="BY44" s="74" t="inlineStr">
        <is>
          <t>FundosNet/B3; documento 1023848; referência 2025-10-28; p. 3–4; 9–10</t>
        </is>
      </c>
      <c r="BZ44" s="74" t="inlineStr">
        <is>
          <t>Mínimo júnior implícito na relação PL / cotas seniores de 307,0%.</t>
        </is>
      </c>
      <c r="CA44" s="74" t="inlineStr">
        <is>
          <t>originador; sacado/devedor</t>
        </is>
      </c>
      <c r="CB44" s="74" t="inlineStr">
        <is>
          <t>completo_para_folga</t>
        </is>
      </c>
    </row>
    <row r="45" ht="31.5" customHeight="1">
      <c r="A45" s="75" t="n">
        <v>42</v>
      </c>
      <c r="B45" s="142" t="n">
        <v>54857414000160</v>
      </c>
      <c r="C45" s="75" t="inlineStr">
        <is>
          <t>54.857.414/0001-60</t>
        </is>
      </c>
      <c r="D45" s="75" t="inlineStr">
        <is>
          <t>INDIE MERX RAIZ I CRÉDITO AGRO FIDC DO AGRONEGÓCIO - RESPONSABILIDADE LIMITADA</t>
        </is>
      </c>
      <c r="E45" s="75" t="inlineStr">
        <is>
          <t>INDIE MERX RAIZ I CREDITO AGRO FUNDO DE INVESTIMEN</t>
        </is>
      </c>
      <c r="F45" s="75" t="inlineStr">
        <is>
          <t>Carteira 101</t>
        </is>
      </c>
      <c r="G45" s="75" t="inlineStr">
        <is>
          <t>2026-06</t>
        </is>
      </c>
      <c r="H45" s="75" t="inlineStr">
        <is>
          <t>localizado</t>
        </is>
      </c>
      <c r="I45" s="143" t="n">
        <v>104193325.49</v>
      </c>
      <c r="J45" s="143" t="n">
        <v>104193325.4898615</v>
      </c>
      <c r="K45" s="143" t="n">
        <v>28701375.90007043</v>
      </c>
      <c r="L45" s="144" t="n">
        <v>0.2754627109279189</v>
      </c>
      <c r="M45" s="75" t="inlineStr">
        <is>
          <t>Calculado com classes reportadas e PL oficial reconciliado</t>
        </is>
      </c>
      <c r="N45" s="144" t="n">
        <v>0.15</v>
      </c>
      <c r="O45" s="144" t="inlineStr">
        <is>
          <t>N/D</t>
        </is>
      </c>
      <c r="P45" s="144" t="inlineStr">
        <is>
          <t>N/D</t>
        </is>
      </c>
      <c r="Q45" s="144" t="inlineStr">
        <is>
          <t>N/D</t>
        </is>
      </c>
      <c r="R45" s="144" t="inlineStr">
        <is>
          <t>N/D</t>
        </is>
      </c>
      <c r="S45" s="144" t="n">
        <v>0.15</v>
      </c>
      <c r="T45" s="75" t="inlineStr">
        <is>
          <t>N/D</t>
        </is>
      </c>
      <c r="U45" s="75" t="inlineStr">
        <is>
          <t>junior_pl</t>
        </is>
      </c>
      <c r="V45" s="75" t="inlineStr">
        <is>
          <t>direto no regulamento</t>
        </is>
      </c>
      <c r="W45" s="75" t="b">
        <v>0</v>
      </c>
      <c r="X45" s="75" t="inlineStr">
        <is>
          <t>Mínimo júnior isolado; a subordinação atual disponível agrega todas as classes subordinadas.</t>
        </is>
      </c>
      <c r="Y45" s="75" t="b">
        <v>0</v>
      </c>
      <c r="Z45" s="144" t="inlineStr">
        <is>
          <t>N/D</t>
        </is>
      </c>
      <c r="AA45" s="144" t="inlineStr">
        <is>
          <t>N/D</t>
        </is>
      </c>
      <c r="AB45" s="75" t="inlineStr">
        <is>
          <t>não medido</t>
        </is>
      </c>
      <c r="AC45" s="75" t="inlineStr">
        <is>
          <t>Agro, Indústria e Comércio</t>
        </is>
      </c>
      <c r="AD45" s="75" t="inlineStr">
        <is>
          <t>Agronegócio</t>
        </is>
      </c>
      <c r="AE45" s="75" t="inlineStr">
        <is>
          <t>Agro / Revenda</t>
        </is>
      </c>
      <c r="AF45" s="75" t="inlineStr">
        <is>
          <t>Agro / Revenda</t>
        </is>
      </c>
      <c r="AG45" s="75" t="inlineStr">
        <is>
          <t>Agro / Revenda</t>
        </is>
      </c>
      <c r="AH45" s="75" t="inlineStr">
        <is>
          <t>Agro / Revenda</t>
        </is>
      </c>
      <c r="AI45" s="75" t="inlineStr">
        <is>
          <t>CPR-F de produtores rurais</t>
        </is>
      </c>
      <c r="AJ45" s="75" t="b">
        <v>0</v>
      </c>
      <c r="AK45" s="75" t="inlineStr">
        <is>
          <t>MANTER_ALTA</t>
        </is>
      </c>
      <c r="AL45" s="75" t="inlineStr">
        <is>
          <t>Devedores são produtores e cooperativas</t>
        </is>
      </c>
      <c r="AM45" s="75" t="inlineStr">
        <is>
          <t>regulamento + IMG_8705</t>
        </is>
      </c>
      <c r="AN45" s="75" t="inlineStr">
        <is>
          <t>Não</t>
        </is>
      </c>
      <c r="AO45" s="75" t="inlineStr">
        <is>
          <t>regulamento + IMG_8705</t>
        </is>
      </c>
      <c r="AP45" s="75" t="b">
        <v>0</v>
      </c>
      <c r="AQ45" s="75" t="inlineStr">
        <is>
          <t>Agro / Revenda</t>
        </is>
      </c>
      <c r="AR45" s="75" t="inlineStr">
        <is>
          <t>Agro / Revenda</t>
        </is>
      </c>
      <c r="AS45" s="75" t="b">
        <v>0</v>
      </c>
      <c r="AT45" s="75" t="inlineStr">
        <is>
          <t>N/D</t>
        </is>
      </c>
      <c r="AU45" s="75" t="inlineStr">
        <is>
          <t>N/D</t>
        </is>
      </c>
      <c r="AV45" s="75" t="inlineStr">
        <is>
          <t>20%–35%</t>
        </is>
      </c>
      <c r="AW45" s="75" t="b">
        <v>1</v>
      </c>
      <c r="AX45" s="75" t="inlineStr">
        <is>
          <t>incomparável</t>
        </is>
      </c>
      <c r="AY45" s="75" t="inlineStr">
        <is>
          <t>sem benchmark confiável</t>
        </is>
      </c>
      <c r="AZ45" s="144" t="inlineStr">
        <is>
          <t>N/D</t>
        </is>
      </c>
      <c r="BA45" s="75" t="b">
        <v>0</v>
      </c>
      <c r="BB45" s="145" t="n">
        <v>0</v>
      </c>
      <c r="BC45" s="143" t="n">
        <v>1000</v>
      </c>
      <c r="BD45" s="75" t="inlineStr">
        <is>
          <t>Cotas Subordinadas: R$1.000,00 | Cotas Subordinadas Júnior: R$1.000,00 | R$1.000,00</t>
        </is>
      </c>
      <c r="BE45" s="75" t="inlineStr">
        <is>
          <t>preço/valor unitário de emissão</t>
        </is>
      </c>
      <c r="BF45" s="75" t="inlineStr">
        <is>
          <t>Cotas Subordinadas | Cotas Subordinadas Júnior</t>
        </is>
      </c>
      <c r="BG45" s="75" t="inlineStr">
        <is>
          <t>20/08/2025</t>
        </is>
      </c>
      <c r="BH45" s="75" t="inlineStr">
        <is>
          <t>975459</t>
        </is>
      </c>
      <c r="BI45" s="75" t="inlineStr">
        <is>
          <t>https://fnet.bmfbovespa.com.br/fnet/publico/downloadDocumento?id=975459</t>
        </is>
      </c>
      <c r="BJ45" s="75" t="inlineStr">
        <is>
          <t>localizado documentalmente — múltiplos valores/classes</t>
        </is>
      </c>
      <c r="BK45" s="75" t="b">
        <v>1</v>
      </c>
      <c r="BL45" s="75" t="inlineStr">
        <is>
          <t>Emissão direta de produtor rural</t>
        </is>
      </c>
      <c r="BM45" s="75" t="inlineStr">
        <is>
          <t>cedente</t>
        </is>
      </c>
      <c r="BN45" s="75" t="inlineStr">
        <is>
          <t>N/D</t>
        </is>
      </c>
      <c r="BO45" s="75" t="inlineStr">
        <is>
          <t>Emissão direta de produtor rural</t>
        </is>
      </c>
      <c r="BP4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5" s="75" t="inlineStr">
        <is>
          <t>risco produtor rural com passagem SIPAL e Fazendão</t>
        </is>
      </c>
      <c r="BR45" s="75" t="inlineStr">
        <is>
          <t>cedente: IMG_8705.JPG | sacado_devedor: https://fnet.bmfbovespa.com.br/fnet/publico/downloadDocumento?id=975459 | tipo_recebivel: IMG_8705.JPG</t>
        </is>
      </c>
      <c r="BS45" s="75" t="inlineStr">
        <is>
          <t>manual_aplicado</t>
        </is>
      </c>
      <c r="BT45" s="75" t="inlineStr">
        <is>
          <t>Literal preservado da coluna Cedente do Direito Creditório; OBS continua fora da foto. Denominação cortada.</t>
        </is>
      </c>
      <c r="BU45" s="75" t="inlineStr">
        <is>
          <t>1263627</t>
        </is>
      </c>
      <c r="BV45" s="75" t="inlineStr">
        <is>
          <t>2026-06-01</t>
        </is>
      </c>
      <c r="BW45" s="75" t="inlineStr">
        <is>
          <t>74</t>
        </is>
      </c>
      <c r="BX45" s="75" t="inlineStr">
        <is>
          <t>revisto — mínimo júnior localizado</t>
        </is>
      </c>
      <c r="BY45" s="75" t="inlineStr">
        <is>
          <t>FundosNet/B3; documento 1263627; referência 2026-06-01; p. 74</t>
        </is>
      </c>
      <c r="BZ45" s="75" t="inlineStr">
        <is>
          <t>Índice de Subordinação Mezanino: cotas júnior / PL, mínimo de 15,0%.</t>
        </is>
      </c>
      <c r="CA45" s="75" t="inlineStr">
        <is>
          <t>originador</t>
        </is>
      </c>
      <c r="CB45" s="75" t="inlineStr">
        <is>
          <t>estrutura_incomparavel</t>
        </is>
      </c>
    </row>
    <row r="46" ht="31.5" customHeight="1">
      <c r="A46" s="74" t="n">
        <v>43</v>
      </c>
      <c r="B46" s="138" t="n">
        <v>44124465000120</v>
      </c>
      <c r="C46" s="74" t="inlineStr">
        <is>
          <t>44.124.465/0001-20</t>
        </is>
      </c>
      <c r="D46" s="74" t="inlineStr">
        <is>
          <t>TMAQ 21 FUNDO DE INVESTIMENTO EM DIREITOS CREDITÓRIOS DE ARRANJOS DE PAGAMENTO DE RESPONSABILIDADE L</t>
        </is>
      </c>
      <c r="E46" s="74" t="inlineStr">
        <is>
          <t>TMAQ21 FUNDO I E D CREDITORIOS</t>
        </is>
      </c>
      <c r="F46" s="74" t="inlineStr">
        <is>
          <t>Carteira 101</t>
        </is>
      </c>
      <c r="G46" s="74" t="inlineStr">
        <is>
          <t>2026-06</t>
        </is>
      </c>
      <c r="H46" s="74" t="inlineStr">
        <is>
          <t>localizado</t>
        </is>
      </c>
      <c r="I46" s="139" t="inlineStr">
        <is>
          <t>N/D</t>
        </is>
      </c>
      <c r="J46" s="139" t="inlineStr">
        <is>
          <t>N/D</t>
        </is>
      </c>
      <c r="K46" s="139" t="inlineStr">
        <is>
          <t>N/D</t>
        </is>
      </c>
      <c r="L46" s="140" t="inlineStr">
        <is>
          <t>N/D</t>
        </is>
      </c>
      <c r="M46" s="74" t="inlineStr">
        <is>
          <t>PL oficial ausente em 2026-06</t>
        </is>
      </c>
      <c r="N46" s="140" t="n">
        <v>0.03</v>
      </c>
      <c r="O46" s="140" t="inlineStr">
        <is>
          <t>N/D</t>
        </is>
      </c>
      <c r="P46" s="140" t="inlineStr">
        <is>
          <t>N/D</t>
        </is>
      </c>
      <c r="Q46" s="140" t="inlineStr">
        <is>
          <t>N/D</t>
        </is>
      </c>
      <c r="R46" s="140" t="inlineStr">
        <is>
          <t>N/D</t>
        </is>
      </c>
      <c r="S46" s="140" t="n">
        <v>0.03</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Recebíveis Comerciais</t>
        </is>
      </c>
      <c r="AE46" s="74" t="inlineStr">
        <is>
          <t>Agro / Revenda</t>
        </is>
      </c>
      <c r="AF46" s="74" t="inlineStr">
        <is>
          <t>Agro / Revenda</t>
        </is>
      </c>
      <c r="AG46" s="74" t="inlineStr">
        <is>
          <t>Agro / Revenda</t>
        </is>
      </c>
      <c r="AH46" s="74" t="inlineStr">
        <is>
          <t>Agro / Revenda</t>
        </is>
      </c>
      <c r="AI46" s="74" t="inlineStr">
        <is>
          <t>Risco de emissores de cartão / arranjo ACQIO</t>
        </is>
      </c>
      <c r="AJ46" s="74" t="b">
        <v>0</v>
      </c>
      <c r="AK46" s="74" t="inlineStr">
        <is>
          <t>PENDENTE_FONTE_PRIMARIA</t>
        </is>
      </c>
      <c r="AL46" s="74" t="inlineStr">
        <is>
          <t>ACQIO e bancos emissores estão na planilha manual</t>
        </is>
      </c>
      <c r="AM46" s="74" t="inlineStr">
        <is>
          <t>IMG_8705</t>
        </is>
      </c>
      <c r="AN46" s="74" t="inlineStr">
        <is>
          <t>Não</t>
        </is>
      </c>
      <c r="AO46" s="74" t="inlineStr">
        <is>
          <t>IMG_8705</t>
        </is>
      </c>
      <c r="AP46" s="74" t="b">
        <v>0</v>
      </c>
      <c r="AQ46" s="74" t="inlineStr">
        <is>
          <t>Agro / Revenda</t>
        </is>
      </c>
      <c r="AR46" s="74" t="inlineStr">
        <is>
          <t>Agro / Revenda</t>
        </is>
      </c>
      <c r="AS46" s="74" t="b">
        <v>0</v>
      </c>
      <c r="AT46" s="74" t="inlineStr">
        <is>
          <t>N/D</t>
        </is>
      </c>
      <c r="AU46" s="74" t="inlineStr">
        <is>
          <t>N/D</t>
        </is>
      </c>
      <c r="AV46" s="74" t="inlineStr">
        <is>
          <t>N/D</t>
        </is>
      </c>
      <c r="AW46" s="74" t="b">
        <v>0</v>
      </c>
      <c r="AX46" s="74" t="inlineStr">
        <is>
          <t>N/D</t>
        </is>
      </c>
      <c r="AY46" s="74" t="inlineStr">
        <is>
          <t>sem benchmark confiável</t>
        </is>
      </c>
      <c r="AZ46" s="140" t="inlineStr">
        <is>
          <t>N/D</t>
        </is>
      </c>
      <c r="BA46" s="74" t="b">
        <v>0</v>
      </c>
      <c r="BB46" s="141" t="n">
        <v>0</v>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Ação</t>
        </is>
      </c>
      <c r="BM46" s="74" t="inlineStr">
        <is>
          <t>cedente</t>
        </is>
      </c>
      <c r="BN46" s="74" t="inlineStr">
        <is>
          <t>ACQIO</t>
        </is>
      </c>
      <c r="BO46" s="74" t="inlineStr">
        <is>
          <t>ACQIO</t>
        </is>
      </c>
      <c r="BP46" s="74" t="inlineStr">
        <is>
          <t>os Devedores I -A, os Devedores I -B e os Devedores II quando mencionados em conjunto e indistintamente</t>
        </is>
      </c>
      <c r="BQ46" s="74" t="inlineStr">
        <is>
          <t>Risco Bancos Emissores Diversos</t>
        </is>
      </c>
      <c r="BR46" s="74" t="inlineStr">
        <is>
          <t>originador: https://fnet.bmfbovespa.com.br/fnet/publico/downloadDocumento?id=1048506 | cedente: https://fnet.bmfbovespa.com.br/fnet/publico/downloadDocumento?id=1048506 | sacado_devedor: https://fnet.bmfbovespa.com.br/fnet/publico/downloadDocumento?id=737326 | tipo_recebivel: IMG_8705.JPG</t>
        </is>
      </c>
      <c r="BS46" s="74" t="inlineStr">
        <is>
          <t>manual_aplicado</t>
        </is>
      </c>
      <c r="BT46" s="74" t="inlineStr">
        <is>
          <t>OBS da foto: lista de concentração pré-aprovada.</t>
        </is>
      </c>
      <c r="BU46" s="74" t="inlineStr">
        <is>
          <t>951239</t>
        </is>
      </c>
      <c r="BV46" s="74" t="inlineStr">
        <is>
          <t>2025-07-08</t>
        </is>
      </c>
      <c r="BW46" s="74" t="inlineStr">
        <is>
          <t>85</t>
        </is>
      </c>
      <c r="BX46" s="74" t="inlineStr">
        <is>
          <t>revisto — mínimo júnior localizado</t>
        </is>
      </c>
      <c r="BY46" s="74" t="inlineStr">
        <is>
          <t>FundosNet/B3; documento 951239; referência 2025-07-08; p. 85</t>
        </is>
      </c>
      <c r="BZ46" s="74" t="inlineStr">
        <is>
          <t>Índice de Subordinação Mezanino: cotas júnior / PL, mínimo de 3,0%.</t>
        </is>
      </c>
      <c r="CA46" s="74" t="inlineStr">
        <is>
          <t>PL atual; Sub/PL atual; preço unitário da cota</t>
        </is>
      </c>
      <c r="CB46" s="74" t="inlineStr">
        <is>
          <t>sub_pl_atual_ausente</t>
        </is>
      </c>
    </row>
    <row r="47" ht="31.5" customHeight="1">
      <c r="A47" s="75" t="n">
        <v>44</v>
      </c>
      <c r="B47" s="142" t="n">
        <v>55401645000128</v>
      </c>
      <c r="C47" s="75" t="inlineStr">
        <is>
          <t>55.401.645/0001-28</t>
        </is>
      </c>
      <c r="D47" s="75" t="inlineStr">
        <is>
          <t>QUATÁ FDC FGTS FUNDO DE INVESTIMENTO EM DIREITOS CREDITÓRIOS</t>
        </is>
      </c>
      <c r="E47" s="75" t="inlineStr">
        <is>
          <t>QUATA FIDC FGTS FUNDO DE INVESTIMENTO EM DIREITOS</t>
        </is>
      </c>
      <c r="F47" s="75" t="inlineStr">
        <is>
          <t>Carteira 101</t>
        </is>
      </c>
      <c r="G47" s="75" t="inlineStr">
        <is>
          <t>2026-06</t>
        </is>
      </c>
      <c r="H47" s="75" t="inlineStr">
        <is>
          <t>localizado</t>
        </is>
      </c>
      <c r="I47" s="143" t="n">
        <v>225010783.2</v>
      </c>
      <c r="J47" s="143" t="n">
        <v>225010782.6319402</v>
      </c>
      <c r="K47" s="143" t="n">
        <v>38986834.024159</v>
      </c>
      <c r="L47" s="144" t="n">
        <v>0.1732665140297107</v>
      </c>
      <c r="M47" s="75" t="inlineStr">
        <is>
          <t>Calculado com classes reportadas e PL oficial reconciliado</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Financeiro</t>
        </is>
      </c>
      <c r="AD47" s="75" t="inlineStr">
        <is>
          <t>Crédito Pessoal</t>
        </is>
      </c>
      <c r="AE47" s="75" t="inlineStr">
        <is>
          <t>Consignado FGTS</t>
        </is>
      </c>
      <c r="AF47" s="75" t="inlineStr">
        <is>
          <t>Consignado FGTS</t>
        </is>
      </c>
      <c r="AG47" s="75" t="inlineStr">
        <is>
          <t>Consignado INSS e FGTS</t>
        </is>
      </c>
      <c r="AH47" s="75" t="inlineStr">
        <is>
          <t>Consignado INSS e FGTS</t>
        </is>
      </c>
      <c r="AI47" s="75" t="inlineStr">
        <is>
          <t>N/D</t>
        </is>
      </c>
      <c r="AJ47" s="75" t="b">
        <v>0</v>
      </c>
      <c r="AK47" s="75" t="inlineStr">
        <is>
          <t>fora da revisão Financeiro/Agro</t>
        </is>
      </c>
      <c r="AL47" s="75" t="inlineStr">
        <is>
          <t>N/D</t>
        </is>
      </c>
      <c r="AM47" s="75" t="inlineStr">
        <is>
          <t>N/D</t>
        </is>
      </c>
      <c r="AN47" s="75" t="inlineStr">
        <is>
          <t>N/D</t>
        </is>
      </c>
      <c r="AO47" s="75" t="inlineStr">
        <is>
          <t>N/D</t>
        </is>
      </c>
      <c r="AP47" s="75" t="inlineStr">
        <is>
          <t>N/D</t>
        </is>
      </c>
      <c r="AQ47" s="75" t="inlineStr">
        <is>
          <t>Consignado INSS e FGTS</t>
        </is>
      </c>
      <c r="AR47" s="75" t="inlineStr">
        <is>
          <t>Consignado INSS e FGTS</t>
        </is>
      </c>
      <c r="AS47" s="75" t="b">
        <v>0</v>
      </c>
      <c r="AT47" s="75" t="inlineStr">
        <is>
          <t>N/D</t>
        </is>
      </c>
      <c r="AU47" s="75" t="inlineStr">
        <is>
          <t>N/D</t>
        </is>
      </c>
      <c r="AV47" s="75" t="inlineStr">
        <is>
          <t>15%–20%</t>
        </is>
      </c>
      <c r="AW47" s="75" t="b">
        <v>1</v>
      </c>
      <c r="AX47" s="75" t="inlineStr">
        <is>
          <t>incomparável</t>
        </is>
      </c>
      <c r="AY47" s="75" t="inlineStr">
        <is>
          <t>em linha com o mercado</t>
        </is>
      </c>
      <c r="AZ47" s="144" t="n">
        <v>0.001403285592735587</v>
      </c>
      <c r="BA47" s="75" t="b">
        <v>1</v>
      </c>
      <c r="BB47" s="145" t="n">
        <v>5</v>
      </c>
      <c r="BC47" s="143" t="n">
        <v>1000</v>
      </c>
      <c r="BD47" s="75" t="inlineStr">
        <is>
          <t>Cotas Seniores: R$ 1.000,00 | Cotas Subordinadas Júnior: R$ 1.000,00 | Cotas Subordinadas Mezanino: R$ 1.000,00</t>
        </is>
      </c>
      <c r="BE47" s="75" t="inlineStr">
        <is>
          <t>preço/valor unitário de emissão</t>
        </is>
      </c>
      <c r="BF47" s="75" t="inlineStr">
        <is>
          <t>Cotas Seniores | Cotas Subordinadas Júnior | Cotas Subordinadas Mezanino</t>
        </is>
      </c>
      <c r="BG47" s="75" t="inlineStr">
        <is>
          <t>2025-12-01</t>
        </is>
      </c>
      <c r="BH47" s="75" t="inlineStr">
        <is>
          <t>1051890</t>
        </is>
      </c>
      <c r="BI47" s="75" t="inlineStr">
        <is>
          <t>https://fnet.bmfbovespa.com.br/fnet/publico/downloadDocumento?id=1051890</t>
        </is>
      </c>
      <c r="BJ47" s="75" t="inlineStr">
        <is>
          <t>localizado documentalmente — múltiplos valores/classes</t>
        </is>
      </c>
      <c r="BK47" s="75" t="b">
        <v>1</v>
      </c>
      <c r="BL47" s="75" t="inlineStr">
        <is>
          <t>QI Tech</t>
        </is>
      </c>
      <c r="BM47" s="75" t="inlineStr">
        <is>
          <t>cedente</t>
        </is>
      </c>
      <c r="BN47"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7" s="75" t="inlineStr">
        <is>
          <t>QI Tech</t>
        </is>
      </c>
      <c r="BP47" s="75" t="inlineStr">
        <is>
          <t>N/D</t>
        </is>
      </c>
      <c r="BQ47" s="75" t="inlineStr">
        <is>
          <t>Crédito FGTS</t>
        </is>
      </c>
      <c r="BR47" s="75" t="inlineStr">
        <is>
          <t>originador: https://fnet.bmfbovespa.com.br/fnet/publico/downloadDocumento?id=1051890 | cedente: IMG_8705.JPG | tipo_recebivel: IMG_8705.JPG</t>
        </is>
      </c>
      <c r="BS47" s="75" t="inlineStr">
        <is>
          <t>manual_aplicado</t>
        </is>
      </c>
      <c r="BT47" s="75" t="inlineStr">
        <is>
          <t>Denominação cortada pela largura da coluna na foto.</t>
        </is>
      </c>
      <c r="BU47" s="75" t="inlineStr">
        <is>
          <t>1051890</t>
        </is>
      </c>
      <c r="BV47" s="75" t="inlineStr">
        <is>
          <t>2025-12-01</t>
        </is>
      </c>
      <c r="BW47" s="75" t="inlineStr">
        <is>
          <t>17</t>
        </is>
      </c>
      <c r="BX47" s="75" t="inlineStr">
        <is>
          <t>revisto — mínimo júnior localizado</t>
        </is>
      </c>
      <c r="BY47" s="75" t="inlineStr">
        <is>
          <t>FundosNet/B3; documento 1051890; referência 2025-12-01; p. 17</t>
        </is>
      </c>
      <c r="BZ47" s="75" t="inlineStr">
        <is>
          <t>Índice de Subordinação Mezanino: cotas júnior / PL, mínimo de 3,0%.</t>
        </is>
      </c>
      <c r="CA47" s="75" t="inlineStr">
        <is>
          <t>sacado/devedor</t>
        </is>
      </c>
      <c r="CB47" s="75" t="inlineStr">
        <is>
          <t>estrutura_incomparavel</t>
        </is>
      </c>
    </row>
    <row r="48" ht="31.5" customHeight="1">
      <c r="A48" s="74" t="n">
        <v>45</v>
      </c>
      <c r="B48" s="138" t="n">
        <v>63622842000103</v>
      </c>
      <c r="C48" s="74" t="inlineStr">
        <is>
          <t>63.622.842/0001-03</t>
        </is>
      </c>
      <c r="D48" s="74" t="inlineStr">
        <is>
          <t>DESBRAVA UNO ARTIGOS ESPORTIVOS FUNDO DE INVESTIMENTO EM DIREITOS CREDITÓRIOS RESP LIMITADA</t>
        </is>
      </c>
      <c r="E48" s="74" t="inlineStr">
        <is>
          <t>DESBRAVA UNO ART ESP FIDC RL</t>
        </is>
      </c>
      <c r="F48" s="74" t="inlineStr">
        <is>
          <t>Carteira 101</t>
        </is>
      </c>
      <c r="G48" s="74" t="inlineStr">
        <is>
          <t>2026-06</t>
        </is>
      </c>
      <c r="H48" s="74" t="inlineStr">
        <is>
          <t>localizado</t>
        </is>
      </c>
      <c r="I48" s="139" t="n">
        <v>343581061</v>
      </c>
      <c r="J48" s="139" t="n">
        <v>343517082.8369128</v>
      </c>
      <c r="K48" s="139" t="n">
        <v>173086410.2460625</v>
      </c>
      <c r="L48" s="140" t="n">
        <v>0.5037716856170442</v>
      </c>
      <c r="M48" s="74" t="inlineStr">
        <is>
          <t>Calculado com classes reportadas e PL oficial reconciliado</t>
        </is>
      </c>
      <c r="N48" s="140" t="n">
        <v>0.5</v>
      </c>
      <c r="O48" s="140" t="inlineStr">
        <is>
          <t>N/D</t>
        </is>
      </c>
      <c r="P48" s="140" t="inlineStr">
        <is>
          <t>N/D</t>
        </is>
      </c>
      <c r="Q48" s="140" t="n">
        <v>0.5</v>
      </c>
      <c r="R48" s="140" t="inlineStr">
        <is>
          <t>N/D</t>
        </is>
      </c>
      <c r="S48" s="140" t="n">
        <v>0.5</v>
      </c>
      <c r="T48" s="74" t="inlineStr">
        <is>
          <t>50,0%</t>
        </is>
      </c>
      <c r="U48" s="74" t="inlineStr">
        <is>
          <t>junior_pl</t>
        </is>
      </c>
      <c r="V48" s="74" t="inlineStr">
        <is>
          <t>direto no regulamento</t>
        </is>
      </c>
      <c r="W48" s="74" t="b">
        <v>1</v>
      </c>
      <c r="X48" s="74" t="inlineStr">
        <is>
          <t>Estrutura com uma única classe subordinada; métrica atual e piso usam o total subordinado sobre o PL.</t>
        </is>
      </c>
      <c r="Y48" s="74" t="b">
        <v>0</v>
      </c>
      <c r="Z48" s="140" t="n">
        <v>0.003771685617044218</v>
      </c>
      <c r="AA48" s="140" t="n">
        <v>0.007543371234088436</v>
      </c>
      <c r="AB48" s="74" t="inlineStr">
        <is>
          <t>folga estreita</t>
        </is>
      </c>
      <c r="AC48" s="74" t="inlineStr">
        <is>
          <t>Agro, Indústria e Comércio</t>
        </is>
      </c>
      <c r="AD48" s="74" t="inlineStr">
        <is>
          <t>Recebíveis Comerciais</t>
        </is>
      </c>
      <c r="AE48" s="74" t="inlineStr">
        <is>
          <t>Agro / Revenda</t>
        </is>
      </c>
      <c r="AF48" s="74" t="inlineStr">
        <is>
          <t>Agro / Revenda</t>
        </is>
      </c>
      <c r="AG48" s="74" t="inlineStr">
        <is>
          <t>Agro / Revenda</t>
        </is>
      </c>
      <c r="AH48" s="74" t="inlineStr">
        <is>
          <t>Risco Corporativo</t>
        </is>
      </c>
      <c r="AI48" s="74" t="inlineStr">
        <is>
          <t>Notas comerciais da Dass, projeto de investimento</t>
        </is>
      </c>
      <c r="AJ48" s="74" t="b">
        <v>1</v>
      </c>
      <c r="AK48" s="74" t="inlineStr">
        <is>
          <t>APLICAR_ALTA</t>
        </is>
      </c>
      <c r="AL48" s="74" t="inlineStr">
        <is>
          <t>Direitos são notas comerciais emitidas pela Dass Nordeste</t>
        </is>
      </c>
      <c r="AM48" s="74" t="inlineStr">
        <is>
          <t>regulamento 1051646, 90 páginas</t>
        </is>
      </c>
      <c r="AN48" s="74" t="inlineStr">
        <is>
          <t>Não</t>
        </is>
      </c>
      <c r="AO48" s="74" t="inlineStr">
        <is>
          <t>regulamento 1051646, 90 páginas</t>
        </is>
      </c>
      <c r="AP48" s="74" t="b">
        <v>0</v>
      </c>
      <c r="AQ48" s="74" t="inlineStr">
        <is>
          <t>Risco Corporativo</t>
        </is>
      </c>
      <c r="AR48" s="74" t="inlineStr">
        <is>
          <t>Agro / Revenda</t>
        </is>
      </c>
      <c r="AS48" s="74" t="b">
        <v>1</v>
      </c>
      <c r="AT48" s="74" t="inlineStr">
        <is>
          <t>regulamento 1051646, 90 páginas</t>
        </is>
      </c>
      <c r="AU48" s="74" t="inlineStr">
        <is>
          <t>Direitos são notas comerciais emitidas pela Dass Nordeste</t>
        </is>
      </c>
      <c r="AV48" s="74" t="inlineStr">
        <is>
          <t>35%–60%</t>
        </is>
      </c>
      <c r="AW48" s="74" t="b">
        <v>1</v>
      </c>
      <c r="AX48" s="74" t="inlineStr">
        <is>
          <t>até 2 p.p. acima</t>
        </is>
      </c>
      <c r="AY48" s="74" t="inlineStr">
        <is>
          <t>sem benchmark confiável</t>
        </is>
      </c>
      <c r="AZ48" s="140" t="inlineStr">
        <is>
          <t>N/D</t>
        </is>
      </c>
      <c r="BA48" s="74" t="b">
        <v>0</v>
      </c>
      <c r="BB48" s="141" t="n">
        <v>0</v>
      </c>
      <c r="BC48" s="139" t="n">
        <v>1000</v>
      </c>
      <c r="BD48" s="74" t="inlineStr">
        <is>
          <t>COTAS SUBORDINADAS: R$ 1.000,00 | R$ 1.000,00</t>
        </is>
      </c>
      <c r="BE48" s="74" t="inlineStr">
        <is>
          <t>preço/valor unitário de emissão</t>
        </is>
      </c>
      <c r="BF48" s="74" t="inlineStr">
        <is>
          <t>COTAS SUBORDINADAS</t>
        </is>
      </c>
      <c r="BG48" s="74" t="inlineStr">
        <is>
          <t>01/12/2025</t>
        </is>
      </c>
      <c r="BH48" s="74" t="inlineStr">
        <is>
          <t>1051646</t>
        </is>
      </c>
      <c r="BI48" s="74" t="inlineStr">
        <is>
          <t>https://fnet.bmfbovespa.com.br/fnet/publico/downloadDocumento?id=1051646</t>
        </is>
      </c>
      <c r="BJ48" s="74" t="inlineStr">
        <is>
          <t>localizado documentalmente — múltiplos valores/classes</t>
        </is>
      </c>
      <c r="BK48" s="74" t="b">
        <v>1</v>
      </c>
      <c r="BL48" s="74" t="inlineStr">
        <is>
          <t>Empresas grupo Dass</t>
        </is>
      </c>
      <c r="BM48" s="74" t="inlineStr">
        <is>
          <t>cedente</t>
        </is>
      </c>
      <c r="BN48" s="74" t="inlineStr">
        <is>
          <t>N/D</t>
        </is>
      </c>
      <c r="BO48" s="74" t="inlineStr">
        <is>
          <t>Empresas grupo Dass</t>
        </is>
      </c>
      <c r="BP48" s="74" t="inlineStr">
        <is>
          <t>N/D</t>
        </is>
      </c>
      <c r="BQ48" s="74" t="inlineStr">
        <is>
          <t>N/D</t>
        </is>
      </c>
      <c r="BR48" s="74" t="inlineStr">
        <is>
          <t>cedente: IMG_8705.JPG</t>
        </is>
      </c>
      <c r="BS48" s="74" t="inlineStr">
        <is>
          <t>manual_aplicado</t>
        </is>
      </c>
      <c r="BT48" s="74" t="inlineStr">
        <is>
          <t>OBS da foto: FIDC 12431, risco Dass (não são recebíveis de clientes).</t>
        </is>
      </c>
      <c r="BU48" s="74" t="inlineStr">
        <is>
          <t>1051646</t>
        </is>
      </c>
      <c r="BV48" s="74" t="inlineStr">
        <is>
          <t>2025-12-01</t>
        </is>
      </c>
      <c r="BW48" s="74" t="inlineStr">
        <is>
          <t>69</t>
        </is>
      </c>
      <c r="BX48" s="74" t="inlineStr">
        <is>
          <t>revisto — mínimo júnior localizado</t>
        </is>
      </c>
      <c r="BY48" s="74" t="inlineStr">
        <is>
          <t>FundosNet/B3; documento 1051646; referência 2025-12-01; p. 69</t>
        </is>
      </c>
      <c r="BZ48" s="74" t="inlineStr">
        <is>
          <t>Cotas subordinadas / PL, mínimo de 50,0%; estrutura com uma única classe residual.</t>
        </is>
      </c>
      <c r="CA48" s="74" t="inlineStr">
        <is>
          <t>originador; sacado/devedor; tipo de recebível</t>
        </is>
      </c>
      <c r="CB48" s="74" t="inlineStr">
        <is>
          <t>completo_para_folga</t>
        </is>
      </c>
    </row>
    <row r="49" ht="31.5" customHeight="1">
      <c r="A49" s="75" t="n">
        <v>46</v>
      </c>
      <c r="B49" s="142" t="n">
        <v>44272584000120</v>
      </c>
      <c r="C49" s="75" t="inlineStr">
        <is>
          <t>44.272.584/0001-20</t>
        </is>
      </c>
      <c r="D49" s="75" t="inlineStr">
        <is>
          <t>LAVORO AGRO FIAGRO - DIREITOS CREDITÓRIOS - RESPONSABILIDADE LIMITADA</t>
        </is>
      </c>
      <c r="E49" s="75" t="inlineStr">
        <is>
          <t>LAVORO AGRO FIDC DAS CADEIAS PRODUTIVAS AGROINDUST</t>
        </is>
      </c>
      <c r="F49" s="75" t="inlineStr">
        <is>
          <t>Carteira 101</t>
        </is>
      </c>
      <c r="G49" s="75" t="inlineStr">
        <is>
          <t>2026-06</t>
        </is>
      </c>
      <c r="H49" s="75" t="inlineStr">
        <is>
          <t>localizado</t>
        </is>
      </c>
      <c r="I49" s="143" t="inlineStr">
        <is>
          <t>N/D</t>
        </is>
      </c>
      <c r="J49" s="143" t="inlineStr">
        <is>
          <t>N/D</t>
        </is>
      </c>
      <c r="K49" s="143" t="inlineStr">
        <is>
          <t>N/D</t>
        </is>
      </c>
      <c r="L49" s="144" t="inlineStr">
        <is>
          <t>N/D</t>
        </is>
      </c>
      <c r="M49" s="75" t="inlineStr">
        <is>
          <t>PL oficial ausente em 2026-06</t>
        </is>
      </c>
      <c r="N49" s="144" t="n">
        <v>0.05</v>
      </c>
      <c r="O49" s="144" t="inlineStr">
        <is>
          <t>N/D</t>
        </is>
      </c>
      <c r="P49" s="144" t="inlineStr">
        <is>
          <t>N/D</t>
        </is>
      </c>
      <c r="Q49" s="144" t="inlineStr">
        <is>
          <t>N/D</t>
        </is>
      </c>
      <c r="R49" s="144" t="inlineStr">
        <is>
          <t>N/D</t>
        </is>
      </c>
      <c r="S49" s="144" t="n">
        <v>0.05</v>
      </c>
      <c r="T49" s="75" t="inlineStr">
        <is>
          <t>N/D</t>
        </is>
      </c>
      <c r="U49" s="75" t="inlineStr">
        <is>
          <t>junior_pl</t>
        </is>
      </c>
      <c r="V49" s="75" t="inlineStr">
        <is>
          <t>direto no regulamento</t>
        </is>
      </c>
      <c r="W49" s="75" t="b">
        <v>0</v>
      </c>
      <c r="X49" s="75" t="inlineStr">
        <is>
          <t>Mínimo júnior isolado; a subordinação atual disponível agrega todas as classes subordinadas.</t>
        </is>
      </c>
      <c r="Y49" s="75" t="b">
        <v>0</v>
      </c>
      <c r="Z49" s="144" t="inlineStr">
        <is>
          <t>N/D</t>
        </is>
      </c>
      <c r="AA49" s="144" t="inlineStr">
        <is>
          <t>N/D</t>
        </is>
      </c>
      <c r="AB49" s="75" t="inlineStr">
        <is>
          <t>não medido</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Agro / Revenda</t>
        </is>
      </c>
      <c r="AI49" s="75" t="inlineStr">
        <is>
          <t>Recebíveis do Grupo Lavoro</t>
        </is>
      </c>
      <c r="AJ49" s="75" t="b">
        <v>0</v>
      </c>
      <c r="AK49" s="75" t="inlineStr">
        <is>
          <t>MANTER_ALTA</t>
        </is>
      </c>
      <c r="AL49" s="75" t="inlineStr">
        <is>
          <t>Cedentes distribuem produtos agropecuários</t>
        </is>
      </c>
      <c r="AM49" s="75" t="inlineStr">
        <is>
          <t>regulamento</t>
        </is>
      </c>
      <c r="AN49" s="75" t="inlineStr">
        <is>
          <t>Não</t>
        </is>
      </c>
      <c r="AO49" s="75" t="inlineStr">
        <is>
          <t>regulamento</t>
        </is>
      </c>
      <c r="AP49" s="75" t="b">
        <v>0</v>
      </c>
      <c r="AQ49" s="75" t="inlineStr">
        <is>
          <t>Agro / Revenda</t>
        </is>
      </c>
      <c r="AR49" s="75" t="inlineStr">
        <is>
          <t>Agro / Revenda</t>
        </is>
      </c>
      <c r="AS49" s="75" t="b">
        <v>0</v>
      </c>
      <c r="AT49" s="75" t="inlineStr">
        <is>
          <t>N/D</t>
        </is>
      </c>
      <c r="AU49" s="75" t="inlineStr">
        <is>
          <t>N/D</t>
        </is>
      </c>
      <c r="AV49" s="75" t="inlineStr">
        <is>
          <t>N/D</t>
        </is>
      </c>
      <c r="AW49" s="75" t="b">
        <v>0</v>
      </c>
      <c r="AX49" s="75" t="inlineStr">
        <is>
          <t>N/D</t>
        </is>
      </c>
      <c r="AY49" s="75" t="inlineStr">
        <is>
          <t>sem benchmark confiável</t>
        </is>
      </c>
      <c r="AZ49" s="144" t="inlineStr">
        <is>
          <t>N/D</t>
        </is>
      </c>
      <c r="BA49" s="75" t="b">
        <v>0</v>
      </c>
      <c r="BB49" s="145" t="n">
        <v>0</v>
      </c>
      <c r="BC49" s="143" t="n">
        <v>1000</v>
      </c>
      <c r="BD49" s="75" t="inlineStr">
        <is>
          <t>R$1.000,00</t>
        </is>
      </c>
      <c r="BE49" s="75" t="inlineStr">
        <is>
          <t>preço/valor unitário de emissão</t>
        </is>
      </c>
      <c r="BF49" s="75" t="inlineStr">
        <is>
          <t>N/D</t>
        </is>
      </c>
      <c r="BG49" s="75" t="inlineStr">
        <is>
          <t>30/09/2025</t>
        </is>
      </c>
      <c r="BH49" s="75" t="inlineStr">
        <is>
          <t>1003267</t>
        </is>
      </c>
      <c r="BI49" s="75" t="inlineStr">
        <is>
          <t>https://fnet.bmfbovespa.com.br/fnet/publico/downloadDocumento?id=1003267</t>
        </is>
      </c>
      <c r="BJ49" s="75" t="inlineStr">
        <is>
          <t>localizado documentalmente</t>
        </is>
      </c>
      <c r="BK49" s="75" t="b">
        <v>1</v>
      </c>
      <c r="BL49" s="75" t="inlineStr">
        <is>
          <t>Lavoro</t>
        </is>
      </c>
      <c r="BM49" s="75" t="inlineStr">
        <is>
          <t>cedente</t>
        </is>
      </c>
      <c r="BN49" s="75" t="inlineStr">
        <is>
          <t>N/D</t>
        </is>
      </c>
      <c r="BO49" s="75" t="inlineStr">
        <is>
          <t>Lavoro Agrocomercial S.A., Agrocontato Comércio e Representações de Produtos Agropecuários S.A., Agrovenci - Comércio, Importação, Exportação e Agropecuário Ltda. e Distribuidora Pitangueiras de Produtos Agropecuários S.A. (em conjunto, Grupo Lavoro)</t>
        </is>
      </c>
      <c r="BP49" s="75" t="inlineStr">
        <is>
          <t>N/D</t>
        </is>
      </c>
      <c r="BQ49" s="75" t="inlineStr">
        <is>
          <t>N/D</t>
        </is>
      </c>
      <c r="BR49" s="75" t="inlineStr">
        <is>
          <t>cedente: https://fnet.bmfbovespa.com.br/fnet/publico/downloadDocumento?id=798158</t>
        </is>
      </c>
      <c r="BS49" s="75" t="inlineStr">
        <is>
          <t>manual_aplicado</t>
        </is>
      </c>
      <c r="BT49" s="75" t="inlineStr">
        <is>
          <t>OBS da foto: Realizamos ajuste tempestivo para Ba1 - carteira vence em 30/04 - acompanhamento mensal. Denominação cortada.</t>
        </is>
      </c>
      <c r="BU49" s="75" t="inlineStr">
        <is>
          <t>1003378</t>
        </is>
      </c>
      <c r="BV49" s="75" t="inlineStr">
        <is>
          <t>2025-09-30</t>
        </is>
      </c>
      <c r="BW49" s="75" t="inlineStr">
        <is>
          <t>133</t>
        </is>
      </c>
      <c r="BX49" s="75" t="inlineStr">
        <is>
          <t>revisto — mínimo júnior localizado</t>
        </is>
      </c>
      <c r="BY49" s="75" t="inlineStr">
        <is>
          <t>FundosNet/B3; documento 1003378; referência 2025-09-30; p. 133</t>
        </is>
      </c>
      <c r="BZ49" s="75" t="inlineStr">
        <is>
          <t>Proporção de cotas subordinadas júnior / PL, mínimo de 5,0%.</t>
        </is>
      </c>
      <c r="CA49" s="75" t="inlineStr">
        <is>
          <t>PL atual; Sub/PL atual; originador; sacado/devedor; tipo de recebível</t>
        </is>
      </c>
      <c r="CB49" s="75" t="inlineStr">
        <is>
          <t>sub_pl_atual_ausente</t>
        </is>
      </c>
    </row>
    <row r="50" ht="31.5" customHeight="1">
      <c r="A50" s="74" t="n">
        <v>47</v>
      </c>
      <c r="B50" s="138" t="n">
        <v>62838025000116</v>
      </c>
      <c r="C50" s="74" t="inlineStr">
        <is>
          <t>62.838.025/0001-16</t>
        </is>
      </c>
      <c r="D50" s="74" t="inlineStr">
        <is>
          <t>ENDURANCE FUNDO DE INVESTIMENTO EM DIREITOS CREDITÓRIOS RESPONSABILIDADE LIMITADA</t>
        </is>
      </c>
      <c r="E50" s="74" t="inlineStr">
        <is>
          <t>TOP 2025 J FIDC RESP LTDA</t>
        </is>
      </c>
      <c r="F50" s="74" t="inlineStr">
        <is>
          <t>Carteira 101</t>
        </is>
      </c>
      <c r="G50" s="74" t="inlineStr">
        <is>
          <t>2026-06</t>
        </is>
      </c>
      <c r="H50" s="74" t="inlineStr">
        <is>
          <t>localizado</t>
        </is>
      </c>
      <c r="I50" s="139" t="n">
        <v>2004513902.3</v>
      </c>
      <c r="J50" s="139" t="n">
        <v>2004513902.300384</v>
      </c>
      <c r="K50" s="139" t="n">
        <v>189493138.739664</v>
      </c>
      <c r="L50" s="140" t="n">
        <v>0.09453321252710575</v>
      </c>
      <c r="M50" s="74" t="inlineStr">
        <is>
          <t>Calculado com classes reportadas e PL oficial reconciliado</t>
        </is>
      </c>
      <c r="N50" s="140" t="n">
        <v>0.1</v>
      </c>
      <c r="O50" s="140" t="inlineStr">
        <is>
          <t>N/D</t>
        </is>
      </c>
      <c r="P50" s="140" t="inlineStr">
        <is>
          <t>N/D</t>
        </is>
      </c>
      <c r="Q50" s="140" t="inlineStr">
        <is>
          <t>N/D</t>
        </is>
      </c>
      <c r="R50" s="140" t="inlineStr">
        <is>
          <t>N/D</t>
        </is>
      </c>
      <c r="S50" s="140" t="n">
        <v>0.1</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Financeiro</t>
        </is>
      </c>
      <c r="AD50" s="74" t="inlineStr">
        <is>
          <t>Adquirência</t>
        </is>
      </c>
      <c r="AE50" s="74" t="inlineStr">
        <is>
          <t>Financeiro</t>
        </is>
      </c>
      <c r="AF50" s="74" t="inlineStr">
        <is>
          <t>Financeiro</t>
        </is>
      </c>
      <c r="AG50" s="74" t="inlineStr">
        <is>
          <t>Financeiro</t>
        </is>
      </c>
      <c r="AH50" s="74" t="inlineStr">
        <is>
          <t>Financeiro</t>
        </is>
      </c>
      <c r="AI50" s="74" t="inlineStr">
        <is>
          <t>Recebíveis de arranjos de pagamento</t>
        </is>
      </c>
      <c r="AJ50" s="74" t="b">
        <v>0</v>
      </c>
      <c r="AK50" s="74" t="inlineStr">
        <is>
          <t>PENDENTE_FONTE_PRIMARIA</t>
        </is>
      </c>
      <c r="AL50" s="74" t="inlineStr">
        <is>
          <t>Rede, Getnet, Cielo e Pag constam apenas na fonte manual</t>
        </is>
      </c>
      <c r="AM50" s="74" t="inlineStr">
        <is>
          <t>IMG_8705</t>
        </is>
      </c>
      <c r="AN50" s="74" t="inlineStr">
        <is>
          <t>Não</t>
        </is>
      </c>
      <c r="AO50" s="74" t="inlineStr">
        <is>
          <t>IMG_8705</t>
        </is>
      </c>
      <c r="AP50" s="74" t="b">
        <v>0</v>
      </c>
      <c r="AQ50" s="74" t="inlineStr">
        <is>
          <t>Financeiro</t>
        </is>
      </c>
      <c r="AR50" s="74" t="inlineStr">
        <is>
          <t>Financeiro</t>
        </is>
      </c>
      <c r="AS50" s="74" t="b">
        <v>0</v>
      </c>
      <c r="AT50" s="74" t="inlineStr">
        <is>
          <t>N/D</t>
        </is>
      </c>
      <c r="AU50" s="74" t="inlineStr">
        <is>
          <t>N/D</t>
        </is>
      </c>
      <c r="AV50" s="74" t="inlineStr">
        <is>
          <t>&lt; 10%</t>
        </is>
      </c>
      <c r="AW50" s="74" t="b">
        <v>1</v>
      </c>
      <c r="AX50" s="74" t="inlineStr">
        <is>
          <t>incomparável</t>
        </is>
      </c>
      <c r="AY50" s="74" t="inlineStr">
        <is>
          <t>abaixo do mercado</t>
        </is>
      </c>
      <c r="AZ50" s="140" t="n">
        <v>-0.2069263477541453</v>
      </c>
      <c r="BA50" s="74" t="b">
        <v>1</v>
      </c>
      <c r="BB50" s="141" t="n">
        <v>12</v>
      </c>
      <c r="BC50" s="139" t="n">
        <v>1000</v>
      </c>
      <c r="BD50" s="74" t="inlineStr">
        <is>
          <t>R$ 1.000,00</t>
        </is>
      </c>
      <c r="BE50" s="74" t="inlineStr">
        <is>
          <t>preço/valor unitário de emissão</t>
        </is>
      </c>
      <c r="BF50" s="74" t="inlineStr">
        <is>
          <t>N/D</t>
        </is>
      </c>
      <c r="BG50" s="74" t="inlineStr">
        <is>
          <t>2025-12-10</t>
        </is>
      </c>
      <c r="BH50" s="74" t="inlineStr">
        <is>
          <t>1058234</t>
        </is>
      </c>
      <c r="BI50" s="74" t="inlineStr">
        <is>
          <t>https://fnet.bmfbovespa.com.br/fnet/publico/downloadDocumento?id=1058234</t>
        </is>
      </c>
      <c r="BJ50" s="74" t="inlineStr">
        <is>
          <t>localizado documentalmente</t>
        </is>
      </c>
      <c r="BK50" s="74" t="b">
        <v>1</v>
      </c>
      <c r="BL50" s="74" t="inlineStr">
        <is>
          <t>Pague Veloz / Serasa</t>
        </is>
      </c>
      <c r="BM50" s="74" t="inlineStr">
        <is>
          <t>cedente</t>
        </is>
      </c>
      <c r="BN50" s="74" t="inlineStr">
        <is>
          <t>N/D</t>
        </is>
      </c>
      <c r="BO50" s="74" t="inlineStr">
        <is>
          <t>Pague Veloz / Serasa</t>
        </is>
      </c>
      <c r="BP50" s="74" t="inlineStr">
        <is>
          <t>os emissores, devedores e/ou garantidores dos Direitos Creditórios, conforme o caso</t>
        </is>
      </c>
      <c r="BQ50" s="74" t="inlineStr">
        <is>
          <t>recebíveis de Rede, GetNet, Cielo e Pag</t>
        </is>
      </c>
      <c r="BR50" s="74" t="inlineStr">
        <is>
          <t>cedente: IMG_8705.JPG | sacado_devedor: https://fnet.bmfbovespa.com.br/fnet/publico/downloadDocumento?id=1058234 | tipo_recebivel: IMG_8705.JPG</t>
        </is>
      </c>
      <c r="BS50" s="74" t="inlineStr">
        <is>
          <t>manual_aplicado</t>
        </is>
      </c>
      <c r="BT50" s="74" t="inlineStr">
        <is>
          <t>N/D</t>
        </is>
      </c>
      <c r="BU50" s="74" t="inlineStr">
        <is>
          <t>1058234</t>
        </is>
      </c>
      <c r="BV50" s="74" t="inlineStr">
        <is>
          <t>2025-12-10</t>
        </is>
      </c>
      <c r="BW50" s="74" t="inlineStr">
        <is>
          <t>39</t>
        </is>
      </c>
      <c r="BX50" s="74" t="inlineStr">
        <is>
          <t>revisto — mínimo júnior localizado</t>
        </is>
      </c>
      <c r="BY50" s="74" t="inlineStr">
        <is>
          <t>FundosNet/B3; documento 1058234; referência 2025-12-10; p. 39</t>
        </is>
      </c>
      <c r="BZ50" s="74" t="inlineStr">
        <is>
          <t>Cotas júnior / PL: 9,0% nos primeiros 30 dias; 10,0% como patamar regular.</t>
        </is>
      </c>
      <c r="CA50" s="74" t="inlineStr">
        <is>
          <t>originador</t>
        </is>
      </c>
      <c r="CB50" s="74" t="inlineStr">
        <is>
          <t>estrutura_incomparavel</t>
        </is>
      </c>
    </row>
    <row r="51" ht="31.5" customHeight="1">
      <c r="A51" s="75" t="n">
        <v>48</v>
      </c>
      <c r="B51" s="142" t="n">
        <v>47280025000150</v>
      </c>
      <c r="C51" s="75" t="inlineStr">
        <is>
          <t>47.280.025/0001-50</t>
        </is>
      </c>
      <c r="D51" s="75" t="inlineStr">
        <is>
          <t>FIDC AGRO CAPITAL FINANCE RESPONSABILIDADE LIMITADA</t>
        </is>
      </c>
      <c r="E51" s="75" t="inlineStr">
        <is>
          <t>FUNDO DE INVESTIMENTO EM DIREITOS CREDITORIOS ALBA</t>
        </is>
      </c>
      <c r="F51" s="75" t="inlineStr">
        <is>
          <t>Carteira 101</t>
        </is>
      </c>
      <c r="G51" s="75" t="inlineStr">
        <is>
          <t>2026-06</t>
        </is>
      </c>
      <c r="H51" s="75" t="inlineStr">
        <is>
          <t>localizado</t>
        </is>
      </c>
      <c r="I51" s="143" t="n">
        <v>522132133.94</v>
      </c>
      <c r="J51" s="143" t="n">
        <v>522132133.9385318</v>
      </c>
      <c r="K51" s="143" t="n">
        <v>167899168.487548</v>
      </c>
      <c r="L51" s="144" t="n">
        <v>0.3215645189668443</v>
      </c>
      <c r="M51" s="75" t="inlineStr">
        <is>
          <t>Calculado com classes reportadas e PL oficial reconciliado</t>
        </is>
      </c>
      <c r="N51" s="144" t="n">
        <v>0.3</v>
      </c>
      <c r="O51" s="144" t="inlineStr">
        <is>
          <t>N/D</t>
        </is>
      </c>
      <c r="P51" s="144" t="inlineStr">
        <is>
          <t>N/D</t>
        </is>
      </c>
      <c r="Q51" s="144" t="n">
        <v>0.3</v>
      </c>
      <c r="R51" s="144" t="inlineStr">
        <is>
          <t>N/D</t>
        </is>
      </c>
      <c r="S51" s="144" t="n">
        <v>0.3</v>
      </c>
      <c r="T51" s="75" t="inlineStr">
        <is>
          <t>30,0%</t>
        </is>
      </c>
      <c r="U51" s="75" t="inlineStr">
        <is>
          <t>junior_pl</t>
        </is>
      </c>
      <c r="V51" s="75" t="inlineStr">
        <is>
          <t>direto no regulamento</t>
        </is>
      </c>
      <c r="W51" s="75" t="b">
        <v>1</v>
      </c>
      <c r="X51" s="75" t="inlineStr">
        <is>
          <t>Estrutura com uma única classe subordinada; métrica atual e piso usam o total subordinado sobre o PL.</t>
        </is>
      </c>
      <c r="Y51" s="75" t="b">
        <v>0</v>
      </c>
      <c r="Z51" s="144" t="n">
        <v>0.0215645189668443</v>
      </c>
      <c r="AA51" s="144" t="n">
        <v>0.03080645566692044</v>
      </c>
      <c r="AB51" s="75" t="inlineStr">
        <is>
          <t>acima do mínimo</t>
        </is>
      </c>
      <c r="AC51" s="75" t="inlineStr">
        <is>
          <t>Agro, Indústria e Comércio</t>
        </is>
      </c>
      <c r="AD51" s="75" t="inlineStr">
        <is>
          <t>Recebíveis Comerciais</t>
        </is>
      </c>
      <c r="AE51" s="75" t="inlineStr">
        <is>
          <t>Agro / Revenda</t>
        </is>
      </c>
      <c r="AF51" s="75" t="inlineStr">
        <is>
          <t>Agro / Revenda</t>
        </is>
      </c>
      <c r="AG51" s="75" t="inlineStr">
        <is>
          <t>Agro / Revenda</t>
        </is>
      </c>
      <c r="AH51" s="75" t="inlineStr">
        <is>
          <t>Agro / Revenda</t>
        </is>
      </c>
      <c r="AI51" s="75" t="inlineStr">
        <is>
          <t>Recebíveis Albaugh, insumos agro</t>
        </is>
      </c>
      <c r="AJ51" s="75" t="b">
        <v>0</v>
      </c>
      <c r="AK51" s="75" t="inlineStr">
        <is>
          <t>MANTER_ASTERISCO</t>
        </is>
      </c>
      <c r="AL51" s="75" t="inlineStr">
        <is>
          <t>Cedente Albaugh, com tipo literal não isolado</t>
        </is>
      </c>
      <c r="AM51" s="75" t="inlineStr">
        <is>
          <t>auditoria documental</t>
        </is>
      </c>
      <c r="AN51" s="75" t="inlineStr">
        <is>
          <t>Não</t>
        </is>
      </c>
      <c r="AO51" s="75" t="inlineStr">
        <is>
          <t>auditoria documental</t>
        </is>
      </c>
      <c r="AP51" s="75" t="b">
        <v>0</v>
      </c>
      <c r="AQ51" s="75" t="inlineStr">
        <is>
          <t>Agro / Revenda</t>
        </is>
      </c>
      <c r="AR51" s="75" t="inlineStr">
        <is>
          <t>Agro / Revenda</t>
        </is>
      </c>
      <c r="AS51" s="75" t="b">
        <v>0</v>
      </c>
      <c r="AT51" s="75" t="inlineStr">
        <is>
          <t>N/D</t>
        </is>
      </c>
      <c r="AU51" s="75" t="inlineStr">
        <is>
          <t>N/D</t>
        </is>
      </c>
      <c r="AV51" s="75" t="inlineStr">
        <is>
          <t>20%–35%</t>
        </is>
      </c>
      <c r="AW51" s="75" t="b">
        <v>1</v>
      </c>
      <c r="AX51" s="75" t="inlineStr">
        <is>
          <t>acima do piso</t>
        </is>
      </c>
      <c r="AY51" s="75" t="inlineStr">
        <is>
          <t>sem benchmark confiável</t>
        </is>
      </c>
      <c r="AZ51" s="144" t="inlineStr">
        <is>
          <t>N/D</t>
        </is>
      </c>
      <c r="BA51" s="75" t="b">
        <v>0</v>
      </c>
      <c r="BB51" s="145" t="n">
        <v>0</v>
      </c>
      <c r="BC51" s="143" t="n">
        <v>1000</v>
      </c>
      <c r="BD51" s="75" t="inlineStr">
        <is>
          <t>R$ 1.000,00</t>
        </is>
      </c>
      <c r="BE51" s="75" t="inlineStr">
        <is>
          <t>valor nominal unitário (VNU)</t>
        </is>
      </c>
      <c r="BF51" s="75" t="inlineStr">
        <is>
          <t>N/D</t>
        </is>
      </c>
      <c r="BG51" s="75" t="inlineStr">
        <is>
          <t>04/12/2025</t>
        </is>
      </c>
      <c r="BH51" s="75" t="inlineStr">
        <is>
          <t>1053778</t>
        </is>
      </c>
      <c r="BI51" s="75" t="inlineStr">
        <is>
          <t>https://fnet.bmfbovespa.com.br/fnet/publico/downloadDocumento?id=1053778</t>
        </is>
      </c>
      <c r="BJ51" s="75" t="inlineStr">
        <is>
          <t>localizado documentalmente</t>
        </is>
      </c>
      <c r="BK51" s="75" t="b">
        <v>1</v>
      </c>
      <c r="BL51" s="75" t="inlineStr">
        <is>
          <t>Albaugh</t>
        </is>
      </c>
      <c r="BM51" s="75" t="inlineStr">
        <is>
          <t>cedente</t>
        </is>
      </c>
      <c r="BN51" s="75" t="inlineStr">
        <is>
          <t>N/D</t>
        </is>
      </c>
      <c r="BO51" s="75" t="inlineStr">
        <is>
          <t>Albaugh</t>
        </is>
      </c>
      <c r="BP51" s="75" t="inlineStr">
        <is>
          <t>N/D</t>
        </is>
      </c>
      <c r="BQ51" s="75" t="inlineStr">
        <is>
          <t>N/D</t>
        </is>
      </c>
      <c r="BR51" s="75" t="inlineStr">
        <is>
          <t>cedente: IMG_8705.JPG</t>
        </is>
      </c>
      <c r="BS51" s="75" t="inlineStr">
        <is>
          <t>manual_aplicado</t>
        </is>
      </c>
      <c r="BT51" s="75" t="inlineStr">
        <is>
          <t>OBS da foto: fundo continua sofrendo com inadimplência da carteira antiga.</t>
        </is>
      </c>
      <c r="BU51" s="75" t="inlineStr">
        <is>
          <t>1074880</t>
        </is>
      </c>
      <c r="BV51" s="75" t="inlineStr">
        <is>
          <t>2025-12-23</t>
        </is>
      </c>
      <c r="BW51" s="75" t="inlineStr">
        <is>
          <t>10; 34</t>
        </is>
      </c>
      <c r="BX51" s="75" t="inlineStr">
        <is>
          <t>revisto — mínimo júnior localizado</t>
        </is>
      </c>
      <c r="BY51" s="75" t="inlineStr">
        <is>
          <t>FundosNet/B3; documento 1074880; referência 2025-12-23; p. 10; 34</t>
        </is>
      </c>
      <c r="BZ51" s="75" t="inlineStr">
        <is>
          <t>Cotas subordinadas / PL, mínimo de 30,0%; estrutura com uma única classe residual.</t>
        </is>
      </c>
      <c r="CA51" s="75" t="inlineStr">
        <is>
          <t>originador; sacado/devedor; tipo de recebível</t>
        </is>
      </c>
      <c r="CB51" s="75" t="inlineStr">
        <is>
          <t>completo_para_folga</t>
        </is>
      </c>
    </row>
    <row r="52" ht="31.5" customHeight="1">
      <c r="A52" s="74" t="n">
        <v>49</v>
      </c>
      <c r="B52" s="138" t="n">
        <v>57270666000187</v>
      </c>
      <c r="C52" s="74" t="inlineStr">
        <is>
          <t>57.270.666/0001-87</t>
        </is>
      </c>
      <c r="D52" s="74" t="inlineStr">
        <is>
          <t>MOBILITAS FUNDO DE INVESTIMENTO EM DIREITOS CREDITÓRIOS - RESPONSABILIDADE LIMITADA</t>
        </is>
      </c>
      <c r="E52" s="74" t="inlineStr">
        <is>
          <t>MOBILITAS FIDC RL</t>
        </is>
      </c>
      <c r="F52" s="74" t="inlineStr">
        <is>
          <t>Carteira 101</t>
        </is>
      </c>
      <c r="G52" s="74" t="inlineStr">
        <is>
          <t>2026-06</t>
        </is>
      </c>
      <c r="H52" s="74" t="inlineStr">
        <is>
          <t>localizado</t>
        </is>
      </c>
      <c r="I52" s="139" t="n">
        <v>53019295.56</v>
      </c>
      <c r="J52" s="139" t="n">
        <v>53019295.56016188</v>
      </c>
      <c r="K52" s="139" t="n">
        <v>8019295.530011886</v>
      </c>
      <c r="L52" s="140" t="n">
        <v>0.1512523967983834</v>
      </c>
      <c r="M52" s="74" t="inlineStr">
        <is>
          <t>Calculado com classes reportadas e PL oficial reconciliado</t>
        </is>
      </c>
      <c r="N52" s="140" t="n">
        <v>0.1</v>
      </c>
      <c r="O52" s="140" t="inlineStr">
        <is>
          <t>N/D</t>
        </is>
      </c>
      <c r="P52" s="140" t="inlineStr">
        <is>
          <t>N/D</t>
        </is>
      </c>
      <c r="Q52" s="140" t="inlineStr">
        <is>
          <t>N/D</t>
        </is>
      </c>
      <c r="R52" s="140" t="inlineStr">
        <is>
          <t>N/D</t>
        </is>
      </c>
      <c r="S52" s="140" t="n">
        <v>0.1</v>
      </c>
      <c r="T52" s="74" t="inlineStr">
        <is>
          <t>N/D</t>
        </is>
      </c>
      <c r="U52" s="74" t="inlineStr">
        <is>
          <t>junior_pl</t>
        </is>
      </c>
      <c r="V52" s="74" t="inlineStr">
        <is>
          <t>direto no regulamento</t>
        </is>
      </c>
      <c r="W52" s="74" t="b">
        <v>0</v>
      </c>
      <c r="X52" s="74" t="inlineStr">
        <is>
          <t>Mínimo júnior isolado; a subordinação atual disponível agrega todas as classes subordinadas.</t>
        </is>
      </c>
      <c r="Y52" s="74" t="b">
        <v>0</v>
      </c>
      <c r="Z52" s="140" t="inlineStr">
        <is>
          <t>N/D</t>
        </is>
      </c>
      <c r="AA52" s="140" t="inlineStr">
        <is>
          <t>N/D</t>
        </is>
      </c>
      <c r="AB52" s="74" t="inlineStr">
        <is>
          <t>não medido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performados, Rede como adquirente</t>
        </is>
      </c>
      <c r="AJ52" s="74" t="b">
        <v>0</v>
      </c>
      <c r="AK52" s="74" t="inlineStr">
        <is>
          <t>PENDENTE_FONTE_PRIMARIA</t>
        </is>
      </c>
      <c r="AL52" s="74" t="inlineStr">
        <is>
          <t>Rede aparece como adquirente somente na planilha</t>
        </is>
      </c>
      <c r="AM52" s="74" t="inlineStr">
        <is>
          <t>IMG_8705</t>
        </is>
      </c>
      <c r="AN52" s="74" t="inlineStr">
        <is>
          <t>Não</t>
        </is>
      </c>
      <c r="AO52" s="74" t="inlineStr">
        <is>
          <t>IMG_8705</t>
        </is>
      </c>
      <c r="AP52" s="74" t="b">
        <v>0</v>
      </c>
      <c r="AQ52" s="74" t="inlineStr">
        <is>
          <t>Agro / Revenda</t>
        </is>
      </c>
      <c r="AR52" s="74" t="inlineStr">
        <is>
          <t>Agro / Revenda</t>
        </is>
      </c>
      <c r="AS52" s="74" t="b">
        <v>0</v>
      </c>
      <c r="AT52" s="74" t="inlineStr">
        <is>
          <t>N/D</t>
        </is>
      </c>
      <c r="AU52" s="74" t="inlineStr">
        <is>
          <t>N/D</t>
        </is>
      </c>
      <c r="AV52" s="74" t="inlineStr">
        <is>
          <t>15%–20%</t>
        </is>
      </c>
      <c r="AW52" s="74" t="b">
        <v>1</v>
      </c>
      <c r="AX52" s="74" t="inlineStr">
        <is>
          <t>incomparável</t>
        </is>
      </c>
      <c r="AY52" s="74" t="inlineStr">
        <is>
          <t>sem benchmark confiável</t>
        </is>
      </c>
      <c r="AZ52" s="140" t="inlineStr">
        <is>
          <t>N/D</t>
        </is>
      </c>
      <c r="BA52" s="74" t="b">
        <v>0</v>
      </c>
      <c r="BB52" s="141" t="n">
        <v>0</v>
      </c>
      <c r="BC52" s="139" t="n">
        <v>1000</v>
      </c>
      <c r="BD52" s="74" t="inlineStr">
        <is>
          <t>Cotas Seniores: R$ 1.000,00</t>
        </is>
      </c>
      <c r="BE52" s="74" t="inlineStr">
        <is>
          <t>preço/valor unitário de emissão</t>
        </is>
      </c>
      <c r="BF52" s="74" t="inlineStr">
        <is>
          <t>Cotas Seniores</t>
        </is>
      </c>
      <c r="BG52" s="74" t="inlineStr">
        <is>
          <t>31/10/2024</t>
        </is>
      </c>
      <c r="BH52" s="74" t="inlineStr">
        <is>
          <t>769275</t>
        </is>
      </c>
      <c r="BI52" s="74" t="inlineStr">
        <is>
          <t>https://fnet.bmfbovespa.com.br/fnet/publico/downloadDocumento?id=769275</t>
        </is>
      </c>
      <c r="BJ52" s="74" t="inlineStr">
        <is>
          <t>localizado documentalmente</t>
        </is>
      </c>
      <c r="BK52" s="74" t="b">
        <v>0</v>
      </c>
      <c r="BL52" s="74" t="inlineStr">
        <is>
          <t>N/D</t>
        </is>
      </c>
      <c r="BM52" s="74" t="inlineStr">
        <is>
          <t>N/D</t>
        </is>
      </c>
      <c r="BN52" s="74" t="inlineStr">
        <is>
          <t>N/D</t>
        </is>
      </c>
      <c r="BO52" s="74" t="inlineStr">
        <is>
          <t>N/D</t>
        </is>
      </c>
      <c r="BP52" s="74" t="inlineStr">
        <is>
          <t>N/D</t>
        </is>
      </c>
      <c r="BQ52" s="74" t="inlineStr">
        <is>
          <t>Direitos Creditórios performados; REDE como adquirente</t>
        </is>
      </c>
      <c r="BR52" s="74" t="inlineStr">
        <is>
          <t>tipo_recebivel: IMG_8705.JPG</t>
        </is>
      </c>
      <c r="BS52" s="74" t="inlineStr">
        <is>
          <t>sem_overlay</t>
        </is>
      </c>
      <c r="BT52" s="74" t="inlineStr">
        <is>
          <t>N/D</t>
        </is>
      </c>
      <c r="BU52" s="74" t="inlineStr">
        <is>
          <t>769277</t>
        </is>
      </c>
      <c r="BV52" s="74" t="inlineStr">
        <is>
          <t>2024-10-31</t>
        </is>
      </c>
      <c r="BW52" s="74" t="inlineStr">
        <is>
          <t>49</t>
        </is>
      </c>
      <c r="BX52" s="74" t="inlineStr">
        <is>
          <t>revisto — mínimo júnior localizado</t>
        </is>
      </c>
      <c r="BY52" s="74" t="inlineStr">
        <is>
          <t>FundosNet/B3; documento 769277; referência 2024-10-31; p. 49</t>
        </is>
      </c>
      <c r="BZ52" s="74" t="inlineStr">
        <is>
          <t>Cotas subordinadas júnior / PL, mínimo de 10,0%.</t>
        </is>
      </c>
      <c r="CA52" s="74" t="inlineStr">
        <is>
          <t>originador; cedente; sacado/devedor</t>
        </is>
      </c>
      <c r="CB52" s="74" t="inlineStr">
        <is>
          <t>estrutura_incomparavel</t>
        </is>
      </c>
    </row>
    <row r="53" ht="31.5" customHeight="1">
      <c r="A53" s="75" t="n">
        <v>50</v>
      </c>
      <c r="B53" s="142" t="n">
        <v>58288437000152</v>
      </c>
      <c r="C53" s="75" t="inlineStr">
        <is>
          <t>58.288.437/0001-52</t>
        </is>
      </c>
      <c r="D53" s="75" t="inlineStr">
        <is>
          <t>ALTOMAX FUNDO DE INVESTIMENTO EM DIREITOS CREDITÓRIOS SEGMENTO RECEBÍVEIS COMERCIAIS DE RESP LTDA</t>
        </is>
      </c>
      <c r="E53" s="75" t="inlineStr">
        <is>
          <t>ALTOMAX FIDC SEG RECEB COM LTD</t>
        </is>
      </c>
      <c r="F53" s="75" t="inlineStr">
        <is>
          <t>Carteira 101</t>
        </is>
      </c>
      <c r="G53" s="75" t="inlineStr">
        <is>
          <t>2026-06</t>
        </is>
      </c>
      <c r="H53" s="75" t="inlineStr">
        <is>
          <t>localizado</t>
        </is>
      </c>
      <c r="I53" s="143" t="n">
        <v>89924502.54000001</v>
      </c>
      <c r="J53" s="143" t="n">
        <v>89924502.53672034</v>
      </c>
      <c r="K53" s="143" t="n">
        <v>58124586.41007054</v>
      </c>
      <c r="L53" s="144" t="n">
        <v>0.6463709530582691</v>
      </c>
      <c r="M53" s="75" t="inlineStr">
        <is>
          <t>Calculado com classes reportadas e PL oficial reconciliado</t>
        </is>
      </c>
      <c r="N53" s="144" t="n">
        <v>0.2</v>
      </c>
      <c r="O53" s="144" t="inlineStr">
        <is>
          <t>N/D</t>
        </is>
      </c>
      <c r="P53" s="144" t="inlineStr">
        <is>
          <t>N/D</t>
        </is>
      </c>
      <c r="Q53" s="144" t="inlineStr">
        <is>
          <t>N/D</t>
        </is>
      </c>
      <c r="R53" s="144" t="inlineStr">
        <is>
          <t>N/D</t>
        </is>
      </c>
      <c r="S53" s="144" t="n">
        <v>0.2</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Risco Corporativo</t>
        </is>
      </c>
      <c r="AI53" s="75" t="inlineStr">
        <is>
          <t>Recebíveis comerciais Altomax / grupo econômico</t>
        </is>
      </c>
      <c r="AJ53" s="75" t="b">
        <v>1</v>
      </c>
      <c r="AK53" s="75" t="inlineStr">
        <is>
          <t>APLICAR_ALTA</t>
        </is>
      </c>
      <c r="AL53" s="75" t="inlineStr">
        <is>
          <t>Estrutura de recebíveis comerciais com cedente e devedores do grupo</t>
        </is>
      </c>
      <c r="AM53" s="75" t="inlineStr">
        <is>
          <t>regulamento e auditoria documental</t>
        </is>
      </c>
      <c r="AN53" s="75" t="inlineStr">
        <is>
          <t>Não</t>
        </is>
      </c>
      <c r="AO53" s="75" t="inlineStr">
        <is>
          <t>regulamento e auditoria documental</t>
        </is>
      </c>
      <c r="AP53" s="75" t="b">
        <v>0</v>
      </c>
      <c r="AQ53" s="75" t="inlineStr">
        <is>
          <t>Risco Corporativo</t>
        </is>
      </c>
      <c r="AR53" s="75" t="inlineStr">
        <is>
          <t>Agro / Revenda</t>
        </is>
      </c>
      <c r="AS53" s="75" t="b">
        <v>1</v>
      </c>
      <c r="AT53" s="75" t="inlineStr">
        <is>
          <t>regulamento e auditoria documental</t>
        </is>
      </c>
      <c r="AU53" s="75" t="inlineStr">
        <is>
          <t>Estrutura de recebíveis comerciais com cedente e devedores do grupo</t>
        </is>
      </c>
      <c r="AV53" s="75" t="inlineStr">
        <is>
          <t>≥ 60%</t>
        </is>
      </c>
      <c r="AW53" s="75" t="b">
        <v>1</v>
      </c>
      <c r="AX53" s="75" t="inlineStr">
        <is>
          <t>incomparável</t>
        </is>
      </c>
      <c r="AY53" s="75" t="inlineStr">
        <is>
          <t>sem benchmark confiável</t>
        </is>
      </c>
      <c r="AZ53" s="144" t="inlineStr">
        <is>
          <t>N/D</t>
        </is>
      </c>
      <c r="BA53" s="75" t="b">
        <v>0</v>
      </c>
      <c r="BB53" s="145" t="n">
        <v>0</v>
      </c>
      <c r="BC53" s="143" t="n">
        <v>1000</v>
      </c>
      <c r="BD53" s="75" t="inlineStr">
        <is>
          <t>cotas subordinadas júnior: R$ 1.000,00</t>
        </is>
      </c>
      <c r="BE53" s="75" t="inlineStr">
        <is>
          <t>valor nominal unitário (VNU)</t>
        </is>
      </c>
      <c r="BF53" s="75" t="inlineStr">
        <is>
          <t>cotas subordinadas júnior</t>
        </is>
      </c>
      <c r="BG53" s="75" t="inlineStr">
        <is>
          <t>2025-08-26</t>
        </is>
      </c>
      <c r="BH53" s="75" t="inlineStr">
        <is>
          <t>978340</t>
        </is>
      </c>
      <c r="BI53" s="75" t="inlineStr">
        <is>
          <t>https://fnet.bmfbovespa.com.br/fnet/publico/downloadDocumento?id=978340</t>
        </is>
      </c>
      <c r="BJ53" s="75" t="inlineStr">
        <is>
          <t>localizado documentalmente</t>
        </is>
      </c>
      <c r="BK53" s="75" t="b">
        <v>0</v>
      </c>
      <c r="BL53" s="75" t="inlineStr">
        <is>
          <t>N/D</t>
        </is>
      </c>
      <c r="BM53" s="75" t="inlineStr">
        <is>
          <t>N/D</t>
        </is>
      </c>
      <c r="BN53" s="75" t="inlineStr">
        <is>
          <t>N/D</t>
        </is>
      </c>
      <c r="BO53" s="75" t="inlineStr">
        <is>
          <t>a ALTOMAX COMÉRCIO DE MEIAS E COBERTORES, IMPORTAÇÃO E EXPORTAÇÃO LTDA, sociedade limitada, com sede na cidade de Foz do Iguaçu, estado do Paraná, na Av</t>
        </is>
      </c>
      <c r="BP53"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3" s="75" t="inlineStr">
        <is>
          <t>N/D</t>
        </is>
      </c>
      <c r="BR53" s="75" t="inlineStr">
        <is>
          <t>cedente: https://fnet.bmfbovespa.com.br/fnet/publico/downloadDocumento?id=1240668 | sacado_devedor: https://fnet.bmfbovespa.com.br/fnet/publico/downloadDocumento?id=1240668</t>
        </is>
      </c>
      <c r="BS53" s="75" t="inlineStr">
        <is>
          <t>sem_overlay</t>
        </is>
      </c>
      <c r="BT53" s="75" t="inlineStr">
        <is>
          <t>N/D</t>
        </is>
      </c>
      <c r="BU53" s="75" t="inlineStr">
        <is>
          <t>1240668</t>
        </is>
      </c>
      <c r="BV53" s="75" t="inlineStr">
        <is>
          <t>2026-02-24</t>
        </is>
      </c>
      <c r="BW53" s="75" t="inlineStr">
        <is>
          <t>94</t>
        </is>
      </c>
      <c r="BX53" s="75" t="inlineStr">
        <is>
          <t>revisto — mínimo júnior localizado</t>
        </is>
      </c>
      <c r="BY53" s="75" t="inlineStr">
        <is>
          <t>FundosNet/B3; documento 1240668; referência 2026-02-24; p. 94</t>
        </is>
      </c>
      <c r="BZ53" s="75" t="inlineStr">
        <is>
          <t>Índice de Subordinação Mezanino: cotas júnior / PL, mínimo de 20,0%.</t>
        </is>
      </c>
      <c r="CA53" s="75" t="inlineStr">
        <is>
          <t>originador; tipo de recebível</t>
        </is>
      </c>
      <c r="CB53" s="75" t="inlineStr">
        <is>
          <t>estrutura_incomparavel</t>
        </is>
      </c>
    </row>
    <row r="54" ht="31.5" customHeight="1">
      <c r="A54" s="74" t="n">
        <v>51</v>
      </c>
      <c r="B54" s="138" t="n">
        <v>55476342000174</v>
      </c>
      <c r="C54" s="74" t="inlineStr">
        <is>
          <t>55.476.342/0001-74</t>
        </is>
      </c>
      <c r="D54" s="74" t="inlineStr">
        <is>
          <t>LAVORO AGRO II FIAGRO - DIREITOS CREDITÓRIOS - RESPONSABILIDADE LIMITADA</t>
        </is>
      </c>
      <c r="E54" s="74" t="inlineStr">
        <is>
          <t>LAVORO AGRO II FUNDO DE INVESTIMENTO EM DIREITOS C</t>
        </is>
      </c>
      <c r="F54" s="74" t="inlineStr">
        <is>
          <t>Carteira 101</t>
        </is>
      </c>
      <c r="G54" s="74" t="inlineStr">
        <is>
          <t>2026-06</t>
        </is>
      </c>
      <c r="H54" s="74" t="inlineStr">
        <is>
          <t>localizado</t>
        </is>
      </c>
      <c r="I54" s="139" t="inlineStr">
        <is>
          <t>N/D</t>
        </is>
      </c>
      <c r="J54" s="139" t="inlineStr">
        <is>
          <t>N/D</t>
        </is>
      </c>
      <c r="K54" s="139" t="inlineStr">
        <is>
          <t>N/D</t>
        </is>
      </c>
      <c r="L54" s="140" t="inlineStr">
        <is>
          <t>N/D</t>
        </is>
      </c>
      <c r="M54" s="74" t="inlineStr">
        <is>
          <t>PL oficial ausente em 2026-06</t>
        </is>
      </c>
      <c r="N54" s="140" t="n">
        <v>0.2</v>
      </c>
      <c r="O54" s="140" t="inlineStr">
        <is>
          <t>N/D</t>
        </is>
      </c>
      <c r="P54" s="140" t="inlineStr">
        <is>
          <t>N/D</t>
        </is>
      </c>
      <c r="Q54" s="140" t="n">
        <v>0.2</v>
      </c>
      <c r="R54" s="140" t="inlineStr">
        <is>
          <t>N/D</t>
        </is>
      </c>
      <c r="S54" s="140" t="n">
        <v>0.2</v>
      </c>
      <c r="T54" s="74" t="inlineStr">
        <is>
          <t>20,0%</t>
        </is>
      </c>
      <c r="U54" s="74" t="inlineStr">
        <is>
          <t>junior_pl</t>
        </is>
      </c>
      <c r="V54" s="74" t="inlineStr">
        <is>
          <t>direto no regulamento</t>
        </is>
      </c>
      <c r="W54" s="74" t="b">
        <v>1</v>
      </c>
      <c r="X54" s="74" t="inlineStr">
        <is>
          <t>Estrutura com uma única classe subordinada; métrica atual e piso usam o total subordinado sobre o PL.</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Agro / Revenda</t>
        </is>
      </c>
      <c r="AI54" s="74" t="inlineStr">
        <is>
          <t>Recebíveis do Grupo Lavoro</t>
        </is>
      </c>
      <c r="AJ54" s="74" t="b">
        <v>0</v>
      </c>
      <c r="AK54" s="74" t="inlineStr">
        <is>
          <t>MANTER_ALTA</t>
        </is>
      </c>
      <c r="AL54" s="74" t="inlineStr">
        <is>
          <t>Cedente integra a cadeia de insumos agro</t>
        </is>
      </c>
      <c r="AM54" s="74" t="inlineStr">
        <is>
          <t>auditoria documental</t>
        </is>
      </c>
      <c r="AN54" s="74" t="inlineStr">
        <is>
          <t>Não</t>
        </is>
      </c>
      <c r="AO54" s="74" t="inlineStr">
        <is>
          <t>auditoria documental</t>
        </is>
      </c>
      <c r="AP54" s="74" t="b">
        <v>0</v>
      </c>
      <c r="AQ54" s="74" t="inlineStr">
        <is>
          <t>Agro / Revenda</t>
        </is>
      </c>
      <c r="AR54" s="74" t="inlineStr">
        <is>
          <t>Agro / Revenda</t>
        </is>
      </c>
      <c r="AS54" s="74" t="b">
        <v>0</v>
      </c>
      <c r="AT54" s="74" t="inlineStr">
        <is>
          <t>N/D</t>
        </is>
      </c>
      <c r="AU54" s="74" t="inlineStr">
        <is>
          <t>N/D</t>
        </is>
      </c>
      <c r="AV54" s="74" t="inlineStr">
        <is>
          <t>N/D</t>
        </is>
      </c>
      <c r="AW54" s="74" t="b">
        <v>0</v>
      </c>
      <c r="AX54" s="74" t="inlineStr">
        <is>
          <t>N/D</t>
        </is>
      </c>
      <c r="AY54" s="74" t="inlineStr">
        <is>
          <t>sem benchmark confiável</t>
        </is>
      </c>
      <c r="AZ54" s="140" t="inlineStr">
        <is>
          <t>N/D</t>
        </is>
      </c>
      <c r="BA54" s="74" t="b">
        <v>0</v>
      </c>
      <c r="BB54" s="141" t="n">
        <v>0</v>
      </c>
      <c r="BC54" s="139" t="n">
        <v>1000</v>
      </c>
      <c r="BD54" s="74" t="inlineStr">
        <is>
          <t>R$1.000,00</t>
        </is>
      </c>
      <c r="BE54" s="74" t="inlineStr">
        <is>
          <t>preço/valor unitário de emissão</t>
        </is>
      </c>
      <c r="BF54" s="74" t="inlineStr">
        <is>
          <t>N/D</t>
        </is>
      </c>
      <c r="BG54" s="74" t="inlineStr">
        <is>
          <t>30/09/2025</t>
        </is>
      </c>
      <c r="BH54" s="74" t="inlineStr">
        <is>
          <t>1003104</t>
        </is>
      </c>
      <c r="BI54" s="74" t="inlineStr">
        <is>
          <t>https://fnet.bmfbovespa.com.br/fnet/publico/downloadDocumento?id=1003104</t>
        </is>
      </c>
      <c r="BJ54" s="74" t="inlineStr">
        <is>
          <t>localizado documentalmente</t>
        </is>
      </c>
      <c r="BK54" s="74" t="b">
        <v>1</v>
      </c>
      <c r="BL54" s="74" t="inlineStr">
        <is>
          <t>Lavoro</t>
        </is>
      </c>
      <c r="BM54" s="74" t="inlineStr">
        <is>
          <t>cedente</t>
        </is>
      </c>
      <c r="BN54" s="74" t="inlineStr">
        <is>
          <t>N/D</t>
        </is>
      </c>
      <c r="BO54" s="74" t="inlineStr">
        <is>
          <t>Lavoro</t>
        </is>
      </c>
      <c r="BP54" s="74" t="inlineStr">
        <is>
          <t>N/D</t>
        </is>
      </c>
      <c r="BQ54" s="74" t="inlineStr">
        <is>
          <t>N/D</t>
        </is>
      </c>
      <c r="BR54" s="74" t="inlineStr">
        <is>
          <t>cedente: IMG_8705.JPG</t>
        </is>
      </c>
      <c r="BS54" s="74" t="inlineStr">
        <is>
          <t>manual_aplicado</t>
        </is>
      </c>
      <c r="BT54" s="74" t="inlineStr">
        <is>
          <t>OBS da foto: em discussão para possível migração do FIDC para risco bilateral. Denominação cortada.</t>
        </is>
      </c>
      <c r="BU54" s="74" t="inlineStr">
        <is>
          <t>1003108</t>
        </is>
      </c>
      <c r="BV54" s="74" t="inlineStr">
        <is>
          <t>2025-09-30</t>
        </is>
      </c>
      <c r="BW54" s="74" t="inlineStr">
        <is>
          <t>107; 122</t>
        </is>
      </c>
      <c r="BX54" s="74" t="inlineStr">
        <is>
          <t>revisto — mínimo júnior localizado</t>
        </is>
      </c>
      <c r="BY54" s="74" t="inlineStr">
        <is>
          <t>FundosNet/B3; documento 1003108; referência 2025-09-30; p. 107; 122</t>
        </is>
      </c>
      <c r="BZ54" s="74" t="inlineStr">
        <is>
          <t>Cotas subordinadas / PL, mínimo de 20,0%; estrutura com uma única classe residual.</t>
        </is>
      </c>
      <c r="CA54" s="74" t="inlineStr">
        <is>
          <t>PL atual; Sub/PL atual; originador; sacado/devedor; tipo de recebível</t>
        </is>
      </c>
      <c r="CB54" s="74" t="inlineStr">
        <is>
          <t>sub_pl_atual_ausente</t>
        </is>
      </c>
    </row>
    <row r="55" ht="31.5" customHeight="1">
      <c r="A55" s="75" t="n">
        <v>52</v>
      </c>
      <c r="B55" s="142" t="n">
        <v>63679792000192</v>
      </c>
      <c r="C55" s="75" t="inlineStr">
        <is>
          <t>63.679.792/0001-92</t>
        </is>
      </c>
      <c r="D55" s="75" t="inlineStr">
        <is>
          <t>BLUE HEALTH FIDC RECEBÍVEIS COMERCIAIS DE RESPONSABILIDADE LIMITADA</t>
        </is>
      </c>
      <c r="E55" s="75" t="inlineStr">
        <is>
          <t>BLUE HEALTH FIDC RECEB LTDA</t>
        </is>
      </c>
      <c r="F55" s="75" t="inlineStr">
        <is>
          <t>Carteira 101</t>
        </is>
      </c>
      <c r="G55" s="75" t="inlineStr">
        <is>
          <t>2026-06</t>
        </is>
      </c>
      <c r="H55" s="75" t="inlineStr">
        <is>
          <t>localizado</t>
        </is>
      </c>
      <c r="I55" s="143" t="n">
        <v>142173656.83</v>
      </c>
      <c r="J55" s="143" t="n">
        <v>142173397.6552933</v>
      </c>
      <c r="K55" s="143" t="n">
        <v>27430132.82988603</v>
      </c>
      <c r="L55" s="144" t="n">
        <v>0.1929340036789291</v>
      </c>
      <c r="M55" s="75" t="inlineStr">
        <is>
          <t>Calculado com classes reportadas e PL oficial reconciliado</t>
        </is>
      </c>
      <c r="N55" s="144" t="n">
        <v>0.2</v>
      </c>
      <c r="O55" s="144" t="inlineStr">
        <is>
          <t>N/D</t>
        </is>
      </c>
      <c r="P55" s="144" t="inlineStr">
        <is>
          <t>N/D</t>
        </is>
      </c>
      <c r="Q55" s="144" t="inlineStr">
        <is>
          <t>N/D</t>
        </is>
      </c>
      <c r="R55" s="144" t="inlineStr">
        <is>
          <t>N/D</t>
        </is>
      </c>
      <c r="S55" s="144" t="n">
        <v>0.2</v>
      </c>
      <c r="T55" s="75" t="inlineStr">
        <is>
          <t>N/D</t>
        </is>
      </c>
      <c r="U55" s="75" t="inlineStr">
        <is>
          <t>junior_pl</t>
        </is>
      </c>
      <c r="V55" s="75" t="inlineStr">
        <is>
          <t>direto no regulamento</t>
        </is>
      </c>
      <c r="W55" s="75" t="b">
        <v>0</v>
      </c>
      <c r="X55" s="75" t="inlineStr">
        <is>
          <t>Mínimo júnior isolado; a subordinação atual disponível agrega todas as classes subordinadas.</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Risco Corporativo</t>
        </is>
      </c>
      <c r="AI55" s="75" t="inlineStr">
        <is>
          <t>Locação de equipamentos médicos</t>
        </is>
      </c>
      <c r="AJ55" s="75" t="b">
        <v>1</v>
      </c>
      <c r="AK55" s="75" t="inlineStr">
        <is>
          <t>APLICAR_ALTA</t>
        </is>
      </c>
      <c r="AL55" s="75" t="inlineStr">
        <is>
          <t>Direitos decorrem de contratos de locação de equipamentos</t>
        </is>
      </c>
      <c r="AM55" s="75" t="inlineStr">
        <is>
          <t>regulamento 1101558</t>
        </is>
      </c>
      <c r="AN55" s="75" t="inlineStr">
        <is>
          <t>Candidato</t>
        </is>
      </c>
      <c r="AO55" s="75" t="inlineStr">
        <is>
          <t>regulamento 1101558</t>
        </is>
      </c>
      <c r="AP55" s="75" t="inlineStr">
        <is>
          <t>N/D</t>
        </is>
      </c>
      <c r="AQ55" s="75" t="inlineStr">
        <is>
          <t>Risco Corporativo</t>
        </is>
      </c>
      <c r="AR55" s="75" t="inlineStr">
        <is>
          <t>Agro / Revenda</t>
        </is>
      </c>
      <c r="AS55" s="75" t="b">
        <v>1</v>
      </c>
      <c r="AT55" s="75" t="inlineStr">
        <is>
          <t>regulamento 1101558</t>
        </is>
      </c>
      <c r="AU55" s="75" t="inlineStr">
        <is>
          <t>Direitos decorrem de contratos de locação de equipamentos</t>
        </is>
      </c>
      <c r="AV55" s="75" t="inlineStr">
        <is>
          <t>15%–20%</t>
        </is>
      </c>
      <c r="AW55" s="75" t="b">
        <v>1</v>
      </c>
      <c r="AX55" s="75" t="inlineStr">
        <is>
          <t>incomparável</t>
        </is>
      </c>
      <c r="AY55" s="75" t="inlineStr">
        <is>
          <t>sem benchmark confiável</t>
        </is>
      </c>
      <c r="AZ55" s="144" t="inlineStr">
        <is>
          <t>N/D</t>
        </is>
      </c>
      <c r="BA55" s="75" t="b">
        <v>0</v>
      </c>
      <c r="BB55" s="145" t="n">
        <v>0</v>
      </c>
      <c r="BC55" s="143" t="n">
        <v>1000</v>
      </c>
      <c r="BD55" s="75" t="inlineStr">
        <is>
          <t>Cotas Seniores: R$ 1.000,00</t>
        </is>
      </c>
      <c r="BE55" s="75" t="inlineStr">
        <is>
          <t>preço/valor unitário de emissão</t>
        </is>
      </c>
      <c r="BF55" s="75" t="inlineStr">
        <is>
          <t>Cotas Seniores</t>
        </is>
      </c>
      <c r="BG55" s="75" t="inlineStr">
        <is>
          <t>18/12/2025</t>
        </is>
      </c>
      <c r="BH55" s="75" t="inlineStr">
        <is>
          <t>1066557</t>
        </is>
      </c>
      <c r="BI55" s="75" t="inlineStr">
        <is>
          <t>https://fnet.bmfbovespa.com.br/fnet/publico/downloadDocumento?id=1066557</t>
        </is>
      </c>
      <c r="BJ55" s="75" t="inlineStr">
        <is>
          <t>localizado documentalmente</t>
        </is>
      </c>
      <c r="BK55" s="75" t="b">
        <v>0</v>
      </c>
      <c r="BL55" s="75" t="inlineStr">
        <is>
          <t>Empresas do Conglomerado Blue Health</t>
        </is>
      </c>
      <c r="BM55" s="75" t="inlineStr">
        <is>
          <t>cedente</t>
        </is>
      </c>
      <c r="BN55" s="75" t="inlineStr">
        <is>
          <t>N/D</t>
        </is>
      </c>
      <c r="BO5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5" s="75" t="inlineStr">
        <is>
          <t>N/D</t>
        </is>
      </c>
      <c r="BQ55"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5" s="75" t="inlineStr">
        <is>
          <t>cedente: https://fnet.bmfbovespa.com.br/fnet/publico/downloadDocumento?id=1101558 | tipo_recebivel: https://fnet.bmfbovespa.com.br/fnet/publico/downloadDocumento?id=1101558</t>
        </is>
      </c>
      <c r="BS55" s="75" t="inlineStr">
        <is>
          <t>manual_aplicado</t>
        </is>
      </c>
      <c r="BT55" s="75" t="inlineStr">
        <is>
          <t>OBS continua fora da foto depois da descrição legível.</t>
        </is>
      </c>
      <c r="BU55" s="75" t="inlineStr">
        <is>
          <t>1101558</t>
        </is>
      </c>
      <c r="BV55" s="75" t="inlineStr">
        <is>
          <t>2026-01-26</t>
        </is>
      </c>
      <c r="BW55" s="75" t="inlineStr">
        <is>
          <t>92</t>
        </is>
      </c>
      <c r="BX55" s="75" t="inlineStr">
        <is>
          <t>revisto — mínimo júnior localizado</t>
        </is>
      </c>
      <c r="BY55" s="75" t="inlineStr">
        <is>
          <t>FundosNet/B3; documento 1101558; referência 2026-01-26; p. 92</t>
        </is>
      </c>
      <c r="BZ55" s="75" t="inlineStr">
        <is>
          <t>Cotas júnior / PL, mínimo de 20,0%; 21,0% para amortização por excesso de cobertura.</t>
        </is>
      </c>
      <c r="CA55" s="75" t="inlineStr">
        <is>
          <t>originador; sacado/devedor</t>
        </is>
      </c>
      <c r="CB55" s="75" t="inlineStr">
        <is>
          <t>estrutura_incomparavel</t>
        </is>
      </c>
    </row>
    <row r="56" ht="31.5" customHeight="1">
      <c r="A56" s="74" t="n">
        <v>53</v>
      </c>
      <c r="B56" s="138" t="n">
        <v>42154687000160</v>
      </c>
      <c r="C56" s="74" t="inlineStr">
        <is>
          <t>42.154.687/0001-60</t>
        </is>
      </c>
      <c r="D56" s="74" t="inlineStr">
        <is>
          <t>MULTIPLIKE PLUS FUNDO DE INVESTIMENTO EM DIREITOS CREDITÓRIOS</t>
        </is>
      </c>
      <c r="E56" s="74" t="inlineStr">
        <is>
          <t>MULTIPLIKE PLUS FUNDO I D CRED</t>
        </is>
      </c>
      <c r="F56" s="74" t="inlineStr">
        <is>
          <t>Carteira 101</t>
        </is>
      </c>
      <c r="G56" s="74" t="inlineStr">
        <is>
          <t>2026-06</t>
        </is>
      </c>
      <c r="H56" s="74" t="inlineStr">
        <is>
          <t>localizado</t>
        </is>
      </c>
      <c r="I56" s="139" t="n">
        <v>2118132225.34</v>
      </c>
      <c r="J56" s="139" t="n">
        <v>2118132225.360373</v>
      </c>
      <c r="K56" s="139" t="n">
        <v>895048434.993679</v>
      </c>
      <c r="L56" s="140" t="n">
        <v>0.42256494863063</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Financeiro</t>
        </is>
      </c>
      <c r="AD56" s="74" t="inlineStr">
        <is>
          <t>Multicarteira Financeiro</t>
        </is>
      </c>
      <c r="AE56" s="74" t="inlineStr">
        <is>
          <t>Financeiro</t>
        </is>
      </c>
      <c r="AF56" s="74" t="inlineStr">
        <is>
          <t>Financeiro</t>
        </is>
      </c>
      <c r="AG56" s="74" t="inlineStr">
        <is>
          <t>Financeiro</t>
        </is>
      </c>
      <c r="AH56" s="74" t="inlineStr">
        <is>
          <t>Financeiro</t>
        </is>
      </c>
      <c r="AI56" s="74" t="inlineStr">
        <is>
          <t>Multissetorial com predominância permitida de CCB</t>
        </is>
      </c>
      <c r="AJ56" s="74" t="b">
        <v>0</v>
      </c>
      <c r="AK56" s="74" t="inlineStr">
        <is>
          <t>MANTER_ASTERISCO</t>
        </is>
      </c>
      <c r="AL56" s="74" t="inlineStr">
        <is>
          <t>Regulamento admite vendas, serviços e CCB, que pode atingir 80%</t>
        </is>
      </c>
      <c r="AM56" s="74" t="inlineStr">
        <is>
          <t>regulamento 1223029, 100 páginas</t>
        </is>
      </c>
      <c r="AN56" s="74" t="inlineStr">
        <is>
          <t>Pendente</t>
        </is>
      </c>
      <c r="AO56" s="74" t="inlineStr">
        <is>
          <t>regulamento 1223029, 100 páginas</t>
        </is>
      </c>
      <c r="AP56" s="74" t="inlineStr">
        <is>
          <t>N/D</t>
        </is>
      </c>
      <c r="AQ56" s="74" t="inlineStr">
        <is>
          <t>Financeiro</t>
        </is>
      </c>
      <c r="AR56" s="74" t="inlineStr">
        <is>
          <t>Financeiro</t>
        </is>
      </c>
      <c r="AS56" s="74" t="b">
        <v>0</v>
      </c>
      <c r="AT56" s="74" t="inlineStr">
        <is>
          <t>N/D</t>
        </is>
      </c>
      <c r="AU56" s="74" t="inlineStr">
        <is>
          <t>N/D</t>
        </is>
      </c>
      <c r="AV56" s="74" t="inlineStr">
        <is>
          <t>35%–60%</t>
        </is>
      </c>
      <c r="AW56" s="74" t="b">
        <v>1</v>
      </c>
      <c r="AX56" s="74" t="inlineStr">
        <is>
          <t>incomparável</t>
        </is>
      </c>
      <c r="AY56" s="74" t="inlineStr">
        <is>
          <t>acima do mercado</t>
        </is>
      </c>
      <c r="AZ56" s="140" t="n">
        <v>0.1211053883493789</v>
      </c>
      <c r="BA56" s="74" t="b">
        <v>1</v>
      </c>
      <c r="BB56" s="141" t="n">
        <v>12</v>
      </c>
      <c r="BC56" s="139" t="n">
        <v>1000</v>
      </c>
      <c r="BD56" s="74" t="inlineStr">
        <is>
          <t>Cotas Subordinadas: R$ 1.000,00 | Cotas Subordinadas Júnior: R$ 1.000,00 | Cotas Subordinadas Mezanino: R$ 1.000,00</t>
        </is>
      </c>
      <c r="BE56" s="74" t="inlineStr">
        <is>
          <t>preço/valor unitário de emissão</t>
        </is>
      </c>
      <c r="BF56" s="74" t="inlineStr">
        <is>
          <t>Cotas Subordinadas | Cotas Subordinadas Júnior | Cotas Subordinadas Mezanino</t>
        </is>
      </c>
      <c r="BG56" s="74" t="inlineStr">
        <is>
          <t>2026-03-18</t>
        </is>
      </c>
      <c r="BH56" s="74" t="inlineStr">
        <is>
          <t>1140137</t>
        </is>
      </c>
      <c r="BI56" s="74" t="inlineStr">
        <is>
          <t>https://fnet.bmfbovespa.com.br/fnet/publico/downloadDocumento?id=1140137</t>
        </is>
      </c>
      <c r="BJ56" s="74" t="inlineStr">
        <is>
          <t>localizado documentalmente — múltiplos valores/classes</t>
        </is>
      </c>
      <c r="BK56" s="74" t="b">
        <v>1</v>
      </c>
      <c r="BL56" s="74" t="inlineStr">
        <is>
          <t>Multicedentes &amp; Multisacados</t>
        </is>
      </c>
      <c r="BM56" s="74" t="inlineStr">
        <is>
          <t>cedente</t>
        </is>
      </c>
      <c r="BN56" s="74" t="inlineStr">
        <is>
          <t>N/D</t>
        </is>
      </c>
      <c r="BO56" s="74" t="inlineStr">
        <is>
          <t>Multicedentes &amp; Multisacados</t>
        </is>
      </c>
      <c r="BP56" s="74" t="inlineStr">
        <is>
          <t>N/D</t>
        </is>
      </c>
      <c r="BQ56" s="74" t="inlineStr">
        <is>
          <t>FIDC MultiCedente / Multisacado</t>
        </is>
      </c>
      <c r="BR56" s="74" t="inlineStr">
        <is>
          <t>cedente: IMG_8705.JPG | tipo_recebivel: IMG_8705.JPG</t>
        </is>
      </c>
      <c r="BS56" s="74" t="inlineStr">
        <is>
          <t>manual_aplicado</t>
        </is>
      </c>
      <c r="BT56" s="74" t="inlineStr">
        <is>
          <t>Denominação cortada pela largura da coluna na foto.</t>
        </is>
      </c>
      <c r="BU56" s="74" t="inlineStr">
        <is>
          <t>1223029</t>
        </is>
      </c>
      <c r="BV56" s="74" t="inlineStr">
        <is>
          <t>2026-06-08</t>
        </is>
      </c>
      <c r="BW56" s="74" t="inlineStr">
        <is>
          <t>54</t>
        </is>
      </c>
      <c r="BX56" s="74" t="inlineStr">
        <is>
          <t>revisto — mínimo júnior calculado de cláusulas contratuais</t>
        </is>
      </c>
      <c r="BY56" s="74" t="inlineStr">
        <is>
          <t>FundosNet/B3; documento 1223029; referência 2026-06-08; p. 54</t>
        </is>
      </c>
      <c r="BZ56" s="74" t="inlineStr">
        <is>
          <t>Mínimo júnior calculado: subordinadas = 40,0% do PL e júnior = 50,0% das subordinadas.</t>
        </is>
      </c>
      <c r="CA56" s="74" t="inlineStr">
        <is>
          <t>originador; sacado/devedor</t>
        </is>
      </c>
      <c r="CB56" s="74" t="inlineStr">
        <is>
          <t>estrutura_incomparavel</t>
        </is>
      </c>
    </row>
    <row r="57" ht="31.5" customHeight="1">
      <c r="A57" s="75" t="n">
        <v>54</v>
      </c>
      <c r="B57" s="142" t="n">
        <v>48946335000123</v>
      </c>
      <c r="C57" s="75" t="inlineStr">
        <is>
          <t>48.946.335/0001-23</t>
        </is>
      </c>
      <c r="D57" s="75" t="inlineStr">
        <is>
          <t>NAGRO OIKOS FUNDO DE INVESTIMENTO NAS CADEIAS PRODUTIVAS DO AGRONEGÓCIO</t>
        </is>
      </c>
      <c r="E57" s="75" t="inlineStr">
        <is>
          <t>NAGRO OIKOS FIAGRO FUNDO DE INVESTIMENTO EM DIREI</t>
        </is>
      </c>
      <c r="F57" s="75" t="inlineStr">
        <is>
          <t>Carteira 101</t>
        </is>
      </c>
      <c r="G57" s="75" t="inlineStr">
        <is>
          <t>2026-06</t>
        </is>
      </c>
      <c r="H57" s="75" t="inlineStr">
        <is>
          <t>localizado</t>
        </is>
      </c>
      <c r="I57" s="143" t="inlineStr">
        <is>
          <t>N/D</t>
        </is>
      </c>
      <c r="J57" s="143" t="inlineStr">
        <is>
          <t>N/D</t>
        </is>
      </c>
      <c r="K57" s="143" t="inlineStr">
        <is>
          <t>N/D</t>
        </is>
      </c>
      <c r="L57" s="144" t="inlineStr">
        <is>
          <t>N/D</t>
        </is>
      </c>
      <c r="M57" s="75" t="inlineStr">
        <is>
          <t>PL oficial ausente em 2026-06</t>
        </is>
      </c>
      <c r="N57" s="144" t="n">
        <v>0.1</v>
      </c>
      <c r="O57" s="144" t="inlineStr">
        <is>
          <t>N/D</t>
        </is>
      </c>
      <c r="P57" s="144" t="inlineStr">
        <is>
          <t>N/D</t>
        </is>
      </c>
      <c r="Q57" s="144" t="inlineStr">
        <is>
          <t>N/D</t>
        </is>
      </c>
      <c r="R57" s="144" t="inlineStr">
        <is>
          <t>N/D</t>
        </is>
      </c>
      <c r="S57" s="144" t="n">
        <v>0.1</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Agro, Indústria e Comércio</t>
        </is>
      </c>
      <c r="AD57" s="75" t="inlineStr">
        <is>
          <t>Recebíveis Comerciais</t>
        </is>
      </c>
      <c r="AE57" s="75" t="inlineStr">
        <is>
          <t>Agro / Revenda</t>
        </is>
      </c>
      <c r="AF57" s="75" t="inlineStr">
        <is>
          <t>Agro / Revenda</t>
        </is>
      </c>
      <c r="AG57" s="75" t="inlineStr">
        <is>
          <t>Agro / Revenda</t>
        </is>
      </c>
      <c r="AH57" s="75" t="inlineStr">
        <is>
          <t>Agro / Revenda</t>
        </is>
      </c>
      <c r="AI57" s="75" t="inlineStr">
        <is>
          <t>Multicedente FIAGRO, lastro específico pendente</t>
        </is>
      </c>
      <c r="AJ57" s="75" t="b">
        <v>0</v>
      </c>
      <c r="AK57" s="75" t="inlineStr">
        <is>
          <t>PENDENTE_DOCUMENTAL</t>
        </is>
      </c>
      <c r="AL57" s="75" t="inlineStr">
        <is>
          <t>Tipo e devedor não localizados</t>
        </is>
      </c>
      <c r="AM57" s="75" t="inlineStr">
        <is>
          <t>IMG_8705 + regulamento 1000248</t>
        </is>
      </c>
      <c r="AN57" s="75" t="inlineStr">
        <is>
          <t>Pendente</t>
        </is>
      </c>
      <c r="AO57" s="75" t="inlineStr">
        <is>
          <t>IMG_8705 + regulamento 1000248</t>
        </is>
      </c>
      <c r="AP57" s="75" t="inlineStr">
        <is>
          <t>N/D</t>
        </is>
      </c>
      <c r="AQ57" s="75" t="inlineStr">
        <is>
          <t>Agro / Revenda</t>
        </is>
      </c>
      <c r="AR57" s="75" t="inlineStr">
        <is>
          <t>Agro / Revenda</t>
        </is>
      </c>
      <c r="AS57" s="75" t="b">
        <v>0</v>
      </c>
      <c r="AT57" s="75" t="inlineStr">
        <is>
          <t>N/D</t>
        </is>
      </c>
      <c r="AU57" s="75" t="inlineStr">
        <is>
          <t>N/D</t>
        </is>
      </c>
      <c r="AV57" s="75" t="inlineStr">
        <is>
          <t>N/D</t>
        </is>
      </c>
      <c r="AW57" s="75" t="b">
        <v>0</v>
      </c>
      <c r="AX57" s="75" t="inlineStr">
        <is>
          <t>N/D</t>
        </is>
      </c>
      <c r="AY57" s="75" t="inlineStr">
        <is>
          <t>sem benchmark confiável</t>
        </is>
      </c>
      <c r="AZ57" s="144" t="inlineStr">
        <is>
          <t>N/D</t>
        </is>
      </c>
      <c r="BA57" s="75" t="b">
        <v>0</v>
      </c>
      <c r="BB57" s="145" t="n">
        <v>0</v>
      </c>
      <c r="BC57" s="143" t="n">
        <v>1000</v>
      </c>
      <c r="BD57" s="75" t="inlineStr">
        <is>
          <t>Cotas Subordinadas Júnior: R$ 1.000,00 | Cotas Subordinadas mezanino: R$ 1.000,00</t>
        </is>
      </c>
      <c r="BE57" s="75" t="inlineStr">
        <is>
          <t>preço/valor unitário de emissão</t>
        </is>
      </c>
      <c r="BF57" s="75" t="inlineStr">
        <is>
          <t>Cotas Subordinadas Júnior | Cotas Subordinadas mezanino</t>
        </is>
      </c>
      <c r="BG57" s="75" t="inlineStr">
        <is>
          <t>29/09/2025</t>
        </is>
      </c>
      <c r="BH57" s="75" t="inlineStr">
        <is>
          <t>1000248</t>
        </is>
      </c>
      <c r="BI57" s="75" t="inlineStr">
        <is>
          <t>https://fnet.bmfbovespa.com.br/fnet/publico/downloadDocumento?id=1000248</t>
        </is>
      </c>
      <c r="BJ57" s="75" t="inlineStr">
        <is>
          <t>localizado documentalmente — múltiplos valores/classes</t>
        </is>
      </c>
      <c r="BK57" s="75" t="b">
        <v>1</v>
      </c>
      <c r="BL57" s="75" t="inlineStr">
        <is>
          <t>Multicedentes</t>
        </is>
      </c>
      <c r="BM57" s="75" t="inlineStr">
        <is>
          <t>cedente</t>
        </is>
      </c>
      <c r="BN57" s="75" t="inlineStr">
        <is>
          <t>N/D</t>
        </is>
      </c>
      <c r="BO57" s="75" t="inlineStr">
        <is>
          <t>Multicedentes</t>
        </is>
      </c>
      <c r="BP57" s="75" t="inlineStr">
        <is>
          <t>N/D</t>
        </is>
      </c>
      <c r="BQ57" s="75" t="inlineStr">
        <is>
          <t>N/D</t>
        </is>
      </c>
      <c r="BR57" s="75" t="inlineStr">
        <is>
          <t>cedente: IMG_8705.JPG</t>
        </is>
      </c>
      <c r="BS57" s="75" t="inlineStr">
        <is>
          <t>manual_aplicado</t>
        </is>
      </c>
      <c r="BT57" s="75" t="inlineStr">
        <is>
          <t>OBS da foto: análise NAGRO. Denominação cortada.</t>
        </is>
      </c>
      <c r="BU57" s="75" t="inlineStr">
        <is>
          <t>1000248</t>
        </is>
      </c>
      <c r="BV57" s="75" t="inlineStr">
        <is>
          <t>2025-09-29</t>
        </is>
      </c>
      <c r="BW57" s="75" t="inlineStr">
        <is>
          <t>57</t>
        </is>
      </c>
      <c r="BX57" s="75" t="inlineStr">
        <is>
          <t>revisto — mínimo júnior localizado</t>
        </is>
      </c>
      <c r="BY57" s="75" t="inlineStr">
        <is>
          <t>FundosNet/B3; documento 1000248; referência 2025-09-29; p. 57</t>
        </is>
      </c>
      <c r="BZ57" s="75" t="inlineStr">
        <is>
          <t>Cotas júnior A e B / PL, mínimo de 10,0%.</t>
        </is>
      </c>
      <c r="CA57" s="75" t="inlineStr">
        <is>
          <t>PL atual; Sub/PL atual; originador; sacado/devedor; tipo de recebível</t>
        </is>
      </c>
      <c r="CB57" s="75" t="inlineStr">
        <is>
          <t>sub_pl_atual_ausente</t>
        </is>
      </c>
    </row>
    <row r="58" ht="31.5" customHeight="1">
      <c r="A58" s="74" t="n">
        <v>55</v>
      </c>
      <c r="B58" s="138" t="n">
        <v>55374251000128</v>
      </c>
      <c r="C58" s="74" t="inlineStr">
        <is>
          <t>55.374.251/0001-28</t>
        </is>
      </c>
      <c r="D58" s="74" t="inlineStr">
        <is>
          <t>FUNDO DE INVESTIMENTO EM DIREITOS CREDITÓRIOS BLUE II SEGMENTO CRÉDITO CORPORATIVO DE RESP LTDA</t>
        </is>
      </c>
      <c r="E58" s="74" t="inlineStr">
        <is>
          <t>FUNDO DE INVESTIMENTO EM DIREITOS CREDITORIOS BLUE</t>
        </is>
      </c>
      <c r="F58" s="74" t="inlineStr">
        <is>
          <t>Carteira 101</t>
        </is>
      </c>
      <c r="G58" s="74" t="inlineStr">
        <is>
          <t>2026-06</t>
        </is>
      </c>
      <c r="H58" s="74" t="inlineStr">
        <is>
          <t>localizado</t>
        </is>
      </c>
      <c r="I58" s="139" t="n">
        <v>43984629.1</v>
      </c>
      <c r="J58" s="139" t="n">
        <v>0</v>
      </c>
      <c r="K58" s="139" t="n">
        <v>0</v>
      </c>
      <c r="L58" s="140" t="inlineStr">
        <is>
          <t>N/D</t>
        </is>
      </c>
      <c r="M58" s="74" t="inlineStr">
        <is>
          <t>classes de cotas ausentes em 2026-06</t>
        </is>
      </c>
      <c r="N58" s="140" t="n">
        <v>0.05</v>
      </c>
      <c r="O58" s="140" t="inlineStr">
        <is>
          <t>N/D</t>
        </is>
      </c>
      <c r="P58" s="140" t="inlineStr">
        <is>
          <t>N/D</t>
        </is>
      </c>
      <c r="Q58" s="140" t="inlineStr">
        <is>
          <t>N/D</t>
        </is>
      </c>
      <c r="R58" s="140" t="inlineStr">
        <is>
          <t>N/D</t>
        </is>
      </c>
      <c r="S58" s="140" t="n">
        <v>0.05</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Crédito Corporativo</t>
        </is>
      </c>
      <c r="AE58" s="74" t="inlineStr">
        <is>
          <t>Agro / Revenda</t>
        </is>
      </c>
      <c r="AF58" s="74" t="inlineStr">
        <is>
          <t>Agro / Revenda</t>
        </is>
      </c>
      <c r="AG58" s="74" t="inlineStr">
        <is>
          <t>Agro / Revenda</t>
        </is>
      </c>
      <c r="AH58" s="74" t="inlineStr">
        <is>
          <t>Agro / Revenda</t>
        </is>
      </c>
      <c r="AI58" s="74" t="inlineStr">
        <is>
          <t>Debênture / risco Azul</t>
        </is>
      </c>
      <c r="AJ58" s="74" t="b">
        <v>0</v>
      </c>
      <c r="AK58" s="74" t="inlineStr">
        <is>
          <t>PENDENTE_FONTE_PRIMARIA</t>
        </is>
      </c>
      <c r="AL58" s="74" t="inlineStr">
        <is>
          <t>Instrumento e risco constam somente na planilha</t>
        </is>
      </c>
      <c r="AM58" s="74" t="inlineStr">
        <is>
          <t>IMG_8705</t>
        </is>
      </c>
      <c r="AN58" s="74" t="inlineStr">
        <is>
          <t>Não</t>
        </is>
      </c>
      <c r="AO58" s="74" t="inlineStr">
        <is>
          <t>IMG_8705</t>
        </is>
      </c>
      <c r="AP58" s="74" t="b">
        <v>0</v>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Seniores: R$1.000,00 | Cotas Subordinadas Júnior: R$ 1.000,00 | Cotas Subordinadas Mezanino: R$ 1.000,00</t>
        </is>
      </c>
      <c r="BE58" s="74" t="inlineStr">
        <is>
          <t>preço/valor unitário de emissão</t>
        </is>
      </c>
      <c r="BF58" s="74" t="inlineStr">
        <is>
          <t>Cotas Seniores | Cotas Subordinadas Júnior | Cotas Subordinadas Mezanino</t>
        </is>
      </c>
      <c r="BG58" s="74" t="inlineStr">
        <is>
          <t>25/06/2024</t>
        </is>
      </c>
      <c r="BH58" s="74" t="inlineStr">
        <is>
          <t>686750</t>
        </is>
      </c>
      <c r="BI58" s="74" t="inlineStr">
        <is>
          <t>https://fnet.bmfbovespa.com.br/fnet/publico/downloadDocumento?id=686750</t>
        </is>
      </c>
      <c r="BJ58" s="74" t="inlineStr">
        <is>
          <t>localizado documentalmente — múltiplos valores/classes</t>
        </is>
      </c>
      <c r="BK58" s="74" t="b">
        <v>1</v>
      </c>
      <c r="BL58" s="74" t="inlineStr">
        <is>
          <t>Azul</t>
        </is>
      </c>
      <c r="BM58" s="74" t="inlineStr">
        <is>
          <t>cedente</t>
        </is>
      </c>
      <c r="BN58" s="74" t="inlineStr">
        <is>
          <t>N/D</t>
        </is>
      </c>
      <c r="BO58" s="74" t="inlineStr">
        <is>
          <t>Azul</t>
        </is>
      </c>
      <c r="BP58" s="74" t="inlineStr">
        <is>
          <t>N/D</t>
        </is>
      </c>
      <c r="BQ58" s="74" t="inlineStr">
        <is>
          <t>Debênture</t>
        </is>
      </c>
      <c r="BR58" s="74" t="inlineStr">
        <is>
          <t>cedente: IMG_8705.JPG | tipo_recebivel: IMG_8705.JPG</t>
        </is>
      </c>
      <c r="BS58" s="74" t="inlineStr">
        <is>
          <t>manual_aplicado</t>
        </is>
      </c>
      <c r="BT58" s="74" t="inlineStr">
        <is>
          <t>OBS da foto: Book Special Sits; risco de repagamento Azul com 40% de subordinação.</t>
        </is>
      </c>
      <c r="BU58" s="74" t="inlineStr">
        <is>
          <t>686750</t>
        </is>
      </c>
      <c r="BV58" s="74" t="inlineStr">
        <is>
          <t>2024-06-25</t>
        </is>
      </c>
      <c r="BW58" s="74" t="inlineStr">
        <is>
          <t>61</t>
        </is>
      </c>
      <c r="BX58" s="74" t="inlineStr">
        <is>
          <t>revisto — mínimo júnior localizado</t>
        </is>
      </c>
      <c r="BY58" s="74" t="inlineStr">
        <is>
          <t>FundosNet/B3; documento 686750; referência 2024-06-25; p. 61</t>
        </is>
      </c>
      <c r="BZ58" s="74" t="inlineStr">
        <is>
          <t>Índice de Subordinação Mezanino II: cotas júnior / PL, mínimo de 5,0%.</t>
        </is>
      </c>
      <c r="CA58" s="74" t="inlineStr">
        <is>
          <t>Sub/PL atual; originador; sacado/devedor</t>
        </is>
      </c>
      <c r="CB58" s="74" t="inlineStr">
        <is>
          <t>sub_pl_atual_ausente</t>
        </is>
      </c>
    </row>
    <row r="59" ht="31.5" customHeight="1">
      <c r="A59" s="75" t="n">
        <v>57</v>
      </c>
      <c r="B59" s="142" t="n">
        <v>48953864000154</v>
      </c>
      <c r="C59" s="75" t="inlineStr">
        <is>
          <t>48.953.864/0001-54</t>
        </is>
      </c>
      <c r="D59" s="75" t="inlineStr">
        <is>
          <t>FUNDO DE INVESTIMENTO EM DIREITOS CREDITORIOS ASAAS II - RESPONSABILIDADE LIMITADA</t>
        </is>
      </c>
      <c r="E59" s="75" t="inlineStr">
        <is>
          <t>FUNDO INVESTIMENTO E D C A II</t>
        </is>
      </c>
      <c r="F59" s="75" t="inlineStr">
        <is>
          <t>Carteira 101</t>
        </is>
      </c>
      <c r="G59" s="75" t="inlineStr">
        <is>
          <t>2026-06</t>
        </is>
      </c>
      <c r="H59" s="75" t="inlineStr">
        <is>
          <t>localizado</t>
        </is>
      </c>
      <c r="I59" s="143" t="inlineStr">
        <is>
          <t>N/D</t>
        </is>
      </c>
      <c r="J59" s="143" t="inlineStr">
        <is>
          <t>N/D</t>
        </is>
      </c>
      <c r="K59" s="143" t="inlineStr">
        <is>
          <t>N/D</t>
        </is>
      </c>
      <c r="L59" s="144" t="inlineStr">
        <is>
          <t>N/D</t>
        </is>
      </c>
      <c r="M59" s="75" t="inlineStr">
        <is>
          <t>PL oficial ausente em 2026-06</t>
        </is>
      </c>
      <c r="N59" s="144" t="n">
        <v>0.15</v>
      </c>
      <c r="O59" s="144" t="inlineStr">
        <is>
          <t>N/D</t>
        </is>
      </c>
      <c r="P59" s="144" t="inlineStr">
        <is>
          <t>N/D</t>
        </is>
      </c>
      <c r="Q59" s="144" t="n">
        <v>0.15</v>
      </c>
      <c r="R59" s="144" t="inlineStr">
        <is>
          <t>N/D</t>
        </is>
      </c>
      <c r="S59" s="144" t="n">
        <v>0.15</v>
      </c>
      <c r="T59" s="75" t="inlineStr">
        <is>
          <t>15,0%</t>
        </is>
      </c>
      <c r="U59" s="75" t="inlineStr">
        <is>
          <t>junior_pl</t>
        </is>
      </c>
      <c r="V59" s="75" t="inlineStr">
        <is>
          <t>direto no regulamento</t>
        </is>
      </c>
      <c r="W59" s="75" t="b">
        <v>1</v>
      </c>
      <c r="X59" s="75" t="inlineStr">
        <is>
          <t>Estrutura com uma única classe subordinada; métrica atual e piso usam o total subordinado sobre o PL.</t>
        </is>
      </c>
      <c r="Y59" s="75" t="b">
        <v>0</v>
      </c>
      <c r="Z59" s="144" t="inlineStr">
        <is>
          <t>N/D</t>
        </is>
      </c>
      <c r="AA59" s="144" t="inlineStr">
        <is>
          <t>N/D</t>
        </is>
      </c>
      <c r="AB59" s="75" t="inlineStr">
        <is>
          <t>não medido</t>
        </is>
      </c>
      <c r="AC59" s="75" t="inlineStr">
        <is>
          <t>Agro, Indústria e Comércio</t>
        </is>
      </c>
      <c r="AD59" s="75" t="inlineStr">
        <is>
          <t>N/D</t>
        </is>
      </c>
      <c r="AE59" s="75" t="inlineStr">
        <is>
          <t>Agro / Revenda</t>
        </is>
      </c>
      <c r="AF59" s="75" t="inlineStr">
        <is>
          <t>Agro / Revenda</t>
        </is>
      </c>
      <c r="AG59" s="75" t="inlineStr">
        <is>
          <t>Agro / Revenda</t>
        </is>
      </c>
      <c r="AH59" s="75" t="inlineStr">
        <is>
          <t>Adquirência</t>
        </is>
      </c>
      <c r="AI59" s="75" t="inlineStr">
        <is>
          <t>URs de transações de pagamento Asaas</t>
        </is>
      </c>
      <c r="AJ59" s="75" t="b">
        <v>1</v>
      </c>
      <c r="AK59" s="75" t="inlineStr">
        <is>
          <t>APLICAR_ALTA</t>
        </is>
      </c>
      <c r="AL59" s="75" t="inlineStr">
        <is>
          <t>Cedente é subcredenciadora e lastro são URs registradas</t>
        </is>
      </c>
      <c r="AM59" s="75" t="inlineStr">
        <is>
          <t>regulamento 473796</t>
        </is>
      </c>
      <c r="AN59" s="75" t="inlineStr">
        <is>
          <t>Não</t>
        </is>
      </c>
      <c r="AO59" s="75" t="inlineStr">
        <is>
          <t>regulamento 473796</t>
        </is>
      </c>
      <c r="AP59" s="75" t="b">
        <v>0</v>
      </c>
      <c r="AQ59" s="75" t="inlineStr">
        <is>
          <t>Adquirência</t>
        </is>
      </c>
      <c r="AR59" s="75" t="inlineStr">
        <is>
          <t>Agro / Revenda</t>
        </is>
      </c>
      <c r="AS59" s="75" t="b">
        <v>1</v>
      </c>
      <c r="AT59" s="75" t="inlineStr">
        <is>
          <t>regulamento 473796</t>
        </is>
      </c>
      <c r="AU59" s="75" t="inlineStr">
        <is>
          <t>Cedente é subcredenciadora e lastro são URs registradas</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t>
        </is>
      </c>
      <c r="BE59" s="75" t="inlineStr">
        <is>
          <t>valor nominal unitário (VNU)</t>
        </is>
      </c>
      <c r="BF59" s="75" t="inlineStr">
        <is>
          <t>Cotas Seniores</t>
        </is>
      </c>
      <c r="BG59" s="75" t="inlineStr">
        <is>
          <t>01/06/2023</t>
        </is>
      </c>
      <c r="BH59" s="75" t="inlineStr">
        <is>
          <t>473796</t>
        </is>
      </c>
      <c r="BI59" s="75" t="inlineStr">
        <is>
          <t>https://fnet.bmfbovespa.com.br/fnet/publico/downloadDocumento?id=473796</t>
        </is>
      </c>
      <c r="BJ59" s="75" t="inlineStr">
        <is>
          <t>localizado documentalmente</t>
        </is>
      </c>
      <c r="BK59" s="75" t="b">
        <v>0</v>
      </c>
      <c r="BL59" s="75" t="inlineStr">
        <is>
          <t>Asaas IP</t>
        </is>
      </c>
      <c r="BM59" s="75" t="inlineStr">
        <is>
          <t>cedente</t>
        </is>
      </c>
      <c r="BN59" s="75" t="inlineStr">
        <is>
          <t>N/D</t>
        </is>
      </c>
      <c r="BO59"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59" s="75" t="inlineStr">
        <is>
          <t>N/D</t>
        </is>
      </c>
      <c r="BQ59"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59" s="75" t="inlineStr">
        <is>
          <t>cedente: https://fnet.bmfbovespa.com.br/fnet/publico/downloadDocumento?id=473796 | tipo_recebivel: https://fnet.bmfbovespa.com.br/fnet/publico/downloadDocumento?id=473796</t>
        </is>
      </c>
      <c r="BS59" s="75" t="inlineStr">
        <is>
          <t>manual_aplicado</t>
        </is>
      </c>
      <c r="BT59" s="75" t="inlineStr">
        <is>
          <t>N/D</t>
        </is>
      </c>
      <c r="BU59" s="75" t="inlineStr">
        <is>
          <t>774314</t>
        </is>
      </c>
      <c r="BV59" s="75" t="inlineStr">
        <is>
          <t>2024-11-05</t>
        </is>
      </c>
      <c r="BW59" s="75" t="inlineStr">
        <is>
          <t>33; 107</t>
        </is>
      </c>
      <c r="BX59" s="75" t="inlineStr">
        <is>
          <t>revisto — mínimo júnior localizado</t>
        </is>
      </c>
      <c r="BY59" s="75" t="inlineStr">
        <is>
          <t>FundosNet/B3; documento 774314; referência 2024-11-05; p. 33; 107</t>
        </is>
      </c>
      <c r="BZ59" s="75" t="inlineStr">
        <is>
          <t>Cotas subordinadas / PL, mínimo de 15,0%; estrutura com uma única classe residual.</t>
        </is>
      </c>
      <c r="CA59" s="75" t="inlineStr">
        <is>
          <t>PL atual; Sub/PL atual; originador; sacado/devedor</t>
        </is>
      </c>
      <c r="CB59" s="75" t="inlineStr">
        <is>
          <t>sub_pl_atual_ausente</t>
        </is>
      </c>
    </row>
    <row r="60" ht="31.5" customHeight="1">
      <c r="A60" s="74" t="n">
        <v>58</v>
      </c>
      <c r="B60" s="138" t="n">
        <v>65976848000104</v>
      </c>
      <c r="C60" s="74" t="inlineStr">
        <is>
          <t>65.976.848/0001-04</t>
        </is>
      </c>
      <c r="D60" s="74" t="inlineStr">
        <is>
          <t>FUNDO DE INVESTIMENTO EM DIREITOS CREDITÓRIOS AGIBANK II RESPONSABILIDADE LIMITADA</t>
        </is>
      </c>
      <c r="E60" s="74" t="inlineStr">
        <is>
          <t>FUNDO DE INVESTIMENTO EM DIREITOS CREDITORIOS AGIBANK II</t>
        </is>
      </c>
      <c r="F60" s="74" t="inlineStr">
        <is>
          <t>Carteira 101</t>
        </is>
      </c>
      <c r="G60" s="74" t="inlineStr">
        <is>
          <t>2026-06</t>
        </is>
      </c>
      <c r="H60" s="74" t="inlineStr">
        <is>
          <t>localizado</t>
        </is>
      </c>
      <c r="I60" s="139" t="n">
        <v>2967229777.92</v>
      </c>
      <c r="J60" s="139" t="n">
        <v>2967229777.923489</v>
      </c>
      <c r="K60" s="139" t="n">
        <v>451533526.1001992</v>
      </c>
      <c r="L60" s="140" t="n">
        <v>0.1521734277069435</v>
      </c>
      <c r="M60" s="74" t="inlineStr">
        <is>
          <t>Calculado com classes reportadas e PL oficial reconciliado</t>
        </is>
      </c>
      <c r="N60" s="140" t="n">
        <v>0.05</v>
      </c>
      <c r="O60" s="140" t="inlineStr">
        <is>
          <t>N/D</t>
        </is>
      </c>
      <c r="P60" s="140" t="inlineStr">
        <is>
          <t>N/D</t>
        </is>
      </c>
      <c r="Q60" s="140" t="inlineStr">
        <is>
          <t>N/D</t>
        </is>
      </c>
      <c r="R60" s="140" t="inlineStr">
        <is>
          <t>N/D</t>
        </is>
      </c>
      <c r="S60" s="140" t="n">
        <v>0.05</v>
      </c>
      <c r="T60" s="74" t="inlineStr">
        <is>
          <t>N/D</t>
        </is>
      </c>
      <c r="U60" s="74" t="inlineStr">
        <is>
          <t>junior_pl</t>
        </is>
      </c>
      <c r="V60" s="74" t="inlineStr">
        <is>
          <t>direto no regulamento</t>
        </is>
      </c>
      <c r="W60" s="74" t="b">
        <v>0</v>
      </c>
      <c r="X60" s="74" t="inlineStr">
        <is>
          <t>Mínimo júnior isolado; a subordinação atual disponível agrega todas as classes subordinadas.</t>
        </is>
      </c>
      <c r="Y60" s="74" t="b">
        <v>0</v>
      </c>
      <c r="Z60" s="140" t="inlineStr">
        <is>
          <t>N/D</t>
        </is>
      </c>
      <c r="AA60" s="140" t="inlineStr">
        <is>
          <t>N/D</t>
        </is>
      </c>
      <c r="AB60" s="74" t="inlineStr">
        <is>
          <t>não medido</t>
        </is>
      </c>
      <c r="AC60" s="74" t="inlineStr">
        <is>
          <t>Financeiro</t>
        </is>
      </c>
      <c r="AD60" s="74" t="inlineStr">
        <is>
          <t>Crédito Consignado</t>
        </is>
      </c>
      <c r="AE60" s="74" t="inlineStr">
        <is>
          <t>Consignado INSS</t>
        </is>
      </c>
      <c r="AF60" s="74" t="inlineStr">
        <is>
          <t>Consignado INSS</t>
        </is>
      </c>
      <c r="AG60" s="74" t="inlineStr">
        <is>
          <t>Consignado INSS e FGTS</t>
        </is>
      </c>
      <c r="AH60" s="74" t="inlineStr">
        <is>
          <t>Consignado INSS e FGTS</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Consignado INSS e FGTS</t>
        </is>
      </c>
      <c r="AR60" s="74" t="inlineStr">
        <is>
          <t>Consignado INSS e FGTS</t>
        </is>
      </c>
      <c r="AS60" s="74" t="b">
        <v>0</v>
      </c>
      <c r="AT60" s="74" t="inlineStr">
        <is>
          <t>N/D</t>
        </is>
      </c>
      <c r="AU60" s="74" t="inlineStr">
        <is>
          <t>N/D</t>
        </is>
      </c>
      <c r="AV60" s="74" t="inlineStr">
        <is>
          <t>15%–20%</t>
        </is>
      </c>
      <c r="AW60" s="74" t="b">
        <v>1</v>
      </c>
      <c r="AX60" s="74" t="inlineStr">
        <is>
          <t>incomparável</t>
        </is>
      </c>
      <c r="AY60" s="74" t="inlineStr">
        <is>
          <t>em linha com o mercado</t>
        </is>
      </c>
      <c r="AZ60" s="140" t="n">
        <v>-0.008995122466235655</v>
      </c>
      <c r="BA60" s="74" t="b">
        <v>1</v>
      </c>
      <c r="BB60" s="141" t="n">
        <v>5</v>
      </c>
      <c r="BC60" s="139" t="n">
        <v>1000</v>
      </c>
      <c r="BD60" s="74" t="inlineStr">
        <is>
          <t>R$ 1.000,00</t>
        </is>
      </c>
      <c r="BE60" s="74" t="inlineStr">
        <is>
          <t>preço/valor unitário de emissão</t>
        </is>
      </c>
      <c r="BF60" s="74" t="inlineStr">
        <is>
          <t>N/D</t>
        </is>
      </c>
      <c r="BG60" s="74" t="inlineStr">
        <is>
          <t>22/06/2026</t>
        </is>
      </c>
      <c r="BH60" s="74" t="inlineStr">
        <is>
          <t>1239452</t>
        </is>
      </c>
      <c r="BI60" s="74" t="inlineStr">
        <is>
          <t>https://fnet.bmfbovespa.com.br/fnet/publico/downloadDocumento?id=1239452</t>
        </is>
      </c>
      <c r="BJ60" s="74" t="inlineStr">
        <is>
          <t>localizado documentalmente</t>
        </is>
      </c>
      <c r="BK60" s="74" t="b">
        <v>1</v>
      </c>
      <c r="BL60" s="74" t="inlineStr">
        <is>
          <t>N/D</t>
        </is>
      </c>
      <c r="BM60" s="74" t="inlineStr">
        <is>
          <t>N/D</t>
        </is>
      </c>
      <c r="BN60" s="74" t="inlineStr">
        <is>
          <t>N/D</t>
        </is>
      </c>
      <c r="BO60" s="74" t="inlineStr">
        <is>
          <t>N/D</t>
        </is>
      </c>
      <c r="BP60" s="74" t="inlineStr">
        <is>
          <t>N/D</t>
        </is>
      </c>
      <c r="BQ60" s="74" t="inlineStr">
        <is>
          <t>N/D</t>
        </is>
      </c>
      <c r="BR60" s="74" t="inlineStr">
        <is>
          <t>N/D</t>
        </is>
      </c>
      <c r="BS60" s="74" t="inlineStr">
        <is>
          <t>sem_overlay</t>
        </is>
      </c>
      <c r="BT60" s="74" t="inlineStr">
        <is>
          <t>N/D</t>
        </is>
      </c>
      <c r="BU60" s="74" t="inlineStr">
        <is>
          <t>1239452</t>
        </is>
      </c>
      <c r="BV60" s="74" t="inlineStr">
        <is>
          <t>2026-06-22</t>
        </is>
      </c>
      <c r="BW60" s="74" t="inlineStr">
        <is>
          <t>35</t>
        </is>
      </c>
      <c r="BX60" s="74" t="inlineStr">
        <is>
          <t>revisto — mínimo júnior localizado</t>
        </is>
      </c>
      <c r="BY60" s="74" t="inlineStr">
        <is>
          <t>FundosNet/B3; documento 1239452; referência 2026-06-22; p. 35</t>
        </is>
      </c>
      <c r="BZ60" s="74" t="inlineStr">
        <is>
          <t>Índice de Subordinação Mezanino: cotas júnior / PL, mínimo de 5,0%.</t>
        </is>
      </c>
      <c r="CA60" s="74" t="inlineStr">
        <is>
          <t>originador; cedente; sacado/devedor; tipo de recebível</t>
        </is>
      </c>
      <c r="CB60" s="74" t="inlineStr">
        <is>
          <t>estrutura_incomparavel</t>
        </is>
      </c>
    </row>
    <row r="61" ht="31.5" customHeight="1">
      <c r="A61" s="75" t="n">
        <v>59</v>
      </c>
      <c r="B61" s="142" t="n">
        <v>50536324000117</v>
      </c>
      <c r="C61" s="75" t="inlineStr">
        <is>
          <t>50.536.324/0001-17</t>
        </is>
      </c>
      <c r="D61" s="75" t="inlineStr">
        <is>
          <t>MAQNELSON FUNDO DE INVESTIMENTO EM DIREITOS CREDITÓRIOS - RESPONSABILIDADE LIMITADA</t>
        </is>
      </c>
      <c r="E61" s="75" t="inlineStr">
        <is>
          <t>MAQNELSON FUNDO DE INVESTIMENTO EM DIREITOS CREDIT</t>
        </is>
      </c>
      <c r="F61" s="75" t="inlineStr">
        <is>
          <t>Carteira 101</t>
        </is>
      </c>
      <c r="G61" s="75" t="inlineStr">
        <is>
          <t>2026-06</t>
        </is>
      </c>
      <c r="H61" s="75" t="inlineStr">
        <is>
          <t>localizado</t>
        </is>
      </c>
      <c r="I61" s="143" t="n">
        <v>100033081.36</v>
      </c>
      <c r="J61" s="143" t="n">
        <v>100033081.3619992</v>
      </c>
      <c r="K61" s="143" t="n">
        <v>49222102.65001788</v>
      </c>
      <c r="L61" s="144" t="n">
        <v>0.4920582469400989</v>
      </c>
      <c r="M61" s="75" t="inlineStr">
        <is>
          <t>Calculado com classes reportadas e PL oficial reconciliado</t>
        </is>
      </c>
      <c r="N61" s="144" t="n">
        <v>0.5</v>
      </c>
      <c r="O61" s="144" t="inlineStr">
        <is>
          <t>N/D</t>
        </is>
      </c>
      <c r="P61" s="144" t="inlineStr">
        <is>
          <t>N/D</t>
        </is>
      </c>
      <c r="Q61" s="144" t="n">
        <v>0.5</v>
      </c>
      <c r="R61" s="144" t="inlineStr">
        <is>
          <t>N/D</t>
        </is>
      </c>
      <c r="S61" s="144" t="n">
        <v>0.5</v>
      </c>
      <c r="T61" s="75" t="inlineStr">
        <is>
          <t>50,0%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n">
        <v>-0.007941753059901135</v>
      </c>
      <c r="AA61" s="144" t="n">
        <v>-0.01588350611980227</v>
      </c>
      <c r="AB61" s="75" t="inlineStr">
        <is>
          <t>abaixo do mínimo</t>
        </is>
      </c>
      <c r="AC61" s="75" t="inlineStr">
        <is>
          <t>Agro, Indústria e Comércio</t>
        </is>
      </c>
      <c r="AD61" s="75" t="inlineStr">
        <is>
          <t>Recebíveis Comerciais</t>
        </is>
      </c>
      <c r="AE61" s="75" t="inlineStr">
        <is>
          <t>Agro / Revenda</t>
        </is>
      </c>
      <c r="AF61" s="75" t="inlineStr">
        <is>
          <t>Agro / Revenda</t>
        </is>
      </c>
      <c r="AG61" s="75" t="inlineStr">
        <is>
          <t>Agro / Revenda</t>
        </is>
      </c>
      <c r="AH61" s="75" t="inlineStr">
        <is>
          <t>Agro / Revenda</t>
        </is>
      </c>
      <c r="AI61" s="75" t="inlineStr">
        <is>
          <t>Venda a prazo de máquinas e implementos Maqnelson</t>
        </is>
      </c>
      <c r="AJ61" s="75" t="b">
        <v>0</v>
      </c>
      <c r="AK61" s="75" t="inlineStr">
        <is>
          <t>MANTER_ALTA</t>
        </is>
      </c>
      <c r="AL61" s="75" t="inlineStr">
        <is>
          <t>Recebíveis performados de venda de bens na cadeia agro</t>
        </is>
      </c>
      <c r="AM61" s="75" t="inlineStr">
        <is>
          <t>regulamento 918862</t>
        </is>
      </c>
      <c r="AN61" s="75" t="inlineStr">
        <is>
          <t>Não</t>
        </is>
      </c>
      <c r="AO61" s="75" t="inlineStr">
        <is>
          <t>regulamento 918862</t>
        </is>
      </c>
      <c r="AP61" s="75" t="b">
        <v>0</v>
      </c>
      <c r="AQ61" s="75" t="inlineStr">
        <is>
          <t>Agro / Revenda</t>
        </is>
      </c>
      <c r="AR61" s="75" t="inlineStr">
        <is>
          <t>Agro / Revenda</t>
        </is>
      </c>
      <c r="AS61" s="75" t="b">
        <v>0</v>
      </c>
      <c r="AT61" s="75" t="inlineStr">
        <is>
          <t>N/D</t>
        </is>
      </c>
      <c r="AU61" s="75" t="inlineStr">
        <is>
          <t>N/D</t>
        </is>
      </c>
      <c r="AV61" s="75" t="inlineStr">
        <is>
          <t>35%–60%</t>
        </is>
      </c>
      <c r="AW61" s="75" t="b">
        <v>1</v>
      </c>
      <c r="AX61" s="75" t="inlineStr">
        <is>
          <t>abaixo do piso</t>
        </is>
      </c>
      <c r="AY61" s="75" t="inlineStr">
        <is>
          <t>sem benchmark confiável</t>
        </is>
      </c>
      <c r="AZ61" s="144" t="inlineStr">
        <is>
          <t>N/D</t>
        </is>
      </c>
      <c r="BA61" s="75" t="b">
        <v>0</v>
      </c>
      <c r="BB61" s="145" t="n">
        <v>0</v>
      </c>
      <c r="BC61" s="143" t="n">
        <v>1000</v>
      </c>
      <c r="BD61" s="75" t="inlineStr">
        <is>
          <t>R$ 1.000,00</t>
        </is>
      </c>
      <c r="BE61" s="75" t="inlineStr">
        <is>
          <t>preço/valor unitário de emissão</t>
        </is>
      </c>
      <c r="BF61" s="75" t="inlineStr">
        <is>
          <t>N/D</t>
        </is>
      </c>
      <c r="BG61" s="75" t="inlineStr">
        <is>
          <t>09/10/2024</t>
        </is>
      </c>
      <c r="BH61" s="75" t="inlineStr">
        <is>
          <t>756476</t>
        </is>
      </c>
      <c r="BI61" s="75" t="inlineStr">
        <is>
          <t>https://fnet.bmfbovespa.com.br/fnet/publico/downloadDocumento?id=756476</t>
        </is>
      </c>
      <c r="BJ61" s="75" t="inlineStr">
        <is>
          <t>localizado documentalmente</t>
        </is>
      </c>
      <c r="BK61" s="75" t="b">
        <v>1</v>
      </c>
      <c r="BL61" s="75" t="inlineStr">
        <is>
          <t>Maqnelson</t>
        </is>
      </c>
      <c r="BM61" s="75" t="inlineStr">
        <is>
          <t>cedente</t>
        </is>
      </c>
      <c r="BN61" s="75" t="inlineStr">
        <is>
          <t>N/D</t>
        </is>
      </c>
      <c r="BO61" s="75" t="inlineStr">
        <is>
          <t>Maqnelson</t>
        </is>
      </c>
      <c r="BP61" s="75" t="inlineStr">
        <is>
          <t>N/D</t>
        </is>
      </c>
      <c r="BQ61" s="75" t="inlineStr">
        <is>
          <t>os direitos creditórios performados originados da venda a prazo de Bens, representados pelos Documentos Comprobatórios, conforme o caso, detidas pelas Cedentes contra as Devedoras</t>
        </is>
      </c>
      <c r="BR61" s="75" t="inlineStr">
        <is>
          <t>cedente: IMG_8706.JPG | tipo_recebivel: https://fnet.bmfbovespa.com.br/fnet/publico/downloadDocumento?id=918862</t>
        </is>
      </c>
      <c r="BS61" s="75" t="inlineStr">
        <is>
          <t>manual_aplicado</t>
        </is>
      </c>
      <c r="BT61" s="75" t="inlineStr">
        <is>
          <t>OBS legível: houve desenquadramento da subordinação e haverá amortização de parcela da cota para reenquadramento; final cortado. Denominação cortada.</t>
        </is>
      </c>
      <c r="BU61" s="75" t="inlineStr">
        <is>
          <t>918862</t>
        </is>
      </c>
      <c r="BV61" s="75" t="inlineStr">
        <is>
          <t>2025-06-04</t>
        </is>
      </c>
      <c r="BW61" s="75" t="inlineStr">
        <is>
          <t>111</t>
        </is>
      </c>
      <c r="BX61" s="75" t="inlineStr">
        <is>
          <t>revisto — mínimo júnior localizado</t>
        </is>
      </c>
      <c r="BY61" s="75" t="inlineStr">
        <is>
          <t>FundosNet/B3; documento 918862; referência 2025-06-04; p. 111</t>
        </is>
      </c>
      <c r="BZ61" s="75" t="inlineStr">
        <is>
          <t>Cotas subordinadas / PL, mínimo de 50,0%; estrutura com uma única classe residual.</t>
        </is>
      </c>
      <c r="CA61" s="75" t="inlineStr">
        <is>
          <t>originador; sacado/devedor</t>
        </is>
      </c>
      <c r="CB61" s="75" t="inlineStr">
        <is>
          <t>completo_para_folga</t>
        </is>
      </c>
    </row>
    <row r="62" ht="31.5" customHeight="1">
      <c r="A62" s="74" t="n">
        <v>60</v>
      </c>
      <c r="B62" s="138" t="n">
        <v>57816252000100</v>
      </c>
      <c r="C62" s="74" t="inlineStr">
        <is>
          <t>57.816.252/0001-00</t>
        </is>
      </c>
      <c r="D62" s="74" t="inlineStr">
        <is>
          <t>NATURA PAY FUNDO DE INVESTIMENTO EM DIREITOS CREDITÓRIOS CRÉDITO PESSOAL SOCIAL E IS RESP LTDA</t>
        </is>
      </c>
      <c r="E62" s="74" t="inlineStr">
        <is>
          <t>NATURA PAY FUNDO DE INVESTIMENTO EM DIREITOS CREDI</t>
        </is>
      </c>
      <c r="F62" s="74" t="inlineStr">
        <is>
          <t>Carteira 101</t>
        </is>
      </c>
      <c r="G62" s="74" t="inlineStr">
        <is>
          <t>2026-06</t>
        </is>
      </c>
      <c r="H62" s="74" t="inlineStr">
        <is>
          <t>localizado</t>
        </is>
      </c>
      <c r="I62" s="139" t="n">
        <v>1009314406.64</v>
      </c>
      <c r="J62" s="139" t="n">
        <v>1009314406.641464</v>
      </c>
      <c r="K62" s="139" t="n">
        <v>286045765.9903723</v>
      </c>
      <c r="L62" s="140" t="n">
        <v>0.283406007195138</v>
      </c>
      <c r="M62" s="74" t="inlineStr">
        <is>
          <t>Calculado com classes reportadas e PL oficial reconciliado</t>
        </is>
      </c>
      <c r="N62" s="140" t="n">
        <v>0.2526</v>
      </c>
      <c r="O62" s="140" t="inlineStr">
        <is>
          <t>N/D</t>
        </is>
      </c>
      <c r="P62" s="140" t="inlineStr">
        <is>
          <t>N/D</t>
        </is>
      </c>
      <c r="Q62" s="140" t="n">
        <v>0.2526</v>
      </c>
      <c r="R62" s="140" t="inlineStr">
        <is>
          <t>N/D</t>
        </is>
      </c>
      <c r="S62" s="140" t="n">
        <v>0.2526</v>
      </c>
      <c r="T62" s="74" t="inlineStr">
        <is>
          <t>25,26%</t>
        </is>
      </c>
      <c r="U62" s="74" t="inlineStr">
        <is>
          <t>junior_pl</t>
        </is>
      </c>
      <c r="V62" s="74" t="inlineStr">
        <is>
          <t>direto no regulamento</t>
        </is>
      </c>
      <c r="W62" s="74" t="b">
        <v>1</v>
      </c>
      <c r="X62" s="74" t="inlineStr">
        <is>
          <t>Estrutura com uma única classe subordinada; métrica atual e piso usam o total subordinado sobre o PL.</t>
        </is>
      </c>
      <c r="Y62" s="74" t="b">
        <v>0</v>
      </c>
      <c r="Z62" s="140" t="n">
        <v>0.03080600719513804</v>
      </c>
      <c r="AA62" s="140" t="n">
        <v>0.04121756381474182</v>
      </c>
      <c r="AB62" s="74" t="inlineStr">
        <is>
          <t>acima do mínimo</t>
        </is>
      </c>
      <c r="AC62" s="74" t="inlineStr">
        <is>
          <t>Financeiro</t>
        </is>
      </c>
      <c r="AD62" s="74" t="inlineStr">
        <is>
          <t>Crédito Pessoal</t>
        </is>
      </c>
      <c r="AE62" s="74" t="inlineStr">
        <is>
          <t>Financeiro</t>
        </is>
      </c>
      <c r="AF62" s="74" t="inlineStr">
        <is>
          <t>Financeiro</t>
        </is>
      </c>
      <c r="AG62" s="74" t="inlineStr">
        <is>
          <t>Financeiro</t>
        </is>
      </c>
      <c r="AH62" s="74" t="inlineStr">
        <is>
          <t>Financeiro</t>
        </is>
      </c>
      <c r="AI62" s="74" t="inlineStr">
        <is>
          <t>Financiamento a consultoras Natura, CCBs</t>
        </is>
      </c>
      <c r="AJ62" s="74" t="b">
        <v>0</v>
      </c>
      <c r="AK62" s="74" t="inlineStr">
        <is>
          <t>MANTER_ALTA</t>
        </is>
      </c>
      <c r="AL62" s="74" t="inlineStr">
        <is>
          <t>Financiamentos da Natura SCD formalizados em CCB</t>
        </is>
      </c>
      <c r="AM62" s="74" t="inlineStr">
        <is>
          <t>regulamento 1182394</t>
        </is>
      </c>
      <c r="AN62" s="74" t="inlineStr">
        <is>
          <t>Não</t>
        </is>
      </c>
      <c r="AO62" s="74" t="inlineStr">
        <is>
          <t>regulamento 1182394</t>
        </is>
      </c>
      <c r="AP62" s="74" t="b">
        <v>0</v>
      </c>
      <c r="AQ62" s="74" t="inlineStr">
        <is>
          <t>Financeiro</t>
        </is>
      </c>
      <c r="AR62" s="74" t="inlineStr">
        <is>
          <t>Financeiro</t>
        </is>
      </c>
      <c r="AS62" s="74" t="b">
        <v>0</v>
      </c>
      <c r="AT62" s="74" t="inlineStr">
        <is>
          <t>N/D</t>
        </is>
      </c>
      <c r="AU62" s="74" t="inlineStr">
        <is>
          <t>N/D</t>
        </is>
      </c>
      <c r="AV62" s="74" t="inlineStr">
        <is>
          <t>20%–35%</t>
        </is>
      </c>
      <c r="AW62" s="74" t="b">
        <v>1</v>
      </c>
      <c r="AX62" s="74" t="inlineStr">
        <is>
          <t>acima do piso</t>
        </is>
      </c>
      <c r="AY62" s="74" t="inlineStr">
        <is>
          <t>em linha com o mercado</t>
        </is>
      </c>
      <c r="AZ62" s="140" t="n">
        <v>-0.01805355308611306</v>
      </c>
      <c r="BA62" s="74" t="b">
        <v>1</v>
      </c>
      <c r="BB62" s="141" t="n">
        <v>12</v>
      </c>
      <c r="BC62" s="139" t="n">
        <v>1000</v>
      </c>
      <c r="BD62" s="74" t="inlineStr">
        <is>
          <t>Cotas Seniores: R$ 1.000,00</t>
        </is>
      </c>
      <c r="BE62" s="74" t="inlineStr">
        <is>
          <t>preço/valor unitário de emissão</t>
        </is>
      </c>
      <c r="BF62" s="74" t="inlineStr">
        <is>
          <t>Cotas Seniores</t>
        </is>
      </c>
      <c r="BG62" s="74" t="inlineStr">
        <is>
          <t>30/03/2026 18:00</t>
        </is>
      </c>
      <c r="BH62" s="74" t="inlineStr">
        <is>
          <t>1150911</t>
        </is>
      </c>
      <c r="BI62" s="74" t="inlineStr">
        <is>
          <t>https://fnet.bmfbovespa.com.br/fnet/publico/downloadDocumento?id=1150911</t>
        </is>
      </c>
      <c r="BJ62" s="74" t="inlineStr">
        <is>
          <t>localizado documentalmente</t>
        </is>
      </c>
      <c r="BK62" s="74" t="b">
        <v>0</v>
      </c>
      <c r="BL62" s="74" t="inlineStr">
        <is>
          <t>Natura &amp;CO Pay Sociedade de Crédito Direto S.A.</t>
        </is>
      </c>
      <c r="BM62" s="74" t="inlineStr">
        <is>
          <t>cedente</t>
        </is>
      </c>
      <c r="BN62" s="74" t="inlineStr">
        <is>
          <t>N/D</t>
        </is>
      </c>
      <c r="BO62" s="74" t="inlineStr">
        <is>
          <t>Natura &amp;CO Pay Sociedade de Crédito Direto S.A.</t>
        </is>
      </c>
      <c r="BP62" s="74" t="inlineStr">
        <is>
          <t>N/D</t>
        </is>
      </c>
      <c r="BQ62" s="74" t="inlineStr">
        <is>
          <t>os recebíveis alienados pela Endossante à Classe, originados no âmbito de operações de financiamentos concedidos pela Natura SCD às Devedoras, mediante a emissão de CCB em favor da Natura SCD</t>
        </is>
      </c>
      <c r="BR62" s="74" t="inlineStr">
        <is>
          <t>cedente: IMG_8706.JPG | tipo_recebivel: https://fnet.bmfbovespa.com.br/fnet/publico/downloadDocumento?id=1182394</t>
        </is>
      </c>
      <c r="BS62" s="74" t="inlineStr">
        <is>
          <t>manual_aplicado</t>
        </is>
      </c>
      <c r="BT62" s="74" t="inlineStr">
        <is>
          <t>Coluna adicional da foto: Duplicatas. Denominação cortada.</t>
        </is>
      </c>
      <c r="BU62" s="74" t="inlineStr">
        <is>
          <t>1182394</t>
        </is>
      </c>
      <c r="BV62" s="74" t="inlineStr">
        <is>
          <t>2026-05-07</t>
        </is>
      </c>
      <c r="BW62" s="74" t="inlineStr">
        <is>
          <t>28; 68</t>
        </is>
      </c>
      <c r="BX62" s="74" t="inlineStr">
        <is>
          <t>revisto — mínimo júnior localizado</t>
        </is>
      </c>
      <c r="BY62" s="74" t="inlineStr">
        <is>
          <t>FundosNet/B3; documento 1182394; referência 2026-05-07; p. 28; 68</t>
        </is>
      </c>
      <c r="BZ62" s="74" t="inlineStr">
        <is>
          <t>Cotas subordinadas / PL, mínimo de 25,26%; estrutura com uma única classe residual.</t>
        </is>
      </c>
      <c r="CA62" s="74" t="inlineStr">
        <is>
          <t>originador; sacado/devedor</t>
        </is>
      </c>
      <c r="CB62" s="74" t="inlineStr">
        <is>
          <t>completo_para_folga</t>
        </is>
      </c>
    </row>
    <row r="63" ht="31.5" customHeight="1">
      <c r="A63" s="75" t="n">
        <v>61</v>
      </c>
      <c r="B63" s="142" t="n">
        <v>50473039000102</v>
      </c>
      <c r="C63" s="75" t="inlineStr">
        <is>
          <t>50.473.039/0001-02</t>
        </is>
      </c>
      <c r="D63" s="75" t="inlineStr">
        <is>
          <t>SELLER FIDC SEGMENTO MEIOS DE PAGAMENTO DE RESPONSABILIDADE LIMITADA</t>
        </is>
      </c>
      <c r="E63" s="75" t="inlineStr">
        <is>
          <t>SELLER FUNDO DE INVESTIMENTO EM DIREITOS CREDITORIOS</t>
        </is>
      </c>
      <c r="F63" s="75" t="inlineStr">
        <is>
          <t>Carteira 101</t>
        </is>
      </c>
      <c r="G63" s="75" t="inlineStr">
        <is>
          <t>2026-06</t>
        </is>
      </c>
      <c r="H63" s="75" t="inlineStr">
        <is>
          <t>localizado</t>
        </is>
      </c>
      <c r="I63" s="143" t="n">
        <v>3656448188.16</v>
      </c>
      <c r="J63" s="143" t="n">
        <v>3656448188.156041</v>
      </c>
      <c r="K63" s="143" t="n">
        <v>1877109875.658749</v>
      </c>
      <c r="L63" s="144" t="n">
        <v>0.513369745464204</v>
      </c>
      <c r="M63" s="75" t="inlineStr">
        <is>
          <t>Calculado com classes reportadas e PL oficial reconciliado</t>
        </is>
      </c>
      <c r="N63" s="144" t="n">
        <v>0.1</v>
      </c>
      <c r="O63" s="144" t="inlineStr">
        <is>
          <t>N/D</t>
        </is>
      </c>
      <c r="P63" s="144" t="inlineStr">
        <is>
          <t>N/D</t>
        </is>
      </c>
      <c r="Q63" s="144" t="inlineStr">
        <is>
          <t>N/D</t>
        </is>
      </c>
      <c r="R63" s="144" t="inlineStr">
        <is>
          <t>N/D</t>
        </is>
      </c>
      <c r="S63" s="144" t="n">
        <v>0.1</v>
      </c>
      <c r="T63" s="75" t="inlineStr">
        <is>
          <t>N/D</t>
        </is>
      </c>
      <c r="U63" s="75" t="inlineStr">
        <is>
          <t>junior_pl</t>
        </is>
      </c>
      <c r="V63" s="75" t="inlineStr">
        <is>
          <t>direto no regulamento</t>
        </is>
      </c>
      <c r="W63" s="75" t="b">
        <v>0</v>
      </c>
      <c r="X63" s="75" t="inlineStr">
        <is>
          <t>Mínimo júnior isolado; a subordinação atual disponível agrega todas as classes subordinadas.</t>
        </is>
      </c>
      <c r="Y63" s="75" t="b">
        <v>0</v>
      </c>
      <c r="Z63" s="144" t="inlineStr">
        <is>
          <t>N/D</t>
        </is>
      </c>
      <c r="AA63" s="144" t="inlineStr">
        <is>
          <t>N/D</t>
        </is>
      </c>
      <c r="AB63" s="75" t="inlineStr">
        <is>
          <t>não medido</t>
        </is>
      </c>
      <c r="AC63" s="75" t="inlineStr">
        <is>
          <t>Financeiro</t>
        </is>
      </c>
      <c r="AD63" s="75" t="inlineStr">
        <is>
          <t>Adquirência</t>
        </is>
      </c>
      <c r="AE63" s="75" t="inlineStr">
        <is>
          <t>Adquirência</t>
        </is>
      </c>
      <c r="AF63" s="75" t="inlineStr">
        <is>
          <t>Adquirência</t>
        </is>
      </c>
      <c r="AG63" s="75" t="inlineStr">
        <is>
          <t>Adquirência</t>
        </is>
      </c>
      <c r="AH63" s="75" t="inlineStr">
        <is>
          <t>Adquirência</t>
        </is>
      </c>
      <c r="AI63" s="75" t="inlineStr">
        <is>
          <t>N/D</t>
        </is>
      </c>
      <c r="AJ63" s="75" t="b">
        <v>0</v>
      </c>
      <c r="AK63" s="75" t="inlineStr">
        <is>
          <t>fora da revisão Financeiro/Agro</t>
        </is>
      </c>
      <c r="AL63" s="75" t="inlineStr">
        <is>
          <t>N/D</t>
        </is>
      </c>
      <c r="AM63" s="75" t="inlineStr">
        <is>
          <t>N/D</t>
        </is>
      </c>
      <c r="AN63" s="75" t="inlineStr">
        <is>
          <t>N/D</t>
        </is>
      </c>
      <c r="AO63" s="75" t="inlineStr">
        <is>
          <t>N/D</t>
        </is>
      </c>
      <c r="AP63" s="75" t="inlineStr">
        <is>
          <t>N/D</t>
        </is>
      </c>
      <c r="AQ63" s="75" t="inlineStr">
        <is>
          <t>Adquirência</t>
        </is>
      </c>
      <c r="AR63" s="75" t="inlineStr">
        <is>
          <t>Adquirência</t>
        </is>
      </c>
      <c r="AS63" s="75" t="b">
        <v>0</v>
      </c>
      <c r="AT63" s="75" t="inlineStr">
        <is>
          <t>N/D</t>
        </is>
      </c>
      <c r="AU63" s="75" t="inlineStr">
        <is>
          <t>N/D</t>
        </is>
      </c>
      <c r="AV63" s="75" t="inlineStr">
        <is>
          <t>35%–60%</t>
        </is>
      </c>
      <c r="AW63" s="75" t="b">
        <v>1</v>
      </c>
      <c r="AX63" s="75" t="inlineStr">
        <is>
          <t>incomparável</t>
        </is>
      </c>
      <c r="AY63" s="75" t="inlineStr">
        <is>
          <t>acima do mercado</t>
        </is>
      </c>
      <c r="AZ63" s="144" t="n">
        <v>0.3580102912392978</v>
      </c>
      <c r="BA63" s="75" t="b">
        <v>1</v>
      </c>
      <c r="BB63" s="145" t="n">
        <v>15</v>
      </c>
      <c r="BC63" s="143" t="n">
        <v>1000</v>
      </c>
      <c r="BD63" s="75" t="inlineStr">
        <is>
          <t>Cotas Seniores: R$ 1.000,00</t>
        </is>
      </c>
      <c r="BE63" s="75" t="inlineStr">
        <is>
          <t>valor nominal unitário (VNU)</t>
        </is>
      </c>
      <c r="BF63" s="75" t="inlineStr">
        <is>
          <t>Cotas Seniores</t>
        </is>
      </c>
      <c r="BG63" s="75" t="inlineStr">
        <is>
          <t>2025-05-19</t>
        </is>
      </c>
      <c r="BH63" s="75" t="inlineStr">
        <is>
          <t>909547</t>
        </is>
      </c>
      <c r="BI63" s="75" t="inlineStr">
        <is>
          <t>https://fnet.bmfbovespa.com.br/fnet/publico/downloadDocumento?id=909547</t>
        </is>
      </c>
      <c r="BJ63" s="75" t="inlineStr">
        <is>
          <t>localizado documentalmente</t>
        </is>
      </c>
      <c r="BK63" s="75" t="b">
        <v>0</v>
      </c>
      <c r="BL63" s="75" t="inlineStr">
        <is>
          <t>Mercado Pago (originador) | Mercado Livre (cedente)</t>
        </is>
      </c>
      <c r="BM63" s="75" t="inlineStr">
        <is>
          <t>originador | cedente</t>
        </is>
      </c>
      <c r="BN63" s="75" t="inlineStr">
        <is>
          <t>Mercado Pago</t>
        </is>
      </c>
      <c r="BO63"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3" s="75" t="inlineStr">
        <is>
          <t>o MERCADO PAGO INSTITUIÇÃO DE PAGAMENTO LTDA., sociedade limitada, com sede na Avenida das Nações Unidas, nº 3.003, Parte E, Bonfim, no Município de Osasco, Estado de São Paulo, CEP 06.233-903, inscrita no CNPJ sob o nº 10.573.521/0001-91</t>
        </is>
      </c>
      <c r="BQ63" s="75" t="inlineStr">
        <is>
          <t>os Direitos Creditórios dos Estabelecimentos Comerciais e os Direitos Creditórios do Mercado Crédito quando referidos em co njunto ou de forma indistinta, conforme aplicável</t>
        </is>
      </c>
      <c r="BR63" s="75" t="inlineStr">
        <is>
          <t>cedente: https://fnet.bmfbovespa.com.br/fnet/publico/downloadDocumento?id=790777 | sacado_devedor: https://fnet.bmfbovespa.com.br/fnet/publico/downloadDocumento?id=790777 | tipo_recebivel: https://fnet.bmfbovespa.com.br/fnet/publico/downloadDocumento?id=467929</t>
        </is>
      </c>
      <c r="BS63" s="75" t="inlineStr">
        <is>
          <t>manual_aplicado</t>
        </is>
      </c>
      <c r="BT63" s="75" t="inlineStr">
        <is>
          <t>Os rótulos manuais são complementares; a entidade documental e o papel legal prevalecem no export.</t>
        </is>
      </c>
      <c r="BU63" s="75" t="inlineStr">
        <is>
          <t>909547</t>
        </is>
      </c>
      <c r="BV63" s="75" t="inlineStr">
        <is>
          <t>2025-05-19</t>
        </is>
      </c>
      <c r="BW63" s="75" t="inlineStr">
        <is>
          <t>99</t>
        </is>
      </c>
      <c r="BX63" s="75" t="inlineStr">
        <is>
          <t>revisto — mínimo júnior localizado</t>
        </is>
      </c>
      <c r="BY63" s="75" t="inlineStr">
        <is>
          <t>FundosNet/B3; documento 909547; referência 2025-05-19; p. 99</t>
        </is>
      </c>
      <c r="BZ63" s="75" t="inlineStr">
        <is>
          <t>Totalidade das cotas júnior / PL, mínimo de 10,0%.</t>
        </is>
      </c>
      <c r="CA63" s="75" t="inlineStr">
        <is>
          <t>Nenhum</t>
        </is>
      </c>
      <c r="CB63" s="75" t="inlineStr">
        <is>
          <t>estrutura_incomparavel</t>
        </is>
      </c>
    </row>
    <row r="64" ht="31.5" customHeight="1">
      <c r="A64" s="74" t="n">
        <v>62</v>
      </c>
      <c r="B64" s="138" t="n">
        <v>62588266000154</v>
      </c>
      <c r="C64" s="74" t="inlineStr">
        <is>
          <t>62.588.266/0001-54</t>
        </is>
      </c>
      <c r="D64" s="74" t="inlineStr">
        <is>
          <t>VTK FUNDO DE INVESTIMENTO EM DIREITOS CREDITÓRIOS RESPONSABILIDADE LIMITADA</t>
        </is>
      </c>
      <c r="E64" s="74" t="inlineStr">
        <is>
          <t>VTK FIDC RESP LIMIT</t>
        </is>
      </c>
      <c r="F64" s="74" t="inlineStr">
        <is>
          <t>Carteira 101</t>
        </is>
      </c>
      <c r="G64" s="74" t="inlineStr">
        <is>
          <t>2026-06</t>
        </is>
      </c>
      <c r="H64" s="74" t="inlineStr">
        <is>
          <t>localizado</t>
        </is>
      </c>
      <c r="I64" s="139" t="n">
        <v>3085111034.31</v>
      </c>
      <c r="J64" s="139" t="n">
        <v>2505159583.166662</v>
      </c>
      <c r="K64" s="139" t="n">
        <v>463851146.236205</v>
      </c>
      <c r="L64" s="140" t="inlineStr">
        <is>
          <t>N/D</t>
        </is>
      </c>
      <c r="M64" s="74" t="inlineStr">
        <is>
          <t>N/D</t>
        </is>
      </c>
      <c r="N64" s="140" t="n">
        <v>0.05</v>
      </c>
      <c r="O64" s="140" t="inlineStr">
        <is>
          <t>N/D</t>
        </is>
      </c>
      <c r="P64" s="140" t="inlineStr">
        <is>
          <t>N/D</t>
        </is>
      </c>
      <c r="Q64" s="140" t="inlineStr">
        <is>
          <t>N/D</t>
        </is>
      </c>
      <c r="R64" s="140" t="inlineStr">
        <is>
          <t>N/D</t>
        </is>
      </c>
      <c r="S64" s="140" t="n">
        <v>0.05</v>
      </c>
      <c r="T64" s="74" t="inlineStr">
        <is>
          <t>N/D</t>
        </is>
      </c>
      <c r="U64" s="74" t="inlineStr">
        <is>
          <t>junior_pl</t>
        </is>
      </c>
      <c r="V64" s="74" t="inlineStr">
        <is>
          <t>direto no regulamento</t>
        </is>
      </c>
      <c r="W64" s="74" t="b">
        <v>0</v>
      </c>
      <c r="X64" s="74" t="inlineStr">
        <is>
          <t>Mínimo júnior isolado; a subordinação atual disponível agrega todas as classes subordinadas.</t>
        </is>
      </c>
      <c r="Y64" s="74" t="b">
        <v>0</v>
      </c>
      <c r="Z64" s="140" t="inlineStr">
        <is>
          <t>N/D</t>
        </is>
      </c>
      <c r="AA64" s="140" t="inlineStr">
        <is>
          <t>N/D</t>
        </is>
      </c>
      <c r="AB64" s="74" t="inlineStr">
        <is>
          <t>não medido</t>
        </is>
      </c>
      <c r="AC64" s="74" t="inlineStr">
        <is>
          <t>Financeiro</t>
        </is>
      </c>
      <c r="AD64" s="74" t="inlineStr">
        <is>
          <t>Crédito Consignado</t>
        </is>
      </c>
      <c r="AE64" s="74" t="inlineStr">
        <is>
          <t>Consignado INSS</t>
        </is>
      </c>
      <c r="AF64" s="74" t="inlineStr">
        <is>
          <t>Consignado INSS</t>
        </is>
      </c>
      <c r="AG64" s="74" t="inlineStr">
        <is>
          <t>Consignado INSS e FGTS</t>
        </is>
      </c>
      <c r="AH64" s="74" t="inlineStr">
        <is>
          <t>Consignado INSS e FGTS</t>
        </is>
      </c>
      <c r="AI64" s="74" t="inlineStr">
        <is>
          <t>N/D</t>
        </is>
      </c>
      <c r="AJ64" s="74" t="b">
        <v>0</v>
      </c>
      <c r="AK64" s="74" t="inlineStr">
        <is>
          <t>fora da revisão Financeiro/Agro</t>
        </is>
      </c>
      <c r="AL64" s="74" t="inlineStr">
        <is>
          <t>N/D</t>
        </is>
      </c>
      <c r="AM64" s="74" t="inlineStr">
        <is>
          <t>N/D</t>
        </is>
      </c>
      <c r="AN64" s="74" t="inlineStr">
        <is>
          <t>N/D</t>
        </is>
      </c>
      <c r="AO64" s="74" t="inlineStr">
        <is>
          <t>N/D</t>
        </is>
      </c>
      <c r="AP64" s="74" t="inlineStr">
        <is>
          <t>N/D</t>
        </is>
      </c>
      <c r="AQ64" s="74" t="inlineStr">
        <is>
          <t>Consignado INSS e FGTS</t>
        </is>
      </c>
      <c r="AR64" s="74" t="inlineStr">
        <is>
          <t>Consignado INSS e FGTS</t>
        </is>
      </c>
      <c r="AS64" s="74" t="b">
        <v>0</v>
      </c>
      <c r="AT64" s="74" t="inlineStr">
        <is>
          <t>N/D</t>
        </is>
      </c>
      <c r="AU64" s="74" t="inlineStr">
        <is>
          <t>N/D</t>
        </is>
      </c>
      <c r="AV64" s="74" t="inlineStr">
        <is>
          <t>N/D</t>
        </is>
      </c>
      <c r="AW64" s="74" t="b">
        <v>0</v>
      </c>
      <c r="AX64" s="74" t="inlineStr">
        <is>
          <t>N/D</t>
        </is>
      </c>
      <c r="AY64" s="74" t="inlineStr">
        <is>
          <t>sem benchmark confiável</t>
        </is>
      </c>
      <c r="AZ64" s="140" t="inlineStr">
        <is>
          <t>N/D</t>
        </is>
      </c>
      <c r="BA64" s="74" t="b">
        <v>1</v>
      </c>
      <c r="BB64" s="141" t="n">
        <v>5</v>
      </c>
      <c r="BC64" s="139" t="n">
        <v>1000</v>
      </c>
      <c r="BD64" s="74" t="inlineStr">
        <is>
          <t>R$ 1.000,00</t>
        </is>
      </c>
      <c r="BE64" s="74" t="inlineStr">
        <is>
          <t>preço/valor unitário de emissão</t>
        </is>
      </c>
      <c r="BF64" s="74" t="inlineStr">
        <is>
          <t>N/D</t>
        </is>
      </c>
      <c r="BG64" s="74" t="inlineStr">
        <is>
          <t>2025-09-29</t>
        </is>
      </c>
      <c r="BH64" s="74" t="inlineStr">
        <is>
          <t>1002580</t>
        </is>
      </c>
      <c r="BI64" s="74" t="inlineStr">
        <is>
          <t>https://fnet.bmfbovespa.com.br/fnet/publico/downloadDocumento?id=1002580</t>
        </is>
      </c>
      <c r="BJ64" s="74" t="inlineStr">
        <is>
          <t>localizado documentalmente</t>
        </is>
      </c>
      <c r="BK64" s="74" t="b">
        <v>1</v>
      </c>
      <c r="BL64" s="74" t="inlineStr">
        <is>
          <t>Facta</t>
        </is>
      </c>
      <c r="BM64" s="74" t="inlineStr">
        <is>
          <t>cedente</t>
        </is>
      </c>
      <c r="BN64" s="74" t="inlineStr">
        <is>
          <t>N/D</t>
        </is>
      </c>
      <c r="BO64" s="74" t="inlineStr">
        <is>
          <t>Facta</t>
        </is>
      </c>
      <c r="BP64" s="74" t="inlineStr">
        <is>
          <t>N/D</t>
        </is>
      </c>
      <c r="BQ64" s="74" t="inlineStr">
        <is>
          <t>Crédito INSS</t>
        </is>
      </c>
      <c r="BR64" s="74" t="inlineStr">
        <is>
          <t>cedente: IMG_8706.JPG | tipo_recebivel: IMG_8706.JPG</t>
        </is>
      </c>
      <c r="BS64" s="74" t="inlineStr">
        <is>
          <t>manual_aplicado</t>
        </is>
      </c>
      <c r="BT64" s="74" t="inlineStr">
        <is>
          <t>N/D</t>
        </is>
      </c>
      <c r="BU64" s="74" t="inlineStr">
        <is>
          <t>1002580</t>
        </is>
      </c>
      <c r="BV64" s="74" t="inlineStr">
        <is>
          <t>2025-09-29</t>
        </is>
      </c>
      <c r="BW64" s="74" t="inlineStr">
        <is>
          <t>35</t>
        </is>
      </c>
      <c r="BX64" s="74" t="inlineStr">
        <is>
          <t>revisto — mínimo júnior localizado</t>
        </is>
      </c>
      <c r="BY64" s="74" t="inlineStr">
        <is>
          <t>FundosNet/B3; documento 1002580; referência 2025-09-29; p. 35</t>
        </is>
      </c>
      <c r="BZ64" s="74" t="inlineStr">
        <is>
          <t>Índice de Subordinação Mezanino: cotas júnior / PL, mínimo de 5,0%.</t>
        </is>
      </c>
      <c r="CA64" s="74" t="inlineStr">
        <is>
          <t>Sub/PL atual; originador; sacado/devedor</t>
        </is>
      </c>
      <c r="CB64" s="74" t="inlineStr">
        <is>
          <t>sub_pl_atual_ausente</t>
        </is>
      </c>
    </row>
    <row r="65" ht="31.5" customHeight="1">
      <c r="A65" s="75" t="n">
        <v>63</v>
      </c>
      <c r="B65" s="142" t="n">
        <v>50988212000105</v>
      </c>
      <c r="C65" s="75" t="inlineStr">
        <is>
          <t>50.988.212/0001-05</t>
        </is>
      </c>
      <c r="D65" s="75" t="inlineStr">
        <is>
          <t>CARTÃO DE COMPRA SUPPLIER FUNDO DE INVESTIMENTO EM DIREITOS CREDITÓRIOS II-RESPONSABILIDADE LIMITADA</t>
        </is>
      </c>
      <c r="E65" s="75" t="inlineStr">
        <is>
          <t>CARTAO DE COMPRA SUPPLIER FUNDO DE INVESTIMENTO EM</t>
        </is>
      </c>
      <c r="F65" s="75" t="inlineStr">
        <is>
          <t>Carteira 101</t>
        </is>
      </c>
      <c r="G65" s="75" t="inlineStr">
        <is>
          <t>2026-06</t>
        </is>
      </c>
      <c r="H65" s="75" t="inlineStr">
        <is>
          <t>localizado</t>
        </is>
      </c>
      <c r="I65" s="143" t="n">
        <v>193612039.06</v>
      </c>
      <c r="J65" s="143" t="n">
        <v>193612039.0618982</v>
      </c>
      <c r="K65" s="143" t="n">
        <v>13604593.12989813</v>
      </c>
      <c r="L65" s="144" t="n">
        <v>0.07026728914146754</v>
      </c>
      <c r="M65" s="75" t="inlineStr">
        <is>
          <t>Calculado com classes reportadas e PL oficial reconciliado</t>
        </is>
      </c>
      <c r="N65" s="144" t="inlineStr">
        <is>
          <t>N/D</t>
        </is>
      </c>
      <c r="O65" s="144" t="inlineStr">
        <is>
          <t>N/D</t>
        </is>
      </c>
      <c r="P65" s="144" t="n">
        <v>0.045</v>
      </c>
      <c r="Q65" s="144" t="inlineStr">
        <is>
          <t>N/D</t>
        </is>
      </c>
      <c r="R65" s="144" t="inlineStr">
        <is>
          <t>N/D</t>
        </is>
      </c>
      <c r="S65" s="144" t="n">
        <v>0.045</v>
      </c>
      <c r="T65" s="75" t="inlineStr">
        <is>
          <t>N/D</t>
        </is>
      </c>
      <c r="U65" s="75" t="inlineStr">
        <is>
          <t>junior_pl_ajustado</t>
        </is>
      </c>
      <c r="V65" s="75" t="inlineStr">
        <is>
          <t>direto sobre PL ajustado</t>
        </is>
      </c>
      <c r="W65" s="75" t="b">
        <v>0</v>
      </c>
      <c r="X65" s="75" t="inlineStr">
        <is>
          <t>Mínimo júnior usa PL ajustado; não é comparável à subordinação atual sobre o PL oficial.</t>
        </is>
      </c>
      <c r="Y65" s="75" t="b">
        <v>1</v>
      </c>
      <c r="Z65" s="144" t="inlineStr">
        <is>
          <t>N/D</t>
        </is>
      </c>
      <c r="AA65" s="144" t="inlineStr">
        <is>
          <t>N/D</t>
        </is>
      </c>
      <c r="AB65" s="75" t="inlineStr">
        <is>
          <t>não medido</t>
        </is>
      </c>
      <c r="AC65" s="75" t="inlineStr">
        <is>
          <t>Financeiro</t>
        </is>
      </c>
      <c r="AD65" s="75" t="inlineStr">
        <is>
          <t>Crédito Pessoal</t>
        </is>
      </c>
      <c r="AE65" s="75" t="inlineStr">
        <is>
          <t>Financeiro</t>
        </is>
      </c>
      <c r="AF65" s="75" t="inlineStr">
        <is>
          <t>Financeiro</t>
        </is>
      </c>
      <c r="AG65" s="75" t="inlineStr">
        <is>
          <t>Financeiro</t>
        </is>
      </c>
      <c r="AH65" s="75" t="inlineStr">
        <is>
          <t>Financeiro</t>
        </is>
      </c>
      <c r="AI65" s="75" t="inlineStr">
        <is>
          <t>Crédito comercial/PME segurado</t>
        </is>
      </c>
      <c r="AJ65" s="75" t="b">
        <v>0</v>
      </c>
      <c r="AK65" s="75" t="inlineStr">
        <is>
          <t>PENDENTE_FONTE_PRIMARIA</t>
        </is>
      </c>
      <c r="AL65" s="75" t="inlineStr">
        <is>
          <t>Crédito PME informado sem cláusula primária de instrumento e devedor</t>
        </is>
      </c>
      <c r="AM65" s="75" t="inlineStr">
        <is>
          <t>IMG_8706</t>
        </is>
      </c>
      <c r="AN65" s="75" t="inlineStr">
        <is>
          <t>Candidato</t>
        </is>
      </c>
      <c r="AO65" s="75" t="inlineStr">
        <is>
          <t>IMG_8706</t>
        </is>
      </c>
      <c r="AP65" s="75" t="inlineStr">
        <is>
          <t>N/D</t>
        </is>
      </c>
      <c r="AQ65" s="75" t="inlineStr">
        <is>
          <t>Financeiro</t>
        </is>
      </c>
      <c r="AR65" s="75" t="inlineStr">
        <is>
          <t>Financeiro</t>
        </is>
      </c>
      <c r="AS65" s="75" t="b">
        <v>0</v>
      </c>
      <c r="AT65" s="75" t="inlineStr">
        <is>
          <t>N/D</t>
        </is>
      </c>
      <c r="AU65" s="75" t="inlineStr">
        <is>
          <t>N/D</t>
        </is>
      </c>
      <c r="AV65" s="75" t="inlineStr">
        <is>
          <t>&lt; 10%</t>
        </is>
      </c>
      <c r="AW65" s="75" t="b">
        <v>1</v>
      </c>
      <c r="AX65" s="75" t="inlineStr">
        <is>
          <t>incomparável</t>
        </is>
      </c>
      <c r="AY65" s="75" t="inlineStr">
        <is>
          <t>abaixo do mercado</t>
        </is>
      </c>
      <c r="AZ65" s="144" t="n">
        <v>-0.2311922711397836</v>
      </c>
      <c r="BA65" s="75" t="b">
        <v>1</v>
      </c>
      <c r="BB65" s="145" t="n">
        <v>12</v>
      </c>
      <c r="BC65" s="143" t="n">
        <v>1000</v>
      </c>
      <c r="BD65" s="75" t="inlineStr">
        <is>
          <t>Cotas Seniores: R$ 1.000,00</t>
        </is>
      </c>
      <c r="BE65" s="75" t="inlineStr">
        <is>
          <t>valor nominal unitário (VNU)</t>
        </is>
      </c>
      <c r="BF65" s="75" t="inlineStr">
        <is>
          <t>Cotas Seniores</t>
        </is>
      </c>
      <c r="BG65" s="75" t="inlineStr">
        <is>
          <t>2023-10-06</t>
        </is>
      </c>
      <c r="BH65" s="75" t="inlineStr">
        <is>
          <t>532694</t>
        </is>
      </c>
      <c r="BI65" s="75" t="inlineStr">
        <is>
          <t>https://fnet.bmfbovespa.com.br/fnet/publico/downloadDocumento?id=532694</t>
        </is>
      </c>
      <c r="BJ65" s="75" t="inlineStr">
        <is>
          <t>localizado documentalmente</t>
        </is>
      </c>
      <c r="BK65" s="75" t="b">
        <v>0</v>
      </c>
      <c r="BL65" s="75" t="inlineStr">
        <is>
          <t>Supplier</t>
        </is>
      </c>
      <c r="BM65" s="75" t="inlineStr">
        <is>
          <t>cedente</t>
        </is>
      </c>
      <c r="BN65" s="75" t="inlineStr">
        <is>
          <t>N/D</t>
        </is>
      </c>
      <c r="BO65" s="75" t="inlineStr">
        <is>
          <t>Supplier</t>
        </is>
      </c>
      <c r="BP65" s="75" t="inlineStr">
        <is>
          <t>N/D</t>
        </is>
      </c>
      <c r="BQ65" s="75" t="inlineStr">
        <is>
          <t>Crédito Curto Prazo com o segurado; Crédito PME</t>
        </is>
      </c>
      <c r="BR65" s="75" t="inlineStr">
        <is>
          <t>cedente: IMG_8706.JPG | tipo_recebivel: IMG_8706.JPG</t>
        </is>
      </c>
      <c r="BS65" s="75" t="inlineStr">
        <is>
          <t>manual_aplicado</t>
        </is>
      </c>
      <c r="BT65" s="75" t="inlineStr">
        <is>
          <t>Denominação cortada pela largura da coluna na foto.</t>
        </is>
      </c>
      <c r="BU65" s="75" t="inlineStr">
        <is>
          <t>1013021</t>
        </is>
      </c>
      <c r="BV65" s="75" t="inlineStr">
        <is>
          <t>2024-11-14</t>
        </is>
      </c>
      <c r="BW65" s="75" t="inlineStr">
        <is>
          <t>29; 62</t>
        </is>
      </c>
      <c r="BX65" s="75" t="inlineStr">
        <is>
          <t>revisto — mínimo júnior localizado</t>
        </is>
      </c>
      <c r="BY65" s="75" t="inlineStr">
        <is>
          <t>FundosNet/B3; documento 1013021; referência 2024-11-14; p. 29; 62</t>
        </is>
      </c>
      <c r="BZ65" s="75" t="inlineStr">
        <is>
          <t>Cotas júnior / PL ajustado por outros ativos, mínimo de 4,5%.*</t>
        </is>
      </c>
      <c r="CA65" s="75" t="inlineStr">
        <is>
          <t>originador; sacado/devedor</t>
        </is>
      </c>
      <c r="CB65" s="75" t="inlineStr">
        <is>
          <t>estrutura_incomparavel</t>
        </is>
      </c>
    </row>
    <row r="66" ht="31.5" customHeight="1">
      <c r="A66" s="74" t="n">
        <v>64</v>
      </c>
      <c r="B66" s="138" t="n">
        <v>58476088000100</v>
      </c>
      <c r="C66" s="74" t="inlineStr">
        <is>
          <t>58.476.088/0001-00</t>
        </is>
      </c>
      <c r="D66" s="74" t="inlineStr">
        <is>
          <t>SAGA FUNDO DE INVESTIMENTO EM DIREITOS CREDITÓRIOS CRÉDITO PRIVADO - RESPONSABILIDADE LIMITADA</t>
        </is>
      </c>
      <c r="E66" s="74" t="inlineStr">
        <is>
          <t>CONSORCIO DALTEZ</t>
        </is>
      </c>
      <c r="F66" s="74" t="inlineStr">
        <is>
          <t>Carteira 101</t>
        </is>
      </c>
      <c r="G66" s="74" t="inlineStr">
        <is>
          <t>2026-06</t>
        </is>
      </c>
      <c r="H66" s="74" t="inlineStr">
        <is>
          <t>localizado</t>
        </is>
      </c>
      <c r="I66" s="139" t="n">
        <v>167604412.23</v>
      </c>
      <c r="J66" s="139" t="n">
        <v>167604412.2247902</v>
      </c>
      <c r="K66" s="139" t="n">
        <v>64851305.04979022</v>
      </c>
      <c r="L66" s="140" t="n">
        <v>0.3869307745955766</v>
      </c>
      <c r="M66" s="74" t="inlineStr">
        <is>
          <t>Calculado com classes reportadas e PL oficial reconciliado</t>
        </is>
      </c>
      <c r="N66" s="140" t="n">
        <v>0.3333</v>
      </c>
      <c r="O66" s="140" t="inlineStr">
        <is>
          <t>N/D</t>
        </is>
      </c>
      <c r="P66" s="140" t="inlineStr">
        <is>
          <t>N/D</t>
        </is>
      </c>
      <c r="Q66" s="140" t="n">
        <v>0.3333</v>
      </c>
      <c r="R66" s="140" t="inlineStr">
        <is>
          <t>N/D</t>
        </is>
      </c>
      <c r="S66" s="140" t="n">
        <v>0.3333</v>
      </c>
      <c r="T66" s="74" t="inlineStr">
        <is>
          <t>33,33%</t>
        </is>
      </c>
      <c r="U66" s="74" t="inlineStr">
        <is>
          <t>junior_pl</t>
        </is>
      </c>
      <c r="V66" s="74" t="inlineStr">
        <is>
          <t>direto no regulamento</t>
        </is>
      </c>
      <c r="W66" s="74" t="b">
        <v>1</v>
      </c>
      <c r="X66" s="74" t="inlineStr">
        <is>
          <t>Estrutura com uma única classe subordinada; métrica atual e piso usam o total subordinado sobre o PL.</t>
        </is>
      </c>
      <c r="Y66" s="74" t="b">
        <v>0</v>
      </c>
      <c r="Z66" s="140" t="n">
        <v>0.05363077459557658</v>
      </c>
      <c r="AA66" s="140" t="n">
        <v>0.08044213978637554</v>
      </c>
      <c r="AB66" s="74" t="inlineStr">
        <is>
          <t>acima do mínimo</t>
        </is>
      </c>
      <c r="AC66" s="74" t="inlineStr">
        <is>
          <t>Agro, Indústria e Comércio</t>
        </is>
      </c>
      <c r="AD66" s="74" t="inlineStr">
        <is>
          <t>Recebíveis Comerciais</t>
        </is>
      </c>
      <c r="AE66" s="74" t="inlineStr">
        <is>
          <t>Agro / Revenda</t>
        </is>
      </c>
      <c r="AF66" s="74" t="inlineStr">
        <is>
          <t>Agro / Revenda</t>
        </is>
      </c>
      <c r="AG66" s="74" t="inlineStr">
        <is>
          <t>Agro / Revenda</t>
        </is>
      </c>
      <c r="AH66" s="74" t="inlineStr">
        <is>
          <t>Risco Corporativo</t>
        </is>
      </c>
      <c r="AI66" s="74" t="inlineStr">
        <is>
          <t>Notas comerciais de empresas/devedores</t>
        </is>
      </c>
      <c r="AJ66" s="74" t="b">
        <v>1</v>
      </c>
      <c r="AK66" s="74" t="inlineStr">
        <is>
          <t>APLICAR_ALTA</t>
        </is>
      </c>
      <c r="AL66" s="74" t="inlineStr">
        <is>
          <t>Lastro são notas comerciais, com porte dos emissores ainda a validar</t>
        </is>
      </c>
      <c r="AM66" s="74" t="inlineStr">
        <is>
          <t>regulamento 852325</t>
        </is>
      </c>
      <c r="AN66" s="74" t="inlineStr">
        <is>
          <t>Candidato</t>
        </is>
      </c>
      <c r="AO66" s="74" t="inlineStr">
        <is>
          <t>regulamento 852325</t>
        </is>
      </c>
      <c r="AP66" s="74" t="inlineStr">
        <is>
          <t>N/D</t>
        </is>
      </c>
      <c r="AQ66" s="74" t="inlineStr">
        <is>
          <t>Risco Corporativo</t>
        </is>
      </c>
      <c r="AR66" s="74" t="inlineStr">
        <is>
          <t>Agro / Revenda</t>
        </is>
      </c>
      <c r="AS66" s="74" t="b">
        <v>1</v>
      </c>
      <c r="AT66" s="74" t="inlineStr">
        <is>
          <t>regulamento 852325</t>
        </is>
      </c>
      <c r="AU66" s="74" t="inlineStr">
        <is>
          <t>Lastro são notas comerciais, com porte dos emissores ainda a validar</t>
        </is>
      </c>
      <c r="AV66" s="74" t="inlineStr">
        <is>
          <t>35%–60%</t>
        </is>
      </c>
      <c r="AW66" s="74" t="b">
        <v>1</v>
      </c>
      <c r="AX66" s="74" t="inlineStr">
        <is>
          <t>acima do piso</t>
        </is>
      </c>
      <c r="AY66" s="74" t="inlineStr">
        <is>
          <t>sem benchmark confiável</t>
        </is>
      </c>
      <c r="AZ66" s="140" t="inlineStr">
        <is>
          <t>N/D</t>
        </is>
      </c>
      <c r="BA66" s="74" t="b">
        <v>0</v>
      </c>
      <c r="BB66" s="141" t="n">
        <v>0</v>
      </c>
      <c r="BC66" s="139" t="n">
        <v>1000</v>
      </c>
      <c r="BD66" s="74" t="inlineStr">
        <is>
          <t>Cotas Seniores: R$ 1.000,00 | R$1.000,00</t>
        </is>
      </c>
      <c r="BE66" s="74" t="inlineStr">
        <is>
          <t>preço/valor unitário de emissão</t>
        </is>
      </c>
      <c r="BF66" s="74" t="inlineStr">
        <is>
          <t>Cotas Seniores</t>
        </is>
      </c>
      <c r="BG66" s="74" t="inlineStr">
        <is>
          <t>25/02/2025</t>
        </is>
      </c>
      <c r="BH66" s="74" t="inlineStr">
        <is>
          <t>852325</t>
        </is>
      </c>
      <c r="BI66" s="74" t="inlineStr">
        <is>
          <t>https://fnet.bmfbovespa.com.br/fnet/publico/downloadDocumento?id=852325</t>
        </is>
      </c>
      <c r="BJ66" s="74" t="inlineStr">
        <is>
          <t>localizado documentalmente — múltiplos valores/classes</t>
        </is>
      </c>
      <c r="BK66" s="74" t="b">
        <v>1</v>
      </c>
      <c r="BL66" s="74" t="inlineStr">
        <is>
          <t>Saga Brasil</t>
        </is>
      </c>
      <c r="BM66" s="74" t="inlineStr">
        <is>
          <t>cedente</t>
        </is>
      </c>
      <c r="BN66" s="74" t="inlineStr">
        <is>
          <t>N/D</t>
        </is>
      </c>
      <c r="BO66" s="74" t="inlineStr">
        <is>
          <t>Saga Brasil</t>
        </is>
      </c>
      <c r="BP66" s="74" t="inlineStr">
        <is>
          <t>N/D</t>
        </is>
      </c>
      <c r="BQ66" s="74" t="inlineStr">
        <is>
          <t>os direitos creditórios originados das Notas Comerciais emitidas pelos Devedores, representados pelos Documentos Comprobatórios, conforme o caso, detidas pela Fundo contra os Devedores</t>
        </is>
      </c>
      <c r="BR66" s="74" t="inlineStr">
        <is>
          <t>cedente: IMG_8706.JPG | tipo_recebivel: https://fnet.bmfbovespa.com.br/fnet/publico/downloadDocumento?id=852325</t>
        </is>
      </c>
      <c r="BS66" s="74" t="inlineStr">
        <is>
          <t>manual_aplicado</t>
        </is>
      </c>
      <c r="BT66" s="74" t="inlineStr">
        <is>
          <t>OBS continua fora da foto após a descrição legível.</t>
        </is>
      </c>
      <c r="BU66" s="74" t="inlineStr">
        <is>
          <t>852325</t>
        </is>
      </c>
      <c r="BV66" s="74" t="inlineStr">
        <is>
          <t>2025-02-25</t>
        </is>
      </c>
      <c r="BW66" s="74" t="inlineStr">
        <is>
          <t>18</t>
        </is>
      </c>
      <c r="BX66" s="74" t="inlineStr">
        <is>
          <t>revisto — mínimo júnior localizado</t>
        </is>
      </c>
      <c r="BY66" s="74" t="inlineStr">
        <is>
          <t>FundosNet/B3; documento 852325; referência 2025-02-25; p. 18</t>
        </is>
      </c>
      <c r="BZ66" s="74" t="inlineStr">
        <is>
          <t>Cotas subordinadas / PL, mínimo de 33,33%; estrutura com uma única classe residual.</t>
        </is>
      </c>
      <c r="CA66" s="74" t="inlineStr">
        <is>
          <t>originador; sacado/devedor</t>
        </is>
      </c>
      <c r="CB66" s="74" t="inlineStr">
        <is>
          <t>completo_para_folga</t>
        </is>
      </c>
    </row>
    <row r="67" ht="31.5" customHeight="1">
      <c r="A67" s="75" t="n">
        <v>65</v>
      </c>
      <c r="B67" s="142" t="n">
        <v>58349979000198</v>
      </c>
      <c r="C67" s="75" t="inlineStr">
        <is>
          <t>58.349.979/0001-98</t>
        </is>
      </c>
      <c r="D67" s="75" t="inlineStr">
        <is>
          <t>VOLKSWAGEN TERA FUNDO DE INVESTIMENTO EM DIREITOS CREDITÓRIOS RECEBÍVEIS COMERCIAIS RESP LTDA</t>
        </is>
      </c>
      <c r="E67" s="75" t="inlineStr">
        <is>
          <t>VOLKSWAGEN TERA FIDC SEGMENTO RECEBIVEIS COMERCIAI</t>
        </is>
      </c>
      <c r="F67" s="75" t="inlineStr">
        <is>
          <t>Carteira 101</t>
        </is>
      </c>
      <c r="G67" s="75" t="inlineStr">
        <is>
          <t>2026-06</t>
        </is>
      </c>
      <c r="H67" s="75" t="inlineStr">
        <is>
          <t>localizado</t>
        </is>
      </c>
      <c r="I67" s="143" t="n">
        <v>1085890404.56</v>
      </c>
      <c r="J67" s="143" t="n">
        <v>1064776252.46612</v>
      </c>
      <c r="K67" s="143" t="n">
        <v>268225044.5175</v>
      </c>
      <c r="L67" s="144" t="inlineStr">
        <is>
          <t>N/D</t>
        </is>
      </c>
      <c r="M67" s="75" t="inlineStr">
        <is>
          <t>N/D</t>
        </is>
      </c>
      <c r="N67" s="144" t="n">
        <v>0.25</v>
      </c>
      <c r="O67" s="144" t="inlineStr">
        <is>
          <t>N/D</t>
        </is>
      </c>
      <c r="P67" s="144" t="inlineStr">
        <is>
          <t>N/D</t>
        </is>
      </c>
      <c r="Q67" s="144" t="n">
        <v>0.25</v>
      </c>
      <c r="R67" s="144" t="inlineStr">
        <is>
          <t>N/D</t>
        </is>
      </c>
      <c r="S67" s="144" t="n">
        <v>0.25</v>
      </c>
      <c r="T67" s="75" t="inlineStr">
        <is>
          <t>25,0%</t>
        </is>
      </c>
      <c r="U67" s="75" t="inlineStr">
        <is>
          <t>junior_pl</t>
        </is>
      </c>
      <c r="V67" s="75" t="inlineStr">
        <is>
          <t>direto no regulamento</t>
        </is>
      </c>
      <c r="W67" s="75" t="b">
        <v>1</v>
      </c>
      <c r="X67" s="75" t="inlineStr">
        <is>
          <t>Estrutura com uma única classe subordinada; métrica atual e piso usam o total subordinado sobre o PL.</t>
        </is>
      </c>
      <c r="Y67" s="75" t="b">
        <v>0</v>
      </c>
      <c r="Z67" s="144" t="inlineStr">
        <is>
          <t>N/D</t>
        </is>
      </c>
      <c r="AA67" s="144" t="inlineStr">
        <is>
          <t>N/D</t>
        </is>
      </c>
      <c r="AB67" s="75" t="inlineStr">
        <is>
          <t>não medido</t>
        </is>
      </c>
      <c r="AC67" s="75" t="inlineStr">
        <is>
          <t>Agro, Indústria e Comércio</t>
        </is>
      </c>
      <c r="AD67" s="75" t="inlineStr">
        <is>
          <t>Recebíveis Comerciais</t>
        </is>
      </c>
      <c r="AE67" s="75" t="inlineStr">
        <is>
          <t>Agro / Revenda</t>
        </is>
      </c>
      <c r="AF67" s="75" t="inlineStr">
        <is>
          <t>Agro / Revenda</t>
        </is>
      </c>
      <c r="AG67" s="75" t="inlineStr">
        <is>
          <t>Agro / Revenda</t>
        </is>
      </c>
      <c r="AH67" s="75" t="inlineStr">
        <is>
          <t>Risco Corporativo</t>
        </is>
      </c>
      <c r="AI67" s="75" t="inlineStr">
        <is>
          <t>Recebíveis comerciais Volkswagen</t>
        </is>
      </c>
      <c r="AJ67" s="75" t="b">
        <v>1</v>
      </c>
      <c r="AK67" s="75" t="inlineStr">
        <is>
          <t>APLICAR_ALTA</t>
        </is>
      </c>
      <c r="AL67" s="75" t="inlineStr">
        <is>
          <t>Clientes devem créditos pela compra de produtos Volkswagen</t>
        </is>
      </c>
      <c r="AM67" s="75" t="inlineStr">
        <is>
          <t>regulamento + IMG_8706</t>
        </is>
      </c>
      <c r="AN67" s="75" t="inlineStr">
        <is>
          <t>Não</t>
        </is>
      </c>
      <c r="AO67" s="75" t="inlineStr">
        <is>
          <t>regulamento + IMG_8706</t>
        </is>
      </c>
      <c r="AP67" s="75" t="b">
        <v>0</v>
      </c>
      <c r="AQ67" s="75" t="inlineStr">
        <is>
          <t>Risco Corporativo</t>
        </is>
      </c>
      <c r="AR67" s="75" t="inlineStr">
        <is>
          <t>Agro / Revenda</t>
        </is>
      </c>
      <c r="AS67" s="75" t="b">
        <v>1</v>
      </c>
      <c r="AT67" s="75" t="inlineStr">
        <is>
          <t>regulamento + IMG_8706</t>
        </is>
      </c>
      <c r="AU67" s="75" t="inlineStr">
        <is>
          <t>Clientes devem créditos pela compra de produtos Volkswagen</t>
        </is>
      </c>
      <c r="AV67" s="75" t="inlineStr">
        <is>
          <t>N/D</t>
        </is>
      </c>
      <c r="AW67" s="75" t="b">
        <v>0</v>
      </c>
      <c r="AX67" s="75" t="inlineStr">
        <is>
          <t>N/D</t>
        </is>
      </c>
      <c r="AY67" s="75" t="inlineStr">
        <is>
          <t>sem benchmark confiável</t>
        </is>
      </c>
      <c r="AZ67" s="144" t="inlineStr">
        <is>
          <t>N/D</t>
        </is>
      </c>
      <c r="BA67" s="75" t="b">
        <v>0</v>
      </c>
      <c r="BB67" s="145" t="n">
        <v>0</v>
      </c>
      <c r="BC67" s="143" t="n">
        <v>1000</v>
      </c>
      <c r="BD67" s="75" t="inlineStr">
        <is>
          <t>Cotas Seniores: R$1.000,00</t>
        </is>
      </c>
      <c r="BE67" s="75" t="inlineStr">
        <is>
          <t>preço/valor unitário de emissão</t>
        </is>
      </c>
      <c r="BF67" s="75" t="inlineStr">
        <is>
          <t>Cotas Seniores</t>
        </is>
      </c>
      <c r="BG67" s="75" t="inlineStr">
        <is>
          <t>28/01/2025</t>
        </is>
      </c>
      <c r="BH67" s="75" t="inlineStr">
        <is>
          <t>826212</t>
        </is>
      </c>
      <c r="BI67" s="75" t="inlineStr">
        <is>
          <t>https://fnet.bmfbovespa.com.br/fnet/publico/downloadDocumento?id=826212</t>
        </is>
      </c>
      <c r="BJ67" s="75" t="inlineStr">
        <is>
          <t>localizado documentalmente</t>
        </is>
      </c>
      <c r="BK67" s="75" t="b">
        <v>0</v>
      </c>
      <c r="BL67" s="75" t="inlineStr">
        <is>
          <t>Volkswagen do Brasil S.A.</t>
        </is>
      </c>
      <c r="BM67" s="75" t="inlineStr">
        <is>
          <t>cedente</t>
        </is>
      </c>
      <c r="BN67" s="75" t="inlineStr">
        <is>
          <t>N/D</t>
        </is>
      </c>
      <c r="BO67" s="75" t="inlineStr">
        <is>
          <t>a VOLKSWAGEN DO BRASIL INDÚSTRIA DE VEÍCULOS AUTOMOTORES LTDA., sociedade empresária, com sede na cidade de São Bernardo do Campo, Estado de São Paulo, na Estrada Marginal da Via Anchieta, s/n, Km 23,5, CEP 09823-901, inscrita no CNPJ sob</t>
        </is>
      </c>
      <c r="BP67" s="75" t="inlineStr">
        <is>
          <t>os clientes da Cedente que tenham adquirido Produtos e sejam devedores dos Direitos Creditórios , compostos por Devedores Concentrados e Devedores Pulverizados</t>
        </is>
      </c>
      <c r="BQ67" s="75" t="inlineStr">
        <is>
          <t>Direitos creditórios</t>
        </is>
      </c>
      <c r="BR67" s="75" t="inlineStr">
        <is>
          <t>cedente: https://fnet.bmfbovespa.com.br/fnet/publico/downloadDocumento?id=826212 | sacado_devedor: https://fnet.bmfbovespa.com.br/fnet/publico/downloadDocumento?id=826212 | tipo_recebivel: IMG_8706.JPG</t>
        </is>
      </c>
      <c r="BS67" s="75" t="inlineStr">
        <is>
          <t>manual_aplicado</t>
        </is>
      </c>
      <c r="BT67" s="75" t="inlineStr">
        <is>
          <t>OBS da foto: concentração grande com LM e Unidas, ambas com tendência de rating estável. Denominação cortada.</t>
        </is>
      </c>
      <c r="BU67" s="75" t="inlineStr">
        <is>
          <t>826213</t>
        </is>
      </c>
      <c r="BV67" s="75" t="inlineStr">
        <is>
          <t>2025-01-28</t>
        </is>
      </c>
      <c r="BW67" s="75" t="inlineStr">
        <is>
          <t>94</t>
        </is>
      </c>
      <c r="BX67" s="75" t="inlineStr">
        <is>
          <t>revisto — mínimo júnior localizado</t>
        </is>
      </c>
      <c r="BY67" s="75" t="inlineStr">
        <is>
          <t>FundosNet/B3; documento 826213; referência 2025-01-28; p. 94</t>
        </is>
      </c>
      <c r="BZ67" s="75" t="inlineStr">
        <is>
          <t>Cotas subordinadas / PL, mínimo de 25,0%; estrutura com uma única classe residual.</t>
        </is>
      </c>
      <c r="CA67" s="75" t="inlineStr">
        <is>
          <t>Sub/PL atual; originador</t>
        </is>
      </c>
      <c r="CB67" s="75" t="inlineStr">
        <is>
          <t>sub_pl_atual_ausente</t>
        </is>
      </c>
    </row>
    <row r="68" ht="31.5" customHeight="1">
      <c r="A68" s="74" t="n">
        <v>66</v>
      </c>
      <c r="B68" s="138" t="n">
        <v>54559035000194</v>
      </c>
      <c r="C68" s="74" t="inlineStr">
        <is>
          <t>54.559.035/0001-94</t>
        </is>
      </c>
      <c r="D68" s="74" t="inlineStr">
        <is>
          <t>ESTRATÉGIA VINCULADA I FUNDO DE INVESTIMENTO EM DIREITOS CREDITÓRIOS - RESPONSABILIDADE LIMITADA</t>
        </is>
      </c>
      <c r="E68" s="74" t="inlineStr">
        <is>
          <t>FUNDO DE INVESTIMENTO EM DIREITOS CREDITORIOS RESP</t>
        </is>
      </c>
      <c r="F68" s="74" t="inlineStr">
        <is>
          <t>Carteira 101</t>
        </is>
      </c>
      <c r="G68" s="74" t="inlineStr">
        <is>
          <t>2026-06</t>
        </is>
      </c>
      <c r="H68" s="74" t="inlineStr">
        <is>
          <t>localizado</t>
        </is>
      </c>
      <c r="I68" s="139" t="n">
        <v>97953864.09999999</v>
      </c>
      <c r="J68" s="139" t="n">
        <v>96388955.04580168</v>
      </c>
      <c r="K68" s="139" t="n">
        <v>12316754.23420504</v>
      </c>
      <c r="L68" s="140" t="inlineStr">
        <is>
          <t>N/D</t>
        </is>
      </c>
      <c r="M68" s="74" t="inlineStr">
        <is>
          <t>N/D</t>
        </is>
      </c>
      <c r="N68" s="140" t="n">
        <v>0.1</v>
      </c>
      <c r="O68" s="140" t="inlineStr">
        <is>
          <t>N/D</t>
        </is>
      </c>
      <c r="P68" s="140" t="inlineStr">
        <is>
          <t>N/D</t>
        </is>
      </c>
      <c r="Q68" s="140" t="n">
        <v>0.1</v>
      </c>
      <c r="R68" s="140" t="inlineStr">
        <is>
          <t>N/D</t>
        </is>
      </c>
      <c r="S68" s="140" t="n">
        <v>0.1</v>
      </c>
      <c r="T68" s="74" t="inlineStr">
        <is>
          <t>10,0%</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inlineStr">
        <is>
          <t>N/D</t>
        </is>
      </c>
      <c r="AA68" s="140" t="inlineStr">
        <is>
          <t>N/D</t>
        </is>
      </c>
      <c r="AB68" s="74" t="inlineStr">
        <is>
          <t>não medido</t>
        </is>
      </c>
      <c r="AC68" s="74" t="inlineStr">
        <is>
          <t>Financeiro</t>
        </is>
      </c>
      <c r="AD68" s="74" t="inlineStr">
        <is>
          <t>Multicarteira Financeiro</t>
        </is>
      </c>
      <c r="AE68" s="74" t="inlineStr">
        <is>
          <t>Financeiro</t>
        </is>
      </c>
      <c r="AF68" s="74" t="inlineStr">
        <is>
          <t>Financeiro</t>
        </is>
      </c>
      <c r="AG68" s="74" t="inlineStr">
        <is>
          <t>Financeiro</t>
        </is>
      </c>
      <c r="AH68" s="74" t="inlineStr">
        <is>
          <t>Financeiro</t>
        </is>
      </c>
      <c r="AI68" s="74" t="inlineStr">
        <is>
          <t>CDB Banco IBM vinculado a contratos de leasing</t>
        </is>
      </c>
      <c r="AJ68" s="74" t="b">
        <v>0</v>
      </c>
      <c r="AK68" s="74" t="inlineStr">
        <is>
          <t>MANTER_ALTA</t>
        </is>
      </c>
      <c r="AL68" s="74" t="inlineStr">
        <is>
          <t>Obrigação imediata é CDB do Banco IBM</t>
        </is>
      </c>
      <c r="AM68" s="74" t="inlineStr">
        <is>
          <t>regulamento 634437</t>
        </is>
      </c>
      <c r="AN68" s="74" t="inlineStr">
        <is>
          <t>Não</t>
        </is>
      </c>
      <c r="AO68" s="74" t="inlineStr">
        <is>
          <t>regulamento 634437</t>
        </is>
      </c>
      <c r="AP68" s="74" t="b">
        <v>0</v>
      </c>
      <c r="AQ68" s="74" t="inlineStr">
        <is>
          <t>Financeiro</t>
        </is>
      </c>
      <c r="AR68" s="74" t="inlineStr">
        <is>
          <t>Financeiro</t>
        </is>
      </c>
      <c r="AS68" s="74" t="b">
        <v>0</v>
      </c>
      <c r="AT68" s="74" t="inlineStr">
        <is>
          <t>N/D</t>
        </is>
      </c>
      <c r="AU68" s="74" t="inlineStr">
        <is>
          <t>N/D</t>
        </is>
      </c>
      <c r="AV68" s="74" t="inlineStr">
        <is>
          <t>N/D</t>
        </is>
      </c>
      <c r="AW68" s="74" t="b">
        <v>0</v>
      </c>
      <c r="AX68" s="74" t="inlineStr">
        <is>
          <t>N/D</t>
        </is>
      </c>
      <c r="AY68" s="74" t="inlineStr">
        <is>
          <t>sem benchmark confiável</t>
        </is>
      </c>
      <c r="AZ68" s="140" t="inlineStr">
        <is>
          <t>N/D</t>
        </is>
      </c>
      <c r="BA68" s="74" t="b">
        <v>1</v>
      </c>
      <c r="BB68" s="141" t="n">
        <v>12</v>
      </c>
      <c r="BC68" s="139" t="n">
        <v>1</v>
      </c>
      <c r="BD68" s="74" t="inlineStr">
        <is>
          <t>Cotas Seniores: R$ 1,00 | Cotas Subordinadas: R$1,00 | R$ 1,00 | cotas subordinadas júnior: R$ 1,00</t>
        </is>
      </c>
      <c r="BE68" s="74" t="inlineStr">
        <is>
          <t>preço/valor unitário de emissão | valor nominal unitário (VNU)</t>
        </is>
      </c>
      <c r="BF68" s="74" t="inlineStr">
        <is>
          <t>Cotas Seniores | Cotas Subordinadas | cotas subordinadas júnior</t>
        </is>
      </c>
      <c r="BG68" s="74" t="inlineStr">
        <is>
          <t>2024-04-05</t>
        </is>
      </c>
      <c r="BH68" s="74" t="inlineStr">
        <is>
          <t>634437</t>
        </is>
      </c>
      <c r="BI68" s="74" t="inlineStr">
        <is>
          <t>https://fnet.bmfbovespa.com.br/fnet/publico/downloadDocumento?id=634437</t>
        </is>
      </c>
      <c r="BJ68" s="74" t="inlineStr">
        <is>
          <t>localizado documentalmente — múltiplos valores/classes</t>
        </is>
      </c>
      <c r="BK68" s="74" t="b">
        <v>1</v>
      </c>
      <c r="BL68" s="74" t="inlineStr">
        <is>
          <t>Banco IBM</t>
        </is>
      </c>
      <c r="BM68" s="74" t="inlineStr">
        <is>
          <t>cedente</t>
        </is>
      </c>
      <c r="BN68" s="74" t="inlineStr">
        <is>
          <t>N/D</t>
        </is>
      </c>
      <c r="BO68" s="74" t="inlineStr">
        <is>
          <t>Banco IBM</t>
        </is>
      </c>
      <c r="BP68" s="74" t="inlineStr">
        <is>
          <t>N/D</t>
        </is>
      </c>
      <c r="BQ68"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68" s="74" t="inlineStr">
        <is>
          <t>cedente: IMG_8706.JPG | tipo_recebivel: https://fnet.bmfbovespa.com.br/fnet/publico/downloadDocumento?id=634437</t>
        </is>
      </c>
      <c r="BS68" s="74" t="inlineStr">
        <is>
          <t>manual_aplicado</t>
        </is>
      </c>
      <c r="BT68" s="74" t="inlineStr">
        <is>
          <t>N/D</t>
        </is>
      </c>
      <c r="BU68" s="74" t="inlineStr">
        <is>
          <t>634463</t>
        </is>
      </c>
      <c r="BV68" s="74" t="inlineStr">
        <is>
          <t>2024-04-05</t>
        </is>
      </c>
      <c r="BW68" s="74" t="inlineStr">
        <is>
          <t>50</t>
        </is>
      </c>
      <c r="BX68" s="74" t="inlineStr">
        <is>
          <t>revisto — mínimo júnior localizado</t>
        </is>
      </c>
      <c r="BY68" s="74" t="inlineStr">
        <is>
          <t>FundosNet/B3; documento 634463; referência 2024-04-05; p. 50</t>
        </is>
      </c>
      <c r="BZ68" s="74" t="inlineStr">
        <is>
          <t>Cotas subordinadas júnior / PL, mínimo de 10,0%; estrutura com cotas seniores e juniores.</t>
        </is>
      </c>
      <c r="CA68" s="74" t="inlineStr">
        <is>
          <t>Sub/PL atual; originador; sacado/devedor</t>
        </is>
      </c>
      <c r="CB68" s="74" t="inlineStr">
        <is>
          <t>sub_pl_atual_ausente</t>
        </is>
      </c>
    </row>
    <row r="69" ht="31.5" customHeight="1">
      <c r="A69" s="75" t="n">
        <v>67</v>
      </c>
      <c r="B69" s="142" t="n">
        <v>55070804000159</v>
      </c>
      <c r="C69" s="75" t="inlineStr">
        <is>
          <t>55.070.804/0001-59</t>
        </is>
      </c>
      <c r="D69" s="75" t="inlineStr">
        <is>
          <t>ESTRATÉGIA VINCULADA II FUNDO DE INVESTIMENTO EM DIREITOS CREDITÓRIOS - RESPONSABILIDADE LIMITADA</t>
        </is>
      </c>
      <c r="E69" s="75" t="inlineStr">
        <is>
          <t>ESTRATEGIA VINCULADA II FUNDO DE INVESTIMENTO EM D</t>
        </is>
      </c>
      <c r="F69" s="75" t="inlineStr">
        <is>
          <t>Carteira 101</t>
        </is>
      </c>
      <c r="G69" s="75" t="inlineStr">
        <is>
          <t>2026-06</t>
        </is>
      </c>
      <c r="H69" s="75" t="inlineStr">
        <is>
          <t>localizado</t>
        </is>
      </c>
      <c r="I69" s="143" t="inlineStr">
        <is>
          <t>N/D</t>
        </is>
      </c>
      <c r="J69" s="143" t="inlineStr">
        <is>
          <t>N/D</t>
        </is>
      </c>
      <c r="K69" s="143" t="inlineStr">
        <is>
          <t>N/D</t>
        </is>
      </c>
      <c r="L69" s="144" t="inlineStr">
        <is>
          <t>N/D</t>
        </is>
      </c>
      <c r="M69" s="75" t="inlineStr">
        <is>
          <t>PL oficial ausente em 2026-06</t>
        </is>
      </c>
      <c r="N69" s="144" t="n">
        <v>0.1</v>
      </c>
      <c r="O69" s="144" t="inlineStr">
        <is>
          <t>N/D</t>
        </is>
      </c>
      <c r="P69" s="144" t="inlineStr">
        <is>
          <t>N/D</t>
        </is>
      </c>
      <c r="Q69" s="144" t="n">
        <v>0.1</v>
      </c>
      <c r="R69" s="144" t="inlineStr">
        <is>
          <t>N/D</t>
        </is>
      </c>
      <c r="S69" s="144" t="n">
        <v>0.1</v>
      </c>
      <c r="T69" s="75" t="inlineStr">
        <is>
          <t>10,0%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Financeiro</t>
        </is>
      </c>
      <c r="AD69" s="75" t="inlineStr">
        <is>
          <t>Multicarteira Financeiro</t>
        </is>
      </c>
      <c r="AE69" s="75" t="inlineStr">
        <is>
          <t>Financeiro</t>
        </is>
      </c>
      <c r="AF69" s="75" t="inlineStr">
        <is>
          <t>Financeiro</t>
        </is>
      </c>
      <c r="AG69" s="75" t="inlineStr">
        <is>
          <t>Financeiro</t>
        </is>
      </c>
      <c r="AH69" s="75" t="inlineStr">
        <is>
          <t>Financeiro</t>
        </is>
      </c>
      <c r="AI69" s="75" t="inlineStr">
        <is>
          <t>CDB Banco IBM vinculado a contratos de leasing</t>
        </is>
      </c>
      <c r="AJ69" s="75" t="b">
        <v>0</v>
      </c>
      <c r="AK69" s="75" t="inlineStr">
        <is>
          <t>MANTER_ALTA</t>
        </is>
      </c>
      <c r="AL69" s="75" t="inlineStr">
        <is>
          <t>Obrigação imediata é CDB do Banco IBM</t>
        </is>
      </c>
      <c r="AM69" s="75" t="inlineStr">
        <is>
          <t>regulamento 667195</t>
        </is>
      </c>
      <c r="AN69" s="75" t="inlineStr">
        <is>
          <t>Não</t>
        </is>
      </c>
      <c r="AO69" s="75" t="inlineStr">
        <is>
          <t>regulamento 667195</t>
        </is>
      </c>
      <c r="AP69" s="75" t="b">
        <v>0</v>
      </c>
      <c r="AQ69" s="75" t="inlineStr">
        <is>
          <t>Financeiro</t>
        </is>
      </c>
      <c r="AR69" s="75" t="inlineStr">
        <is>
          <t>Financeiro</t>
        </is>
      </c>
      <c r="AS69" s="75" t="b">
        <v>0</v>
      </c>
      <c r="AT69" s="75" t="inlineStr">
        <is>
          <t>N/D</t>
        </is>
      </c>
      <c r="AU69" s="75" t="inlineStr">
        <is>
          <t>N/D</t>
        </is>
      </c>
      <c r="AV69" s="75" t="inlineStr">
        <is>
          <t>N/D</t>
        </is>
      </c>
      <c r="AW69" s="75" t="b">
        <v>0</v>
      </c>
      <c r="AX69" s="75" t="inlineStr">
        <is>
          <t>N/D</t>
        </is>
      </c>
      <c r="AY69" s="75" t="inlineStr">
        <is>
          <t>sem benchmark confiável</t>
        </is>
      </c>
      <c r="AZ69" s="144" t="inlineStr">
        <is>
          <t>N/D</t>
        </is>
      </c>
      <c r="BA69" s="75" t="b">
        <v>1</v>
      </c>
      <c r="BB69" s="145" t="n">
        <v>12</v>
      </c>
      <c r="BC69" s="143" t="n">
        <v>1</v>
      </c>
      <c r="BD69" s="75" t="inlineStr">
        <is>
          <t>Cotas Seniores: R$ 1,00 | Cotas Subordinadas Júnior: R$ 1,00</t>
        </is>
      </c>
      <c r="BE69" s="75" t="inlineStr">
        <is>
          <t>preço/valor unitário de emissão</t>
        </is>
      </c>
      <c r="BF69" s="75" t="inlineStr">
        <is>
          <t>Cotas Seniores | Cotas Subordinadas Júnior</t>
        </is>
      </c>
      <c r="BG69" s="75" t="inlineStr">
        <is>
          <t>2024-05-22</t>
        </is>
      </c>
      <c r="BH69" s="75" t="inlineStr">
        <is>
          <t>667195</t>
        </is>
      </c>
      <c r="BI69" s="75" t="inlineStr">
        <is>
          <t>https://fnet.bmfbovespa.com.br/fnet/publico/downloadDocumento?id=667195</t>
        </is>
      </c>
      <c r="BJ69" s="75" t="inlineStr">
        <is>
          <t>localizado documentalmente — múltiplos valores/classes</t>
        </is>
      </c>
      <c r="BK69" s="75" t="b">
        <v>1</v>
      </c>
      <c r="BL69" s="75" t="inlineStr">
        <is>
          <t>Banco IBM</t>
        </is>
      </c>
      <c r="BM69" s="75" t="inlineStr">
        <is>
          <t>cedente</t>
        </is>
      </c>
      <c r="BN69" s="75" t="inlineStr">
        <is>
          <t>N/D</t>
        </is>
      </c>
      <c r="BO69"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69" s="75" t="inlineStr">
        <is>
          <t>N/D</t>
        </is>
      </c>
      <c r="BQ69"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69" s="75" t="inlineStr">
        <is>
          <t>cedente: https://fnet.bmfbovespa.com.br/fnet/publico/downloadDocumento?id=667195 | tipo_recebivel: https://fnet.bmfbovespa.com.br/fnet/publico/downloadDocumento?id=667195</t>
        </is>
      </c>
      <c r="BS69" s="75" t="inlineStr">
        <is>
          <t>manual_aplicado</t>
        </is>
      </c>
      <c r="BT69" s="75" t="inlineStr">
        <is>
          <t>Denominação cortada pela largura da coluna na foto.</t>
        </is>
      </c>
      <c r="BU69" s="75" t="inlineStr">
        <is>
          <t>667195</t>
        </is>
      </c>
      <c r="BV69" s="75" t="inlineStr">
        <is>
          <t>2024-05-22</t>
        </is>
      </c>
      <c r="BW69" s="75" t="inlineStr">
        <is>
          <t>57</t>
        </is>
      </c>
      <c r="BX69" s="75" t="inlineStr">
        <is>
          <t>revisto — mínimo júnior localizado</t>
        </is>
      </c>
      <c r="BY69" s="75" t="inlineStr">
        <is>
          <t>FundosNet/B3; documento 667195; referência 2024-05-22; p. 57</t>
        </is>
      </c>
      <c r="BZ69" s="75" t="inlineStr">
        <is>
          <t>Cotas subordinadas júnior / PL, mínimo de 10,0%; estrutura com cotas seniores e juniores.</t>
        </is>
      </c>
      <c r="CA69" s="75" t="inlineStr">
        <is>
          <t>PL atual; Sub/PL atual; originador; sacado/devedor</t>
        </is>
      </c>
      <c r="CB69" s="75" t="inlineStr">
        <is>
          <t>sub_pl_atual_ausente</t>
        </is>
      </c>
    </row>
    <row r="70" ht="31.5" customHeight="1">
      <c r="A70" s="74" t="n">
        <v>68</v>
      </c>
      <c r="B70" s="138" t="n">
        <v>43866348000179</v>
      </c>
      <c r="C70" s="74" t="inlineStr">
        <is>
          <t>43.866.348/0001-79</t>
        </is>
      </c>
      <c r="D70" s="74" t="inlineStr">
        <is>
          <t>FUNDO DE INVESTIMENTO EM DIREITOS CREDITÓRIOS OPEA AGRO SUMITOMO CHEMICAL RESP LIMITADA</t>
        </is>
      </c>
      <c r="E70" s="74" t="inlineStr">
        <is>
          <t>FUNDO DE INVESTIMENTO EM DIREITOS CREDITORIOS OPEA</t>
        </is>
      </c>
      <c r="F70" s="74" t="inlineStr">
        <is>
          <t>Carteira 101</t>
        </is>
      </c>
      <c r="G70" s="74" t="inlineStr">
        <is>
          <t>2026-06</t>
        </is>
      </c>
      <c r="H70" s="74" t="inlineStr">
        <is>
          <t>localizado</t>
        </is>
      </c>
      <c r="I70" s="139" t="n">
        <v>256043621.64</v>
      </c>
      <c r="J70" s="139" t="n">
        <v>256043622.9688489</v>
      </c>
      <c r="K70" s="139" t="n">
        <v>167388333.9688489</v>
      </c>
      <c r="L70" s="140" t="n">
        <v>0.6537492826288742</v>
      </c>
      <c r="M70" s="74" t="inlineStr">
        <is>
          <t>Calculado com classes reportadas e PL oficial reconciliado</t>
        </is>
      </c>
      <c r="N70" s="140" t="n">
        <v>0.05</v>
      </c>
      <c r="O70" s="140" t="inlineStr">
        <is>
          <t>N/D</t>
        </is>
      </c>
      <c r="P70" s="140" t="inlineStr">
        <is>
          <t>N/D</t>
        </is>
      </c>
      <c r="Q70" s="140" t="inlineStr">
        <is>
          <t>N/D</t>
        </is>
      </c>
      <c r="R70" s="140" t="inlineStr">
        <is>
          <t>N/D</t>
        </is>
      </c>
      <c r="S70" s="140" t="n">
        <v>0.05</v>
      </c>
      <c r="T70" s="74" t="inlineStr">
        <is>
          <t>N/D</t>
        </is>
      </c>
      <c r="U70" s="74" t="inlineStr">
        <is>
          <t>junior_pl</t>
        </is>
      </c>
      <c r="V70" s="74" t="inlineStr">
        <is>
          <t>direto no regulamento</t>
        </is>
      </c>
      <c r="W70" s="74" t="b">
        <v>0</v>
      </c>
      <c r="X70" s="74" t="inlineStr">
        <is>
          <t>Mínimo júnior isolado; a subordinação atual disponível agrega todas as classes subordinadas.</t>
        </is>
      </c>
      <c r="Y70" s="74" t="b">
        <v>0</v>
      </c>
      <c r="Z70" s="140" t="inlineStr">
        <is>
          <t>N/D</t>
        </is>
      </c>
      <c r="AA70" s="140" t="inlineStr">
        <is>
          <t>N/D</t>
        </is>
      </c>
      <c r="AB70" s="74" t="inlineStr">
        <is>
          <t>não medido</t>
        </is>
      </c>
      <c r="AC70" s="74" t="inlineStr">
        <is>
          <t>Agro, Indústria e Comércio</t>
        </is>
      </c>
      <c r="AD70" s="74" t="inlineStr">
        <is>
          <t>Multicarteira Agro, Indústria e Comércio</t>
        </is>
      </c>
      <c r="AE70" s="74" t="inlineStr">
        <is>
          <t>Agro / Revenda</t>
        </is>
      </c>
      <c r="AF70" s="74" t="inlineStr">
        <is>
          <t>Agro / Revenda</t>
        </is>
      </c>
      <c r="AG70" s="74" t="inlineStr">
        <is>
          <t>Agro / Revenda</t>
        </is>
      </c>
      <c r="AH70" s="74" t="inlineStr">
        <is>
          <t>Agro / Revenda</t>
        </is>
      </c>
      <c r="AI70" s="74" t="inlineStr">
        <is>
          <t>NP, CPR-F e CDCA da cadeia de insumos</t>
        </is>
      </c>
      <c r="AJ70" s="74" t="b">
        <v>0</v>
      </c>
      <c r="AK70" s="74" t="inlineStr">
        <is>
          <t>MANTER_ALTA</t>
        </is>
      </c>
      <c r="AL70" s="74" t="inlineStr">
        <is>
          <t>Instrumentos e emissores agro explícitos</t>
        </is>
      </c>
      <c r="AM70" s="74" t="inlineStr">
        <is>
          <t>regulamento 741138</t>
        </is>
      </c>
      <c r="AN70" s="74" t="inlineStr">
        <is>
          <t>Não</t>
        </is>
      </c>
      <c r="AO70" s="74" t="inlineStr">
        <is>
          <t>regulamento 741138</t>
        </is>
      </c>
      <c r="AP70" s="74" t="b">
        <v>0</v>
      </c>
      <c r="AQ70" s="74" t="inlineStr">
        <is>
          <t>Agro / Revenda</t>
        </is>
      </c>
      <c r="AR70" s="74" t="inlineStr">
        <is>
          <t>Agro / Revenda</t>
        </is>
      </c>
      <c r="AS70" s="74" t="b">
        <v>0</v>
      </c>
      <c r="AT70" s="74" t="inlineStr">
        <is>
          <t>N/D</t>
        </is>
      </c>
      <c r="AU70" s="74" t="inlineStr">
        <is>
          <t>N/D</t>
        </is>
      </c>
      <c r="AV70" s="74" t="inlineStr">
        <is>
          <t>≥ 60%</t>
        </is>
      </c>
      <c r="AW70" s="74" t="b">
        <v>1</v>
      </c>
      <c r="AX70" s="74" t="inlineStr">
        <is>
          <t>incomparável</t>
        </is>
      </c>
      <c r="AY70" s="74" t="inlineStr">
        <is>
          <t>sem benchmark confiável</t>
        </is>
      </c>
      <c r="AZ70" s="140" t="inlineStr">
        <is>
          <t>N/D</t>
        </is>
      </c>
      <c r="BA70" s="74" t="b">
        <v>0</v>
      </c>
      <c r="BB70" s="141" t="n">
        <v>0</v>
      </c>
      <c r="BC70" s="139" t="n">
        <v>1</v>
      </c>
      <c r="BD70" s="74" t="inlineStr">
        <is>
          <t>Cotas Subordinadas: R$ 1,00</t>
        </is>
      </c>
      <c r="BE70" s="74" t="inlineStr">
        <is>
          <t>preço/valor unitário de emissão</t>
        </is>
      </c>
      <c r="BF70" s="74" t="inlineStr">
        <is>
          <t>Cotas Subordinadas</t>
        </is>
      </c>
      <c r="BG70" s="74" t="inlineStr">
        <is>
          <t>17/09/2024</t>
        </is>
      </c>
      <c r="BH70" s="74" t="inlineStr">
        <is>
          <t>741138</t>
        </is>
      </c>
      <c r="BI70" s="74" t="inlineStr">
        <is>
          <t>https://fnet.bmfbovespa.com.br/fnet/publico/downloadDocumento?id=741138</t>
        </is>
      </c>
      <c r="BJ70" s="74" t="inlineStr">
        <is>
          <t>localizado documentalmente</t>
        </is>
      </c>
      <c r="BK70" s="74" t="b">
        <v>0</v>
      </c>
      <c r="BL70" s="74" t="inlineStr">
        <is>
          <t>SUMITOMO</t>
        </is>
      </c>
      <c r="BM70" s="74" t="inlineStr">
        <is>
          <t>cedente</t>
        </is>
      </c>
      <c r="BN70" s="74" t="inlineStr">
        <is>
          <t>a Sumitomo</t>
        </is>
      </c>
      <c r="BO70" s="74" t="inlineStr">
        <is>
          <t>(i) a Sumitomo, cujas cessões não contarão com coobrigação</t>
        </is>
      </c>
      <c r="BP70" s="74" t="inlineStr">
        <is>
          <t>N/D</t>
        </is>
      </c>
      <c r="BQ70"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0" s="74" t="inlineStr">
        <is>
          <t>originador: https://fnet.bmfbovespa.com.br/fnet/publico/downloadDocumento?id=741138 | cedente: https://fnet.bmfbovespa.com.br/fnet/publico/downloadDocumento?id=741138 | tipo_recebivel: https://fnet.bmfbovespa.com.br/fnet/publico/downloadDocumento?id=741138</t>
        </is>
      </c>
      <c r="BS70" s="74" t="inlineStr">
        <is>
          <t>manual_aplicado</t>
        </is>
      </c>
      <c r="BT70" s="74" t="inlineStr">
        <is>
          <t>OBS literal: FIDC Sumitomo. Financia revendas e produtores.</t>
        </is>
      </c>
      <c r="BU70" s="74" t="inlineStr">
        <is>
          <t>741139</t>
        </is>
      </c>
      <c r="BV70" s="74" t="inlineStr">
        <is>
          <t>2024-09-17</t>
        </is>
      </c>
      <c r="BW70" s="74" t="inlineStr">
        <is>
          <t>81</t>
        </is>
      </c>
      <c r="BX70" s="74" t="inlineStr">
        <is>
          <t>revisto — mínimo júnior localizado</t>
        </is>
      </c>
      <c r="BY70" s="74" t="inlineStr">
        <is>
          <t>FundosNet/B3; documento 741139; referência 2024-09-17; p. 81</t>
        </is>
      </c>
      <c r="BZ70" s="74" t="inlineStr">
        <is>
          <t>Cotas subordinadas júnior / total das cotas, mínimo de 5,0%, mantido pelo valor atualizado.</t>
        </is>
      </c>
      <c r="CA70" s="74" t="inlineStr">
        <is>
          <t>sacado/devedor</t>
        </is>
      </c>
      <c r="CB70" s="74" t="inlineStr">
        <is>
          <t>estrutura_incomparavel</t>
        </is>
      </c>
    </row>
    <row r="71" ht="31.5" customHeight="1">
      <c r="A71" s="75" t="n">
        <v>69</v>
      </c>
      <c r="B71" s="142" t="n">
        <v>47936340000192</v>
      </c>
      <c r="C71" s="75" t="inlineStr">
        <is>
          <t>47.936.340/0001-92</t>
        </is>
      </c>
      <c r="D71" s="75" t="inlineStr">
        <is>
          <t>FUNDO DE INVESTIMENTO NAS CADEIAS PRODUTIVAS AGROINDUSTRIAIS OPEA AGRO INSUMOS RESPONSABILIDADE LIMI</t>
        </is>
      </c>
      <c r="E71" s="75" t="inlineStr">
        <is>
          <t>FUNDO DE INVESTIMENTO EM DIREITOS CREDITORIOS OPEA</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inlineStr">
        <is>
          <t>N/D</t>
        </is>
      </c>
      <c r="O71" s="144" t="inlineStr">
        <is>
          <t>N/D</t>
        </is>
      </c>
      <c r="P71" s="144" t="inlineStr">
        <is>
          <t>N/D</t>
        </is>
      </c>
      <c r="Q71" s="144" t="n">
        <v>0.25</v>
      </c>
      <c r="R71" s="144" t="inlineStr">
        <is>
          <t>N/D</t>
        </is>
      </c>
      <c r="S71" s="144" t="n">
        <v>0.25</v>
      </c>
      <c r="T71" s="75" t="inlineStr">
        <is>
          <t>25,0%*</t>
        </is>
      </c>
      <c r="U71" s="75" t="inlineStr">
        <is>
          <t>suporte_total_pl</t>
        </is>
      </c>
      <c r="V71" s="75" t="inlineStr">
        <is>
          <t>direto no regulamento</t>
        </is>
      </c>
      <c r="W71" s="75" t="b">
        <v>1</v>
      </c>
      <c r="X71" s="75" t="inlineStr">
        <is>
          <t>Suporte total ou combinado; não representa mínimo júnior isolado.</t>
        </is>
      </c>
      <c r="Y71" s="75" t="b">
        <v>1</v>
      </c>
      <c r="Z71" s="144" t="inlineStr">
        <is>
          <t>N/D</t>
        </is>
      </c>
      <c r="AA71" s="144" t="inlineStr">
        <is>
          <t>N/D</t>
        </is>
      </c>
      <c r="AB71" s="75" t="inlineStr">
        <is>
          <t>não medido</t>
        </is>
      </c>
      <c r="AC71" s="75" t="inlineStr">
        <is>
          <t>Agro, Indústria e Comércio</t>
        </is>
      </c>
      <c r="AD71" s="75" t="inlineStr">
        <is>
          <t>Recebíveis Comerciais</t>
        </is>
      </c>
      <c r="AE71" s="75" t="inlineStr">
        <is>
          <t>Agro / Revenda</t>
        </is>
      </c>
      <c r="AF71" s="75" t="inlineStr">
        <is>
          <t>Agro / Revenda</t>
        </is>
      </c>
      <c r="AG71" s="75" t="inlineStr">
        <is>
          <t>Agro / Revenda</t>
        </is>
      </c>
      <c r="AH71" s="75" t="inlineStr">
        <is>
          <t>Agro / Revenda</t>
        </is>
      </c>
      <c r="AI71" s="75" t="inlineStr">
        <is>
          <t>Insumos agrícolas, prazo safra BASF</t>
        </is>
      </c>
      <c r="AJ71" s="75" t="b">
        <v>0</v>
      </c>
      <c r="AK71" s="75" t="inlineStr">
        <is>
          <t>MANTER_ALTA</t>
        </is>
      </c>
      <c r="AL71" s="75" t="inlineStr">
        <is>
          <t>BASF e insumos agrícolas</t>
        </is>
      </c>
      <c r="AM71" s="75" t="inlineStr">
        <is>
          <t>IMG_8706</t>
        </is>
      </c>
      <c r="AN71" s="75" t="inlineStr">
        <is>
          <t>Não</t>
        </is>
      </c>
      <c r="AO71" s="75" t="inlineStr">
        <is>
          <t>IMG_8706</t>
        </is>
      </c>
      <c r="AP71" s="75" t="b">
        <v>0</v>
      </c>
      <c r="AQ71" s="75" t="inlineStr">
        <is>
          <t>Agro / Revenda</t>
        </is>
      </c>
      <c r="AR71" s="75" t="inlineStr">
        <is>
          <t>Agro / Revenda</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0</v>
      </c>
      <c r="BB71" s="145" t="n">
        <v>0</v>
      </c>
      <c r="BC71" s="143" t="n">
        <v>1000</v>
      </c>
      <c r="BD71" s="75" t="inlineStr">
        <is>
          <t>Cotas Subordinadas Mezanino: R$ 1.000,00</t>
        </is>
      </c>
      <c r="BE71" s="75" t="inlineStr">
        <is>
          <t>preço/valor unitário de emissão</t>
        </is>
      </c>
      <c r="BF71" s="75" t="inlineStr">
        <is>
          <t>Cotas Subordinadas Mezanino</t>
        </is>
      </c>
      <c r="BG71" s="75" t="inlineStr">
        <is>
          <t>2025-03-11</t>
        </is>
      </c>
      <c r="BH71" s="75" t="inlineStr">
        <is>
          <t>862072</t>
        </is>
      </c>
      <c r="BI71" s="75" t="inlineStr">
        <is>
          <t>https://fnet.bmfbovespa.com.br/fnet/publico/downloadDocumento?id=862072</t>
        </is>
      </c>
      <c r="BJ71" s="75" t="inlineStr">
        <is>
          <t>localizado documentalmente</t>
        </is>
      </c>
      <c r="BK71" s="75" t="b">
        <v>0</v>
      </c>
      <c r="BL71" s="75" t="inlineStr">
        <is>
          <t>BASF</t>
        </is>
      </c>
      <c r="BM71" s="75" t="inlineStr">
        <is>
          <t>cedente</t>
        </is>
      </c>
      <c r="BN71" s="75" t="inlineStr">
        <is>
          <t>N/D</t>
        </is>
      </c>
      <c r="BO71" s="75" t="inlineStr">
        <is>
          <t>BASF</t>
        </is>
      </c>
      <c r="BP71" s="75" t="inlineStr">
        <is>
          <t>N/D</t>
        </is>
      </c>
      <c r="BQ71" s="75" t="inlineStr">
        <is>
          <t>Insumos Agrícolas - prazo Safra</t>
        </is>
      </c>
      <c r="BR71" s="75" t="inlineStr">
        <is>
          <t>cedente: IMG_8706.JPG | tipo_recebivel: IMG_8706.JPG</t>
        </is>
      </c>
      <c r="BS71" s="75" t="inlineStr">
        <is>
          <t>manual_aplicado</t>
        </is>
      </c>
      <c r="BT71" s="75" t="inlineStr">
        <is>
          <t>N/D</t>
        </is>
      </c>
      <c r="BU71" s="75" t="inlineStr">
        <is>
          <t>801978</t>
        </is>
      </c>
      <c r="BV71" s="75" t="inlineStr">
        <is>
          <t>2025-03-11</t>
        </is>
      </c>
      <c r="BW71" s="75" t="inlineStr">
        <is>
          <t>4</t>
        </is>
      </c>
      <c r="BX71" s="75" t="inlineStr">
        <is>
          <t>revisto — suporte estrutural total localizado</t>
        </is>
      </c>
      <c r="BY71" s="75" t="inlineStr">
        <is>
          <t>FundosNet/B3; documento 801978; referência 2025-03-11; p. 4</t>
        </is>
      </c>
      <c r="BZ71" s="75" t="inlineStr">
        <is>
          <t>N/D</t>
        </is>
      </c>
      <c r="CA71" s="75" t="inlineStr">
        <is>
          <t>PL atual; Sub/PL atual; originador; sacado/devedor</t>
        </is>
      </c>
      <c r="CB71" s="75" t="inlineStr">
        <is>
          <t>sub_pl_atual_ausente</t>
        </is>
      </c>
    </row>
    <row r="72" ht="31.5" customHeight="1">
      <c r="A72" s="74" t="n">
        <v>70</v>
      </c>
      <c r="B72" s="138" t="n">
        <v>58291962000127</v>
      </c>
      <c r="C72" s="74" t="inlineStr">
        <is>
          <t>58.291.962/0001-27</t>
        </is>
      </c>
      <c r="D72" s="74" t="inlineStr">
        <is>
          <t>HELM FUNDO DE INVESTIMENTO NAS CADEIAS PRODUTIVAS DO AGRONEGÓCIO - RESPONSABILIDADE LIMITADA</t>
        </is>
      </c>
      <c r="E72" s="74" t="inlineStr">
        <is>
          <t>HELM FUNDO I E D C RESPONS</t>
        </is>
      </c>
      <c r="F72" s="74" t="inlineStr">
        <is>
          <t>Carteira 101</t>
        </is>
      </c>
      <c r="G72" s="74" t="inlineStr">
        <is>
          <t>2026-06</t>
        </is>
      </c>
      <c r="H72" s="74" t="inlineStr">
        <is>
          <t>localizado</t>
        </is>
      </c>
      <c r="I72" s="139" t="inlineStr">
        <is>
          <t>N/D</t>
        </is>
      </c>
      <c r="J72" s="139" t="inlineStr">
        <is>
          <t>N/D</t>
        </is>
      </c>
      <c r="K72" s="139" t="inlineStr">
        <is>
          <t>N/D</t>
        </is>
      </c>
      <c r="L72" s="140" t="inlineStr">
        <is>
          <t>N/D</t>
        </is>
      </c>
      <c r="M72" s="74" t="inlineStr">
        <is>
          <t>PL oficial ausente em 2026-06</t>
        </is>
      </c>
      <c r="N72" s="140" t="inlineStr">
        <is>
          <t>N/D</t>
        </is>
      </c>
      <c r="O72" s="140" t="inlineStr">
        <is>
          <t>N/D</t>
        </is>
      </c>
      <c r="P72" s="140" t="inlineStr">
        <is>
          <t>N/D</t>
        </is>
      </c>
      <c r="Q72" s="140" t="n">
        <v>0.2</v>
      </c>
      <c r="R72" s="140" t="inlineStr">
        <is>
          <t>N/D</t>
        </is>
      </c>
      <c r="S72" s="140" t="n">
        <v>0.2</v>
      </c>
      <c r="T72" s="74" t="inlineStr">
        <is>
          <t>20,0%*</t>
        </is>
      </c>
      <c r="U72" s="74" t="inlineStr">
        <is>
          <t>suporte_total_pl</t>
        </is>
      </c>
      <c r="V72" s="74" t="inlineStr">
        <is>
          <t>direto no regulamento</t>
        </is>
      </c>
      <c r="W72" s="74" t="b">
        <v>1</v>
      </c>
      <c r="X72" s="74" t="inlineStr">
        <is>
          <t>Suporte total ou combinado; não representa mínimo júnior isolado.</t>
        </is>
      </c>
      <c r="Y72" s="74" t="b">
        <v>1</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Recebíveis comerciais HELM na cadeia agro</t>
        </is>
      </c>
      <c r="AJ72" s="74" t="b">
        <v>0</v>
      </c>
      <c r="AK72" s="74" t="inlineStr">
        <is>
          <t>MANTER_ASTERISCO</t>
        </is>
      </c>
      <c r="AL72" s="74" t="inlineStr">
        <is>
          <t>Produto agro não está explícito no trecho aceito</t>
        </is>
      </c>
      <c r="AM72" s="74" t="inlineStr">
        <is>
          <t>regulamento 957854</t>
        </is>
      </c>
      <c r="AN72" s="74" t="inlineStr">
        <is>
          <t>Não</t>
        </is>
      </c>
      <c r="AO72" s="74" t="inlineStr">
        <is>
          <t>regulamento 957854</t>
        </is>
      </c>
      <c r="AP72" s="74" t="b">
        <v>0</v>
      </c>
      <c r="AQ72" s="74" t="inlineStr">
        <is>
          <t>Agro / Revenda</t>
        </is>
      </c>
      <c r="AR72" s="74" t="inlineStr">
        <is>
          <t>Agro / Revenda</t>
        </is>
      </c>
      <c r="AS72" s="74" t="b">
        <v>0</v>
      </c>
      <c r="AT72" s="74" t="inlineStr">
        <is>
          <t>N/D</t>
        </is>
      </c>
      <c r="AU72" s="74" t="inlineStr">
        <is>
          <t>N/D</t>
        </is>
      </c>
      <c r="AV72" s="74" t="inlineStr">
        <is>
          <t>N/D</t>
        </is>
      </c>
      <c r="AW72" s="74" t="b">
        <v>0</v>
      </c>
      <c r="AX72" s="74" t="inlineStr">
        <is>
          <t>N/D</t>
        </is>
      </c>
      <c r="AY72" s="74" t="inlineStr">
        <is>
          <t>sem benchmark confiável</t>
        </is>
      </c>
      <c r="AZ72" s="140" t="inlineStr">
        <is>
          <t>N/D</t>
        </is>
      </c>
      <c r="BA72" s="74" t="b">
        <v>0</v>
      </c>
      <c r="BB72" s="141" t="n">
        <v>0</v>
      </c>
      <c r="BC72" s="139" t="n">
        <v>1000</v>
      </c>
      <c r="BD72" s="74" t="inlineStr">
        <is>
          <t>Cotas Subordinadas Júnior: R$1.000,00 | R$1.000,00</t>
        </is>
      </c>
      <c r="BE72" s="74" t="inlineStr">
        <is>
          <t>preço/valor unitário de emissão</t>
        </is>
      </c>
      <c r="BF72" s="74" t="inlineStr">
        <is>
          <t>Cotas Subordinadas Júnior</t>
        </is>
      </c>
      <c r="BG72" s="74" t="inlineStr">
        <is>
          <t>2025-07-30</t>
        </is>
      </c>
      <c r="BH72" s="74" t="inlineStr">
        <is>
          <t>957854</t>
        </is>
      </c>
      <c r="BI72" s="74" t="inlineStr">
        <is>
          <t>https://fnet.bmfbovespa.com.br/fnet/publico/downloadDocumento?id=957854</t>
        </is>
      </c>
      <c r="BJ72" s="74" t="inlineStr">
        <is>
          <t>localizado documentalmente — múltiplos valores/classes</t>
        </is>
      </c>
      <c r="BK72" s="74" t="b">
        <v>1</v>
      </c>
      <c r="BL72" s="74" t="inlineStr">
        <is>
          <t>Helm</t>
        </is>
      </c>
      <c r="BM72" s="74" t="inlineStr">
        <is>
          <t>cedente</t>
        </is>
      </c>
      <c r="BN72" s="74" t="inlineStr">
        <is>
          <t>N/D</t>
        </is>
      </c>
      <c r="BO72" s="74" t="inlineStr">
        <is>
          <t>a HELM DO BRASIL MERCANTIL LTDA. , sociedade empresária de responsabilidade limitada, com sede na</t>
        </is>
      </c>
      <c r="BP72" s="74" t="inlineStr">
        <is>
          <t>qualquer cliente da Cedente cujos Direitos Creditórios venham a ser cedidos ao Fundo, observadas as características e condições descritas neste Anexo Descritivo , e que estejam de acordo com a Política de Crédito e Originação</t>
        </is>
      </c>
      <c r="BQ72" s="74" t="inlineStr">
        <is>
          <t>os direitos creditórios cedidos pela Cedente , representados pelos Documentos Comprobatórios, detidos pela Cedente contra os Devedores</t>
        </is>
      </c>
      <c r="BR72" s="74" t="inlineStr">
        <is>
          <t>cedente: https://fnet.bmfbovespa.com.br/fnet/publico/downloadDocumento?id=957854 | sacado_devedor: https://fnet.bmfbovespa.com.br/fnet/publico/downloadDocumento?id=957854 | tipo_recebivel: https://fnet.bmfbovespa.com.br/fnet/publico/downloadDocumento?id=957854</t>
        </is>
      </c>
      <c r="BS72" s="74" t="inlineStr">
        <is>
          <t>manual_aplicado</t>
        </is>
      </c>
      <c r="BT72" s="74" t="inlineStr">
        <is>
          <t>N/D</t>
        </is>
      </c>
      <c r="BU72" s="74" t="inlineStr">
        <is>
          <t>957854</t>
        </is>
      </c>
      <c r="BV72" s="74" t="inlineStr">
        <is>
          <t>2025-07-30</t>
        </is>
      </c>
      <c r="BW72" s="74" t="inlineStr">
        <is>
          <t>99–100</t>
        </is>
      </c>
      <c r="BX72" s="74" t="inlineStr">
        <is>
          <t>revisto — suporte estrutural total localizado</t>
        </is>
      </c>
      <c r="BY72" s="74" t="inlineStr">
        <is>
          <t>FundosNet/B3; documento 957854; referência 2025-07-30; p. 99–100</t>
        </is>
      </c>
      <c r="BZ72" s="74" t="inlineStr">
        <is>
          <t>N/D</t>
        </is>
      </c>
      <c r="CA72" s="74" t="inlineStr">
        <is>
          <t>PL atual; Sub/PL atual; originador</t>
        </is>
      </c>
      <c r="CB72" s="74" t="inlineStr">
        <is>
          <t>sub_pl_atual_ausente</t>
        </is>
      </c>
    </row>
    <row r="73" ht="31.5" customHeight="1">
      <c r="A73" s="75" t="n">
        <v>71</v>
      </c>
      <c r="B73" s="142" t="n">
        <v>57259989000170</v>
      </c>
      <c r="C73" s="75" t="inlineStr">
        <is>
          <t>57.259.989/0001-70</t>
        </is>
      </c>
      <c r="D73" s="75" t="inlineStr">
        <is>
          <t>TRÊS TENTOS FIAGRO RESPONSABILIDADE LIMITADA</t>
        </is>
      </c>
      <c r="E73" s="75" t="inlineStr">
        <is>
          <t>TRES TENTOS FUNDO DE INVESTIMENTO EM DIREITOS CRE</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v>
      </c>
      <c r="R73" s="144" t="inlineStr">
        <is>
          <t>N/D</t>
        </is>
      </c>
      <c r="S73" s="144" t="n">
        <v>0.2</v>
      </c>
      <c r="T73" s="75" t="inlineStr">
        <is>
          <t>20,0%*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Agronegócio</t>
        </is>
      </c>
      <c r="AE73" s="75" t="inlineStr">
        <is>
          <t>Agro / Revenda</t>
        </is>
      </c>
      <c r="AF73" s="75" t="inlineStr">
        <is>
          <t>Agro / Revenda</t>
        </is>
      </c>
      <c r="AG73" s="75" t="inlineStr">
        <is>
          <t>Agro / Revenda</t>
        </is>
      </c>
      <c r="AH73" s="75" t="inlineStr">
        <is>
          <t>Agro / Revenda</t>
        </is>
      </c>
      <c r="AI73" s="75" t="inlineStr">
        <is>
          <t>Recebíveis e CPR da 3Tentos</t>
        </is>
      </c>
      <c r="AJ73" s="75" t="b">
        <v>0</v>
      </c>
      <c r="AK73" s="75" t="inlineStr">
        <is>
          <t>MANTER_ALTA</t>
        </is>
      </c>
      <c r="AL73" s="75" t="inlineStr">
        <is>
          <t>Regulamento inclui CPR e clientes da cedente agro</t>
        </is>
      </c>
      <c r="AM73" s="75" t="inlineStr">
        <is>
          <t>regulamento 1016583</t>
        </is>
      </c>
      <c r="AN73" s="75" t="inlineStr">
        <is>
          <t>Não</t>
        </is>
      </c>
      <c r="AO73" s="75" t="inlineStr">
        <is>
          <t>regulamento 1016583</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R$ 1.000,00 | Cotas Subordinadas Júnior: R$1.000,00 | R$1.000,00</t>
        </is>
      </c>
      <c r="BE73" s="75" t="inlineStr">
        <is>
          <t>preço/valor unitário de emissão</t>
        </is>
      </c>
      <c r="BF73" s="75" t="inlineStr">
        <is>
          <t>Cotas Subordinadas | Cotas Subordinadas Júnior</t>
        </is>
      </c>
      <c r="BG73" s="75" t="inlineStr">
        <is>
          <t>2025-10-16</t>
        </is>
      </c>
      <c r="BH73" s="75" t="inlineStr">
        <is>
          <t>1016583</t>
        </is>
      </c>
      <c r="BI73" s="75" t="inlineStr">
        <is>
          <t>https://fnet.bmfbovespa.com.br/fnet/publico/downloadDocumento?id=1016583</t>
        </is>
      </c>
      <c r="BJ73" s="75" t="inlineStr">
        <is>
          <t>localizado documentalmente — múltiplos valores/classes</t>
        </is>
      </c>
      <c r="BK73" s="75" t="b">
        <v>1</v>
      </c>
      <c r="BL73" s="75" t="inlineStr">
        <is>
          <t>Tres Tentos</t>
        </is>
      </c>
      <c r="BM73" s="75" t="inlineStr">
        <is>
          <t>cedente</t>
        </is>
      </c>
      <c r="BN73" s="75" t="inlineStr">
        <is>
          <t>N/D</t>
        </is>
      </c>
      <c r="BO73" s="75" t="inlineStr">
        <is>
          <t>Tres Tentos</t>
        </is>
      </c>
      <c r="BP73" s="75" t="inlineStr">
        <is>
          <t>qualquer cliente das Cedentes, atuantes no segmento</t>
        </is>
      </c>
      <c r="BQ73" s="75" t="inlineStr">
        <is>
          <t>os direitos creditórios originados pelas Cedentes, representados pelos Documentos Comprobatórios, detidos pelas Cedentes contra os Devedores, os quais incluem os Direitos Creditórios CPR</t>
        </is>
      </c>
      <c r="BR73" s="75" t="inlineStr">
        <is>
          <t>cedente: IMG_8706.JPG | sacado_devedor: https://fnet.bmfbovespa.com.br/fnet/publico/downloadDocumento?id=1016583 | tipo_recebivel: https://fnet.bmfbovespa.com.br/fnet/publico/downloadDocumento?id=1016583</t>
        </is>
      </c>
      <c r="BS73" s="75" t="inlineStr">
        <is>
          <t>manual_aplicado</t>
        </is>
      </c>
      <c r="BT73" s="75" t="inlineStr">
        <is>
          <t>Denominação cortada pela largura da coluna na foto.</t>
        </is>
      </c>
      <c r="BU73" s="75" t="inlineStr">
        <is>
          <t>1016583</t>
        </is>
      </c>
      <c r="BV73" s="75" t="inlineStr">
        <is>
          <t>2025-10-16</t>
        </is>
      </c>
      <c r="BW73" s="75" t="inlineStr">
        <is>
          <t>104</t>
        </is>
      </c>
      <c r="BX73" s="75" t="inlineStr">
        <is>
          <t>revisto — suporte estrutural total localizado</t>
        </is>
      </c>
      <c r="BY73" s="75" t="inlineStr">
        <is>
          <t>FundosNet/B3; documento 1016583; referência 2025-10-16; p. 104</t>
        </is>
      </c>
      <c r="BZ73" s="75" t="inlineStr">
        <is>
          <t>N/D</t>
        </is>
      </c>
      <c r="CA73" s="75" t="inlineStr">
        <is>
          <t>PL atual; Sub/PL atual; originador</t>
        </is>
      </c>
      <c r="CB73" s="75" t="inlineStr">
        <is>
          <t>sub_pl_atual_ausente</t>
        </is>
      </c>
    </row>
    <row r="74" ht="31.5" customHeight="1">
      <c r="A74" s="74" t="n">
        <v>72</v>
      </c>
      <c r="B74" s="138" t="n">
        <v>58171340000165</v>
      </c>
      <c r="C74" s="74" t="inlineStr">
        <is>
          <t>58.171.340/0001-65</t>
        </is>
      </c>
      <c r="D74" s="74" t="inlineStr">
        <is>
          <t>FRIMESA FUNDO DE INVESTIMENTO EM DIREITOS CREDITÓRIOS DE RESPONSABILIDADE LIMITADA</t>
        </is>
      </c>
      <c r="E74" s="74" t="inlineStr">
        <is>
          <t>FRIMESA FUNDO DE INVESTIMENTO EM DIREITOS CREDITOR</t>
        </is>
      </c>
      <c r="F74" s="74" t="inlineStr">
        <is>
          <t>Carteira 101</t>
        </is>
      </c>
      <c r="G74" s="74" t="inlineStr">
        <is>
          <t>2026-06</t>
        </is>
      </c>
      <c r="H74" s="74" t="inlineStr">
        <is>
          <t>localizado</t>
        </is>
      </c>
      <c r="I74" s="139" t="n">
        <v>357712011.78</v>
      </c>
      <c r="J74" s="139" t="n">
        <v>357712010.4873228</v>
      </c>
      <c r="K74" s="139" t="n">
        <v>75202410.19812278</v>
      </c>
      <c r="L74" s="140" t="n">
        <v>0.2102317163572739</v>
      </c>
      <c r="M74" s="74" t="inlineStr">
        <is>
          <t>Calculado com classes reportadas e PL oficial reconciliado</t>
        </is>
      </c>
      <c r="N74" s="140" t="n">
        <v>0.01</v>
      </c>
      <c r="O74" s="140" t="inlineStr">
        <is>
          <t>N/D</t>
        </is>
      </c>
      <c r="P74" s="140" t="inlineStr">
        <is>
          <t>N/D</t>
        </is>
      </c>
      <c r="Q74" s="140" t="inlineStr">
        <is>
          <t>N/D</t>
        </is>
      </c>
      <c r="R74" s="140" t="inlineStr">
        <is>
          <t>N/D</t>
        </is>
      </c>
      <c r="S74" s="140" t="n">
        <v>0.01</v>
      </c>
      <c r="T74" s="74" t="inlineStr">
        <is>
          <t>N/D</t>
        </is>
      </c>
      <c r="U74" s="74" t="inlineStr">
        <is>
          <t>junior_pl</t>
        </is>
      </c>
      <c r="V74" s="74" t="inlineStr">
        <is>
          <t>direto no regulamento</t>
        </is>
      </c>
      <c r="W74" s="74" t="b">
        <v>0</v>
      </c>
      <c r="X74" s="74" t="inlineStr">
        <is>
          <t>Mínimo júnior isolado; a subordinação atual disponível agrega todas as classes subordinadas.</t>
        </is>
      </c>
      <c r="Y74" s="74" t="b">
        <v>0</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contra supermercados</t>
        </is>
      </c>
      <c r="AJ74" s="74" t="b">
        <v>0</v>
      </c>
      <c r="AK74" s="74" t="inlineStr">
        <is>
          <t>PENDENTE_FONTE_PRIMARIA</t>
        </is>
      </c>
      <c r="AL74" s="74" t="inlineStr">
        <is>
          <t>Pagadores supermercados constam somente na planilha</t>
        </is>
      </c>
      <c r="AM74" s="74" t="inlineStr">
        <is>
          <t>IMG_8706</t>
        </is>
      </c>
      <c r="AN74" s="74" t="inlineStr">
        <is>
          <t>Candidato</t>
        </is>
      </c>
      <c r="AO74" s="74" t="inlineStr">
        <is>
          <t>IMG_8706</t>
        </is>
      </c>
      <c r="AP74" s="74" t="inlineStr">
        <is>
          <t>N/D</t>
        </is>
      </c>
      <c r="AQ74" s="74" t="inlineStr">
        <is>
          <t>Agro / Revenda</t>
        </is>
      </c>
      <c r="AR74" s="74" t="inlineStr">
        <is>
          <t>Agro / Revenda</t>
        </is>
      </c>
      <c r="AS74" s="74" t="b">
        <v>0</v>
      </c>
      <c r="AT74" s="74" t="inlineStr">
        <is>
          <t>N/D</t>
        </is>
      </c>
      <c r="AU74" s="74" t="inlineStr">
        <is>
          <t>N/D</t>
        </is>
      </c>
      <c r="AV74" s="74" t="inlineStr">
        <is>
          <t>20%–35%</t>
        </is>
      </c>
      <c r="AW74" s="74" t="b">
        <v>1</v>
      </c>
      <c r="AX74" s="74" t="inlineStr">
        <is>
          <t>incomparável</t>
        </is>
      </c>
      <c r="AY74" s="74" t="inlineStr">
        <is>
          <t>sem benchmark confiável</t>
        </is>
      </c>
      <c r="AZ74" s="140" t="inlineStr">
        <is>
          <t>N/D</t>
        </is>
      </c>
      <c r="BA74" s="74" t="b">
        <v>0</v>
      </c>
      <c r="BB74" s="141" t="n">
        <v>0</v>
      </c>
      <c r="BC74" s="139" t="n">
        <v>1000</v>
      </c>
      <c r="BD74" s="74" t="inlineStr">
        <is>
          <t>Cotas Seniores: R$1.000,00</t>
        </is>
      </c>
      <c r="BE74" s="74" t="inlineStr">
        <is>
          <t>valor nominal unitário (VNU)</t>
        </is>
      </c>
      <c r="BF74" s="74" t="inlineStr">
        <is>
          <t>Cotas Seniores</t>
        </is>
      </c>
      <c r="BG74" s="74" t="inlineStr">
        <is>
          <t>22/12/2025</t>
        </is>
      </c>
      <c r="BH74" s="74" t="inlineStr">
        <is>
          <t>1067840</t>
        </is>
      </c>
      <c r="BI74" s="74" t="inlineStr">
        <is>
          <t>https://fnet.bmfbovespa.com.br/fnet/publico/downloadDocumento?id=1067840</t>
        </is>
      </c>
      <c r="BJ74" s="74" t="inlineStr">
        <is>
          <t>localizado documentalmente</t>
        </is>
      </c>
      <c r="BK74" s="74" t="b">
        <v>0</v>
      </c>
      <c r="BL74" s="74" t="inlineStr">
        <is>
          <t>Frimesa</t>
        </is>
      </c>
      <c r="BM74" s="74" t="inlineStr">
        <is>
          <t>cedente</t>
        </is>
      </c>
      <c r="BN74" s="74" t="inlineStr">
        <is>
          <t>N/D</t>
        </is>
      </c>
      <c r="BO74" s="74" t="inlineStr">
        <is>
          <t>a FRIMESA COOPERATIVA CENTRAL, com sede na cidade de Medianeira, Estado do Paraná, na Rua Bahia, nº 159, CEP 85723-006, inscrita no CNPJ sob o nº 77.595.395/0001-47, inclusive por meio de suas filiais</t>
        </is>
      </c>
      <c r="BP74" s="74" t="inlineStr">
        <is>
          <t>N/D</t>
        </is>
      </c>
      <c r="BQ74" s="74" t="inlineStr">
        <is>
          <t>recebíveis supermercados</t>
        </is>
      </c>
      <c r="BR74" s="74" t="inlineStr">
        <is>
          <t>cedente: https://fnet.bmfbovespa.com.br/fnet/publico/downloadDocumento?id=861191 | tipo_recebivel: IMG_8706.JPG</t>
        </is>
      </c>
      <c r="BS74" s="74" t="inlineStr">
        <is>
          <t>manual_aplicado</t>
        </is>
      </c>
      <c r="BT74" s="74" t="inlineStr">
        <is>
          <t>Denominação cortada pela largura da coluna na foto.</t>
        </is>
      </c>
      <c r="BU74" s="74" t="inlineStr">
        <is>
          <t>861191</t>
        </is>
      </c>
      <c r="BV74" s="74" t="inlineStr">
        <is>
          <t>2025-03-13</t>
        </is>
      </c>
      <c r="BW74" s="74" t="inlineStr">
        <is>
          <t>51</t>
        </is>
      </c>
      <c r="BX74" s="74" t="inlineStr">
        <is>
          <t>revisto — mínimo júnior localizado</t>
        </is>
      </c>
      <c r="BY74" s="74" t="inlineStr">
        <is>
          <t>FundosNet/B3; documento 861191; referência 2025-03-13; p. 51</t>
        </is>
      </c>
      <c r="BZ74" s="74" t="inlineStr">
        <is>
          <t>Índice de Subordinação Mezanino: cotas júnior / PL, mínimo de 1,0%.</t>
        </is>
      </c>
      <c r="CA74" s="74" t="inlineStr">
        <is>
          <t>originador; sacado/devedor</t>
        </is>
      </c>
      <c r="CB74" s="74" t="inlineStr">
        <is>
          <t>estrutura_incomparavel</t>
        </is>
      </c>
    </row>
    <row r="75" ht="31.5" customHeight="1">
      <c r="A75" s="75" t="n">
        <v>73</v>
      </c>
      <c r="B75" s="142" t="n">
        <v>51554551000138</v>
      </c>
      <c r="C75" s="75" t="inlineStr">
        <is>
          <t>51.554.551/0001-38</t>
        </is>
      </c>
      <c r="D75" s="75" t="inlineStr">
        <is>
          <t>CLASSE ÚNICA DO FIDC CRÉDITO NITRO AGRO - RESPONSABILIDADE LIMITADA</t>
        </is>
      </c>
      <c r="E75" s="75" t="inlineStr">
        <is>
          <t>CLASSE UNICA DO FIDC CREDITO NITRO AGRO RESPONSA</t>
        </is>
      </c>
      <c r="F75" s="75" t="inlineStr">
        <is>
          <t>Carteira 101</t>
        </is>
      </c>
      <c r="G75" s="75" t="inlineStr">
        <is>
          <t>2026-06</t>
        </is>
      </c>
      <c r="H75" s="75" t="inlineStr">
        <is>
          <t>localizado</t>
        </is>
      </c>
      <c r="I75" s="143" t="n">
        <v>64451699.14</v>
      </c>
      <c r="J75" s="143" t="n">
        <v>64451699.13998985</v>
      </c>
      <c r="K75" s="143" t="n">
        <v>64451699.13998985</v>
      </c>
      <c r="L75" s="144" t="n">
        <v>0.9999999999998426</v>
      </c>
      <c r="M75" s="75" t="inlineStr">
        <is>
          <t>Calculado com classes reportadas e PL oficial reconciliado</t>
        </is>
      </c>
      <c r="N75" s="144" t="inlineStr">
        <is>
          <t>N/D</t>
        </is>
      </c>
      <c r="O75" s="144" t="inlineStr">
        <is>
          <t>N/D</t>
        </is>
      </c>
      <c r="P75" s="144" t="inlineStr">
        <is>
          <t>N/D</t>
        </is>
      </c>
      <c r="Q75" s="144" t="inlineStr">
        <is>
          <t>N/D</t>
        </is>
      </c>
      <c r="R75" s="144" t="n">
        <v>0.25</v>
      </c>
      <c r="S75" s="144" t="n">
        <v>0.25</v>
      </c>
      <c r="T75" s="75" t="inlineStr">
        <is>
          <t>25,0%*</t>
        </is>
      </c>
      <c r="U75" s="75" t="inlineStr">
        <is>
          <t>suporte_combinado_pl</t>
        </is>
      </c>
      <c r="V75" s="75" t="inlineStr">
        <is>
          <t>direto no regulamento</t>
        </is>
      </c>
      <c r="W75" s="75" t="b">
        <v>1</v>
      </c>
      <c r="X75" s="75" t="inlineStr">
        <is>
          <t>Suporte total ou combinado; não representa mínimo júnior isolado.</t>
        </is>
      </c>
      <c r="Y75" s="75" t="b">
        <v>1</v>
      </c>
      <c r="Z75" s="144" t="n">
        <v>0.7499999999998426</v>
      </c>
      <c r="AA75" s="144" t="n">
        <v>0.9999999999997901</v>
      </c>
      <c r="AB75" s="75" t="inlineStr">
        <is>
          <t>acima do mínimo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Venda de insumos a produtores e distribuidores</t>
        </is>
      </c>
      <c r="AJ75" s="75" t="b">
        <v>0</v>
      </c>
      <c r="AK75" s="75" t="inlineStr">
        <is>
          <t>MANTER_ALTA</t>
        </is>
      </c>
      <c r="AL75" s="75" t="inlineStr">
        <is>
          <t>Direitos do agronegócio por venda de insumos</t>
        </is>
      </c>
      <c r="AM75" s="75" t="inlineStr">
        <is>
          <t>regulamento 1261911</t>
        </is>
      </c>
      <c r="AN75" s="75" t="inlineStr">
        <is>
          <t>Não</t>
        </is>
      </c>
      <c r="AO75" s="75" t="inlineStr">
        <is>
          <t>regulamento 1261911</t>
        </is>
      </c>
      <c r="AP75" s="75" t="b">
        <v>0</v>
      </c>
      <c r="AQ75" s="75" t="inlineStr">
        <is>
          <t>Agro / Revenda</t>
        </is>
      </c>
      <c r="AR75" s="75" t="inlineStr">
        <is>
          <t>Agro / Revenda</t>
        </is>
      </c>
      <c r="AS75" s="75" t="b">
        <v>0</v>
      </c>
      <c r="AT75" s="75" t="inlineStr">
        <is>
          <t>N/D</t>
        </is>
      </c>
      <c r="AU75" s="75" t="inlineStr">
        <is>
          <t>N/D</t>
        </is>
      </c>
      <c r="AV75" s="75" t="inlineStr">
        <is>
          <t>≥ 60%</t>
        </is>
      </c>
      <c r="AW75" s="75" t="b">
        <v>1</v>
      </c>
      <c r="AX75" s="75" t="inlineStr">
        <is>
          <t>acima do piso</t>
        </is>
      </c>
      <c r="AY75" s="75" t="inlineStr">
        <is>
          <t>sem benchmark confiável</t>
        </is>
      </c>
      <c r="AZ75" s="144" t="inlineStr">
        <is>
          <t>N/D</t>
        </is>
      </c>
      <c r="BA75" s="75" t="b">
        <v>0</v>
      </c>
      <c r="BB75" s="145" t="n">
        <v>0</v>
      </c>
      <c r="BC75" s="143" t="n">
        <v>1000</v>
      </c>
      <c r="BD75" s="75" t="inlineStr">
        <is>
          <t>Cotas Subordinadas: R$1.000,00</t>
        </is>
      </c>
      <c r="BE75" s="75" t="inlineStr">
        <is>
          <t>preço/valor unitário de emissão</t>
        </is>
      </c>
      <c r="BF75" s="75" t="inlineStr">
        <is>
          <t>Cotas Subordinadas</t>
        </is>
      </c>
      <c r="BG75" s="75" t="inlineStr">
        <is>
          <t>18/06/2026</t>
        </is>
      </c>
      <c r="BH75" s="75" t="inlineStr">
        <is>
          <t>1261911</t>
        </is>
      </c>
      <c r="BI75" s="75" t="inlineStr">
        <is>
          <t>https://fnet.bmfbovespa.com.br/fnet/publico/downloadDocumento?id=1261911</t>
        </is>
      </c>
      <c r="BJ75" s="75" t="inlineStr">
        <is>
          <t>localizado documentalmente</t>
        </is>
      </c>
      <c r="BK75" s="75" t="b">
        <v>0</v>
      </c>
      <c r="BL75" s="75" t="inlineStr">
        <is>
          <t>Nitroquímica</t>
        </is>
      </c>
      <c r="BM75" s="75" t="inlineStr">
        <is>
          <t>cedente</t>
        </is>
      </c>
      <c r="BN75" s="75" t="inlineStr">
        <is>
          <t>N/D</t>
        </is>
      </c>
      <c r="BO7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5"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5" s="75" t="inlineStr">
        <is>
          <t>cedente: https://fnet.bmfbovespa.com.br/fnet/publico/downloadDocumento?id=1261911 | sacado_devedor: https://fnet.bmfbovespa.com.br/fnet/publico/downloadDocumento?id=1261911 | tipo_recebivel: https://fnet.bmfbovespa.com.br/fnet/publico/downloadDocumento?id=1261911</t>
        </is>
      </c>
      <c r="BS75" s="75" t="inlineStr">
        <is>
          <t>manual_aplicado</t>
        </is>
      </c>
      <c r="BT75" s="75" t="inlineStr">
        <is>
          <t>Denominação cortada pela largura da coluna na foto.</t>
        </is>
      </c>
      <c r="BU75" s="75" t="inlineStr">
        <is>
          <t>1261911</t>
        </is>
      </c>
      <c r="BV75" s="75" t="inlineStr">
        <is>
          <t>2026-06-18</t>
        </is>
      </c>
      <c r="BW75" s="75" t="inlineStr">
        <is>
          <t>71</t>
        </is>
      </c>
      <c r="BX75" s="75" t="inlineStr">
        <is>
          <t>revisto — suporte estrutural total localizado</t>
        </is>
      </c>
      <c r="BY75" s="75" t="inlineStr">
        <is>
          <t>FundosNet/B3; documento 1261911; referência 2026-06-18; p. 71</t>
        </is>
      </c>
      <c r="BZ75" s="75" t="inlineStr">
        <is>
          <t>N/D</t>
        </is>
      </c>
      <c r="CA75" s="75" t="inlineStr">
        <is>
          <t>originador</t>
        </is>
      </c>
      <c r="CB75" s="75" t="inlineStr">
        <is>
          <t>completo_para_folga</t>
        </is>
      </c>
    </row>
    <row r="76" ht="31.5" customHeight="1">
      <c r="A76" s="74" t="n">
        <v>74</v>
      </c>
      <c r="B76" s="138" t="n">
        <v>57752597000148</v>
      </c>
      <c r="C76" s="74" t="inlineStr">
        <is>
          <t>57.752.597/0001-48</t>
        </is>
      </c>
      <c r="D76" s="74" t="inlineStr">
        <is>
          <t>AGROMERCANTIL CRÉDITO AGRO FUNDO DE INVESTIMENTO EM DIREITOS CREDITÓRIOS - RESPONSABILIDADE LIMITADA</t>
        </is>
      </c>
      <c r="E76" s="74" t="inlineStr">
        <is>
          <t>AGROMERCANTIL CREDITO AGRO FUNDO DE INVESTIMENTO EM DIREITOS CREDITORIOS</t>
        </is>
      </c>
      <c r="F76" s="74" t="inlineStr">
        <is>
          <t>Carteira 101</t>
        </is>
      </c>
      <c r="G76" s="74" t="inlineStr">
        <is>
          <t>2026-06</t>
        </is>
      </c>
      <c r="H76" s="74" t="inlineStr">
        <is>
          <t>localizado</t>
        </is>
      </c>
      <c r="I76" s="139" t="n">
        <v>68736909.66</v>
      </c>
      <c r="J76" s="139" t="n">
        <v>68736909.65993586</v>
      </c>
      <c r="K76" s="139" t="n">
        <v>22327744.15995</v>
      </c>
      <c r="L76" s="140" t="n">
        <v>0.3248290368361318</v>
      </c>
      <c r="M76" s="74" t="inlineStr">
        <is>
          <t>Calculado com classes reportadas e PL oficial reconciliado</t>
        </is>
      </c>
      <c r="N76" s="140" t="n">
        <v>0.3</v>
      </c>
      <c r="O76" s="140" t="inlineStr">
        <is>
          <t>N/D</t>
        </is>
      </c>
      <c r="P76" s="140" t="inlineStr">
        <is>
          <t>N/D</t>
        </is>
      </c>
      <c r="Q76" s="140" t="inlineStr">
        <is>
          <t>N/D</t>
        </is>
      </c>
      <c r="R76" s="140" t="inlineStr">
        <is>
          <t>N/D</t>
        </is>
      </c>
      <c r="S76" s="140" t="n">
        <v>0.3</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Comercialização de grãos</t>
        </is>
      </c>
      <c r="AJ76" s="74" t="b">
        <v>0</v>
      </c>
      <c r="AK76" s="74" t="inlineStr">
        <is>
          <t>MANTER_ALTA</t>
        </is>
      </c>
      <c r="AL76" s="74" t="inlineStr">
        <is>
          <t>Cedente Agromercantil e lastro de grãos</t>
        </is>
      </c>
      <c r="AM76" s="74" t="inlineStr">
        <is>
          <t>IMG_8706</t>
        </is>
      </c>
      <c r="AN76" s="74" t="inlineStr">
        <is>
          <t>Não</t>
        </is>
      </c>
      <c r="AO76" s="74" t="inlineStr">
        <is>
          <t>IMG_8706</t>
        </is>
      </c>
      <c r="AP76" s="74" t="b">
        <v>0</v>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inlineStr">
        <is>
          <t>N/D</t>
        </is>
      </c>
      <c r="BD76" s="74" t="inlineStr">
        <is>
          <t>N/D</t>
        </is>
      </c>
      <c r="BE76" s="74" t="inlineStr">
        <is>
          <t>N/D</t>
        </is>
      </c>
      <c r="BF76" s="74" t="inlineStr">
        <is>
          <t>N/D</t>
        </is>
      </c>
      <c r="BG76" s="74" t="inlineStr">
        <is>
          <t>N/D</t>
        </is>
      </c>
      <c r="BH76" s="74" t="inlineStr">
        <is>
          <t>N/D</t>
        </is>
      </c>
      <c r="BI76" s="74" t="inlineStr">
        <is>
          <t>N/D</t>
        </is>
      </c>
      <c r="BJ76" s="74" t="inlineStr">
        <is>
          <t>não localizado</t>
        </is>
      </c>
      <c r="BK76" s="74" t="b">
        <v>0</v>
      </c>
      <c r="BL76" s="74" t="inlineStr">
        <is>
          <t>AGROMERCANTIL</t>
        </is>
      </c>
      <c r="BM76" s="74" t="inlineStr">
        <is>
          <t>cedente</t>
        </is>
      </c>
      <c r="BN76" s="74" t="inlineStr">
        <is>
          <t>N/D</t>
        </is>
      </c>
      <c r="BO76" s="74" t="inlineStr">
        <is>
          <t>AGROMERCANTIL</t>
        </is>
      </c>
      <c r="BP76" s="74" t="inlineStr">
        <is>
          <t>N/D</t>
        </is>
      </c>
      <c r="BQ76" s="74" t="inlineStr">
        <is>
          <t>Comercializadora de grãos</t>
        </is>
      </c>
      <c r="BR76" s="74" t="inlineStr">
        <is>
          <t>cedente: IMG_8706.JPG | tipo_recebivel: IMG_8706.JPG</t>
        </is>
      </c>
      <c r="BS76" s="74" t="inlineStr">
        <is>
          <t>manual_aplicado</t>
        </is>
      </c>
      <c r="BT76" s="74" t="inlineStr">
        <is>
          <t>Denominação cortada pela largura da coluna na foto.</t>
        </is>
      </c>
      <c r="BU76" s="74" t="inlineStr">
        <is>
          <t>1200681</t>
        </is>
      </c>
      <c r="BV76" s="74" t="inlineStr">
        <is>
          <t>2026-05-21</t>
        </is>
      </c>
      <c r="BW76" s="74" t="inlineStr">
        <is>
          <t>44</t>
        </is>
      </c>
      <c r="BX76" s="74" t="inlineStr">
        <is>
          <t>revisto — mínimo júnior localizado</t>
        </is>
      </c>
      <c r="BY76" s="74" t="inlineStr">
        <is>
          <t>FundosNet/B3; documento 1200681; referência 2026-05-21; p. 44</t>
        </is>
      </c>
      <c r="BZ76" s="74" t="inlineStr">
        <is>
          <t>Totalidade das cotas subordinadas júnior / PL, mínimo de 30,0%.</t>
        </is>
      </c>
      <c r="CA76" s="74" t="inlineStr">
        <is>
          <t>preço unitário da cota; originador; sacado/devedor</t>
        </is>
      </c>
      <c r="CB76" s="74" t="inlineStr">
        <is>
          <t>estrutura_incomparavel</t>
        </is>
      </c>
    </row>
    <row r="77" ht="31.5" customHeight="1">
      <c r="A77" s="75" t="n">
        <v>75</v>
      </c>
      <c r="B77" s="142" t="n">
        <v>47425750000179</v>
      </c>
      <c r="C77" s="75" t="inlineStr">
        <is>
          <t>47.425.750/0001-79</t>
        </is>
      </c>
      <c r="D77" s="75" t="inlineStr">
        <is>
          <t>CEREALIS FUNDO DE INVESTIMENTO EM DIREITOS CREDITÓRIOS</t>
        </is>
      </c>
      <c r="E77" s="75" t="inlineStr">
        <is>
          <t>FIDC CROPFIELD CEREALIS</t>
        </is>
      </c>
      <c r="F77" s="75" t="inlineStr">
        <is>
          <t>Carteira 101</t>
        </is>
      </c>
      <c r="G77" s="75" t="inlineStr">
        <is>
          <t>2026-06</t>
        </is>
      </c>
      <c r="H77" s="75" t="inlineStr">
        <is>
          <t>localizado</t>
        </is>
      </c>
      <c r="I77" s="143" t="n">
        <v>215299982.37</v>
      </c>
      <c r="J77" s="143" t="n">
        <v>215299982.3693854</v>
      </c>
      <c r="K77" s="143" t="n">
        <v>114213377.8501986</v>
      </c>
      <c r="L77" s="144" t="n">
        <v>0.5304848453443866</v>
      </c>
      <c r="M77" s="75" t="inlineStr">
        <is>
          <t>Calculado com classes reportadas e PL oficial reconciliado</t>
        </is>
      </c>
      <c r="N77" s="144" t="n">
        <v>0.25</v>
      </c>
      <c r="O77" s="144" t="inlineStr">
        <is>
          <t>N/D</t>
        </is>
      </c>
      <c r="P77" s="144" t="inlineStr">
        <is>
          <t>N/D</t>
        </is>
      </c>
      <c r="Q77" s="144" t="inlineStr">
        <is>
          <t>N/D</t>
        </is>
      </c>
      <c r="R77" s="144" t="inlineStr">
        <is>
          <t>N/D</t>
        </is>
      </c>
      <c r="S77" s="144" t="n">
        <v>0.25</v>
      </c>
      <c r="T77" s="75" t="inlineStr">
        <is>
          <t>N/D</t>
        </is>
      </c>
      <c r="U77" s="75" t="inlineStr">
        <is>
          <t>junior_pl</t>
        </is>
      </c>
      <c r="V77" s="75" t="inlineStr">
        <is>
          <t>direto no regulamento</t>
        </is>
      </c>
      <c r="W77" s="75" t="b">
        <v>0</v>
      </c>
      <c r="X77" s="75" t="inlineStr">
        <is>
          <t>Mínimo júnior isolado; a subordinação atual disponível agrega todas as classes subordinadas.</t>
        </is>
      </c>
      <c r="Y77" s="75" t="b">
        <v>0</v>
      </c>
      <c r="Z77" s="144" t="inlineStr">
        <is>
          <t>N/D</t>
        </is>
      </c>
      <c r="AA77" s="144" t="inlineStr">
        <is>
          <t>N/D</t>
        </is>
      </c>
      <c r="AB77" s="75" t="inlineStr">
        <is>
          <t>não medido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Lastro agro não isolado</t>
        </is>
      </c>
      <c r="AJ77" s="75" t="b">
        <v>0</v>
      </c>
      <c r="AK77" s="75" t="inlineStr">
        <is>
          <t>PENDENTE_DOCUMENTAL</t>
        </is>
      </c>
      <c r="AL77" s="75" t="inlineStr">
        <is>
          <t>Nenhum originador, cedente, devedor ou tipo foi localizado</t>
        </is>
      </c>
      <c r="AM77" s="75" t="inlineStr">
        <is>
          <t>regulamento 1237988 apenas estrutural</t>
        </is>
      </c>
      <c r="AN77" s="75" t="inlineStr">
        <is>
          <t>Pendente</t>
        </is>
      </c>
      <c r="AO77" s="75" t="inlineStr">
        <is>
          <t>regulamento 1237988 apenas estrutural</t>
        </is>
      </c>
      <c r="AP77" s="75" t="inlineStr">
        <is>
          <t>N/D</t>
        </is>
      </c>
      <c r="AQ77" s="75" t="inlineStr">
        <is>
          <t>Agro / Revenda</t>
        </is>
      </c>
      <c r="AR77" s="75" t="inlineStr">
        <is>
          <t>Agro / Revenda</t>
        </is>
      </c>
      <c r="AS77" s="75" t="b">
        <v>0</v>
      </c>
      <c r="AT77" s="75" t="inlineStr">
        <is>
          <t>N/D</t>
        </is>
      </c>
      <c r="AU77" s="75" t="inlineStr">
        <is>
          <t>N/D</t>
        </is>
      </c>
      <c r="AV77" s="75" t="inlineStr">
        <is>
          <t>35%–60%</t>
        </is>
      </c>
      <c r="AW77" s="75" t="b">
        <v>1</v>
      </c>
      <c r="AX77" s="75" t="inlineStr">
        <is>
          <t>incomparável</t>
        </is>
      </c>
      <c r="AY77" s="75" t="inlineStr">
        <is>
          <t>sem benchmark confiável</t>
        </is>
      </c>
      <c r="AZ77" s="144" t="inlineStr">
        <is>
          <t>N/D</t>
        </is>
      </c>
      <c r="BA77" s="75" t="b">
        <v>0</v>
      </c>
      <c r="BB77" s="145" t="n">
        <v>0</v>
      </c>
      <c r="BC77" s="143" t="inlineStr">
        <is>
          <t>N/D</t>
        </is>
      </c>
      <c r="BD77" s="75" t="inlineStr">
        <is>
          <t>N/D</t>
        </is>
      </c>
      <c r="BE77" s="75" t="inlineStr">
        <is>
          <t>N/D</t>
        </is>
      </c>
      <c r="BF77" s="75" t="inlineStr">
        <is>
          <t>N/D</t>
        </is>
      </c>
      <c r="BG77" s="75" t="inlineStr">
        <is>
          <t>N/D</t>
        </is>
      </c>
      <c r="BH77" s="75" t="inlineStr">
        <is>
          <t>N/D</t>
        </is>
      </c>
      <c r="BI77" s="75" t="inlineStr">
        <is>
          <t>N/D</t>
        </is>
      </c>
      <c r="BJ77" s="75" t="inlineStr">
        <is>
          <t>não localizado</t>
        </is>
      </c>
      <c r="BK77" s="75" t="b">
        <v>0</v>
      </c>
      <c r="BL77" s="75" t="inlineStr">
        <is>
          <t>N/D</t>
        </is>
      </c>
      <c r="BM77" s="75" t="inlineStr">
        <is>
          <t>N/D</t>
        </is>
      </c>
      <c r="BN77" s="75" t="inlineStr">
        <is>
          <t>N/D</t>
        </is>
      </c>
      <c r="BO77" s="75" t="inlineStr">
        <is>
          <t>N/D</t>
        </is>
      </c>
      <c r="BP77" s="75" t="inlineStr">
        <is>
          <t>N/D</t>
        </is>
      </c>
      <c r="BQ77" s="75" t="inlineStr">
        <is>
          <t>N/D</t>
        </is>
      </c>
      <c r="BR77" s="75" t="inlineStr">
        <is>
          <t>N/D</t>
        </is>
      </c>
      <c r="BS77" s="75" t="inlineStr">
        <is>
          <t>sem_overlay</t>
        </is>
      </c>
      <c r="BT77" s="75" t="inlineStr">
        <is>
          <t>N/D</t>
        </is>
      </c>
      <c r="BU77" s="75" t="inlineStr">
        <is>
          <t>1237988</t>
        </is>
      </c>
      <c r="BV77" s="75" t="inlineStr">
        <is>
          <t>2026-07-02</t>
        </is>
      </c>
      <c r="BW77" s="75" t="inlineStr">
        <is>
          <t>30</t>
        </is>
      </c>
      <c r="BX77" s="75" t="inlineStr">
        <is>
          <t>revisto — mínimo júnior calculado de cláusulas contratuais</t>
        </is>
      </c>
      <c r="BY77" s="75" t="inlineStr">
        <is>
          <t>FundosNet/B3; documento 1237988; referência 2026-07-02; p. 30</t>
        </is>
      </c>
      <c r="BZ77" s="75" t="inlineStr">
        <is>
          <t>Mínimo júnior calculado: subordinadas = 50,0% do PL e júnior = 50,0% das subordinadas.</t>
        </is>
      </c>
      <c r="CA77" s="75" t="inlineStr">
        <is>
          <t>preço unitário da cota; originador; cedente; sacado/devedor; tipo de recebível</t>
        </is>
      </c>
      <c r="CB77" s="75" t="inlineStr">
        <is>
          <t>estrutura_incomparavel</t>
        </is>
      </c>
    </row>
    <row r="78" ht="31.5" customHeight="1">
      <c r="A78" s="74" t="n">
        <v>76</v>
      </c>
      <c r="B78" s="138" t="n">
        <v>37035970000132</v>
      </c>
      <c r="C78" s="74" t="inlineStr">
        <is>
          <t>37.035.970/0001-32</t>
        </is>
      </c>
      <c r="D78" s="74" t="inlineStr">
        <is>
          <t>CD CASH FUNDO DE INVESTIMENTO EM DIREITOS CREDITÓRIOS RESPONSABILIDADE LIMITADA</t>
        </is>
      </c>
      <c r="E78" s="74" t="inlineStr">
        <is>
          <t>CD BANCK FIDC</t>
        </is>
      </c>
      <c r="F78" s="74" t="inlineStr">
        <is>
          <t>Carteira 101</t>
        </is>
      </c>
      <c r="G78" s="74" t="inlineStr">
        <is>
          <t>2026-06</t>
        </is>
      </c>
      <c r="H78" s="74" t="inlineStr">
        <is>
          <t>localizado</t>
        </is>
      </c>
      <c r="I78" s="139" t="n">
        <v>291764021.23</v>
      </c>
      <c r="J78" s="139" t="n">
        <v>291764021.2199663</v>
      </c>
      <c r="K78" s="139" t="n">
        <v>136523290.7498239</v>
      </c>
      <c r="L78" s="140" t="n">
        <v>0.4679236671275567</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Insumos agrícolas, inclui não performados</t>
        </is>
      </c>
      <c r="AJ78" s="74" t="b">
        <v>0</v>
      </c>
      <c r="AK78" s="74" t="inlineStr">
        <is>
          <t>MANTER_ALTA</t>
        </is>
      </c>
      <c r="AL78" s="74" t="inlineStr">
        <is>
          <t>CHDS e insumos agrícolas com prazo safra</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35%–60%</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CHD'S</t>
        </is>
      </c>
      <c r="BM78" s="74" t="inlineStr">
        <is>
          <t>cedente</t>
        </is>
      </c>
      <c r="BN78" s="74" t="inlineStr">
        <is>
          <t>N/D</t>
        </is>
      </c>
      <c r="BO78" s="74" t="inlineStr">
        <is>
          <t>CHDS do Brasil</t>
        </is>
      </c>
      <c r="BP78" s="74" t="inlineStr">
        <is>
          <t>N/D</t>
        </is>
      </c>
      <c r="BQ78" s="74" t="inlineStr">
        <is>
          <t>Insumos Agrícolas - prazo Safra; possui não performados</t>
        </is>
      </c>
      <c r="BR78" s="74" t="inlineStr">
        <is>
          <t>cedente: https://fnet.bmfbovespa.com.br/fnet/publico/downloadDocumento?id=1128089 | tipo_recebivel: IMG_8706.JPG</t>
        </is>
      </c>
      <c r="BS78" s="74" t="inlineStr">
        <is>
          <t>manual_aplicado</t>
        </is>
      </c>
      <c r="BT78" s="74" t="inlineStr">
        <is>
          <t>N/D</t>
        </is>
      </c>
      <c r="BU78" s="74" t="inlineStr">
        <is>
          <t>1187379</t>
        </is>
      </c>
      <c r="BV78" s="74" t="inlineStr">
        <is>
          <t>2026-05-12</t>
        </is>
      </c>
      <c r="BW78" s="74" t="inlineStr">
        <is>
          <t>43</t>
        </is>
      </c>
      <c r="BX78" s="74" t="inlineStr">
        <is>
          <t>revisto — mínimo júnior calculado de cláusulas contratuais</t>
        </is>
      </c>
      <c r="BY78" s="74" t="inlineStr">
        <is>
          <t>FundosNet/B3; documento 1187379; referência 2026-05-12; p. 43</t>
        </is>
      </c>
      <c r="BZ78" s="74" t="inlineStr">
        <is>
          <t>Mínimo júnior calculado: subordinadas = 40,0% do PL e júnior = 75,0% das subordinadas.</t>
        </is>
      </c>
      <c r="CA78" s="74" t="inlineStr">
        <is>
          <t>preço unitário da cota; originador; sacado/devedor</t>
        </is>
      </c>
      <c r="CB78" s="74" t="inlineStr">
        <is>
          <t>estrutura_incomparavel</t>
        </is>
      </c>
    </row>
    <row r="79" ht="31.5" customHeight="1">
      <c r="A79" s="75" t="n">
        <v>77</v>
      </c>
      <c r="B79" s="142" t="n">
        <v>17468142000180</v>
      </c>
      <c r="C79" s="75" t="inlineStr">
        <is>
          <t>17.468.142/0001-80</t>
        </is>
      </c>
      <c r="D79" s="75" t="inlineStr">
        <is>
          <t>VALOREM FUNDO DE INVESTIMENTO EM DIREITOS CREDITÓRIOS MULTISETORIAL RESPONSABILIDADE LIMITADA</t>
        </is>
      </c>
      <c r="E79" s="75" t="inlineStr">
        <is>
          <t>VALOREM FIDC MULTISSETORIAL</t>
        </is>
      </c>
      <c r="F79" s="75" t="inlineStr">
        <is>
          <t>Carteira 101</t>
        </is>
      </c>
      <c r="G79" s="75" t="inlineStr">
        <is>
          <t>2026-06</t>
        </is>
      </c>
      <c r="H79" s="75" t="inlineStr">
        <is>
          <t>localizado</t>
        </is>
      </c>
      <c r="I79" s="143" t="n">
        <v>511752071.28</v>
      </c>
      <c r="J79" s="143" t="n">
        <v>511752071.4305694</v>
      </c>
      <c r="K79" s="143" t="n">
        <v>241151436.9547133</v>
      </c>
      <c r="L79" s="144" t="n">
        <v>0.4712270853179796</v>
      </c>
      <c r="M79" s="75" t="inlineStr">
        <is>
          <t>Calculado com classes reportadas e PL oficial reconciliado</t>
        </is>
      </c>
      <c r="N79" s="144" t="n">
        <v>0.15</v>
      </c>
      <c r="O79" s="144" t="inlineStr">
        <is>
          <t>N/D</t>
        </is>
      </c>
      <c r="P79" s="144" t="inlineStr">
        <is>
          <t>N/D</t>
        </is>
      </c>
      <c r="Q79" s="144" t="inlineStr">
        <is>
          <t>N/D</t>
        </is>
      </c>
      <c r="R79" s="144" t="inlineStr">
        <is>
          <t>N/D</t>
        </is>
      </c>
      <c r="S79" s="144" t="n">
        <v>0.15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Fomento Mercantil</t>
        </is>
      </c>
      <c r="AD79" s="75" t="inlineStr">
        <is>
          <t>Fomento Mercantil</t>
        </is>
      </c>
      <c r="AE79" s="75" t="inlineStr">
        <is>
          <t>Factoring</t>
        </is>
      </c>
      <c r="AF79" s="75" t="inlineStr">
        <is>
          <t>Factoring</t>
        </is>
      </c>
      <c r="AG79" s="75" t="inlineStr">
        <is>
          <t>Factoring</t>
        </is>
      </c>
      <c r="AH79" s="75" t="inlineStr">
        <is>
          <t>Factoring</t>
        </is>
      </c>
      <c r="AI79" s="75" t="inlineStr">
        <is>
          <t>N/D</t>
        </is>
      </c>
      <c r="AJ79" s="75" t="b">
        <v>0</v>
      </c>
      <c r="AK79" s="75" t="inlineStr">
        <is>
          <t>fora da revisão Financeiro/Agro</t>
        </is>
      </c>
      <c r="AL79" s="75" t="inlineStr">
        <is>
          <t>N/D</t>
        </is>
      </c>
      <c r="AM79" s="75" t="inlineStr">
        <is>
          <t>N/D</t>
        </is>
      </c>
      <c r="AN79" s="75" t="inlineStr">
        <is>
          <t>N/D</t>
        </is>
      </c>
      <c r="AO79" s="75" t="inlineStr">
        <is>
          <t>N/D</t>
        </is>
      </c>
      <c r="AP79" s="75" t="inlineStr">
        <is>
          <t>N/D</t>
        </is>
      </c>
      <c r="AQ79" s="75" t="inlineStr">
        <is>
          <t>Factoring</t>
        </is>
      </c>
      <c r="AR79" s="75" t="inlineStr">
        <is>
          <t>Factoring</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2</v>
      </c>
      <c r="BC79" s="143" t="n">
        <v>100000</v>
      </c>
      <c r="BD79" s="75" t="inlineStr">
        <is>
          <t>Cotas Subordinadas Mezanino: R$100.000,00</t>
        </is>
      </c>
      <c r="BE79" s="75" t="inlineStr">
        <is>
          <t>preço/valor unitário de emissão</t>
        </is>
      </c>
      <c r="BF79" s="75" t="inlineStr">
        <is>
          <t>Cotas Subordinadas Mezanino</t>
        </is>
      </c>
      <c r="BG79" s="75" t="inlineStr">
        <is>
          <t>30/07/2026</t>
        </is>
      </c>
      <c r="BH79" s="75" t="inlineStr">
        <is>
          <t>1271235</t>
        </is>
      </c>
      <c r="BI79" s="75" t="inlineStr">
        <is>
          <t>https://fnet.bmfbovespa.com.br/fnet/publico/downloadDocumento?id=1271235</t>
        </is>
      </c>
      <c r="BJ79" s="75" t="inlineStr">
        <is>
          <t>localizado documentalmente</t>
        </is>
      </c>
      <c r="BK79" s="75" t="b">
        <v>0</v>
      </c>
      <c r="BL79" s="75" t="inlineStr">
        <is>
          <t>Multicedentes &amp; Multisacados</t>
        </is>
      </c>
      <c r="BM79" s="75" t="inlineStr">
        <is>
          <t>cedente</t>
        </is>
      </c>
      <c r="BN79" s="75" t="inlineStr">
        <is>
          <t>N/D</t>
        </is>
      </c>
      <c r="BO79" s="75" t="inlineStr">
        <is>
          <t>todas as pessoas físicas ou jurídicas que cedem os Direitos Creditórios para a Classe</t>
        </is>
      </c>
      <c r="BP79" s="75" t="inlineStr">
        <is>
          <t>pessoas físicas e/ou jurídicas que figurem na qualidade de devedores dos Direitos Creditórios, podendo ser denominado também como “Sacado”</t>
        </is>
      </c>
      <c r="BQ79" s="75" t="inlineStr">
        <is>
          <t>a) direitos e títulos representativos de crédito,</t>
        </is>
      </c>
      <c r="BR79" s="75" t="inlineStr">
        <is>
          <t>cedente: https://fnet.bmfbovespa.com.br/fnet/publico/downloadDocumento?id=1271235 | sacado_devedor: https://fnet.bmfbovespa.com.br/fnet/publico/downloadDocumento?id=1271235 | tipo_recebivel: https://fnet.bmfbovespa.com.br/fnet/publico/downloadDocumento?id=1271235</t>
        </is>
      </c>
      <c r="BS79" s="75" t="inlineStr">
        <is>
          <t>manual_aplicado</t>
        </is>
      </c>
      <c r="BT79" s="75" t="inlineStr">
        <is>
          <t>N/D</t>
        </is>
      </c>
      <c r="BU79" s="75" t="inlineStr">
        <is>
          <t>1157934</t>
        </is>
      </c>
      <c r="BV79" s="75" t="inlineStr">
        <is>
          <t>2026-04-09</t>
        </is>
      </c>
      <c r="BW79" s="75" t="inlineStr">
        <is>
          <t>102</t>
        </is>
      </c>
      <c r="BX79" s="75" t="inlineStr">
        <is>
          <t>revisto — mínimo júnior localizado</t>
        </is>
      </c>
      <c r="BY79" s="75" t="inlineStr">
        <is>
          <t>FundosNet/B3; documento 1157934; referência 2026-04-09; p. 102</t>
        </is>
      </c>
      <c r="BZ79" s="75" t="inlineStr">
        <is>
          <t>Índice de Subordinação Mezanino: cotas júnior / PL, mínimo de 15,0%.</t>
        </is>
      </c>
      <c r="CA79" s="75" t="inlineStr">
        <is>
          <t>originador</t>
        </is>
      </c>
      <c r="CB79" s="75" t="inlineStr">
        <is>
          <t>estrutura_incomparavel</t>
        </is>
      </c>
    </row>
    <row r="80" ht="31.5" customHeight="1">
      <c r="A80" s="74" t="n">
        <v>78</v>
      </c>
      <c r="B80" s="138" t="n">
        <v>29492605000129</v>
      </c>
      <c r="C80" s="74" t="inlineStr">
        <is>
          <t>29.492.605/0001-29</t>
        </is>
      </c>
      <c r="D80" s="74" t="inlineStr">
        <is>
          <t>GAZIN FUNDO DE INVESTIMENTO EM DIREITOS CREDITÓRIOS MULTISSEGMENTOS - RESPONSABILIDADE LIMITADA</t>
        </is>
      </c>
      <c r="E80" s="74" t="inlineStr">
        <is>
          <t>GAZIN FUNDO DE INVESTIMENTO EM DIREITOS CREDITORIO</t>
        </is>
      </c>
      <c r="F80" s="74" t="inlineStr">
        <is>
          <t>Carteira 101</t>
        </is>
      </c>
      <c r="G80" s="74" t="inlineStr">
        <is>
          <t>2026-06</t>
        </is>
      </c>
      <c r="H80" s="74" t="inlineStr">
        <is>
          <t>localizado</t>
        </is>
      </c>
      <c r="I80" s="139" t="n">
        <v>2494236413.23</v>
      </c>
      <c r="J80" s="139" t="n">
        <v>2494236413.231075</v>
      </c>
      <c r="K80" s="139" t="n">
        <v>1685981886.42</v>
      </c>
      <c r="L80" s="140" t="n">
        <v>0.6759511157311178</v>
      </c>
      <c r="M80" s="74" t="inlineStr">
        <is>
          <t>Calculado com classes reportadas e PL oficial reconciliado</t>
        </is>
      </c>
      <c r="N80" s="140" t="n">
        <v>0.51</v>
      </c>
      <c r="O80" s="140" t="inlineStr">
        <is>
          <t>N/D</t>
        </is>
      </c>
      <c r="P80" s="140" t="inlineStr">
        <is>
          <t>N/D</t>
        </is>
      </c>
      <c r="Q80" s="140" t="n">
        <v>0.51</v>
      </c>
      <c r="R80" s="140" t="inlineStr">
        <is>
          <t>N/D</t>
        </is>
      </c>
      <c r="S80" s="140" t="n">
        <v>0.51</v>
      </c>
      <c r="T80" s="74" t="inlineStr">
        <is>
          <t>51,0%</t>
        </is>
      </c>
      <c r="U80" s="74" t="inlineStr">
        <is>
          <t>junior_pl</t>
        </is>
      </c>
      <c r="V80" s="74" t="inlineStr">
        <is>
          <t>direto no regulamento</t>
        </is>
      </c>
      <c r="W80" s="74" t="b">
        <v>1</v>
      </c>
      <c r="X80" s="74" t="inlineStr">
        <is>
          <t>Estrutura documental com cotas seniores e juniores; a métrica atual e o piso usam o total subordinado sobre o PL.</t>
        </is>
      </c>
      <c r="Y80" s="74" t="b">
        <v>0</v>
      </c>
      <c r="Z80" s="140" t="n">
        <v>0.1659511157311178</v>
      </c>
      <c r="AA80" s="140" t="n">
        <v>0.3386757463900362</v>
      </c>
      <c r="AB80" s="74" t="inlineStr">
        <is>
          <t>acima do mínimo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Recebíveis Gazin, natureza contratual não isolada</t>
        </is>
      </c>
      <c r="AJ80" s="74" t="b">
        <v>0</v>
      </c>
      <c r="AK80" s="74" t="inlineStr">
        <is>
          <t>PENDENTE_DOCUMENTAL</t>
        </is>
      </c>
      <c r="AL80" s="74" t="inlineStr">
        <is>
          <t>Falta distinguir crédito ao consumidor, cartão ou duplicatas comerciais</t>
        </is>
      </c>
      <c r="AM80" s="74" t="inlineStr">
        <is>
          <t>rating 321548 + regulamento 1117213</t>
        </is>
      </c>
      <c r="AN80" s="74" t="inlineStr">
        <is>
          <t>Pendente</t>
        </is>
      </c>
      <c r="AO80" s="74" t="inlineStr">
        <is>
          <t>rating 321548 + regulamento 1117213</t>
        </is>
      </c>
      <c r="AP80" s="74" t="inlineStr">
        <is>
          <t>N/D</t>
        </is>
      </c>
      <c r="AQ80" s="74" t="inlineStr">
        <is>
          <t>Agro / Revenda</t>
        </is>
      </c>
      <c r="AR80" s="74" t="inlineStr">
        <is>
          <t>Agro / Revenda</t>
        </is>
      </c>
      <c r="AS80" s="74" t="b">
        <v>0</v>
      </c>
      <c r="AT80" s="74" t="inlineStr">
        <is>
          <t>N/D</t>
        </is>
      </c>
      <c r="AU80" s="74" t="inlineStr">
        <is>
          <t>N/D</t>
        </is>
      </c>
      <c r="AV80" s="74" t="inlineStr">
        <is>
          <t>≥ 60%</t>
        </is>
      </c>
      <c r="AW80" s="74" t="b">
        <v>1</v>
      </c>
      <c r="AX80" s="74" t="inlineStr">
        <is>
          <t>acima do piso</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N/D</t>
        </is>
      </c>
      <c r="BM80" s="74" t="inlineStr">
        <is>
          <t>N/D</t>
        </is>
      </c>
      <c r="BN80" s="74" t="inlineStr">
        <is>
          <t>N/D</t>
        </is>
      </c>
      <c r="BO80" s="74" t="inlineStr">
        <is>
          <t>Gazin</t>
        </is>
      </c>
      <c r="BP80" s="74" t="inlineStr">
        <is>
          <t>N/D</t>
        </is>
      </c>
      <c r="BQ80" s="74" t="inlineStr">
        <is>
          <t>N/D</t>
        </is>
      </c>
      <c r="BR80" s="74" t="inlineStr">
        <is>
          <t>cedente: https://fnet.bmfbovespa.com.br/fnet/publico/downloadDocumento?id=321548</t>
        </is>
      </c>
      <c r="BS80" s="74" t="inlineStr">
        <is>
          <t>sem_overlay</t>
        </is>
      </c>
      <c r="BT80" s="74" t="inlineStr">
        <is>
          <t>N/D</t>
        </is>
      </c>
      <c r="BU80" s="74" t="inlineStr">
        <is>
          <t>1117213</t>
        </is>
      </c>
      <c r="BV80" s="74" t="inlineStr">
        <is>
          <t>2026-02-12</t>
        </is>
      </c>
      <c r="BW80" s="74" t="inlineStr">
        <is>
          <t>44</t>
        </is>
      </c>
      <c r="BX80" s="74" t="inlineStr">
        <is>
          <t>revisto — mínimo júnior localizado</t>
        </is>
      </c>
      <c r="BY80" s="74" t="inlineStr">
        <is>
          <t>FundosNet/B3; documento 1117213; referência 2026-02-12; p. 44</t>
        </is>
      </c>
      <c r="BZ80" s="74" t="inlineStr">
        <is>
          <t>O regulamento contém apenas cotas seniores e juniores; índice de subordinação mínimo de 51,0%.</t>
        </is>
      </c>
      <c r="CA80" s="74" t="inlineStr">
        <is>
          <t>preço unitário da cota; originador; sacado/devedor; tipo de recebível</t>
        </is>
      </c>
      <c r="CB80" s="74" t="inlineStr">
        <is>
          <t>completo_para_folga</t>
        </is>
      </c>
    </row>
    <row r="81" ht="31.5" customHeight="1">
      <c r="A81" s="75" t="n">
        <v>79</v>
      </c>
      <c r="B81" s="142" t="n">
        <v>31739396000117</v>
      </c>
      <c r="C81" s="75" t="inlineStr">
        <is>
          <t>31.739.396/0001-17</t>
        </is>
      </c>
      <c r="D81" s="75" t="inlineStr">
        <is>
          <t>LF III FUNDO DE INVESTIMENTO EM DIREITOS CREDITÓRIOS DE RESPONSABILIDADE LIMITADA</t>
        </is>
      </c>
      <c r="E81" s="75" t="inlineStr">
        <is>
          <t>FIDC LF III</t>
        </is>
      </c>
      <c r="F81" s="75" t="inlineStr">
        <is>
          <t>Carteira 101</t>
        </is>
      </c>
      <c r="G81" s="75" t="inlineStr">
        <is>
          <t>2026-06</t>
        </is>
      </c>
      <c r="H81" s="75" t="inlineStr">
        <is>
          <t>localizado</t>
        </is>
      </c>
      <c r="I81" s="143" t="n">
        <v>1385981646.72</v>
      </c>
      <c r="J81" s="143" t="n">
        <v>1385981646.865284</v>
      </c>
      <c r="K81" s="143" t="n">
        <v>110921515.8165764</v>
      </c>
      <c r="L81" s="144" t="n">
        <v>0.0800310134546717</v>
      </c>
      <c r="M81" s="75" t="inlineStr">
        <is>
          <t>Calculado com classes reportadas e PL oficial reconciliado</t>
        </is>
      </c>
      <c r="N81" s="144" t="n">
        <v>0.005</v>
      </c>
      <c r="O81" s="144" t="inlineStr">
        <is>
          <t>N/D</t>
        </is>
      </c>
      <c r="P81" s="144" t="inlineStr">
        <is>
          <t>N/D</t>
        </is>
      </c>
      <c r="Q81" s="144" t="inlineStr">
        <is>
          <t>N/D</t>
        </is>
      </c>
      <c r="R81" s="144" t="inlineStr">
        <is>
          <t>N/D</t>
        </is>
      </c>
      <c r="S81" s="144" t="n">
        <v>0.005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Agro, Indústria e Comércio</t>
        </is>
      </c>
      <c r="AD81" s="75" t="inlineStr">
        <is>
          <t>Recebíveis Comerciais</t>
        </is>
      </c>
      <c r="AE81" s="75" t="inlineStr">
        <is>
          <t>Agro / Revenda</t>
        </is>
      </c>
      <c r="AF81" s="75" t="inlineStr">
        <is>
          <t>Agro / Revenda</t>
        </is>
      </c>
      <c r="AG81" s="75" t="inlineStr">
        <is>
          <t>Adquirência</t>
        </is>
      </c>
      <c r="AH81" s="75" t="inlineStr">
        <is>
          <t>Adquirência</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Adquirência</t>
        </is>
      </c>
      <c r="AR81" s="75" t="inlineStr">
        <is>
          <t>Agro / Revenda</t>
        </is>
      </c>
      <c r="AS81" s="75" t="b">
        <v>1</v>
      </c>
      <c r="AT81" s="75" t="inlineStr">
        <is>
          <t>FundosNet/B3 doc. 1146939, p. 10; IMG_8706.JPG</t>
        </is>
      </c>
      <c r="AU81" s="75" t="inlineStr">
        <is>
          <t>Recebíveis da Listo IP contra emissores derivados de transações em arranjos de pagamento.</t>
        </is>
      </c>
      <c r="AV81" s="75" t="inlineStr">
        <is>
          <t>&lt; 10%</t>
        </is>
      </c>
      <c r="AW81" s="75" t="b">
        <v>1</v>
      </c>
      <c r="AX81" s="75" t="inlineStr">
        <is>
          <t>incomparável</t>
        </is>
      </c>
      <c r="AY81" s="75" t="inlineStr">
        <is>
          <t>sem benchmark confiável</t>
        </is>
      </c>
      <c r="AZ81" s="144" t="inlineStr">
        <is>
          <t>N/D</t>
        </is>
      </c>
      <c r="BA81" s="75" t="b">
        <v>0</v>
      </c>
      <c r="BB81" s="145" t="n">
        <v>0</v>
      </c>
      <c r="BC81" s="143" t="n">
        <v>1000</v>
      </c>
      <c r="BD81" s="75" t="inlineStr">
        <is>
          <t>Cotas Seniores: R$1.000,00</t>
        </is>
      </c>
      <c r="BE81" s="75" t="inlineStr">
        <is>
          <t>valor nominal unitário (VNU)</t>
        </is>
      </c>
      <c r="BF81" s="75" t="inlineStr">
        <is>
          <t>Cotas Seniores</t>
        </is>
      </c>
      <c r="BG81" s="75" t="inlineStr">
        <is>
          <t>20/01/2026</t>
        </is>
      </c>
      <c r="BH81" s="75" t="inlineStr">
        <is>
          <t>1088682</t>
        </is>
      </c>
      <c r="BI81" s="75" t="inlineStr">
        <is>
          <t>https://fnet.bmfbovespa.com.br/fnet/publico/downloadDocumento?id=1088682</t>
        </is>
      </c>
      <c r="BJ81" s="75" t="inlineStr">
        <is>
          <t>localizado documentalmente</t>
        </is>
      </c>
      <c r="BK81" s="75" t="b">
        <v>0</v>
      </c>
      <c r="BL81" s="75" t="inlineStr">
        <is>
          <t>Listo IP</t>
        </is>
      </c>
      <c r="BM81" s="75" t="inlineStr">
        <is>
          <t>cedente</t>
        </is>
      </c>
      <c r="BN81" s="75" t="inlineStr">
        <is>
          <t>LISTO INSTITUIÇÃO DE PAGAMENTO LTDA.</t>
        </is>
      </c>
      <c r="BO81" s="75" t="inlineStr">
        <is>
          <t>Listo IP</t>
        </is>
      </c>
      <c r="BP81" s="75" t="inlineStr">
        <is>
          <t>N/D</t>
        </is>
      </c>
      <c r="BQ81"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1" s="75" t="inlineStr">
        <is>
          <t>originador: https://fnet.bmfbovespa.com.br/fnet/publico/downloadDocumento?id=1237167 | cedente: IMG_8706.JPG | tipo_recebivel: https://fnet.bmfbovespa.com.br/fnet/publico/downloadDocumento?id=1146939</t>
        </is>
      </c>
      <c r="BS81" s="75" t="inlineStr">
        <is>
          <t>manual_aplicado</t>
        </is>
      </c>
      <c r="BT81" s="75" t="inlineStr">
        <is>
          <t>OBS da foto: lista de concentração pré-aprovada.</t>
        </is>
      </c>
      <c r="BU81" s="75" t="inlineStr">
        <is>
          <t>1146939</t>
        </is>
      </c>
      <c r="BV81" s="75" t="inlineStr">
        <is>
          <t>2026-03-27</t>
        </is>
      </c>
      <c r="BW81" s="75" t="inlineStr">
        <is>
          <t>39</t>
        </is>
      </c>
      <c r="BX81" s="75" t="inlineStr">
        <is>
          <t>revisto — mínimo júnior localizado</t>
        </is>
      </c>
      <c r="BY81" s="75" t="inlineStr">
        <is>
          <t>FundosNet/B3; documento 1146939; referência 2026-03-27; p. 39</t>
        </is>
      </c>
      <c r="BZ81" s="75" t="inlineStr">
        <is>
          <t>Cotas subordinadas júnior / PL, mínimo de 0,5%.</t>
        </is>
      </c>
      <c r="CA81" s="75" t="inlineStr">
        <is>
          <t>sacado/devedor</t>
        </is>
      </c>
      <c r="CB81" s="75" t="inlineStr">
        <is>
          <t>estrutura_incomparavel</t>
        </is>
      </c>
    </row>
    <row r="82" ht="31.5" customHeight="1">
      <c r="A82" s="74" t="n">
        <v>80</v>
      </c>
      <c r="B82" s="138" t="n">
        <v>26749095000134</v>
      </c>
      <c r="C82" s="74" t="inlineStr">
        <is>
          <t>26.749.095/0001-34</t>
        </is>
      </c>
      <c r="D82" s="74" t="inlineStr">
        <is>
          <t>PRAVALER CRÉDITO UNIVERSITÁRIO II FUNDO DE INVESTIMENTO EM DIREITOS CREDITÓRIOS - RESP LIMITADAL</t>
        </is>
      </c>
      <c r="E82" s="74" t="inlineStr">
        <is>
          <t>CREDITO UNIVERSITARIO II FUNDO DE INVESTIMENTO EM</t>
        </is>
      </c>
      <c r="F82" s="74" t="inlineStr">
        <is>
          <t>Carteira 101</t>
        </is>
      </c>
      <c r="G82" s="74" t="inlineStr">
        <is>
          <t>2026-06</t>
        </is>
      </c>
      <c r="H82" s="74" t="inlineStr">
        <is>
          <t>localizado</t>
        </is>
      </c>
      <c r="I82" s="139" t="n">
        <v>392878603.09</v>
      </c>
      <c r="J82" s="139" t="n">
        <v>382813001.2497861</v>
      </c>
      <c r="K82" s="139" t="n">
        <v>98334639.56746107</v>
      </c>
      <c r="L82" s="140" t="inlineStr">
        <is>
          <t>N/D</t>
        </is>
      </c>
      <c r="M82" s="74" t="inlineStr">
        <is>
          <t>N/D</t>
        </is>
      </c>
      <c r="N82" s="140" t="n">
        <v>0.1</v>
      </c>
      <c r="O82" s="140" t="inlineStr">
        <is>
          <t>N/D</t>
        </is>
      </c>
      <c r="P82" s="140" t="inlineStr">
        <is>
          <t>N/D</t>
        </is>
      </c>
      <c r="Q82" s="140" t="inlineStr">
        <is>
          <t>N/D</t>
        </is>
      </c>
      <c r="R82" s="140" t="inlineStr">
        <is>
          <t>N/D</t>
        </is>
      </c>
      <c r="S82" s="140" t="n">
        <v>0.1</v>
      </c>
      <c r="T82" s="74" t="inlineStr">
        <is>
          <t>N/D</t>
        </is>
      </c>
      <c r="U82" s="74" t="inlineStr">
        <is>
          <t>junior_pl</t>
        </is>
      </c>
      <c r="V82" s="74" t="inlineStr">
        <is>
          <t>direto no regulamento</t>
        </is>
      </c>
      <c r="W82" s="74" t="b">
        <v>0</v>
      </c>
      <c r="X82" s="74" t="inlineStr">
        <is>
          <t>Mínimo júnior isolado; a subordinação atual disponível agrega mais de uma classe subordinada ou usa denominador distinto.</t>
        </is>
      </c>
      <c r="Y82" s="74" t="b">
        <v>0</v>
      </c>
      <c r="Z82" s="140" t="inlineStr">
        <is>
          <t>N/D</t>
        </is>
      </c>
      <c r="AA82" s="140" t="inlineStr">
        <is>
          <t>N/D</t>
        </is>
      </c>
      <c r="AB82" s="74" t="inlineStr">
        <is>
          <t>não medido</t>
        </is>
      </c>
      <c r="AC82" s="74" t="inlineStr">
        <is>
          <t>Financeiro</t>
        </is>
      </c>
      <c r="AD82" s="74" t="inlineStr">
        <is>
          <t>Crédito Pessoal</t>
        </is>
      </c>
      <c r="AE82" s="74" t="inlineStr">
        <is>
          <t>Financeiro</t>
        </is>
      </c>
      <c r="AF82" s="74" t="inlineStr">
        <is>
          <t>Financeiro</t>
        </is>
      </c>
      <c r="AG82" s="74" t="inlineStr">
        <is>
          <t>Financeiro</t>
        </is>
      </c>
      <c r="AH82" s="74" t="inlineStr">
        <is>
          <t>Financeiro</t>
        </is>
      </c>
      <c r="AI82" s="74" t="inlineStr">
        <is>
          <t>Crédito estudantil</t>
        </is>
      </c>
      <c r="AJ82" s="74" t="b">
        <v>0</v>
      </c>
      <c r="AK82" s="74" t="inlineStr">
        <is>
          <t>MANTER_ALTA</t>
        </is>
      </c>
      <c r="AL82" s="74" t="inlineStr">
        <is>
          <t>Risco de financiamento estudantil Pravaler</t>
        </is>
      </c>
      <c r="AM82" s="74" t="inlineStr">
        <is>
          <t>IMG_8706</t>
        </is>
      </c>
      <c r="AN82" s="74" t="inlineStr">
        <is>
          <t>Não</t>
        </is>
      </c>
      <c r="AO82" s="74" t="inlineStr">
        <is>
          <t>IMG_8706</t>
        </is>
      </c>
      <c r="AP82" s="74" t="b">
        <v>0</v>
      </c>
      <c r="AQ82" s="74" t="inlineStr">
        <is>
          <t>Financeiro</t>
        </is>
      </c>
      <c r="AR82" s="74" t="inlineStr">
        <is>
          <t>Financeiro</t>
        </is>
      </c>
      <c r="AS82" s="74" t="b">
        <v>0</v>
      </c>
      <c r="AT82" s="74" t="inlineStr">
        <is>
          <t>N/D</t>
        </is>
      </c>
      <c r="AU82" s="74" t="inlineStr">
        <is>
          <t>N/D</t>
        </is>
      </c>
      <c r="AV82" s="74" t="inlineStr">
        <is>
          <t>N/D</t>
        </is>
      </c>
      <c r="AW82" s="74" t="b">
        <v>0</v>
      </c>
      <c r="AX82" s="74" t="inlineStr">
        <is>
          <t>N/D</t>
        </is>
      </c>
      <c r="AY82" s="74" t="inlineStr">
        <is>
          <t>sem benchmark confiável</t>
        </is>
      </c>
      <c r="AZ82" s="140" t="inlineStr">
        <is>
          <t>N/D</t>
        </is>
      </c>
      <c r="BA82" s="74" t="b">
        <v>1</v>
      </c>
      <c r="BB82" s="141" t="n">
        <v>12</v>
      </c>
      <c r="BC82" s="139" t="n">
        <v>1000</v>
      </c>
      <c r="BD82" s="74" t="inlineStr">
        <is>
          <t>R$1.000,00</t>
        </is>
      </c>
      <c r="BE82" s="74" t="inlineStr">
        <is>
          <t>preço/valor unitário de emissão</t>
        </is>
      </c>
      <c r="BF82" s="74" t="inlineStr">
        <is>
          <t>N/D</t>
        </is>
      </c>
      <c r="BG82" s="74" t="inlineStr">
        <is>
          <t>2025-11-19</t>
        </is>
      </c>
      <c r="BH82" s="74" t="inlineStr">
        <is>
          <t>1061833</t>
        </is>
      </c>
      <c r="BI82" s="74" t="inlineStr">
        <is>
          <t>https://fnet.bmfbovespa.com.br/fnet/publico/downloadDocumento?id=1061833</t>
        </is>
      </c>
      <c r="BJ82" s="74" t="inlineStr">
        <is>
          <t>localizado documentalmente</t>
        </is>
      </c>
      <c r="BK82" s="74" t="b">
        <v>1</v>
      </c>
      <c r="BL82" s="74" t="inlineStr">
        <is>
          <t>Pravaler</t>
        </is>
      </c>
      <c r="BM82" s="74" t="inlineStr">
        <is>
          <t>cedente</t>
        </is>
      </c>
      <c r="BN82" s="74" t="inlineStr">
        <is>
          <t>N/D</t>
        </is>
      </c>
      <c r="BO82" s="74" t="inlineStr">
        <is>
          <t>Pravaler</t>
        </is>
      </c>
      <c r="BP82" s="74" t="inlineStr">
        <is>
          <t>N/D</t>
        </is>
      </c>
      <c r="BQ82" s="74" t="inlineStr">
        <is>
          <t>Crédito Estudantil</t>
        </is>
      </c>
      <c r="BR82" s="74" t="inlineStr">
        <is>
          <t>cedente: IMG_8706.JPG | tipo_recebivel: IMG_8706.JPG</t>
        </is>
      </c>
      <c r="BS82" s="74" t="inlineStr">
        <is>
          <t>manual_aplicado</t>
        </is>
      </c>
      <c r="BT82" s="74" t="inlineStr">
        <is>
          <t>Denominação cortada pela largura da coluna na foto.</t>
        </is>
      </c>
      <c r="BU82" s="74" t="inlineStr">
        <is>
          <t>1061833</t>
        </is>
      </c>
      <c r="BV82" s="74" t="inlineStr">
        <is>
          <t>2025-11-19</t>
        </is>
      </c>
      <c r="BW82" s="74" t="inlineStr">
        <is>
          <t>152</t>
        </is>
      </c>
      <c r="BX82" s="74" t="inlineStr">
        <is>
          <t>revisto — mínimo júnior localizado</t>
        </is>
      </c>
      <c r="BY82" s="74" t="inlineStr">
        <is>
          <t>FundosNet/B3; documento 1061833; referência 2025-11-19; p. 152</t>
        </is>
      </c>
      <c r="BZ82" s="74" t="inlineStr">
        <is>
          <t>Cotas júnior / PL, mínimo de 10,0%; passa a 15,0% quando o atraso supera 6,0%.</t>
        </is>
      </c>
      <c r="CA82" s="74" t="inlineStr">
        <is>
          <t>Sub/PL atual; originador; sacado/devedor</t>
        </is>
      </c>
      <c r="CB82" s="74" t="inlineStr">
        <is>
          <t>sub_pl_atual_ausente</t>
        </is>
      </c>
    </row>
    <row r="83" ht="31.5" customHeight="1">
      <c r="A83" s="75" t="n">
        <v>81</v>
      </c>
      <c r="B83" s="142" t="n">
        <v>62393829000159</v>
      </c>
      <c r="C83" s="75" t="inlineStr">
        <is>
          <t>62.393.829/0001-59</t>
        </is>
      </c>
      <c r="D83" s="75" t="inlineStr">
        <is>
          <t>FUNDO DE INVESTIMENTO EM DIREITOS CREDITÓRIOS COMERCIAIS MEDICI I - RESPONSABILIDADE LIMITADA</t>
        </is>
      </c>
      <c r="E83" s="75" t="inlineStr">
        <is>
          <t>TOP 2025 V FIDC RESP LIMITADA</t>
        </is>
      </c>
      <c r="F83" s="75" t="inlineStr">
        <is>
          <t>Carteira 101</t>
        </is>
      </c>
      <c r="G83" s="75" t="inlineStr">
        <is>
          <t>2026-06</t>
        </is>
      </c>
      <c r="H83" s="75" t="inlineStr">
        <is>
          <t>localizado</t>
        </is>
      </c>
      <c r="I83" s="143" t="n">
        <v>3091715187.97</v>
      </c>
      <c r="J83" s="143" t="n">
        <v>3091715187.975349</v>
      </c>
      <c r="K83" s="143" t="n">
        <v>168780742.4243522</v>
      </c>
      <c r="L83" s="144" t="n">
        <v>0.0545912971159457</v>
      </c>
      <c r="M83" s="75" t="inlineStr">
        <is>
          <t>Calculado com classes reportadas e PL oficial reconciliado</t>
        </is>
      </c>
      <c r="N83" s="144" t="n">
        <v>0.05</v>
      </c>
      <c r="O83" s="144" t="inlineStr">
        <is>
          <t>N/D</t>
        </is>
      </c>
      <c r="P83" s="144" t="inlineStr">
        <is>
          <t>N/D</t>
        </is>
      </c>
      <c r="Q83" s="144" t="n">
        <v>0.05</v>
      </c>
      <c r="R83" s="144" t="inlineStr">
        <is>
          <t>N/D</t>
        </is>
      </c>
      <c r="S83" s="144" t="n">
        <v>0.05</v>
      </c>
      <c r="T83" s="75" t="inlineStr">
        <is>
          <t>5,0%</t>
        </is>
      </c>
      <c r="U83" s="75" t="inlineStr">
        <is>
          <t>junior_pl</t>
        </is>
      </c>
      <c r="V83" s="75" t="inlineStr">
        <is>
          <t>direto no regulamento</t>
        </is>
      </c>
      <c r="W83" s="75" t="b">
        <v>1</v>
      </c>
      <c r="X83" s="75" t="inlineStr">
        <is>
          <t>Estrutura com uma única classe subordinada; métrica atual e piso usam o total subordinado sobre o PL.</t>
        </is>
      </c>
      <c r="Y83" s="75" t="b">
        <v>0</v>
      </c>
      <c r="Z83" s="144" t="n">
        <v>0.004591297115945699</v>
      </c>
      <c r="AA83" s="144" t="n">
        <v>0.00483294433257442</v>
      </c>
      <c r="AB83" s="75" t="inlineStr">
        <is>
          <t>folga estreita</t>
        </is>
      </c>
      <c r="AC83" s="75" t="inlineStr">
        <is>
          <t>Fomento Mercantil</t>
        </is>
      </c>
      <c r="AD83" s="75" t="inlineStr">
        <is>
          <t>Fomento Mercantil</t>
        </is>
      </c>
      <c r="AE83" s="75" t="inlineStr">
        <is>
          <t>Factoring</t>
        </is>
      </c>
      <c r="AF83" s="75" t="inlineStr">
        <is>
          <t>Factoring</t>
        </is>
      </c>
      <c r="AG83" s="75" t="inlineStr">
        <is>
          <t>Agro / Revenda</t>
        </is>
      </c>
      <c r="AH83" s="75" t="inlineStr">
        <is>
          <t>Risco Corporativo</t>
        </is>
      </c>
      <c r="AI83" s="75" t="inlineStr">
        <is>
          <t>Monosacado/concentrado BRF e Marfrig</t>
        </is>
      </c>
      <c r="AJ83" s="75" t="b">
        <v>1</v>
      </c>
      <c r="AK83" s="75" t="inlineStr">
        <is>
          <t>APLICAR_ALTA</t>
        </is>
      </c>
      <c r="AL83" s="75" t="inlineStr">
        <is>
          <t>Risco corporativo concentrado em BRF e Marfrig, conforme classificação explícita fornecida para o slide</t>
        </is>
      </c>
      <c r="AM83" s="75" t="inlineStr">
        <is>
          <t>Comentário explícito do usuário e IMG_8706.JPG</t>
        </is>
      </c>
      <c r="AN83" s="75" t="inlineStr">
        <is>
          <t>Não</t>
        </is>
      </c>
      <c r="AO83" s="75" t="inlineStr">
        <is>
          <t>Comentário explícito do usuário e IMG_8706.JPG</t>
        </is>
      </c>
      <c r="AP83" s="75" t="b">
        <v>0</v>
      </c>
      <c r="AQ83" s="75" t="inlineStr">
        <is>
          <t>Risco Corporativo</t>
        </is>
      </c>
      <c r="AR83" s="75" t="inlineStr">
        <is>
          <t>Agro / Revenda</t>
        </is>
      </c>
      <c r="AS83" s="75" t="b">
        <v>1</v>
      </c>
      <c r="AT83" s="75" t="inlineStr">
        <is>
          <t>Comentário explícito do usuário e IMG_8706.JPG</t>
        </is>
      </c>
      <c r="AU83" s="75" t="inlineStr">
        <is>
          <t>Risco corporativo concentrado em BRF e Marfrig, conforme classificação explícita fornecida para o slide</t>
        </is>
      </c>
      <c r="AV83" s="75" t="inlineStr">
        <is>
          <t>&lt; 10%</t>
        </is>
      </c>
      <c r="AW83" s="75" t="b">
        <v>1</v>
      </c>
      <c r="AX83" s="75" t="inlineStr">
        <is>
          <t>até 2 p.p. acima</t>
        </is>
      </c>
      <c r="AY83" s="75" t="inlineStr">
        <is>
          <t>sem benchmark confiável</t>
        </is>
      </c>
      <c r="AZ83" s="144" t="inlineStr">
        <is>
          <t>N/D</t>
        </is>
      </c>
      <c r="BA83" s="75" t="b">
        <v>0</v>
      </c>
      <c r="BB83" s="145" t="n">
        <v>2</v>
      </c>
      <c r="BC83" s="143" t="n">
        <v>1000</v>
      </c>
      <c r="BD83" s="75" t="inlineStr">
        <is>
          <t>cotas seniores: R$1.000,00</t>
        </is>
      </c>
      <c r="BE83" s="75" t="inlineStr">
        <is>
          <t>valor nominal unitário (VNU)</t>
        </is>
      </c>
      <c r="BF83" s="75" t="inlineStr">
        <is>
          <t>cotas seniores</t>
        </is>
      </c>
      <c r="BG83" s="75" t="inlineStr">
        <is>
          <t>21/01/2026</t>
        </is>
      </c>
      <c r="BH83" s="75" t="inlineStr">
        <is>
          <t>1089672</t>
        </is>
      </c>
      <c r="BI83" s="75" t="inlineStr">
        <is>
          <t>https://fnet.bmfbovespa.com.br/fnet/publico/downloadDocumento?id=1089672</t>
        </is>
      </c>
      <c r="BJ83" s="75" t="inlineStr">
        <is>
          <t>localizado documentalmente</t>
        </is>
      </c>
      <c r="BK83" s="75" t="b">
        <v>0</v>
      </c>
      <c r="BL83" s="75" t="inlineStr">
        <is>
          <t>Multicedente</t>
        </is>
      </c>
      <c r="BM83" s="75" t="inlineStr">
        <is>
          <t>cedente</t>
        </is>
      </c>
      <c r="BN83" s="75" t="inlineStr">
        <is>
          <t>N/D</t>
        </is>
      </c>
      <c r="BO83" s="75" t="inlineStr">
        <is>
          <t>Multicedente</t>
        </is>
      </c>
      <c r="BP83" s="75" t="inlineStr">
        <is>
          <t>BRF</t>
        </is>
      </c>
      <c r="BQ83" s="75" t="inlineStr">
        <is>
          <t>Risco Sacado BRF</t>
        </is>
      </c>
      <c r="BR83" s="75" t="inlineStr">
        <is>
          <t>cedente: IMG_8706.JPG | sacado_devedor: IMG_8706.JPG | tipo_recebivel: IMG_8706.JPG</t>
        </is>
      </c>
      <c r="BS83" s="75" t="inlineStr">
        <is>
          <t>manual_aplicado</t>
        </is>
      </c>
      <c r="BT83" s="75" t="inlineStr">
        <is>
          <t>BRF foi desmembrado somente porque a fonte escreve literalmente Risco Sacado BRF.</t>
        </is>
      </c>
      <c r="BU83" s="75" t="inlineStr">
        <is>
          <t>1242436</t>
        </is>
      </c>
      <c r="BV83" s="75" t="inlineStr">
        <is>
          <t>2026-07-08</t>
        </is>
      </c>
      <c r="BW83" s="75" t="inlineStr">
        <is>
          <t>40–41</t>
        </is>
      </c>
      <c r="BX83" s="75" t="inlineStr">
        <is>
          <t>revisto — mínimo júnior localizado</t>
        </is>
      </c>
      <c r="BY83" s="75" t="inlineStr">
        <is>
          <t>FundosNet/B3; documento 1242436; referência 2026-07-08; p. 40–41</t>
        </is>
      </c>
      <c r="BZ83" s="75" t="inlineStr">
        <is>
          <t>Cotas subordinadas júnior / PL, mínimo regular de 5,0%; transição temporária de 3,0% encerrada.</t>
        </is>
      </c>
      <c r="CA83" s="75" t="inlineStr">
        <is>
          <t>originador</t>
        </is>
      </c>
      <c r="CB83" s="75" t="inlineStr">
        <is>
          <t>completo_para_folga</t>
        </is>
      </c>
    </row>
    <row r="84" ht="31.5" customHeight="1">
      <c r="A84" s="74" t="n">
        <v>82</v>
      </c>
      <c r="B84" s="138" t="n">
        <v>47640584000123</v>
      </c>
      <c r="C84" s="74" t="inlineStr">
        <is>
          <t>47.640.584/0001-23</t>
        </is>
      </c>
      <c r="D84" s="74" t="inlineStr">
        <is>
          <t>SOL AGORA GREEN ESG FIDC IS SEGMENTO FINANCEIRO DE RESPONSABILIDADE LIMITADA</t>
        </is>
      </c>
      <c r="E84" s="74" t="inlineStr">
        <is>
          <t>SOL AGORA GREEN ESG FIDC IS SEGMENTO FINANCEIRO DE</t>
        </is>
      </c>
      <c r="F84" s="74" t="inlineStr">
        <is>
          <t>Carteira 101</t>
        </is>
      </c>
      <c r="G84" s="74" t="inlineStr">
        <is>
          <t>2026-06</t>
        </is>
      </c>
      <c r="H84" s="74" t="inlineStr">
        <is>
          <t>localizado</t>
        </is>
      </c>
      <c r="I84" s="139" t="n">
        <v>285125290.74</v>
      </c>
      <c r="J84" s="139" t="n">
        <v>285125290.8203988</v>
      </c>
      <c r="K84" s="139" t="n">
        <v>86750548.68002474</v>
      </c>
      <c r="L84" s="140" t="n">
        <v>0.3042541349274092</v>
      </c>
      <c r="M84" s="74" t="inlineStr">
        <is>
          <t>Calculado com classes reportadas e PL oficial reconciliado</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todas as classes subordinadas.</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Financiamento solar, CCBs</t>
        </is>
      </c>
      <c r="AJ84" s="74" t="b">
        <v>0</v>
      </c>
      <c r="AK84" s="74" t="inlineStr">
        <is>
          <t>MANTER_ALTA</t>
        </is>
      </c>
      <c r="AL84" s="74" t="inlineStr">
        <is>
          <t>Devedores PF/PJ financiam projetos solares por CCB</t>
        </is>
      </c>
      <c r="AM84" s="74" t="inlineStr">
        <is>
          <t>regulamento + IMG_8706</t>
        </is>
      </c>
      <c r="AN84" s="74" t="inlineStr">
        <is>
          <t>Não</t>
        </is>
      </c>
      <c r="AO84" s="74" t="inlineStr">
        <is>
          <t>regulamento + IMG_8706</t>
        </is>
      </c>
      <c r="AP84" s="74" t="b">
        <v>0</v>
      </c>
      <c r="AQ84" s="74" t="inlineStr">
        <is>
          <t>Financeiro</t>
        </is>
      </c>
      <c r="AR84" s="74" t="inlineStr">
        <is>
          <t>Financeiro</t>
        </is>
      </c>
      <c r="AS84" s="74" t="b">
        <v>0</v>
      </c>
      <c r="AT84" s="74" t="inlineStr">
        <is>
          <t>N/D</t>
        </is>
      </c>
      <c r="AU84" s="74" t="inlineStr">
        <is>
          <t>N/D</t>
        </is>
      </c>
      <c r="AV84" s="74" t="inlineStr">
        <is>
          <t>20%–35%</t>
        </is>
      </c>
      <c r="AW84" s="74" t="b">
        <v>1</v>
      </c>
      <c r="AX84" s="74" t="inlineStr">
        <is>
          <t>incomparável</t>
        </is>
      </c>
      <c r="AY84" s="74" t="inlineStr">
        <is>
          <t>em linha com o mercado</t>
        </is>
      </c>
      <c r="AZ84" s="140" t="n">
        <v>0.002794574646158121</v>
      </c>
      <c r="BA84" s="74" t="b">
        <v>1</v>
      </c>
      <c r="BB84" s="141" t="n">
        <v>12</v>
      </c>
      <c r="BC84" s="139" t="n">
        <v>1000</v>
      </c>
      <c r="BD84" s="74" t="inlineStr">
        <is>
          <t>Cotas Seniores: R$1.000,00</t>
        </is>
      </c>
      <c r="BE84" s="74" t="inlineStr">
        <is>
          <t>preço/valor unitário de emissão</t>
        </is>
      </c>
      <c r="BF84" s="74" t="inlineStr">
        <is>
          <t>Cotas Seniores</t>
        </is>
      </c>
      <c r="BG84" s="74" t="inlineStr">
        <is>
          <t>13/06/2025</t>
        </is>
      </c>
      <c r="BH84" s="74" t="inlineStr">
        <is>
          <t>930974</t>
        </is>
      </c>
      <c r="BI84" s="74" t="inlineStr">
        <is>
          <t>https://fnet.bmfbovespa.com.br/fnet/publico/downloadDocumento?id=930974</t>
        </is>
      </c>
      <c r="BJ84" s="74" t="inlineStr">
        <is>
          <t>localizado documentalmente</t>
        </is>
      </c>
      <c r="BK84" s="74" t="b">
        <v>0</v>
      </c>
      <c r="BL84" s="74" t="inlineStr">
        <is>
          <t>BMP</t>
        </is>
      </c>
      <c r="BM84" s="74" t="inlineStr">
        <is>
          <t>cedente</t>
        </is>
      </c>
      <c r="BN84" s="74" t="inlineStr">
        <is>
          <t>Sol Agora</t>
        </is>
      </c>
      <c r="BO84" s="74" t="inlineStr">
        <is>
          <t>BMP</t>
        </is>
      </c>
      <c r="BP84" s="74" t="inlineStr">
        <is>
          <t>pessoas físicas ou jurídicas que obtenham um financiamento de Projetos de Geração Energia Elétrica junto a uma Instituição Financeira Parceira por meio da Plataforma Sol Agora</t>
        </is>
      </c>
      <c r="BQ84" s="74" t="inlineStr">
        <is>
          <t>Recebíveis: CCBs</t>
        </is>
      </c>
      <c r="BR84" s="74" t="inlineStr">
        <is>
          <t>originador: https://fnet.bmfbovespa.com.br/fnet/publico/downloadDocumento?id=721487 | cedente: IMG_8706.JPG | sacado_devedor: https://fnet.bmfbovespa.com.br/fnet/publico/downloadDocumento?id=930974 | tipo_recebivel: IMG_8706.JPG</t>
        </is>
      </c>
      <c r="BS84" s="74" t="inlineStr">
        <is>
          <t>manual_aplicado</t>
        </is>
      </c>
      <c r="BT84" s="74" t="inlineStr">
        <is>
          <t>OBS da foto: a Sol Agora é o originador, mas o cedente das CCBs é o BMP (true sale). Os papéis foram desmembrados somente porque estão escritos literalmente na fonte. Denominação cortada.</t>
        </is>
      </c>
      <c r="BU84" s="74" t="inlineStr">
        <is>
          <t>930974</t>
        </is>
      </c>
      <c r="BV84" s="74" t="inlineStr">
        <is>
          <t>2025-06-13</t>
        </is>
      </c>
      <c r="BW84" s="74" t="inlineStr">
        <is>
          <t>91</t>
        </is>
      </c>
      <c r="BX84" s="74" t="inlineStr">
        <is>
          <t>revisto — mínimo júnior localizado</t>
        </is>
      </c>
      <c r="BY84" s="74" t="inlineStr">
        <is>
          <t>FundosNet/B3; documento 930974; referência 2025-06-13; p. 91</t>
        </is>
      </c>
      <c r="BZ84" s="74" t="inlineStr">
        <is>
          <t>Cotas júnior / PL ajustado: 10,0% até o 24º mês e 12,5% após esse período.</t>
        </is>
      </c>
      <c r="CA84" s="74" t="inlineStr">
        <is>
          <t>Nenhum</t>
        </is>
      </c>
      <c r="CB84" s="74" t="inlineStr">
        <is>
          <t>estrutura_incomparavel</t>
        </is>
      </c>
    </row>
    <row r="85" ht="31.5" customHeight="1">
      <c r="A85" s="75" t="n">
        <v>83</v>
      </c>
      <c r="B85" s="142" t="n">
        <v>57028406000108</v>
      </c>
      <c r="C85" s="75" t="inlineStr">
        <is>
          <t>57.028.406/0001-08</t>
        </is>
      </c>
      <c r="D85" s="75" t="inlineStr">
        <is>
          <t>IS GREEN SOLFÁCIL VI FUNDO DE INVESTIMENTO EM DIREITOS CREDITÓRIOS RESPONSABILIDADE LIMITADA</t>
        </is>
      </c>
      <c r="E85" s="75" t="inlineStr">
        <is>
          <t>IS GREEN SOLFACIL VI FIDC RL</t>
        </is>
      </c>
      <c r="F85" s="75" t="inlineStr">
        <is>
          <t>Carteira 101</t>
        </is>
      </c>
      <c r="G85" s="75" t="inlineStr">
        <is>
          <t>2026-06</t>
        </is>
      </c>
      <c r="H85" s="75" t="inlineStr">
        <is>
          <t>localizado</t>
        </is>
      </c>
      <c r="I85" s="143" t="n">
        <v>437421807.29</v>
      </c>
      <c r="J85" s="143" t="n">
        <v>437421807.2916817</v>
      </c>
      <c r="K85" s="143" t="n">
        <v>116406326.7001569</v>
      </c>
      <c r="L85" s="144" t="n">
        <v>0.2661191663519015</v>
      </c>
      <c r="M85" s="75" t="inlineStr">
        <is>
          <t>Calculado com classes reportadas e PL oficial reconciliado</t>
        </is>
      </c>
      <c r="N85" s="144" t="n">
        <v>0.02</v>
      </c>
      <c r="O85" s="144" t="inlineStr">
        <is>
          <t>N/D</t>
        </is>
      </c>
      <c r="P85" s="144" t="inlineStr">
        <is>
          <t>N/D</t>
        </is>
      </c>
      <c r="Q85" s="144" t="inlineStr">
        <is>
          <t>N/D</t>
        </is>
      </c>
      <c r="R85" s="144" t="inlineStr">
        <is>
          <t>N/D</t>
        </is>
      </c>
      <c r="S85" s="144" t="n">
        <v>0.02</v>
      </c>
      <c r="T85" s="75" t="inlineStr">
        <is>
          <t>N/D</t>
        </is>
      </c>
      <c r="U85" s="75" t="inlineStr">
        <is>
          <t>junior_pl</t>
        </is>
      </c>
      <c r="V85" s="75" t="inlineStr">
        <is>
          <t>direto no regulamento</t>
        </is>
      </c>
      <c r="W85" s="75" t="b">
        <v>0</v>
      </c>
      <c r="X85" s="75" t="inlineStr">
        <is>
          <t>Mínimo júnior isolado; a subordinação atual disponível agrega todas as classes subordinadas.</t>
        </is>
      </c>
      <c r="Y85" s="75" t="b">
        <v>0</v>
      </c>
      <c r="Z85" s="144" t="inlineStr">
        <is>
          <t>N/D</t>
        </is>
      </c>
      <c r="AA85" s="144" t="inlineStr">
        <is>
          <t>N/D</t>
        </is>
      </c>
      <c r="AB85" s="75" t="inlineStr">
        <is>
          <t>não medido</t>
        </is>
      </c>
      <c r="AC85" s="75" t="inlineStr">
        <is>
          <t>Financeiro</t>
        </is>
      </c>
      <c r="AD85" s="75" t="inlineStr">
        <is>
          <t>Crédito Pessoal</t>
        </is>
      </c>
      <c r="AE85" s="75" t="inlineStr">
        <is>
          <t>Financeiro</t>
        </is>
      </c>
      <c r="AF85" s="75" t="inlineStr">
        <is>
          <t>Financeiro</t>
        </is>
      </c>
      <c r="AG85" s="75" t="inlineStr">
        <is>
          <t>Financeiro</t>
        </is>
      </c>
      <c r="AH85" s="75" t="inlineStr">
        <is>
          <t>Financeiro</t>
        </is>
      </c>
      <c r="AI85" s="75" t="inlineStr">
        <is>
          <t>Financiamento solar, recebíveis performados</t>
        </is>
      </c>
      <c r="AJ85" s="75" t="b">
        <v>0</v>
      </c>
      <c r="AK85" s="75" t="inlineStr">
        <is>
          <t>MANTER_ALTA</t>
        </is>
      </c>
      <c r="AL85" s="75" t="inlineStr">
        <is>
          <t>Recebíveis de financiamento de placas solares</t>
        </is>
      </c>
      <c r="AM85" s="75" t="inlineStr">
        <is>
          <t>IMG_8706</t>
        </is>
      </c>
      <c r="AN85" s="75" t="inlineStr">
        <is>
          <t>Não</t>
        </is>
      </c>
      <c r="AO85" s="75" t="inlineStr">
        <is>
          <t>IMG_8706</t>
        </is>
      </c>
      <c r="AP85" s="75" t="b">
        <v>0</v>
      </c>
      <c r="AQ85" s="75" t="inlineStr">
        <is>
          <t>Financeiro</t>
        </is>
      </c>
      <c r="AR85" s="75" t="inlineStr">
        <is>
          <t>Financeiro</t>
        </is>
      </c>
      <c r="AS85" s="75" t="b">
        <v>0</v>
      </c>
      <c r="AT85" s="75" t="inlineStr">
        <is>
          <t>N/D</t>
        </is>
      </c>
      <c r="AU85" s="75" t="inlineStr">
        <is>
          <t>N/D</t>
        </is>
      </c>
      <c r="AV85" s="75" t="inlineStr">
        <is>
          <t>20%–35%</t>
        </is>
      </c>
      <c r="AW85" s="75" t="b">
        <v>1</v>
      </c>
      <c r="AX85" s="75" t="inlineStr">
        <is>
          <t>incomparável</t>
        </is>
      </c>
      <c r="AY85" s="75" t="inlineStr">
        <is>
          <t>abaixo do mercado</t>
        </is>
      </c>
      <c r="AZ85" s="144" t="n">
        <v>-0.03534039392934957</v>
      </c>
      <c r="BA85" s="75" t="b">
        <v>1</v>
      </c>
      <c r="BB85" s="145" t="n">
        <v>12</v>
      </c>
      <c r="BC85" s="143" t="n">
        <v>1000</v>
      </c>
      <c r="BD85" s="75" t="inlineStr">
        <is>
          <t>Cotas Seniores: R$ 1.000,00 | Cotas Subordinadas Mezanino: R$ 1.000,00</t>
        </is>
      </c>
      <c r="BE85" s="75" t="inlineStr">
        <is>
          <t>preço/valor unitário de emissão</t>
        </is>
      </c>
      <c r="BF85" s="75" t="inlineStr">
        <is>
          <t>Cotas Seniores | Cotas Subordinadas Mezanino</t>
        </is>
      </c>
      <c r="BG85" s="75" t="inlineStr">
        <is>
          <t>06/12/2024</t>
        </is>
      </c>
      <c r="BH85" s="75" t="inlineStr">
        <is>
          <t>796086</t>
        </is>
      </c>
      <c r="BI85" s="75" t="inlineStr">
        <is>
          <t>https://fnet.bmfbovespa.com.br/fnet/publico/downloadDocumento?id=796086</t>
        </is>
      </c>
      <c r="BJ85" s="75" t="inlineStr">
        <is>
          <t>localizado documentalmente — múltiplos valores/classes</t>
        </is>
      </c>
      <c r="BK85" s="75" t="b">
        <v>1</v>
      </c>
      <c r="BL85" s="75" t="inlineStr">
        <is>
          <t>Solfácil SCD</t>
        </is>
      </c>
      <c r="BM85" s="75" t="inlineStr">
        <is>
          <t>cedente</t>
        </is>
      </c>
      <c r="BN85" s="75" t="inlineStr">
        <is>
          <t>Solfácil Energia</t>
        </is>
      </c>
      <c r="BO85" s="75" t="inlineStr">
        <is>
          <t>Solfácil SCD</t>
        </is>
      </c>
      <c r="BP85" s="75" t="inlineStr">
        <is>
          <t>N/D</t>
        </is>
      </c>
      <c r="BQ85" s="75" t="inlineStr">
        <is>
          <t>Direitos Creditórios performados oriundos de financiamento de instalação de placas solares</t>
        </is>
      </c>
      <c r="BR85" s="75" t="inlineStr">
        <is>
          <t>originador: https://fnet.bmfbovespa.com.br/fnet/publico/downloadDocumento?id=1048522 | cedente: IMG_8706.JPG | tipo_recebivel: IMG_8706.JPG</t>
        </is>
      </c>
      <c r="BS85" s="75" t="inlineStr">
        <is>
          <t>manual_aplicado</t>
        </is>
      </c>
      <c r="BT85" s="75" t="inlineStr">
        <is>
          <t>FIDC pulverizado para aquisição dos direitos creditórios descritos.</t>
        </is>
      </c>
      <c r="BU85" s="75" t="inlineStr">
        <is>
          <t>1202319</t>
        </is>
      </c>
      <c r="BV85" s="75" t="inlineStr">
        <is>
          <t>2026-05-21</t>
        </is>
      </c>
      <c r="BW85" s="75" t="inlineStr">
        <is>
          <t>112</t>
        </is>
      </c>
      <c r="BX85" s="75" t="inlineStr">
        <is>
          <t>revisto — mínimo júnior localizado</t>
        </is>
      </c>
      <c r="BY85" s="75" t="inlineStr">
        <is>
          <t>FundosNet/B3; documento 1202319; referência 2026-05-21; p. 112</t>
        </is>
      </c>
      <c r="BZ85" s="75" t="inlineStr">
        <is>
          <t>Índice de Subordinação das cotas júnior / PL, mínimo de 2,0%.</t>
        </is>
      </c>
      <c r="CA85" s="75" t="inlineStr">
        <is>
          <t>sacado/devedor</t>
        </is>
      </c>
      <c r="CB85" s="75" t="inlineStr">
        <is>
          <t>estrutura_incomparavel</t>
        </is>
      </c>
    </row>
    <row r="86" ht="31.5" customHeight="1">
      <c r="A86" s="74" t="n">
        <v>84</v>
      </c>
      <c r="B86" s="138" t="n">
        <v>31570767000180</v>
      </c>
      <c r="C86" s="74" t="inlineStr">
        <is>
          <t>31.570.767/0001-80</t>
        </is>
      </c>
      <c r="D86" s="74" t="inlineStr">
        <is>
          <t>FUNDO DE INVESTIMENTO EM DIREITOS CREDITÓRIOS TRADEPAY VAREJO I - RESPONSABILIDADE LIMITADA</t>
        </is>
      </c>
      <c r="E86" s="74" t="inlineStr">
        <is>
          <t>FUNDO DE INVESTIMENTO EM DIREITOS</t>
        </is>
      </c>
      <c r="F86" s="74" t="inlineStr">
        <is>
          <t>Carteira 101</t>
        </is>
      </c>
      <c r="G86" s="74" t="inlineStr">
        <is>
          <t>2026-06</t>
        </is>
      </c>
      <c r="H86" s="74" t="inlineStr">
        <is>
          <t>localizado</t>
        </is>
      </c>
      <c r="I86" s="139" t="n">
        <v>702136589.85</v>
      </c>
      <c r="J86" s="139" t="n">
        <v>702136589.8502237</v>
      </c>
      <c r="K86" s="139" t="n">
        <v>163659203.2401963</v>
      </c>
      <c r="L86" s="140" t="n">
        <v>0.2330874157621659</v>
      </c>
      <c r="M86" s="74" t="inlineStr">
        <is>
          <t>Calculado com classes reportadas e PL oficial reconciliado</t>
        </is>
      </c>
      <c r="N86" s="140" t="n">
        <v>0.05</v>
      </c>
      <c r="O86" s="140" t="inlineStr">
        <is>
          <t>N/D</t>
        </is>
      </c>
      <c r="P86" s="140" t="inlineStr">
        <is>
          <t>N/D</t>
        </is>
      </c>
      <c r="Q86" s="140" t="inlineStr">
        <is>
          <t>N/D</t>
        </is>
      </c>
      <c r="R86" s="140" t="inlineStr">
        <is>
          <t>N/D</t>
        </is>
      </c>
      <c r="S86" s="140" t="n">
        <v>0.05</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Agro, Indústria e Comércio</t>
        </is>
      </c>
      <c r="AD86" s="74" t="inlineStr">
        <is>
          <t>Recebíveis Comerciais</t>
        </is>
      </c>
      <c r="AE86" s="74" t="inlineStr">
        <is>
          <t>Agro / Revenda</t>
        </is>
      </c>
      <c r="AF86" s="74" t="inlineStr">
        <is>
          <t>Agro / Revenda</t>
        </is>
      </c>
      <c r="AG86" s="74" t="inlineStr">
        <is>
          <t>Agro / Revenda</t>
        </is>
      </c>
      <c r="AH86" s="74" t="inlineStr">
        <is>
          <t>Risco Corporativo</t>
        </is>
      </c>
      <c r="AI86" s="74" t="inlineStr">
        <is>
          <t>Recebíveis comerciais pulverizados Trademaster</t>
        </is>
      </c>
      <c r="AJ86" s="74" t="b">
        <v>1</v>
      </c>
      <c r="AK86" s="74" t="inlineStr">
        <is>
          <t>APLICAR_ALTA</t>
        </is>
      </c>
      <c r="AL86" s="74" t="inlineStr">
        <is>
          <t>Notas fiscais e duplicatas de vendas/serviços, mínimo 2.500 devedores e máximo 5% por devedor</t>
        </is>
      </c>
      <c r="AM86" s="74" t="inlineStr">
        <is>
          <t>regulamento 1203635, 80 páginas</t>
        </is>
      </c>
      <c r="AN86" s="74" t="inlineStr">
        <is>
          <t>Candidato</t>
        </is>
      </c>
      <c r="AO86" s="74" t="inlineStr">
        <is>
          <t>regulamento 1203635, 80 páginas</t>
        </is>
      </c>
      <c r="AP86" s="74" t="inlineStr">
        <is>
          <t>N/D</t>
        </is>
      </c>
      <c r="AQ86" s="74" t="inlineStr">
        <is>
          <t>Risco Corporativo</t>
        </is>
      </c>
      <c r="AR86" s="74" t="inlineStr">
        <is>
          <t>Agro / Revenda</t>
        </is>
      </c>
      <c r="AS86" s="74" t="b">
        <v>1</v>
      </c>
      <c r="AT86" s="74" t="inlineStr">
        <is>
          <t>regulamento 1203635, 80 páginas</t>
        </is>
      </c>
      <c r="AU86" s="74" t="inlineStr">
        <is>
          <t>Notas fiscais e duplicatas de vendas/serviços, mínimo 2.500 devedores e máximo 5% por devedor</t>
        </is>
      </c>
      <c r="AV86" s="74" t="inlineStr">
        <is>
          <t>20%–35%</t>
        </is>
      </c>
      <c r="AW86" s="74" t="b">
        <v>1</v>
      </c>
      <c r="AX86" s="74" t="inlineStr">
        <is>
          <t>incomparável</t>
        </is>
      </c>
      <c r="AY86" s="74" t="inlineStr">
        <is>
          <t>sem benchmark confiável</t>
        </is>
      </c>
      <c r="AZ86" s="140" t="inlineStr">
        <is>
          <t>N/D</t>
        </is>
      </c>
      <c r="BA86" s="74" t="b">
        <v>0</v>
      </c>
      <c r="BB86" s="141" t="n">
        <v>0</v>
      </c>
      <c r="BC86" s="139" t="inlineStr">
        <is>
          <t>N/D</t>
        </is>
      </c>
      <c r="BD86" s="74" t="inlineStr">
        <is>
          <t>N/D</t>
        </is>
      </c>
      <c r="BE86" s="74" t="inlineStr">
        <is>
          <t>N/D</t>
        </is>
      </c>
      <c r="BF86" s="74" t="inlineStr">
        <is>
          <t>N/D</t>
        </is>
      </c>
      <c r="BG86" s="74" t="inlineStr">
        <is>
          <t>N/D</t>
        </is>
      </c>
      <c r="BH86" s="74" t="inlineStr">
        <is>
          <t>N/D</t>
        </is>
      </c>
      <c r="BI86" s="74" t="inlineStr">
        <is>
          <t>N/D</t>
        </is>
      </c>
      <c r="BJ86" s="74" t="inlineStr">
        <is>
          <t>não localizado</t>
        </is>
      </c>
      <c r="BK86" s="74" t="b">
        <v>0</v>
      </c>
      <c r="BL86" s="74" t="inlineStr">
        <is>
          <t>Trademaster</t>
        </is>
      </c>
      <c r="BM86" s="74" t="inlineStr">
        <is>
          <t>cedente</t>
        </is>
      </c>
      <c r="BN86" s="74" t="inlineStr">
        <is>
          <t>N/D</t>
        </is>
      </c>
      <c r="BO86" s="74" t="inlineStr">
        <is>
          <t>Trademaster</t>
        </is>
      </c>
      <c r="BP86" s="74" t="inlineStr">
        <is>
          <t>N/D</t>
        </is>
      </c>
      <c r="BQ86" s="74" t="inlineStr">
        <is>
          <t>N/D</t>
        </is>
      </c>
      <c r="BR86" s="74" t="inlineStr">
        <is>
          <t>cedente: IMG_8706.JPG</t>
        </is>
      </c>
      <c r="BS86" s="74" t="inlineStr">
        <is>
          <t>manual_aplicado</t>
        </is>
      </c>
      <c r="BT86" s="74" t="inlineStr">
        <is>
          <t>Denominação cortada pela largura da coluna na foto.</t>
        </is>
      </c>
      <c r="BU86" s="74" t="inlineStr">
        <is>
          <t>1203635</t>
        </is>
      </c>
      <c r="BV86" s="74" t="inlineStr">
        <is>
          <t>2026-05-25</t>
        </is>
      </c>
      <c r="BW86" s="74" t="inlineStr">
        <is>
          <t>39</t>
        </is>
      </c>
      <c r="BX86" s="74" t="inlineStr">
        <is>
          <t>revisto — mínimo júnior localizado</t>
        </is>
      </c>
      <c r="BY86" s="74" t="inlineStr">
        <is>
          <t>FundosNet/B3; documento 1203635; referência 2026-05-25; p. 39</t>
        </is>
      </c>
      <c r="BZ86" s="74" t="inlineStr">
        <is>
          <t>Cotas subordinadas júnior / PL, mínimo de 5,0%.</t>
        </is>
      </c>
      <c r="CA86" s="74" t="inlineStr">
        <is>
          <t>preço unitário da cota; originador; sacado/devedor; tipo de recebível</t>
        </is>
      </c>
      <c r="CB86" s="74" t="inlineStr">
        <is>
          <t>estrutura_incomparavel</t>
        </is>
      </c>
    </row>
    <row r="87" ht="31.5" customHeight="1">
      <c r="A87" s="75" t="n">
        <v>85</v>
      </c>
      <c r="B87" s="142" t="n">
        <v>54464892000100</v>
      </c>
      <c r="C87" s="75" t="inlineStr">
        <is>
          <t>54.464.892/0001-00</t>
        </is>
      </c>
      <c r="D87" s="75" t="inlineStr">
        <is>
          <t>FUNDO DE INVESTIMENTO EM DIREITOS CREDITÓRIOS MT FGTS RECEIVABLES II</t>
        </is>
      </c>
      <c r="E87" s="75" t="inlineStr">
        <is>
          <t>FUNDO I E D C MF RECEIV</t>
        </is>
      </c>
      <c r="F87" s="75" t="inlineStr">
        <is>
          <t>Carteira 101</t>
        </is>
      </c>
      <c r="G87" s="75" t="inlineStr">
        <is>
          <t>2026-06</t>
        </is>
      </c>
      <c r="H87" s="75" t="inlineStr">
        <is>
          <t>localizado</t>
        </is>
      </c>
      <c r="I87" s="143" t="n">
        <v>697493758.97</v>
      </c>
      <c r="J87" s="143" t="n">
        <v>697493753.1297442</v>
      </c>
      <c r="K87" s="143" t="n">
        <v>135018676.3259432</v>
      </c>
      <c r="L87" s="144" t="n">
        <v>0.1935768952618692</v>
      </c>
      <c r="M87" s="75" t="inlineStr">
        <is>
          <t>Calculado com classes reportadas e PL oficial reconciliado</t>
        </is>
      </c>
      <c r="N87" s="144" t="n">
        <v>0.035</v>
      </c>
      <c r="O87" s="144" t="inlineStr">
        <is>
          <t>N/D</t>
        </is>
      </c>
      <c r="P87" s="144" t="inlineStr">
        <is>
          <t>N/D</t>
        </is>
      </c>
      <c r="Q87" s="144" t="inlineStr">
        <is>
          <t>N/D</t>
        </is>
      </c>
      <c r="R87" s="144" t="inlineStr">
        <is>
          <t>N/D</t>
        </is>
      </c>
      <c r="S87" s="144" t="n">
        <v>0.035</v>
      </c>
      <c r="T87" s="75" t="inlineStr">
        <is>
          <t>N/D</t>
        </is>
      </c>
      <c r="U87" s="75" t="inlineStr">
        <is>
          <t>junior_pl</t>
        </is>
      </c>
      <c r="V87" s="75" t="inlineStr">
        <is>
          <t>direto no regulamento</t>
        </is>
      </c>
      <c r="W87" s="75" t="b">
        <v>0</v>
      </c>
      <c r="X87" s="75" t="inlineStr">
        <is>
          <t>Mínimo júnior isolado; a subordinação atual disponível agrega mais de uma classe subordinada ou usa denominador distinto.</t>
        </is>
      </c>
      <c r="Y87" s="75" t="b">
        <v>0</v>
      </c>
      <c r="Z87" s="144" t="inlineStr">
        <is>
          <t>N/D</t>
        </is>
      </c>
      <c r="AA87" s="144" t="inlineStr">
        <is>
          <t>N/D</t>
        </is>
      </c>
      <c r="AB87" s="75" t="inlineStr">
        <is>
          <t>não medido</t>
        </is>
      </c>
      <c r="AC87" s="75" t="inlineStr">
        <is>
          <t>Financeiro</t>
        </is>
      </c>
      <c r="AD87" s="75" t="inlineStr">
        <is>
          <t>Crédito Pessoal</t>
        </is>
      </c>
      <c r="AE87" s="75" t="inlineStr">
        <is>
          <t>Consignado FGTS</t>
        </is>
      </c>
      <c r="AF87" s="75" t="inlineStr">
        <is>
          <t>Consignado FGTS</t>
        </is>
      </c>
      <c r="AG87" s="75" t="inlineStr">
        <is>
          <t>Consignado INSS e FGTS</t>
        </is>
      </c>
      <c r="AH87" s="75" t="inlineStr">
        <is>
          <t>Consignado INSS e FGTS</t>
        </is>
      </c>
      <c r="AI87" s="75" t="inlineStr">
        <is>
          <t>N/D</t>
        </is>
      </c>
      <c r="AJ87" s="75" t="b">
        <v>0</v>
      </c>
      <c r="AK87" s="75" t="inlineStr">
        <is>
          <t>fora da revisão Financeiro/Agro</t>
        </is>
      </c>
      <c r="AL87" s="75" t="inlineStr">
        <is>
          <t>N/D</t>
        </is>
      </c>
      <c r="AM87" s="75" t="inlineStr">
        <is>
          <t>N/D</t>
        </is>
      </c>
      <c r="AN87" s="75" t="inlineStr">
        <is>
          <t>N/D</t>
        </is>
      </c>
      <c r="AO87" s="75" t="inlineStr">
        <is>
          <t>N/D</t>
        </is>
      </c>
      <c r="AP87" s="75" t="inlineStr">
        <is>
          <t>N/D</t>
        </is>
      </c>
      <c r="AQ87" s="75" t="inlineStr">
        <is>
          <t>Consignado INSS e FGTS</t>
        </is>
      </c>
      <c r="AR87" s="75" t="inlineStr">
        <is>
          <t>Consignado INSS e FGTS</t>
        </is>
      </c>
      <c r="AS87" s="75" t="b">
        <v>0</v>
      </c>
      <c r="AT87" s="75" t="inlineStr">
        <is>
          <t>N/D</t>
        </is>
      </c>
      <c r="AU87" s="75" t="inlineStr">
        <is>
          <t>N/D</t>
        </is>
      </c>
      <c r="AV87" s="75" t="inlineStr">
        <is>
          <t>15%–20%</t>
        </is>
      </c>
      <c r="AW87" s="75" t="b">
        <v>1</v>
      </c>
      <c r="AX87" s="75" t="inlineStr">
        <is>
          <t>incomparável</t>
        </is>
      </c>
      <c r="AY87" s="75" t="inlineStr">
        <is>
          <t>acima do mercado</t>
        </is>
      </c>
      <c r="AZ87" s="144" t="n">
        <v>0.02171366682489409</v>
      </c>
      <c r="BA87" s="75" t="b">
        <v>1</v>
      </c>
      <c r="BB87" s="145" t="n">
        <v>5</v>
      </c>
      <c r="BC87" s="143" t="n">
        <v>1000</v>
      </c>
      <c r="BD87" s="75" t="inlineStr">
        <is>
          <t>Cotas Subordinadas Mezanino: R$ 1.000,00</t>
        </is>
      </c>
      <c r="BE87" s="75" t="inlineStr">
        <is>
          <t>valor nominal unitário (VNU)</t>
        </is>
      </c>
      <c r="BF87" s="75" t="inlineStr">
        <is>
          <t>Cotas Subordinadas Mezanino</t>
        </is>
      </c>
      <c r="BG87" s="75" t="inlineStr">
        <is>
          <t>10/11/2025</t>
        </is>
      </c>
      <c r="BH87" s="75" t="inlineStr">
        <is>
          <t>1033290</t>
        </is>
      </c>
      <c r="BI87" s="75" t="inlineStr">
        <is>
          <t>https://fnet.bmfbovespa.com.br/fnet/publico/downloadDocumento?id=1033290</t>
        </is>
      </c>
      <c r="BJ87" s="75" t="inlineStr">
        <is>
          <t>localizado documentalmente</t>
        </is>
      </c>
      <c r="BK87" s="75" t="b">
        <v>0</v>
      </c>
      <c r="BL87" s="75" t="inlineStr">
        <is>
          <t>75% Parati / 25% QI Tech</t>
        </is>
      </c>
      <c r="BM87" s="75" t="inlineStr">
        <is>
          <t>cedente</t>
        </is>
      </c>
      <c r="BN87" s="75" t="inlineStr">
        <is>
          <t>N/D</t>
        </is>
      </c>
      <c r="BO87" s="75" t="inlineStr">
        <is>
          <t>75% Parati / 25% QI Tech</t>
        </is>
      </c>
      <c r="BP87" s="75" t="inlineStr">
        <is>
          <t>N/D</t>
        </is>
      </c>
      <c r="BQ87" s="75" t="inlineStr">
        <is>
          <t>N/D</t>
        </is>
      </c>
      <c r="BR87" s="75" t="inlineStr">
        <is>
          <t>cedente: IMG_8707.jpg</t>
        </is>
      </c>
      <c r="BS87" s="75" t="inlineStr">
        <is>
          <t>manual_aplicado</t>
        </is>
      </c>
      <c r="BT87" s="75" t="inlineStr">
        <is>
          <t>OBS da foto: Rating atual Ba1; se ajustar o rating na base, pode considerar perspectiva estável. Denominação cortada.</t>
        </is>
      </c>
      <c r="BU87" s="75" t="inlineStr">
        <is>
          <t>884293</t>
        </is>
      </c>
      <c r="BV87" s="75" t="inlineStr">
        <is>
          <t>2025-04-23</t>
        </is>
      </c>
      <c r="BW87" s="75" t="inlineStr">
        <is>
          <t>85–86</t>
        </is>
      </c>
      <c r="BX87" s="75" t="inlineStr">
        <is>
          <t>revisto — mínimo júnior localizado</t>
        </is>
      </c>
      <c r="BY87" s="75" t="inlineStr">
        <is>
          <t>FundosNet/B3; documento 884293; referência 2025-04-23; p. 85–86</t>
        </is>
      </c>
      <c r="BZ87" s="75" t="inlineStr">
        <is>
          <t>Cotas júnior / PL, mínimo de 3,5% no período de investimento e 5,0% depois.</t>
        </is>
      </c>
      <c r="CA87" s="75" t="inlineStr">
        <is>
          <t>originador; sacado/devedor; tipo de recebível</t>
        </is>
      </c>
      <c r="CB87" s="75" t="inlineStr">
        <is>
          <t>estrutura_incomparavel</t>
        </is>
      </c>
    </row>
    <row r="88" ht="31.5" customHeight="1">
      <c r="A88" s="74" t="n">
        <v>86</v>
      </c>
      <c r="B88" s="138" t="n">
        <v>11468186000124</v>
      </c>
      <c r="C88" s="74" t="inlineStr">
        <is>
          <t>11.468.186/0001-24</t>
        </is>
      </c>
      <c r="D88" s="74" t="inlineStr">
        <is>
          <t>ATLANTA FUNDO DE INVESTIMENTO EM DIREITOS CREDITÓRIOS DE RESPONSABILIDADE LIMITADA</t>
        </is>
      </c>
      <c r="E88" s="74" t="inlineStr">
        <is>
          <t>ATLANTA FIDC NAO PADRONIZADO</t>
        </is>
      </c>
      <c r="F88" s="74" t="inlineStr">
        <is>
          <t>Carteira 101</t>
        </is>
      </c>
      <c r="G88" s="74" t="inlineStr">
        <is>
          <t>2026-06</t>
        </is>
      </c>
      <c r="H88" s="74" t="inlineStr">
        <is>
          <t>localizado</t>
        </is>
      </c>
      <c r="I88" s="139" t="n">
        <v>3090301588.05</v>
      </c>
      <c r="J88" s="139" t="n">
        <v>3090301588.083072</v>
      </c>
      <c r="K88" s="139" t="n">
        <v>2464460756.163795</v>
      </c>
      <c r="L88" s="140" t="n">
        <v>0.7974822799475976</v>
      </c>
      <c r="M88" s="74" t="inlineStr">
        <is>
          <t>Calculado com classes reportadas e PL oficial reconciliado</t>
        </is>
      </c>
      <c r="N88" s="140" t="n">
        <v>0.5</v>
      </c>
      <c r="O88" s="140" t="inlineStr">
        <is>
          <t>N/D</t>
        </is>
      </c>
      <c r="P88" s="140" t="inlineStr">
        <is>
          <t>N/D</t>
        </is>
      </c>
      <c r="Q88" s="140" t="inlineStr">
        <is>
          <t>N/D</t>
        </is>
      </c>
      <c r="R88" s="140" t="inlineStr">
        <is>
          <t>N/D</t>
        </is>
      </c>
      <c r="S88" s="140" t="n">
        <v>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Fomento Mercantil</t>
        </is>
      </c>
      <c r="AD88" s="74" t="inlineStr">
        <is>
          <t>Fomento Mercantil</t>
        </is>
      </c>
      <c r="AE88" s="74" t="inlineStr">
        <is>
          <t>Factoring</t>
        </is>
      </c>
      <c r="AF88" s="74" t="inlineStr">
        <is>
          <t>Factoring</t>
        </is>
      </c>
      <c r="AG88" s="74" t="inlineStr">
        <is>
          <t>Factoring</t>
        </is>
      </c>
      <c r="AH88" s="74" t="inlineStr">
        <is>
          <t>Factoring</t>
        </is>
      </c>
      <c r="AI88" s="74" t="inlineStr">
        <is>
          <t>N/D</t>
        </is>
      </c>
      <c r="AJ88" s="74" t="b">
        <v>0</v>
      </c>
      <c r="AK88" s="74" t="inlineStr">
        <is>
          <t>fora da revisão Financeiro/Agro</t>
        </is>
      </c>
      <c r="AL88" s="74" t="inlineStr">
        <is>
          <t>N/D</t>
        </is>
      </c>
      <c r="AM88" s="74" t="inlineStr">
        <is>
          <t>N/D</t>
        </is>
      </c>
      <c r="AN88" s="74" t="inlineStr">
        <is>
          <t>N/D</t>
        </is>
      </c>
      <c r="AO88" s="74" t="inlineStr">
        <is>
          <t>N/D</t>
        </is>
      </c>
      <c r="AP88" s="74" t="inlineStr">
        <is>
          <t>N/D</t>
        </is>
      </c>
      <c r="AQ88" s="74" t="inlineStr">
        <is>
          <t>Factoring</t>
        </is>
      </c>
      <c r="AR88" s="74" t="inlineStr">
        <is>
          <t>Factoring</t>
        </is>
      </c>
      <c r="AS88" s="74" t="b">
        <v>0</v>
      </c>
      <c r="AT88" s="74" t="inlineStr">
        <is>
          <t>N/D</t>
        </is>
      </c>
      <c r="AU88" s="74" t="inlineStr">
        <is>
          <t>N/D</t>
        </is>
      </c>
      <c r="AV88" s="74" t="inlineStr">
        <is>
          <t>≥ 60%</t>
        </is>
      </c>
      <c r="AW88" s="74" t="b">
        <v>1</v>
      </c>
      <c r="AX88" s="74" t="inlineStr">
        <is>
          <t>incomparável</t>
        </is>
      </c>
      <c r="AY88" s="74" t="inlineStr">
        <is>
          <t>sem benchmark confiável</t>
        </is>
      </c>
      <c r="AZ88" s="140" t="inlineStr">
        <is>
          <t>N/D</t>
        </is>
      </c>
      <c r="BA88" s="74" t="b">
        <v>0</v>
      </c>
      <c r="BB88" s="141" t="n">
        <v>2</v>
      </c>
      <c r="BC88" s="139" t="n">
        <v>1000000</v>
      </c>
      <c r="BD88" s="74" t="inlineStr">
        <is>
          <t>Cotas Seniores: R$ 1.000.000,00</t>
        </is>
      </c>
      <c r="BE88" s="74" t="inlineStr">
        <is>
          <t>preço/valor unitário de emissão</t>
        </is>
      </c>
      <c r="BF88" s="74" t="inlineStr">
        <is>
          <t>Cotas Seniores</t>
        </is>
      </c>
      <c r="BG88" s="74" t="inlineStr">
        <is>
          <t>06/03/2026</t>
        </is>
      </c>
      <c r="BH88" s="74" t="inlineStr">
        <is>
          <t>1130308</t>
        </is>
      </c>
      <c r="BI88" s="74" t="inlineStr">
        <is>
          <t>https://fnet.bmfbovespa.com.br/fnet/publico/downloadDocumento?id=1130308</t>
        </is>
      </c>
      <c r="BJ88" s="74" t="inlineStr">
        <is>
          <t>localizado documentalmente</t>
        </is>
      </c>
      <c r="BK88" s="74" t="b">
        <v>0</v>
      </c>
      <c r="BL88" s="74" t="inlineStr">
        <is>
          <t>Multicedentes e Multisacados</t>
        </is>
      </c>
      <c r="BM88" s="74" t="inlineStr">
        <is>
          <t>cedente</t>
        </is>
      </c>
      <c r="BN88" s="74" t="inlineStr">
        <is>
          <t>N/D</t>
        </is>
      </c>
      <c r="BO88" s="74" t="inlineStr">
        <is>
          <t>Multicedentes e Multisacados</t>
        </is>
      </c>
      <c r="BP88" s="74" t="inlineStr">
        <is>
          <t>N/D</t>
        </is>
      </c>
      <c r="BQ88" s="74" t="inlineStr">
        <is>
          <t>FIDC Multicedentes &amp; Multisacados</t>
        </is>
      </c>
      <c r="BR88" s="74" t="inlineStr">
        <is>
          <t>cedente: IMG_8707.jpg | tipo_recebivel: IMG_8707.jpg</t>
        </is>
      </c>
      <c r="BS88" s="74" t="inlineStr">
        <is>
          <t>manual_aplicado</t>
        </is>
      </c>
      <c r="BT88" s="74" t="inlineStr">
        <is>
          <t>N/D</t>
        </is>
      </c>
      <c r="BU88" s="74" t="inlineStr">
        <is>
          <t>1130308</t>
        </is>
      </c>
      <c r="BV88" s="74" t="inlineStr">
        <is>
          <t>2026-03-06</t>
        </is>
      </c>
      <c r="BW88" s="74" t="inlineStr">
        <is>
          <t>47</t>
        </is>
      </c>
      <c r="BX88" s="74" t="inlineStr">
        <is>
          <t>revisto — mínimo júnior localizado</t>
        </is>
      </c>
      <c r="BY88" s="74" t="inlineStr">
        <is>
          <t>FundosNet/B3; documento 1130308; referência 2026-03-06; p. 47</t>
        </is>
      </c>
      <c r="BZ88" s="74" t="inlineStr">
        <is>
          <t>Cotas subordinadas júnior / PL, mínimo de 50,0%.</t>
        </is>
      </c>
      <c r="CA88" s="74" t="inlineStr">
        <is>
          <t>originador; sacado/devedor</t>
        </is>
      </c>
      <c r="CB88" s="74" t="inlineStr">
        <is>
          <t>estrutura_incomparavel</t>
        </is>
      </c>
    </row>
    <row r="89" ht="31.5" customHeight="1">
      <c r="A89" s="75" t="n">
        <v>87</v>
      </c>
      <c r="B89" s="142" t="n">
        <v>43193260000133</v>
      </c>
      <c r="C89" s="75" t="inlineStr">
        <is>
          <t>43.193.260/0001-33</t>
        </is>
      </c>
      <c r="D89" s="75" t="inlineStr">
        <is>
          <t>RESIDENCE CLUB FUNDO DE INVESTIMENTO EM DIREITOS CREDITÓRIOS</t>
        </is>
      </c>
      <c r="E89" s="75" t="inlineStr">
        <is>
          <t>RESIDENCE CLUB FIDC</t>
        </is>
      </c>
      <c r="F89" s="75" t="inlineStr">
        <is>
          <t>Carteira 101</t>
        </is>
      </c>
      <c r="G89" s="75" t="inlineStr">
        <is>
          <t>2026-06</t>
        </is>
      </c>
      <c r="H89" s="75" t="inlineStr">
        <is>
          <t>localizado</t>
        </is>
      </c>
      <c r="I89" s="143" t="n">
        <v>403404357.91</v>
      </c>
      <c r="J89" s="143" t="n">
        <v>403404357.908273</v>
      </c>
      <c r="K89" s="143" t="n">
        <v>278624335.3379012</v>
      </c>
      <c r="L89" s="144" t="n">
        <v>0.6906825121608197</v>
      </c>
      <c r="M89" s="75" t="inlineStr">
        <is>
          <t>Calculado com classes reportadas e PL oficial reconciliado</t>
        </is>
      </c>
      <c r="N89" s="144" t="inlineStr">
        <is>
          <t>N/D</t>
        </is>
      </c>
      <c r="O89" s="144" t="n">
        <v>0.15</v>
      </c>
      <c r="P89" s="144" t="inlineStr">
        <is>
          <t>N/D</t>
        </is>
      </c>
      <c r="Q89" s="144" t="n">
        <v>0.5</v>
      </c>
      <c r="R89" s="144" t="inlineStr">
        <is>
          <t>N/D</t>
        </is>
      </c>
      <c r="S89" s="144" t="n">
        <v>0.5</v>
      </c>
      <c r="T89" s="75" t="inlineStr">
        <is>
          <t>50,0%*</t>
        </is>
      </c>
      <c r="U89" s="75" t="inlineStr">
        <is>
          <t>junior_pl_calculado</t>
        </is>
      </c>
      <c r="V89" s="75" t="inlineStr">
        <is>
          <t>calculado: 50,0% × 30,0%</t>
        </is>
      </c>
      <c r="W89" s="75" t="b">
        <v>0</v>
      </c>
      <c r="X89" s="75" t="inlineStr">
        <is>
          <t>Mínimo júnior isolado; a subordinação atual disponível agrega mais de uma classe subordinada ou usa denominador distinto.</t>
        </is>
      </c>
      <c r="Y89" s="75" t="b">
        <v>1</v>
      </c>
      <c r="Z89" s="144" t="inlineStr">
        <is>
          <t>N/D</t>
        </is>
      </c>
      <c r="AA89" s="144" t="inlineStr">
        <is>
          <t>N/D</t>
        </is>
      </c>
      <c r="AB89" s="75" t="inlineStr">
        <is>
          <t>não medido</t>
        </is>
      </c>
      <c r="AC89" s="75" t="inlineStr">
        <is>
          <t>Financeiro</t>
        </is>
      </c>
      <c r="AD89" s="75" t="inlineStr">
        <is>
          <t>Crédito Imobiliário</t>
        </is>
      </c>
      <c r="AE89" s="75" t="inlineStr">
        <is>
          <t>Financeiro</t>
        </is>
      </c>
      <c r="AF89" s="75" t="inlineStr">
        <is>
          <t>Financeiro</t>
        </is>
      </c>
      <c r="AG89" s="75" t="inlineStr">
        <is>
          <t>Financeiro</t>
        </is>
      </c>
      <c r="AH89" s="75" t="inlineStr">
        <is>
          <t>Financeiro</t>
        </is>
      </c>
      <c r="AI89" s="75" t="inlineStr">
        <is>
          <t>Tipo de crédito não isolado</t>
        </is>
      </c>
      <c r="AJ89" s="75" t="b">
        <v>0</v>
      </c>
      <c r="AK89" s="75" t="inlineStr">
        <is>
          <t>PENDENTE_DOCUMENTAL</t>
        </is>
      </c>
      <c r="AL89" s="75" t="inlineStr">
        <is>
          <t>Somente VCI foi identificada</t>
        </is>
      </c>
      <c r="AM89" s="75" t="inlineStr">
        <is>
          <t>IMG_8707 + regulamento 1044387</t>
        </is>
      </c>
      <c r="AN89" s="75" t="inlineStr">
        <is>
          <t>Pendente</t>
        </is>
      </c>
      <c r="AO89" s="75" t="inlineStr">
        <is>
          <t>IMG_8707 + regulamento 1044387</t>
        </is>
      </c>
      <c r="AP89" s="75" t="inlineStr">
        <is>
          <t>N/D</t>
        </is>
      </c>
      <c r="AQ89" s="75" t="inlineStr">
        <is>
          <t>Financeiro</t>
        </is>
      </c>
      <c r="AR89" s="75" t="inlineStr">
        <is>
          <t>Financeiro</t>
        </is>
      </c>
      <c r="AS89" s="75" t="b">
        <v>0</v>
      </c>
      <c r="AT89" s="75" t="inlineStr">
        <is>
          <t>N/D</t>
        </is>
      </c>
      <c r="AU89" s="75" t="inlineStr">
        <is>
          <t>N/D</t>
        </is>
      </c>
      <c r="AV89" s="75" t="inlineStr">
        <is>
          <t>≥ 60%</t>
        </is>
      </c>
      <c r="AW89" s="75" t="b">
        <v>1</v>
      </c>
      <c r="AX89" s="75" t="inlineStr">
        <is>
          <t>incomparável</t>
        </is>
      </c>
      <c r="AY89" s="75" t="inlineStr">
        <is>
          <t>acima do mercado</t>
        </is>
      </c>
      <c r="AZ89" s="144" t="n">
        <v>0.3892229518795686</v>
      </c>
      <c r="BA89" s="75" t="b">
        <v>1</v>
      </c>
      <c r="BB89" s="145" t="n">
        <v>12</v>
      </c>
      <c r="BC89" s="143" t="n">
        <v>1000</v>
      </c>
      <c r="BD89" s="75" t="inlineStr">
        <is>
          <t>Cotas Seniores: R$ 1.000,00</t>
        </is>
      </c>
      <c r="BE89" s="75" t="inlineStr">
        <is>
          <t>valor nominal unitário (VNU)</t>
        </is>
      </c>
      <c r="BF89" s="75" t="inlineStr">
        <is>
          <t>Cotas Seniores</t>
        </is>
      </c>
      <c r="BG89" s="75" t="inlineStr">
        <is>
          <t>29/05/2023</t>
        </is>
      </c>
      <c r="BH89" s="75" t="inlineStr">
        <is>
          <t>470871</t>
        </is>
      </c>
      <c r="BI89" s="75" t="inlineStr">
        <is>
          <t>https://fnet.bmfbovespa.com.br/fnet/publico/downloadDocumento?id=470871</t>
        </is>
      </c>
      <c r="BJ89" s="75" t="inlineStr">
        <is>
          <t>localizado documentalmente</t>
        </is>
      </c>
      <c r="BK89" s="75" t="b">
        <v>0</v>
      </c>
      <c r="BL89" s="75" t="inlineStr">
        <is>
          <t>VCI</t>
        </is>
      </c>
      <c r="BM89" s="75" t="inlineStr">
        <is>
          <t>cedente</t>
        </is>
      </c>
      <c r="BN89" s="75" t="inlineStr">
        <is>
          <t>N/D</t>
        </is>
      </c>
      <c r="BO89" s="75" t="inlineStr">
        <is>
          <t>VCI</t>
        </is>
      </c>
      <c r="BP89" s="75" t="inlineStr">
        <is>
          <t>N/D</t>
        </is>
      </c>
      <c r="BQ89" s="75" t="inlineStr">
        <is>
          <t>N/D</t>
        </is>
      </c>
      <c r="BR89" s="75" t="inlineStr">
        <is>
          <t>cedente: IMG_8707.jpg</t>
        </is>
      </c>
      <c r="BS89" s="75" t="inlineStr">
        <is>
          <t>manual_aplicado</t>
        </is>
      </c>
      <c r="BT89" s="75" t="inlineStr">
        <is>
          <t>OBS aparece apenas como FIDC de receb... e foi excluída da transcrição estruturada.</t>
        </is>
      </c>
      <c r="BU89" s="75" t="inlineStr">
        <is>
          <t>1044387</t>
        </is>
      </c>
      <c r="BV89" s="75" t="inlineStr">
        <is>
          <t>2025-11-17</t>
        </is>
      </c>
      <c r="BW89" s="75" t="inlineStr">
        <is>
          <t>26</t>
        </is>
      </c>
      <c r="BX89" s="75" t="inlineStr">
        <is>
          <t>revisto — mínimo júnior localizado</t>
        </is>
      </c>
      <c r="BY89" s="75" t="inlineStr">
        <is>
          <t>FundosNet/B3; documento 1044387; referência 2025-11-17; p. 26</t>
        </is>
      </c>
      <c r="BZ89" s="75" t="inlineStr">
        <is>
          <t>Mínimo júnior calculado: subordinadas = 50,0% do PL e júnior = 30,0% das subordinadas.</t>
        </is>
      </c>
      <c r="CA89" s="75" t="inlineStr">
        <is>
          <t>originador; sacado/devedor; tipo de recebível</t>
        </is>
      </c>
      <c r="CB89" s="75" t="inlineStr">
        <is>
          <t>estrutura_incomparavel</t>
        </is>
      </c>
    </row>
    <row r="90" ht="31.5" customHeight="1">
      <c r="A90" s="74" t="n">
        <v>88</v>
      </c>
      <c r="B90" s="138" t="n">
        <v>58152340000118</v>
      </c>
      <c r="C90" s="74" t="inlineStr">
        <is>
          <t>58.152.340/0001-18</t>
        </is>
      </c>
      <c r="D90" s="74" t="inlineStr">
        <is>
          <t>MONEE II FUNDO DE INVESTIMENTO EM DIREITOS CREDITÓRIOS SEGMENTO FINANCEIRO - RESP. LIMITADA</t>
        </is>
      </c>
      <c r="E90" s="74" t="inlineStr">
        <is>
          <t>MONEE II FUNDO DE INVESTIMENTO</t>
        </is>
      </c>
      <c r="F90" s="74" t="inlineStr">
        <is>
          <t>Carteira 101</t>
        </is>
      </c>
      <c r="G90" s="74" t="inlineStr">
        <is>
          <t>2026-06</t>
        </is>
      </c>
      <c r="H90" s="74" t="inlineStr">
        <is>
          <t>localizado</t>
        </is>
      </c>
      <c r="I90" s="139" t="n">
        <v>442213717.89</v>
      </c>
      <c r="J90" s="139" t="n">
        <v>442213717.8892243</v>
      </c>
      <c r="K90" s="139" t="n">
        <v>179487964.2749178</v>
      </c>
      <c r="L90" s="140" t="n">
        <v>0.4058851116861218</v>
      </c>
      <c r="M90" s="74" t="inlineStr">
        <is>
          <t>Calculado com classes reportadas e PL oficial reconciliado</t>
        </is>
      </c>
      <c r="N90" s="140" t="n">
        <v>0.3</v>
      </c>
      <c r="O90" s="140" t="inlineStr">
        <is>
          <t>N/D</t>
        </is>
      </c>
      <c r="P90" s="140" t="inlineStr">
        <is>
          <t>N/D</t>
        </is>
      </c>
      <c r="Q90" s="140" t="n">
        <v>0.3</v>
      </c>
      <c r="R90" s="140" t="inlineStr">
        <is>
          <t>N/D</t>
        </is>
      </c>
      <c r="S90" s="140" t="n">
        <v>0.3</v>
      </c>
      <c r="T90" s="74" t="inlineStr">
        <is>
          <t>30,0%</t>
        </is>
      </c>
      <c r="U90" s="74" t="inlineStr">
        <is>
          <t>junior_pl</t>
        </is>
      </c>
      <c r="V90" s="74" t="inlineStr">
        <is>
          <t>direto no regulamento</t>
        </is>
      </c>
      <c r="W90" s="74" t="b">
        <v>1</v>
      </c>
      <c r="X90" s="74" t="inlineStr">
        <is>
          <t>Estrutura com uma única classe subordinada; métrica atual e piso usam o total subordinado sobre o PL.</t>
        </is>
      </c>
      <c r="Y90" s="74" t="b">
        <v>0</v>
      </c>
      <c r="Z90" s="140" t="n">
        <v>0.1058851116861219</v>
      </c>
      <c r="AA90" s="140" t="n">
        <v>0.1512644452658884</v>
      </c>
      <c r="AB90" s="74" t="inlineStr">
        <is>
          <t>acima do mínimo</t>
        </is>
      </c>
      <c r="AC90" s="74" t="inlineStr">
        <is>
          <t>Financeiro</t>
        </is>
      </c>
      <c r="AD90" s="74" t="inlineStr">
        <is>
          <t>Crédito Pessoal</t>
        </is>
      </c>
      <c r="AE90" s="74" t="inlineStr">
        <is>
          <t>Financeiro</t>
        </is>
      </c>
      <c r="AF90" s="74" t="inlineStr">
        <is>
          <t>Financeiro</t>
        </is>
      </c>
      <c r="AG90" s="74" t="inlineStr">
        <is>
          <t>Financeiro</t>
        </is>
      </c>
      <c r="AH90" s="74" t="inlineStr">
        <is>
          <t>Financeiro</t>
        </is>
      </c>
      <c r="AI90" s="74" t="inlineStr">
        <is>
          <t>Empréstimos Monee SCD, CCBs</t>
        </is>
      </c>
      <c r="AJ90" s="74" t="b">
        <v>0</v>
      </c>
      <c r="AK90" s="74" t="inlineStr">
        <is>
          <t>MANTER_ALTA</t>
        </is>
      </c>
      <c r="AL90" s="74" t="inlineStr">
        <is>
          <t>CCBs originadas em empréstimos da Monee SCD</t>
        </is>
      </c>
      <c r="AM90" s="74" t="inlineStr">
        <is>
          <t>regulamento 1191019, 117 páginas</t>
        </is>
      </c>
      <c r="AN90" s="74" t="inlineStr">
        <is>
          <t>Não</t>
        </is>
      </c>
      <c r="AO90" s="74" t="inlineStr">
        <is>
          <t>regulamento 1191019, 117 páginas</t>
        </is>
      </c>
      <c r="AP90" s="74" t="b">
        <v>0</v>
      </c>
      <c r="AQ90" s="74" t="inlineStr">
        <is>
          <t>Financeiro</t>
        </is>
      </c>
      <c r="AR90" s="74" t="inlineStr">
        <is>
          <t>Financeiro</t>
        </is>
      </c>
      <c r="AS90" s="74" t="b">
        <v>0</v>
      </c>
      <c r="AT90" s="74" t="inlineStr">
        <is>
          <t>N/D</t>
        </is>
      </c>
      <c r="AU90" s="74" t="inlineStr">
        <is>
          <t>N/D</t>
        </is>
      </c>
      <c r="AV90" s="74" t="inlineStr">
        <is>
          <t>35%–60%</t>
        </is>
      </c>
      <c r="AW90" s="74" t="b">
        <v>1</v>
      </c>
      <c r="AX90" s="74" t="inlineStr">
        <is>
          <t>acima do piso</t>
        </is>
      </c>
      <c r="AY90" s="74" t="inlineStr">
        <is>
          <t>acima do mercado</t>
        </is>
      </c>
      <c r="AZ90" s="140" t="n">
        <v>0.1044255514048708</v>
      </c>
      <c r="BA90" s="74" t="b">
        <v>1</v>
      </c>
      <c r="BB90" s="141" t="n">
        <v>12</v>
      </c>
      <c r="BC90" s="139" t="inlineStr">
        <is>
          <t>N/D</t>
        </is>
      </c>
      <c r="BD90" s="74" t="inlineStr">
        <is>
          <t>N/D</t>
        </is>
      </c>
      <c r="BE90" s="74" t="inlineStr">
        <is>
          <t>N/D</t>
        </is>
      </c>
      <c r="BF90" s="74" t="inlineStr">
        <is>
          <t>N/D</t>
        </is>
      </c>
      <c r="BG90" s="74" t="inlineStr">
        <is>
          <t>N/D</t>
        </is>
      </c>
      <c r="BH90" s="74" t="inlineStr">
        <is>
          <t>N/D</t>
        </is>
      </c>
      <c r="BI90" s="74" t="inlineStr">
        <is>
          <t>N/D</t>
        </is>
      </c>
      <c r="BJ90" s="74" t="inlineStr">
        <is>
          <t>não localizado</t>
        </is>
      </c>
      <c r="BK90" s="74" t="b">
        <v>0</v>
      </c>
      <c r="BL90" s="74" t="inlineStr">
        <is>
          <t>SHPP IP</t>
        </is>
      </c>
      <c r="BM90" s="74" t="inlineStr">
        <is>
          <t>cedente</t>
        </is>
      </c>
      <c r="BN90" s="74" t="inlineStr">
        <is>
          <t>N/D</t>
        </is>
      </c>
      <c r="BO90" s="74" t="inlineStr">
        <is>
          <t>SHPP IP</t>
        </is>
      </c>
      <c r="BP90" s="74" t="inlineStr">
        <is>
          <t>N/D</t>
        </is>
      </c>
      <c r="BQ90" s="74" t="inlineStr">
        <is>
          <t>N/D</t>
        </is>
      </c>
      <c r="BR90" s="74" t="inlineStr">
        <is>
          <t>cedente: IMG_8707.jpg</t>
        </is>
      </c>
      <c r="BS90" s="74" t="inlineStr">
        <is>
          <t>manual_aplicado</t>
        </is>
      </c>
      <c r="BT90" s="74" t="inlineStr">
        <is>
          <t>Denominação cortada pela largura da coluna na foto.</t>
        </is>
      </c>
      <c r="BU90" s="74" t="inlineStr">
        <is>
          <t>1191019</t>
        </is>
      </c>
      <c r="BV90" s="74" t="inlineStr">
        <is>
          <t>2026-05-14</t>
        </is>
      </c>
      <c r="BW90" s="74" t="inlineStr">
        <is>
          <t>105</t>
        </is>
      </c>
      <c r="BX90" s="74" t="inlineStr">
        <is>
          <t>revisto — mínimo júnior localizado</t>
        </is>
      </c>
      <c r="BY90" s="74" t="inlineStr">
        <is>
          <t>FundosNet/B3; documento 1191019; referência 2026-05-14; p. 105</t>
        </is>
      </c>
      <c r="BZ90" s="74" t="inlineStr">
        <is>
          <t>Cotas subordinadas / PL, mínimo de 30,0%; estrutura com uma única classe residual.</t>
        </is>
      </c>
      <c r="CA90" s="74" t="inlineStr">
        <is>
          <t>preço unitário da cota; originador; sacado/devedor; tipo de recebível</t>
        </is>
      </c>
      <c r="CB90" s="74" t="inlineStr">
        <is>
          <t>completo_para_folga</t>
        </is>
      </c>
    </row>
    <row r="91" ht="31.5" customHeight="1">
      <c r="A91" s="75" t="n">
        <v>89</v>
      </c>
      <c r="B91" s="142" t="n">
        <v>52340225000190</v>
      </c>
      <c r="C91" s="75" t="inlineStr">
        <is>
          <t>52.340.225/0001-90</t>
        </is>
      </c>
      <c r="D91" s="75" t="inlineStr">
        <is>
          <t>INOVA CREDTECH III FIDC SEGMENTO MULTICARTEIRA DE RESPONSABILIDADE LIMITADA</t>
        </is>
      </c>
      <c r="E91" s="75" t="inlineStr">
        <is>
          <t>INOVA CREDTECH III FUNDO DE INVESTIMENTO</t>
        </is>
      </c>
      <c r="F91" s="75" t="inlineStr">
        <is>
          <t>Carteira 101</t>
        </is>
      </c>
      <c r="G91" s="75" t="inlineStr">
        <is>
          <t>2026-06</t>
        </is>
      </c>
      <c r="H91" s="75" t="inlineStr">
        <is>
          <t>localizado</t>
        </is>
      </c>
      <c r="I91" s="143" t="n">
        <v>86060327.05</v>
      </c>
      <c r="J91" s="143" t="n">
        <v>86060327.04986423</v>
      </c>
      <c r="K91" s="143" t="n">
        <v>19065912.03999182</v>
      </c>
      <c r="L91" s="144" t="n">
        <v>0.2215412454674354</v>
      </c>
      <c r="M91" s="75" t="inlineStr">
        <is>
          <t>Calculado com classes reportadas e PL oficial reconciliado</t>
        </is>
      </c>
      <c r="N91" s="144" t="n">
        <v>0.075</v>
      </c>
      <c r="O91" s="144" t="inlineStr">
        <is>
          <t>N/D</t>
        </is>
      </c>
      <c r="P91" s="144" t="inlineStr">
        <is>
          <t>N/D</t>
        </is>
      </c>
      <c r="Q91" s="144" t="inlineStr">
        <is>
          <t>N/D</t>
        </is>
      </c>
      <c r="R91" s="144" t="inlineStr">
        <is>
          <t>N/D</t>
        </is>
      </c>
      <c r="S91" s="144" t="n">
        <v>0.075</v>
      </c>
      <c r="T91" s="75" t="inlineStr">
        <is>
          <t>N/D</t>
        </is>
      </c>
      <c r="U91" s="75" t="inlineStr">
        <is>
          <t>junior_pl</t>
        </is>
      </c>
      <c r="V91" s="75" t="inlineStr">
        <is>
          <t>direto no regulamento</t>
        </is>
      </c>
      <c r="W91" s="75" t="b">
        <v>0</v>
      </c>
      <c r="X91" s="75" t="inlineStr">
        <is>
          <t>Mínimo júnior isolado; a subordinação atual disponível agrega todas as classes subordinadas.</t>
        </is>
      </c>
      <c r="Y91" s="75" t="b">
        <v>0</v>
      </c>
      <c r="Z91" s="144" t="inlineStr">
        <is>
          <t>N/D</t>
        </is>
      </c>
      <c r="AA91" s="144" t="inlineStr">
        <is>
          <t>N/D</t>
        </is>
      </c>
      <c r="AB91" s="75" t="inlineStr">
        <is>
          <t>não medido</t>
        </is>
      </c>
      <c r="AC91" s="75" t="inlineStr">
        <is>
          <t>Agro, Indústria e Comércio</t>
        </is>
      </c>
      <c r="AD91" s="75" t="inlineStr">
        <is>
          <t>Multicarteira Agro, Indústria e Comércio</t>
        </is>
      </c>
      <c r="AE91" s="75" t="inlineStr">
        <is>
          <t>Agro / Revenda</t>
        </is>
      </c>
      <c r="AF91" s="75" t="inlineStr">
        <is>
          <t>Agro / Revenda</t>
        </is>
      </c>
      <c r="AG91" s="75" t="inlineStr">
        <is>
          <t>Agro / Revenda</t>
        </is>
      </c>
      <c r="AH91" s="75" t="inlineStr">
        <is>
          <t>Risco Corporativo</t>
        </is>
      </c>
      <c r="AI91" s="75" t="inlineStr">
        <is>
          <t>Duplicatas, notas comerciais e CCBs corporativas</t>
        </is>
      </c>
      <c r="AJ91" s="75" t="b">
        <v>1</v>
      </c>
      <c r="AK91" s="75" t="inlineStr">
        <is>
          <t>APLICAR_ALTA</t>
        </is>
      </c>
      <c r="AL91" s="75" t="inlineStr">
        <is>
          <t>Instrumentos corporativos explícitos, com originadora e porte ainda ausentes</t>
        </is>
      </c>
      <c r="AM91" s="75" t="inlineStr">
        <is>
          <t>regulamento 1171206</t>
        </is>
      </c>
      <c r="AN91" s="75" t="inlineStr">
        <is>
          <t>Candidato</t>
        </is>
      </c>
      <c r="AO91" s="75" t="inlineStr">
        <is>
          <t>regulamento 1171206</t>
        </is>
      </c>
      <c r="AP91" s="75" t="inlineStr">
        <is>
          <t>N/D</t>
        </is>
      </c>
      <c r="AQ91" s="75" t="inlineStr">
        <is>
          <t>Risco Corporativo</t>
        </is>
      </c>
      <c r="AR91" s="75" t="inlineStr">
        <is>
          <t>Agro / Revenda</t>
        </is>
      </c>
      <c r="AS91" s="75" t="b">
        <v>1</v>
      </c>
      <c r="AT91" s="75" t="inlineStr">
        <is>
          <t>regulamento 1171206</t>
        </is>
      </c>
      <c r="AU91" s="75" t="inlineStr">
        <is>
          <t>Instrumentos corporativos explícitos, com originadora e porte ainda ausentes</t>
        </is>
      </c>
      <c r="AV91" s="75" t="inlineStr">
        <is>
          <t>20%–35%</t>
        </is>
      </c>
      <c r="AW91" s="75" t="b">
        <v>1</v>
      </c>
      <c r="AX91" s="75" t="inlineStr">
        <is>
          <t>incomparável</t>
        </is>
      </c>
      <c r="AY91" s="75" t="inlineStr">
        <is>
          <t>sem benchmark confiável</t>
        </is>
      </c>
      <c r="AZ91" s="144" t="inlineStr">
        <is>
          <t>N/D</t>
        </is>
      </c>
      <c r="BA91" s="75" t="b">
        <v>0</v>
      </c>
      <c r="BB91" s="145" t="n">
        <v>0</v>
      </c>
      <c r="BC91" s="143" t="n">
        <v>1000</v>
      </c>
      <c r="BD91" s="75" t="inlineStr">
        <is>
          <t>R$ 1.000,00</t>
        </is>
      </c>
      <c r="BE91" s="75" t="inlineStr">
        <is>
          <t>preço/valor unitário de emissão</t>
        </is>
      </c>
      <c r="BF91" s="75" t="inlineStr">
        <is>
          <t>N/D</t>
        </is>
      </c>
      <c r="BG91" s="75" t="inlineStr">
        <is>
          <t>30/09/2025</t>
        </is>
      </c>
      <c r="BH91" s="75" t="inlineStr">
        <is>
          <t>1010103</t>
        </is>
      </c>
      <c r="BI91" s="75" t="inlineStr">
        <is>
          <t>https://fnet.bmfbovespa.com.br/fnet/publico/downloadDocumento?id=1010103</t>
        </is>
      </c>
      <c r="BJ91" s="75" t="inlineStr">
        <is>
          <t>localizado documentalmente</t>
        </is>
      </c>
      <c r="BK91" s="75" t="b">
        <v>1</v>
      </c>
      <c r="BL91" s="75" t="inlineStr">
        <is>
          <t>N/D</t>
        </is>
      </c>
      <c r="BM91" s="75" t="inlineStr">
        <is>
          <t>N/D</t>
        </is>
      </c>
      <c r="BN91" s="75" t="inlineStr">
        <is>
          <t>N/D</t>
        </is>
      </c>
      <c r="BO91" s="75" t="inlineStr">
        <is>
          <t>N/D</t>
        </is>
      </c>
      <c r="BP91" s="75" t="inlineStr">
        <is>
          <t>o devedor dos Direitos Creditórios Adquiridos</t>
        </is>
      </c>
      <c r="BQ91" s="75" t="inlineStr">
        <is>
          <t>os direitos creditórios originados pela Originadora e devidos pelos Devedores, os quais podem ser formalizados por Duplicatas, Notas Comerciais ou CCBs</t>
        </is>
      </c>
      <c r="BR91" s="75" t="inlineStr">
        <is>
          <t>sacado_devedor: https://fnet.bmfbovespa.com.br/fnet/publico/downloadDocumento?id=1171206 | tipo_recebivel: https://fnet.bmfbovespa.com.br/fnet/publico/downloadDocumento?id=1171206</t>
        </is>
      </c>
      <c r="BS91" s="75" t="inlineStr">
        <is>
          <t>sem_overlay</t>
        </is>
      </c>
      <c r="BT91" s="75" t="inlineStr">
        <is>
          <t>N/D</t>
        </is>
      </c>
      <c r="BU91" s="75" t="inlineStr">
        <is>
          <t>1171206</t>
        </is>
      </c>
      <c r="BV91" s="75" t="inlineStr">
        <is>
          <t>2026-03-25</t>
        </is>
      </c>
      <c r="BW91" s="75" t="inlineStr">
        <is>
          <t>77</t>
        </is>
      </c>
      <c r="BX91" s="75" t="inlineStr">
        <is>
          <t>revisto — mínimo júnior localizado</t>
        </is>
      </c>
      <c r="BY91" s="75" t="inlineStr">
        <is>
          <t>FundosNet/B3; documento 1171206; referência 2026-03-25; p. 77</t>
        </is>
      </c>
      <c r="BZ91" s="75" t="inlineStr">
        <is>
          <t>Índice de Subordinação Mezanino B: cotas júnior / PL, mínimo de 7,5%.</t>
        </is>
      </c>
      <c r="CA91" s="75" t="inlineStr">
        <is>
          <t>originador; cedente</t>
        </is>
      </c>
      <c r="CB91" s="75" t="inlineStr">
        <is>
          <t>estrutura_incomparavel</t>
        </is>
      </c>
    </row>
    <row r="92" ht="31.5" customHeight="1">
      <c r="A92" s="74" t="n">
        <v>90</v>
      </c>
      <c r="B92" s="138" t="n">
        <v>63546406000194</v>
      </c>
      <c r="C92" s="74" t="inlineStr">
        <is>
          <t>63.546.406/0001-94</t>
        </is>
      </c>
      <c r="D92" s="74" t="inlineStr">
        <is>
          <t>PINE INSS III FUNDO DE INVESTIMENTO EM DIREITOS CREDITÓRIOS RESPONSABILIDADE LIMITADA</t>
        </is>
      </c>
      <c r="E92" s="74" t="inlineStr">
        <is>
          <t>PINE INSS III FUNDO DE INVESTIMENTO EM DIREITOS CREDITORIOS RESPONSABILIDADE</t>
        </is>
      </c>
      <c r="F92" s="74" t="inlineStr">
        <is>
          <t>Carteira 101</t>
        </is>
      </c>
      <c r="G92" s="74" t="inlineStr">
        <is>
          <t>2026-06</t>
        </is>
      </c>
      <c r="H92" s="74" t="inlineStr">
        <is>
          <t>localizado</t>
        </is>
      </c>
      <c r="I92" s="139" t="n">
        <v>1153763377.65</v>
      </c>
      <c r="J92" s="139" t="n">
        <v>1153763377.6455</v>
      </c>
      <c r="K92" s="139" t="n">
        <v>172223714.7399375</v>
      </c>
      <c r="L92" s="140" t="n">
        <v>0.1492712614008645</v>
      </c>
      <c r="M92" s="74" t="inlineStr">
        <is>
          <t>Calculado com classes reportadas e PL oficial reconciliado</t>
        </is>
      </c>
      <c r="N92" s="140" t="n">
        <v>0.015</v>
      </c>
      <c r="O92" s="140" t="inlineStr">
        <is>
          <t>N/D</t>
        </is>
      </c>
      <c r="P92" s="140" t="inlineStr">
        <is>
          <t>N/D</t>
        </is>
      </c>
      <c r="Q92" s="140" t="inlineStr">
        <is>
          <t>N/D</t>
        </is>
      </c>
      <c r="R92" s="140" t="inlineStr">
        <is>
          <t>N/D</t>
        </is>
      </c>
      <c r="S92" s="140" t="n">
        <v>0.015</v>
      </c>
      <c r="T92" s="74" t="inlineStr">
        <is>
          <t>N/D</t>
        </is>
      </c>
      <c r="U92" s="74" t="inlineStr">
        <is>
          <t>junior_pl</t>
        </is>
      </c>
      <c r="V92" s="74" t="inlineStr">
        <is>
          <t>direto no regulamento</t>
        </is>
      </c>
      <c r="W92" s="74" t="b">
        <v>0</v>
      </c>
      <c r="X92" s="74" t="inlineStr">
        <is>
          <t>Mínimo júnior isolado; a subordinação atual disponível agrega todas as classes subordinadas.</t>
        </is>
      </c>
      <c r="Y92" s="74" t="b">
        <v>0</v>
      </c>
      <c r="Z92" s="140" t="inlineStr">
        <is>
          <t>N/D</t>
        </is>
      </c>
      <c r="AA92" s="140" t="inlineStr">
        <is>
          <t>N/D</t>
        </is>
      </c>
      <c r="AB92" s="74" t="inlineStr">
        <is>
          <t>não medido</t>
        </is>
      </c>
      <c r="AC92" s="74" t="inlineStr">
        <is>
          <t>Financeiro</t>
        </is>
      </c>
      <c r="AD92" s="74" t="inlineStr">
        <is>
          <t>Multicarteira Financeiro</t>
        </is>
      </c>
      <c r="AE92" s="74" t="inlineStr">
        <is>
          <t>Consignado INSS</t>
        </is>
      </c>
      <c r="AF92" s="74" t="inlineStr">
        <is>
          <t>Consignado INSS</t>
        </is>
      </c>
      <c r="AG92" s="74" t="inlineStr">
        <is>
          <t>Consignado INSS e FGTS</t>
        </is>
      </c>
      <c r="AH92" s="74" t="inlineStr">
        <is>
          <t>Consignado INSS e FGTS</t>
        </is>
      </c>
      <c r="AI92" s="74" t="inlineStr">
        <is>
          <t>N/D</t>
        </is>
      </c>
      <c r="AJ92" s="74" t="b">
        <v>0</v>
      </c>
      <c r="AK92" s="74" t="inlineStr">
        <is>
          <t>fora da revisão Financeiro/Agro</t>
        </is>
      </c>
      <c r="AL92" s="74" t="inlineStr">
        <is>
          <t>N/D</t>
        </is>
      </c>
      <c r="AM92" s="74" t="inlineStr">
        <is>
          <t>N/D</t>
        </is>
      </c>
      <c r="AN92" s="74" t="inlineStr">
        <is>
          <t>N/D</t>
        </is>
      </c>
      <c r="AO92" s="74" t="inlineStr">
        <is>
          <t>N/D</t>
        </is>
      </c>
      <c r="AP92" s="74" t="inlineStr">
        <is>
          <t>N/D</t>
        </is>
      </c>
      <c r="AQ92" s="74" t="inlineStr">
        <is>
          <t>Consignado INSS e FGTS</t>
        </is>
      </c>
      <c r="AR92" s="74" t="inlineStr">
        <is>
          <t>Consignado INSS e FGTS</t>
        </is>
      </c>
      <c r="AS92" s="74" t="b">
        <v>0</v>
      </c>
      <c r="AT92" s="74" t="inlineStr">
        <is>
          <t>N/D</t>
        </is>
      </c>
      <c r="AU92" s="74" t="inlineStr">
        <is>
          <t>N/D</t>
        </is>
      </c>
      <c r="AV92" s="74" t="inlineStr">
        <is>
          <t>10%–15%</t>
        </is>
      </c>
      <c r="AW92" s="74" t="b">
        <v>1</v>
      </c>
      <c r="AX92" s="74" t="inlineStr">
        <is>
          <t>incomparável</t>
        </is>
      </c>
      <c r="AY92" s="74" t="inlineStr">
        <is>
          <t>em linha com o mercado</t>
        </is>
      </c>
      <c r="AZ92" s="140" t="n">
        <v>-0.01189728877231469</v>
      </c>
      <c r="BA92" s="74" t="b">
        <v>1</v>
      </c>
      <c r="BB92" s="141" t="n">
        <v>5</v>
      </c>
      <c r="BC92" s="139" t="n">
        <v>1000</v>
      </c>
      <c r="BD92" s="74" t="inlineStr">
        <is>
          <t>R$ 1.000,00 | cotas seniores: R$ 1.000,00 | cotas subordinadas júnior: R$ 1.000,00 | cotas subordinadas mezanino: R$ 1.000,00</t>
        </is>
      </c>
      <c r="BE92" s="74" t="inlineStr">
        <is>
          <t>preço/valor unitário de emissão | valor nominal unitário (VNU)</t>
        </is>
      </c>
      <c r="BF92" s="74" t="inlineStr">
        <is>
          <t>cotas seniores | cotas subordinadas júnior | cotas subordinadas mezanino</t>
        </is>
      </c>
      <c r="BG92" s="74" t="inlineStr">
        <is>
          <t>2026-03-05</t>
        </is>
      </c>
      <c r="BH92" s="74" t="inlineStr">
        <is>
          <t>1130481 | 1130478</t>
        </is>
      </c>
      <c r="BI92" s="74" t="inlineStr">
        <is>
          <t>https://fnet.bmfbovespa.com.br/fnet/publico/downloadDocumento?id=1130481 | https://fnet.bmfbovespa.com.br/fnet/publico/downloadDocumento?id=1130478</t>
        </is>
      </c>
      <c r="BJ92" s="74" t="inlineStr">
        <is>
          <t>localizado documentalmente — múltiplos valores/classes</t>
        </is>
      </c>
      <c r="BK92" s="74" t="b">
        <v>1</v>
      </c>
      <c r="BL92" s="74" t="inlineStr">
        <is>
          <t>N/D</t>
        </is>
      </c>
      <c r="BM92" s="74" t="inlineStr">
        <is>
          <t>N/D</t>
        </is>
      </c>
      <c r="BN92" s="74" t="inlineStr">
        <is>
          <t>N/D</t>
        </is>
      </c>
      <c r="BO92" s="74" t="inlineStr">
        <is>
          <t>o Banco Pine, conforme o caso;</t>
        </is>
      </c>
      <c r="BP92" s="74" t="inlineStr">
        <is>
          <t>os devedores das CCBs relativas aos Direitos Creditórios;</t>
        </is>
      </c>
      <c r="BQ92" s="74" t="inlineStr">
        <is>
          <t>N/D</t>
        </is>
      </c>
      <c r="BR92" s="74" t="inlineStr">
        <is>
          <t>cedente: https://fnet.bmfbovespa.com.br/fnet/publico/downloadDocumento?id=1130481 | sacado_devedor: https://fnet.bmfbovespa.com.br/fnet/publico/downloadDocumento?id=1130481</t>
        </is>
      </c>
      <c r="BS92" s="74" t="inlineStr">
        <is>
          <t>sem_overlay</t>
        </is>
      </c>
      <c r="BT92" s="74" t="inlineStr">
        <is>
          <t>N/D</t>
        </is>
      </c>
      <c r="BU92" s="74" t="inlineStr">
        <is>
          <t>1130481</t>
        </is>
      </c>
      <c r="BV92" s="74" t="inlineStr">
        <is>
          <t>2026-03-05</t>
        </is>
      </c>
      <c r="BW92" s="74" t="inlineStr">
        <is>
          <t>142</t>
        </is>
      </c>
      <c r="BX92" s="74" t="inlineStr">
        <is>
          <t>revisto — mínimo júnior localizado</t>
        </is>
      </c>
      <c r="BY92" s="74" t="inlineStr">
        <is>
          <t>FundosNet/B3; documento 1130481; referência 2026-03-05; p. 142</t>
        </is>
      </c>
      <c r="BZ92" s="74" t="inlineStr">
        <is>
          <t>Cotas júnior / PL sem efeito de derivativos: mínimo inicial de 1,5%; meta de 2,5%.</t>
        </is>
      </c>
      <c r="CA92" s="74" t="inlineStr">
        <is>
          <t>originador; tipo de recebível</t>
        </is>
      </c>
      <c r="CB92" s="74" t="inlineStr">
        <is>
          <t>estrutura_incomparavel</t>
        </is>
      </c>
    </row>
    <row r="93" ht="31.5" customHeight="1">
      <c r="A93" s="75" t="n">
        <v>91</v>
      </c>
      <c r="B93" s="142" t="n">
        <v>37294759000134</v>
      </c>
      <c r="C93" s="75" t="inlineStr">
        <is>
          <t>37.294.759/0001-34</t>
        </is>
      </c>
      <c r="D93" s="75" t="inlineStr">
        <is>
          <t>GALLERIA HOME EQUITY FIDC</t>
        </is>
      </c>
      <c r="E93" s="75" t="inlineStr">
        <is>
          <t>FUNDO I E D C GALLERIA</t>
        </is>
      </c>
      <c r="F93" s="75" t="inlineStr">
        <is>
          <t>Carteira 101</t>
        </is>
      </c>
      <c r="G93" s="75" t="inlineStr">
        <is>
          <t>2026-06</t>
        </is>
      </c>
      <c r="H93" s="75" t="inlineStr">
        <is>
          <t>localizado</t>
        </is>
      </c>
      <c r="I93" s="143" t="n">
        <v>513226571.59</v>
      </c>
      <c r="J93" s="143" t="n">
        <v>513226571.4282056</v>
      </c>
      <c r="K93" s="143" t="n">
        <v>163152649.59795</v>
      </c>
      <c r="L93" s="144" t="n">
        <v>0.3178959520597218</v>
      </c>
      <c r="M93" s="75" t="inlineStr">
        <is>
          <t>Calculado com classes reportadas e PL oficial reconciliado</t>
        </is>
      </c>
      <c r="N93" s="144" t="inlineStr">
        <is>
          <t>N/D</t>
        </is>
      </c>
      <c r="O93" s="144" t="inlineStr">
        <is>
          <t>N/D</t>
        </is>
      </c>
      <c r="P93" s="144" t="inlineStr">
        <is>
          <t>N/D</t>
        </is>
      </c>
      <c r="Q93" s="144" t="n">
        <v>0.047619047619</v>
      </c>
      <c r="R93" s="144" t="inlineStr">
        <is>
          <t>N/D</t>
        </is>
      </c>
      <c r="S93" s="144" t="n">
        <v>0.047619047619</v>
      </c>
      <c r="T93" s="75" t="inlineStr">
        <is>
          <t>4,76%*</t>
        </is>
      </c>
      <c r="U93" s="75" t="inlineStr">
        <is>
          <t>suporte_total_pl</t>
        </is>
      </c>
      <c r="V93" s="75" t="inlineStr">
        <is>
          <t>calculado: 1 − 1/1,05</t>
        </is>
      </c>
      <c r="W93" s="75" t="b">
        <v>1</v>
      </c>
      <c r="X93" s="75" t="inlineStr">
        <is>
          <t>Suporte total ou combinado; não representa mínimo júnior isolado.</t>
        </is>
      </c>
      <c r="Y93" s="75" t="b">
        <v>1</v>
      </c>
      <c r="Z93" s="144" t="n">
        <v>0.2702769044407218</v>
      </c>
      <c r="AA93" s="144" t="n">
        <v>0.2837907496627437</v>
      </c>
      <c r="AB93" s="75" t="inlineStr">
        <is>
          <t>acima do mínimo</t>
        </is>
      </c>
      <c r="AC93" s="75" t="inlineStr">
        <is>
          <t>Financeiro</t>
        </is>
      </c>
      <c r="AD93" s="75" t="inlineStr">
        <is>
          <t>Multicarteira Financeiro</t>
        </is>
      </c>
      <c r="AE93" s="75" t="inlineStr">
        <is>
          <t>Financeiro</t>
        </is>
      </c>
      <c r="AF93" s="75" t="inlineStr">
        <is>
          <t>Financeiro</t>
        </is>
      </c>
      <c r="AG93" s="75" t="inlineStr">
        <is>
          <t>Financeiro</t>
        </is>
      </c>
      <c r="AH93" s="75" t="inlineStr">
        <is>
          <t>Financeiro</t>
        </is>
      </c>
      <c r="AI93" s="75" t="inlineStr">
        <is>
          <t>Home equity PF/PJ, CCB com alienação fiduciária</t>
        </is>
      </c>
      <c r="AJ93" s="75" t="b">
        <v>0</v>
      </c>
      <c r="AK93" s="75" t="inlineStr">
        <is>
          <t>MANTER_ALTA</t>
        </is>
      </c>
      <c r="AL93" s="75" t="inlineStr">
        <is>
          <t>CCBs com garantia imobiliária</t>
        </is>
      </c>
      <c r="AM93" s="75" t="inlineStr">
        <is>
          <t>IMG_8707</t>
        </is>
      </c>
      <c r="AN93" s="75" t="inlineStr">
        <is>
          <t>Não</t>
        </is>
      </c>
      <c r="AO93" s="75" t="inlineStr">
        <is>
          <t>IMG_8707</t>
        </is>
      </c>
      <c r="AP93" s="75" t="b">
        <v>0</v>
      </c>
      <c r="AQ93" s="75" t="inlineStr">
        <is>
          <t>Financeiro</t>
        </is>
      </c>
      <c r="AR93" s="75" t="inlineStr">
        <is>
          <t>Financeiro</t>
        </is>
      </c>
      <c r="AS93" s="75" t="b">
        <v>0</v>
      </c>
      <c r="AT93" s="75" t="inlineStr">
        <is>
          <t>N/D</t>
        </is>
      </c>
      <c r="AU93" s="75" t="inlineStr">
        <is>
          <t>N/D</t>
        </is>
      </c>
      <c r="AV93" s="75" t="inlineStr">
        <is>
          <t>20%–35%</t>
        </is>
      </c>
      <c r="AW93" s="75" t="b">
        <v>1</v>
      </c>
      <c r="AX93" s="75" t="inlineStr">
        <is>
          <t>acima do piso</t>
        </is>
      </c>
      <c r="AY93" s="75" t="inlineStr">
        <is>
          <t>em linha com o mercado</t>
        </is>
      </c>
      <c r="AZ93" s="144" t="n">
        <v>0.01643639177847067</v>
      </c>
      <c r="BA93" s="75" t="b">
        <v>1</v>
      </c>
      <c r="BB93" s="145" t="n">
        <v>12</v>
      </c>
      <c r="BC93" s="143" t="n">
        <v>1</v>
      </c>
      <c r="BD93" s="75" t="inlineStr">
        <is>
          <t>Cotas Subordinadas Mezanino: R$ 1,00</t>
        </is>
      </c>
      <c r="BE93" s="75" t="inlineStr">
        <is>
          <t>preço/valor unitário de emissão</t>
        </is>
      </c>
      <c r="BF93" s="75" t="inlineStr">
        <is>
          <t>Cotas Subordinadas Mezanino</t>
        </is>
      </c>
      <c r="BG93" s="75" t="inlineStr">
        <is>
          <t>10/07/2026</t>
        </is>
      </c>
      <c r="BH93" s="75" t="inlineStr">
        <is>
          <t>1243617</t>
        </is>
      </c>
      <c r="BI93" s="75" t="inlineStr">
        <is>
          <t>https://fnet.bmfbovespa.com.br/fnet/publico/downloadDocumento?id=1243617</t>
        </is>
      </c>
      <c r="BJ93" s="75" t="inlineStr">
        <is>
          <t>localizado documentalmente</t>
        </is>
      </c>
      <c r="BK93" s="75" t="b">
        <v>0</v>
      </c>
      <c r="BL93" s="75" t="inlineStr">
        <is>
          <t>Galleria SCD</t>
        </is>
      </c>
      <c r="BM93" s="75" t="inlineStr">
        <is>
          <t>cedente</t>
        </is>
      </c>
      <c r="BN93" s="75" t="inlineStr">
        <is>
          <t>N/D</t>
        </is>
      </c>
      <c r="BO93" s="75" t="inlineStr">
        <is>
          <t>Galleria SCD</t>
        </is>
      </c>
      <c r="BP93" s="75" t="inlineStr">
        <is>
          <t>N/D</t>
        </is>
      </c>
      <c r="BQ93" s="75" t="inlineStr">
        <is>
          <t>CCBs com AF de Imóvel oriundos de empréstimo PF e PJs</t>
        </is>
      </c>
      <c r="BR93" s="75" t="inlineStr">
        <is>
          <t>cedente: IMG_8707.jpg | tipo_recebivel: IMG_8707.jpg</t>
        </is>
      </c>
      <c r="BS93" s="75" t="inlineStr">
        <is>
          <t>manual_aplicado</t>
        </is>
      </c>
      <c r="BT93" s="75" t="inlineStr">
        <is>
          <t>N/D</t>
        </is>
      </c>
      <c r="BU93" s="75" t="inlineStr">
        <is>
          <t>927443</t>
        </is>
      </c>
      <c r="BV93" s="75" t="inlineStr">
        <is>
          <t>2026-07-10</t>
        </is>
      </c>
      <c r="BW93" s="75" t="inlineStr">
        <is>
          <t>110</t>
        </is>
      </c>
      <c r="BX93" s="75" t="inlineStr">
        <is>
          <t>revisto — suporte estrutural total localizado</t>
        </is>
      </c>
      <c r="BY93" s="75" t="inlineStr">
        <is>
          <t>FundosNet/B3; documento 927443; referência 2026-07-10; p. 110</t>
        </is>
      </c>
      <c r="BZ93" s="75" t="inlineStr">
        <is>
          <t>N/D</t>
        </is>
      </c>
      <c r="CA93" s="75" t="inlineStr">
        <is>
          <t>originador; sacado/devedor</t>
        </is>
      </c>
      <c r="CB93" s="75" t="inlineStr">
        <is>
          <t>completo_para_folga</t>
        </is>
      </c>
    </row>
    <row r="94" ht="31.5" customHeight="1">
      <c r="A94" s="74" t="n">
        <v>92</v>
      </c>
      <c r="B94" s="138" t="n">
        <v>42085830000109</v>
      </c>
      <c r="C94" s="74" t="inlineStr">
        <is>
          <t>42.085.830/0001-09</t>
        </is>
      </c>
      <c r="D94" s="74" t="inlineStr">
        <is>
          <t>CLOUDWALK AKIRA I FUNDO DE INVESTIMENTO EM DIREITOS CREDITÓRIOS SEGMENTO MEIOS DE PAGAMENTO</t>
        </is>
      </c>
      <c r="E94" s="74" t="inlineStr">
        <is>
          <t>CLOUDWALK AKIRA I FUNDO DE INVESTIMENTO EM DIREITO</t>
        </is>
      </c>
      <c r="F94" s="74" t="inlineStr">
        <is>
          <t>Carteira 101</t>
        </is>
      </c>
      <c r="G94" s="74" t="inlineStr">
        <is>
          <t>2026-06</t>
        </is>
      </c>
      <c r="H94" s="74" t="inlineStr">
        <is>
          <t>localizado</t>
        </is>
      </c>
      <c r="I94" s="139" t="n">
        <v>308205214.77</v>
      </c>
      <c r="J94" s="139" t="n">
        <v>308205214.7699943</v>
      </c>
      <c r="K94" s="139" t="n">
        <v>16372205.88999423</v>
      </c>
      <c r="L94" s="140" t="n">
        <v>0.05312111899927486</v>
      </c>
      <c r="M94" s="74" t="inlineStr">
        <is>
          <t>Calculado com classes reportadas e PL oficial reconciliado</t>
        </is>
      </c>
      <c r="N94" s="140" t="n">
        <v>0.03</v>
      </c>
      <c r="O94" s="140" t="inlineStr">
        <is>
          <t>N/D</t>
        </is>
      </c>
      <c r="P94" s="140" t="inlineStr">
        <is>
          <t>N/D</t>
        </is>
      </c>
      <c r="Q94" s="140" t="n">
        <v>0.03</v>
      </c>
      <c r="R94" s="140" t="inlineStr">
        <is>
          <t>N/D</t>
        </is>
      </c>
      <c r="S94" s="140" t="n">
        <v>0.03</v>
      </c>
      <c r="T94" s="74" t="inlineStr">
        <is>
          <t>3,0%</t>
        </is>
      </c>
      <c r="U94" s="74" t="inlineStr">
        <is>
          <t>junior_pl</t>
        </is>
      </c>
      <c r="V94" s="74" t="inlineStr">
        <is>
          <t>direto no regulamento</t>
        </is>
      </c>
      <c r="W94" s="74" t="b">
        <v>1</v>
      </c>
      <c r="X94" s="74" t="inlineStr">
        <is>
          <t>Estrutura com uma única classe subordinada; métrica atual e piso usam o total subordinado sobre o PL.</t>
        </is>
      </c>
      <c r="Y94" s="74" t="b">
        <v>0</v>
      </c>
      <c r="Z94" s="140" t="n">
        <v>0.02312111899927486</v>
      </c>
      <c r="AA94" s="140" t="n">
        <v>0.02383620515389161</v>
      </c>
      <c r="AB94" s="74" t="inlineStr">
        <is>
          <t>folga estreita</t>
        </is>
      </c>
      <c r="AC94" s="74" t="inlineStr">
        <is>
          <t>Financeiro</t>
        </is>
      </c>
      <c r="AD94" s="74" t="inlineStr">
        <is>
          <t>Adquirência</t>
        </is>
      </c>
      <c r="AE94" s="74" t="inlineStr">
        <is>
          <t>Adquirência</t>
        </is>
      </c>
      <c r="AF94" s="74" t="inlineStr">
        <is>
          <t>Adquirência</t>
        </is>
      </c>
      <c r="AG94" s="74" t="inlineStr">
        <is>
          <t>Adquirência</t>
        </is>
      </c>
      <c r="AH94" s="74" t="inlineStr">
        <is>
          <t>Adquirência</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Adquirência</t>
        </is>
      </c>
      <c r="AR94" s="74" t="inlineStr">
        <is>
          <t>Adquirência</t>
        </is>
      </c>
      <c r="AS94" s="74" t="b">
        <v>0</v>
      </c>
      <c r="AT94" s="74" t="inlineStr">
        <is>
          <t>N/D</t>
        </is>
      </c>
      <c r="AU94" s="74" t="inlineStr">
        <is>
          <t>N/D</t>
        </is>
      </c>
      <c r="AV94" s="74" t="inlineStr">
        <is>
          <t>&lt; 10%</t>
        </is>
      </c>
      <c r="AW94" s="74" t="b">
        <v>1</v>
      </c>
      <c r="AX94" s="74" t="inlineStr">
        <is>
          <t>acima do piso</t>
        </is>
      </c>
      <c r="AY94" s="74" t="inlineStr">
        <is>
          <t>abaixo do mercado</t>
        </is>
      </c>
      <c r="AZ94" s="140" t="n">
        <v>-0.1022383352256313</v>
      </c>
      <c r="BA94" s="74" t="b">
        <v>1</v>
      </c>
      <c r="BB94" s="141" t="n">
        <v>15</v>
      </c>
      <c r="BC94" s="139" t="n">
        <v>1000</v>
      </c>
      <c r="BD94" s="74" t="inlineStr">
        <is>
          <t>Cotas Seniores: R$1.000 | Cotas Subordinadas: R$1.000</t>
        </is>
      </c>
      <c r="BE94" s="74" t="inlineStr">
        <is>
          <t>valor nominal unitário (VNU)</t>
        </is>
      </c>
      <c r="BF94" s="74" t="inlineStr">
        <is>
          <t>Cotas Seniores | Cotas Subordinadas</t>
        </is>
      </c>
      <c r="BG94" s="74" t="inlineStr">
        <is>
          <t>2025-07-24</t>
        </is>
      </c>
      <c r="BH94" s="74" t="inlineStr">
        <is>
          <t>966441</t>
        </is>
      </c>
      <c r="BI94" s="74" t="inlineStr">
        <is>
          <t>https://fnet.bmfbovespa.com.br/fnet/publico/downloadDocumento?id=966441</t>
        </is>
      </c>
      <c r="BJ94" s="74" t="inlineStr">
        <is>
          <t>localizado documentalmente — múltiplos valores/classes</t>
        </is>
      </c>
      <c r="BK94" s="74" t="b">
        <v>1</v>
      </c>
      <c r="BL94" s="74" t="inlineStr">
        <is>
          <t>Cloudwalk IP</t>
        </is>
      </c>
      <c r="BM94" s="74" t="inlineStr">
        <is>
          <t>cedente</t>
        </is>
      </c>
      <c r="BN94" s="74" t="inlineStr">
        <is>
          <t>N/D</t>
        </is>
      </c>
      <c r="BO94" s="74" t="inlineStr">
        <is>
          <t>a CloudWalk que, de tempos em tempos, nos termos do Contrato de Cessão, cede seus respectivos Direitos Creditórios Elegíveis ao Fundo</t>
        </is>
      </c>
      <c r="BP94" s="74" t="inlineStr">
        <is>
          <t>os Emissores Qualificados</t>
        </is>
      </c>
      <c r="BQ94"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4" s="74" t="inlineStr">
        <is>
          <t>cedente: https://fnet.bmfbovespa.com.br/fnet/publico/downloadDocumento?id=966441 | sacado_devedor: https://fnet.bmfbovespa.com.br/fnet/publico/downloadDocumento?id=966441 | tipo_recebivel: https://fnet.bmfbovespa.com.br/fnet/publico/downloadDocumento?id=966441</t>
        </is>
      </c>
      <c r="BS94" s="74" t="inlineStr">
        <is>
          <t>manual_aplicado</t>
        </is>
      </c>
      <c r="BT94" s="74" t="inlineStr">
        <is>
          <t>OBS da foto: Risco Banco Emissor Itaú. Denominação cortada.</t>
        </is>
      </c>
      <c r="BU94" s="74" t="inlineStr">
        <is>
          <t>966441</t>
        </is>
      </c>
      <c r="BV94" s="74" t="inlineStr">
        <is>
          <t>2025-07-24</t>
        </is>
      </c>
      <c r="BW94" s="74" t="inlineStr">
        <is>
          <t>99</t>
        </is>
      </c>
      <c r="BX94" s="74" t="inlineStr">
        <is>
          <t>revisto — mínimo júnior localizado</t>
        </is>
      </c>
      <c r="BY94" s="74" t="inlineStr">
        <is>
          <t>FundosNet/B3; documento 966441; referência 2025-07-24; p. 99</t>
        </is>
      </c>
      <c r="BZ94" s="74" t="inlineStr">
        <is>
          <t>Cotas subordinadas / PL, mínimo de 3,0%; estrutura com uma única classe residual.</t>
        </is>
      </c>
      <c r="CA94" s="74" t="inlineStr">
        <is>
          <t>originador</t>
        </is>
      </c>
      <c r="CB94" s="74" t="inlineStr">
        <is>
          <t>completo_para_folga</t>
        </is>
      </c>
    </row>
    <row r="95" ht="31.5" customHeight="1">
      <c r="A95" s="75" t="n">
        <v>93</v>
      </c>
      <c r="B95" s="142" t="n">
        <v>61288838000117</v>
      </c>
      <c r="C95" s="75" t="inlineStr">
        <is>
          <t>61.288.838/0001-17</t>
        </is>
      </c>
      <c r="D95" s="75" t="inlineStr">
        <is>
          <t>IFOOD PAGO CRÉDITO III FUNDO DE INVESTIMENTO EM DIREITOS CREDITÓRIOS FINANCEIRO RESP. LIMITADA</t>
        </is>
      </c>
      <c r="E95" s="75" t="inlineStr">
        <is>
          <t>FIDC MOVILE III</t>
        </is>
      </c>
      <c r="F95" s="75" t="inlineStr">
        <is>
          <t>Carteira 101</t>
        </is>
      </c>
      <c r="G95" s="75" t="inlineStr">
        <is>
          <t>2026-06</t>
        </is>
      </c>
      <c r="H95" s="75" t="inlineStr">
        <is>
          <t>localizado</t>
        </is>
      </c>
      <c r="I95" s="143" t="n">
        <v>722466359.01</v>
      </c>
      <c r="J95" s="143" t="n">
        <v>722466359.0096748</v>
      </c>
      <c r="K95" s="143" t="n">
        <v>219014167.7696747</v>
      </c>
      <c r="L95" s="144" t="n">
        <v>0.3031479113709754</v>
      </c>
      <c r="M95" s="75" t="inlineStr">
        <is>
          <t>Calculado com classes reportadas e PL oficial reconciliado</t>
        </is>
      </c>
      <c r="N95" s="144" t="n">
        <v>0.15</v>
      </c>
      <c r="O95" s="144" t="inlineStr">
        <is>
          <t>N/D</t>
        </is>
      </c>
      <c r="P95" s="144" t="inlineStr">
        <is>
          <t>N/D</t>
        </is>
      </c>
      <c r="Q95" s="144" t="inlineStr">
        <is>
          <t>N/D</t>
        </is>
      </c>
      <c r="R95" s="144" t="inlineStr">
        <is>
          <t>N/D</t>
        </is>
      </c>
      <c r="S95" s="144" t="n">
        <v>0.15</v>
      </c>
      <c r="T95" s="75" t="inlineStr">
        <is>
          <t>N/D</t>
        </is>
      </c>
      <c r="U95" s="75" t="inlineStr">
        <is>
          <t>junior_pl</t>
        </is>
      </c>
      <c r="V95" s="75" t="inlineStr">
        <is>
          <t>direto no regulamento</t>
        </is>
      </c>
      <c r="W95" s="75" t="b">
        <v>0</v>
      </c>
      <c r="X95" s="75" t="inlineStr">
        <is>
          <t>Mínimo júnior isolado; a subordinação atual disponível agrega todas as classes subordinadas.</t>
        </is>
      </c>
      <c r="Y95" s="75" t="b">
        <v>0</v>
      </c>
      <c r="Z95" s="144" t="inlineStr">
        <is>
          <t>N/D</t>
        </is>
      </c>
      <c r="AA95" s="144" t="inlineStr">
        <is>
          <t>N/D</t>
        </is>
      </c>
      <c r="AB95" s="75" t="inlineStr">
        <is>
          <t>não medido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Estrutura mista, CCB + recebíveis de credenciadoras</t>
        </is>
      </c>
      <c r="AJ95" s="75" t="b">
        <v>0</v>
      </c>
      <c r="AK95" s="75" t="inlineStr">
        <is>
          <t>MANTER_ASTERISCO</t>
        </is>
      </c>
      <c r="AL95" s="75" t="inlineStr">
        <is>
          <t>Combina crédito e adquirência</t>
        </is>
      </c>
      <c r="AM95" s="75" t="inlineStr">
        <is>
          <t>regulamentos 1073756 e 1240846</t>
        </is>
      </c>
      <c r="AN95" s="75" t="inlineStr">
        <is>
          <t>Não</t>
        </is>
      </c>
      <c r="AO95" s="75" t="inlineStr">
        <is>
          <t>regulamentos 1073756 e 1240846</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incomparável</t>
        </is>
      </c>
      <c r="AY95" s="75" t="inlineStr">
        <is>
          <t>em linha com o mercado</t>
        </is>
      </c>
      <c r="AZ95" s="144" t="n">
        <v>0.00168835108972426</v>
      </c>
      <c r="BA95" s="75" t="b">
        <v>1</v>
      </c>
      <c r="BB95" s="145" t="n">
        <v>12</v>
      </c>
      <c r="BC95" s="143" t="n">
        <v>1000</v>
      </c>
      <c r="BD95" s="75" t="inlineStr">
        <is>
          <t>Cotas Seniores: R$ 1.000,00</t>
        </is>
      </c>
      <c r="BE95" s="75" t="inlineStr">
        <is>
          <t>preço/valor unitário de emissão</t>
        </is>
      </c>
      <c r="BF95" s="75" t="inlineStr">
        <is>
          <t>Cotas Seniores</t>
        </is>
      </c>
      <c r="BG95" s="75" t="inlineStr">
        <is>
          <t>14/07/2026</t>
        </is>
      </c>
      <c r="BH95" s="75" t="inlineStr">
        <is>
          <t>1247950</t>
        </is>
      </c>
      <c r="BI95" s="75" t="inlineStr">
        <is>
          <t>https://fnet.bmfbovespa.com.br/fnet/publico/downloadDocumento?id=1247950</t>
        </is>
      </c>
      <c r="BJ95" s="75" t="inlineStr">
        <is>
          <t>localizado documentalmente</t>
        </is>
      </c>
      <c r="BK95" s="75" t="b">
        <v>0</v>
      </c>
      <c r="BL95" s="75" t="inlineStr">
        <is>
          <t>MovilePay / iFood</t>
        </is>
      </c>
      <c r="BM95" s="75" t="inlineStr">
        <is>
          <t>cedente</t>
        </is>
      </c>
      <c r="BN95" s="75" t="inlineStr">
        <is>
          <t>N/D</t>
        </is>
      </c>
      <c r="BO95" s="75" t="inlineStr">
        <is>
          <t>a Subcredenciadora</t>
        </is>
      </c>
      <c r="BP95" s="75" t="inlineStr">
        <is>
          <t>pessoas físicas ou jurídicas que possuam uma Conta Digital do Devedor CCB e que emitam uma CCB em favor da Instituição Financeira Parceira, conforme aplicável, com o objetivo de realizar uma operação de crédito</t>
        </is>
      </c>
      <c r="BQ95" s="75" t="inlineStr">
        <is>
          <t>os Direitos Creditórios CCB e os Direitos Creditórios Credenciadoras, quando referidos em conjunto ou indistintamente</t>
        </is>
      </c>
      <c r="BR95" s="75" t="inlineStr">
        <is>
          <t>cedente: https://fnet.bmfbovespa.com.br/fnet/publico/downloadDocumento?id=1073756 | sacado_devedor: https://fnet.bmfbovespa.com.br/fnet/publico/downloadDocumento?id=1073756 | tipo_recebivel: https://fnet.bmfbovespa.com.br/fnet/publico/downloadDocumento?id=1073756</t>
        </is>
      </c>
      <c r="BS95" s="75" t="inlineStr">
        <is>
          <t>manual_aplicado</t>
        </is>
      </c>
      <c r="BT95" s="75" t="inlineStr">
        <is>
          <t>N/D</t>
        </is>
      </c>
      <c r="BU95" s="75" t="inlineStr">
        <is>
          <t>1240846</t>
        </is>
      </c>
      <c r="BV95" s="75" t="inlineStr">
        <is>
          <t>2026-07-03</t>
        </is>
      </c>
      <c r="BW95" s="75" t="inlineStr">
        <is>
          <t>114</t>
        </is>
      </c>
      <c r="BX95" s="75" t="inlineStr">
        <is>
          <t>revisto — mínimo júnior localizado</t>
        </is>
      </c>
      <c r="BY95" s="75" t="inlineStr">
        <is>
          <t>FundosNet/B3; documento 1240846; referência 2026-07-03; p. 114</t>
        </is>
      </c>
      <c r="BZ95" s="75" t="inlineStr">
        <is>
          <t>Índice de Subordinação Mezanino: cotas júnior / PL, mínimo de 15,0%.</t>
        </is>
      </c>
      <c r="CA95" s="75" t="inlineStr">
        <is>
          <t>originador</t>
        </is>
      </c>
      <c r="CB95" s="75" t="inlineStr">
        <is>
          <t>estrutura_incomparavel</t>
        </is>
      </c>
    </row>
    <row r="96" ht="31.5" customHeight="1">
      <c r="A96" s="74" t="n">
        <v>94</v>
      </c>
      <c r="B96" s="138" t="n">
        <v>30035329000159</v>
      </c>
      <c r="C96" s="74" t="inlineStr">
        <is>
          <t>30.035.329/0001-59</t>
        </is>
      </c>
      <c r="D96" s="74" t="inlineStr">
        <is>
          <t>VIA INVEST II FUNDO DE INVESTIMENTO EM DIREITOS CREDITÓRIOS RESPONSABILIDADE LIMITADA</t>
        </is>
      </c>
      <c r="E96" s="74" t="inlineStr">
        <is>
          <t>VIAINVEST II FIDC MULTISSETORIAL</t>
        </is>
      </c>
      <c r="F96" s="74" t="inlineStr">
        <is>
          <t>Carteira 101</t>
        </is>
      </c>
      <c r="G96" s="74" t="inlineStr">
        <is>
          <t>2026-06</t>
        </is>
      </c>
      <c r="H96" s="74" t="inlineStr">
        <is>
          <t>localizado</t>
        </is>
      </c>
      <c r="I96" s="139" t="n">
        <v>202884356.35</v>
      </c>
      <c r="J96" s="139" t="n">
        <v>199464232.4041373</v>
      </c>
      <c r="K96" s="139" t="n">
        <v>94585360.6541986</v>
      </c>
      <c r="L96" s="140" t="inlineStr">
        <is>
          <t>N/D</t>
        </is>
      </c>
      <c r="M96" s="74" t="inlineStr">
        <is>
          <t>N/D</t>
        </is>
      </c>
      <c r="N96" s="140" t="n">
        <v>0.15</v>
      </c>
      <c r="O96" s="140" t="inlineStr">
        <is>
          <t>N/D</t>
        </is>
      </c>
      <c r="P96" s="140" t="inlineStr">
        <is>
          <t>N/D</t>
        </is>
      </c>
      <c r="Q96" s="140" t="inlineStr">
        <is>
          <t>N/D</t>
        </is>
      </c>
      <c r="R96" s="140" t="inlineStr">
        <is>
          <t>N/D</t>
        </is>
      </c>
      <c r="S96" s="140" t="n">
        <v>0.15</v>
      </c>
      <c r="T96" s="74" t="inlineStr">
        <is>
          <t>N/D</t>
        </is>
      </c>
      <c r="U96" s="74" t="inlineStr">
        <is>
          <t>junior_pl</t>
        </is>
      </c>
      <c r="V96" s="74" t="inlineStr">
        <is>
          <t>direto no regulamento</t>
        </is>
      </c>
      <c r="W96" s="74" t="b">
        <v>0</v>
      </c>
      <c r="X96" s="74" t="inlineStr">
        <is>
          <t>Mínimo júnior isolado; a subordinação atual disponível agrega mais de uma classe subordinada ou usa denominador distinto.</t>
        </is>
      </c>
      <c r="Y96" s="74" t="b">
        <v>0</v>
      </c>
      <c r="Z96" s="140" t="inlineStr">
        <is>
          <t>N/D</t>
        </is>
      </c>
      <c r="AA96" s="140" t="inlineStr">
        <is>
          <t>N/D</t>
        </is>
      </c>
      <c r="AB96" s="74" t="inlineStr">
        <is>
          <t>não medido</t>
        </is>
      </c>
      <c r="AC96" s="74" t="inlineStr">
        <is>
          <t>Financeiro</t>
        </is>
      </c>
      <c r="AD96" s="74" t="inlineStr">
        <is>
          <t>Crédito Consignado</t>
        </is>
      </c>
      <c r="AE96" s="74" t="inlineStr">
        <is>
          <t>Financeiro</t>
        </is>
      </c>
      <c r="AF96" s="74" t="inlineStr">
        <is>
          <t>Financeiro</t>
        </is>
      </c>
      <c r="AG96" s="74" t="inlineStr">
        <is>
          <t>Financeiro</t>
        </is>
      </c>
      <c r="AH96" s="74" t="inlineStr">
        <is>
          <t>Consignado INSS e FGTS</t>
        </is>
      </c>
      <c r="AI96" s="74" t="inlineStr">
        <is>
          <t>Antecipação do saque-aniversário FGTS, CCBs</t>
        </is>
      </c>
      <c r="AJ96" s="74" t="b">
        <v>1</v>
      </c>
      <c r="AK96" s="74" t="inlineStr">
        <is>
          <t>APLICAR_ALTA</t>
        </is>
      </c>
      <c r="AL96" s="74" t="inlineStr">
        <is>
          <t>Devedores são titulares de FGTS e emitem CCB</t>
        </is>
      </c>
      <c r="AM96" s="74" t="inlineStr">
        <is>
          <t>regulamento + auditoria documental</t>
        </is>
      </c>
      <c r="AN96" s="74" t="inlineStr">
        <is>
          <t>Não</t>
        </is>
      </c>
      <c r="AO96" s="74" t="inlineStr">
        <is>
          <t>regulamento + auditoria documental</t>
        </is>
      </c>
      <c r="AP96" s="74" t="b">
        <v>0</v>
      </c>
      <c r="AQ96" s="74" t="inlineStr">
        <is>
          <t>Consignado INSS e FGTS</t>
        </is>
      </c>
      <c r="AR96" s="74" t="inlineStr">
        <is>
          <t>Financeiro</t>
        </is>
      </c>
      <c r="AS96" s="74" t="b">
        <v>1</v>
      </c>
      <c r="AT96" s="74" t="inlineStr">
        <is>
          <t>regulamento + auditoria documental</t>
        </is>
      </c>
      <c r="AU96" s="74" t="inlineStr">
        <is>
          <t>Devedores são titulares de FGTS e emitem CCB</t>
        </is>
      </c>
      <c r="AV96" s="74" t="inlineStr">
        <is>
          <t>N/D</t>
        </is>
      </c>
      <c r="AW96" s="74" t="b">
        <v>0</v>
      </c>
      <c r="AX96" s="74" t="inlineStr">
        <is>
          <t>N/D</t>
        </is>
      </c>
      <c r="AY96" s="74" t="inlineStr">
        <is>
          <t>sem benchmark confiável</t>
        </is>
      </c>
      <c r="AZ96" s="140" t="inlineStr">
        <is>
          <t>N/D</t>
        </is>
      </c>
      <c r="BA96" s="74" t="b">
        <v>1</v>
      </c>
      <c r="BB96" s="141" t="n">
        <v>12</v>
      </c>
      <c r="BC96" s="139" t="n">
        <v>1000</v>
      </c>
      <c r="BD96" s="74" t="inlineStr">
        <is>
          <t>Cotas Seniores: R$ 1.000,00</t>
        </is>
      </c>
      <c r="BE96" s="74" t="inlineStr">
        <is>
          <t>valor nominal unitário (VNU)</t>
        </is>
      </c>
      <c r="BF96" s="74" t="inlineStr">
        <is>
          <t>Cotas Seniores</t>
        </is>
      </c>
      <c r="BG96" s="74" t="inlineStr">
        <is>
          <t>30/09/2025</t>
        </is>
      </c>
      <c r="BH96" s="74" t="inlineStr">
        <is>
          <t>1003989</t>
        </is>
      </c>
      <c r="BI96" s="74" t="inlineStr">
        <is>
          <t>https://fnet.bmfbovespa.com.br/fnet/publico/downloadDocumento?id=1003989</t>
        </is>
      </c>
      <c r="BJ96" s="74" t="inlineStr">
        <is>
          <t>localizado documentalmente</t>
        </is>
      </c>
      <c r="BK96" s="74" t="b">
        <v>0</v>
      </c>
      <c r="BL96" s="74" t="inlineStr">
        <is>
          <t>BMP (Bancarizador)</t>
        </is>
      </c>
      <c r="BM96" s="74" t="inlineStr">
        <is>
          <t>cedente</t>
        </is>
      </c>
      <c r="BN96" s="74" t="inlineStr">
        <is>
          <t>N/D</t>
        </is>
      </c>
      <c r="BO96" s="74" t="inlineStr">
        <is>
          <t>BMP (Bancarizador)</t>
        </is>
      </c>
      <c r="BP96"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6" s="74" t="inlineStr">
        <is>
          <t>N/D</t>
        </is>
      </c>
      <c r="BR96" s="74" t="inlineStr">
        <is>
          <t>cedente: IMG_8707.jpg | sacado_devedor: https://fnet.bmfbovespa.com.br/fnet/publico/downloadDocumento?id=998769</t>
        </is>
      </c>
      <c r="BS96" s="74" t="inlineStr">
        <is>
          <t>manual_aplicado</t>
        </is>
      </c>
      <c r="BT96" s="74" t="inlineStr">
        <is>
          <t>OBS parcialmente legível: Via Invest (Gestorada grupo faz co-gestão). Denominação cortada.</t>
        </is>
      </c>
      <c r="BU96" s="74" t="inlineStr">
        <is>
          <t>998769</t>
        </is>
      </c>
      <c r="BV96" s="74" t="inlineStr">
        <is>
          <t>2025-09-22</t>
        </is>
      </c>
      <c r="BW96" s="74" t="inlineStr">
        <is>
          <t>44; 64</t>
        </is>
      </c>
      <c r="BX96" s="74" t="inlineStr">
        <is>
          <t>revisto — mínimo júnior localizado</t>
        </is>
      </c>
      <c r="BY96" s="74" t="inlineStr">
        <is>
          <t>FundosNet/B3; documento 998769; referência 2025-09-22; p. 44; 64</t>
        </is>
      </c>
      <c r="BZ96" s="74" t="inlineStr">
        <is>
          <t>Índice mantido pelas cotas júnior / PL, mínimo de 15,0%; há classe mezanino.</t>
        </is>
      </c>
      <c r="CA96" s="74" t="inlineStr">
        <is>
          <t>Sub/PL atual; originador; tipo de recebível</t>
        </is>
      </c>
      <c r="CB96" s="74" t="inlineStr">
        <is>
          <t>sub_pl_atual_ausente</t>
        </is>
      </c>
    </row>
    <row r="97" ht="31.5" customHeight="1">
      <c r="A97" s="75" t="n">
        <v>95</v>
      </c>
      <c r="B97" s="142" t="n">
        <v>63657457000193</v>
      </c>
      <c r="C97" s="75" t="inlineStr">
        <is>
          <t>63.657.457/0001-93</t>
        </is>
      </c>
      <c r="D97" s="75" t="inlineStr">
        <is>
          <t>MSV3 FUNDO DE INVESTIMENTO EM DIREITOS CREDITÓRIOS RECEBÍVEIS COMERCIAIS RESPONSABILIDADE LIMITADA</t>
        </is>
      </c>
      <c r="E97" s="75" t="inlineStr">
        <is>
          <t>MSV3 FUNDO DE INVESTIMENTO EM DIREITOS CREDITORIOS RECEBIVEIS COMERCIAIS</t>
        </is>
      </c>
      <c r="F97" s="75" t="inlineStr">
        <is>
          <t>Carteira 101</t>
        </is>
      </c>
      <c r="G97" s="75" t="inlineStr">
        <is>
          <t>2026-06</t>
        </is>
      </c>
      <c r="H97" s="75" t="inlineStr">
        <is>
          <t>localizado</t>
        </is>
      </c>
      <c r="I97" s="143" t="n">
        <v>311503782.69</v>
      </c>
      <c r="J97" s="143" t="n">
        <v>311503782.6895735</v>
      </c>
      <c r="K97" s="143" t="n">
        <v>113127865.2589735</v>
      </c>
      <c r="L97" s="144" t="n">
        <v>0.3631669069378692</v>
      </c>
      <c r="M97" s="75" t="inlineStr">
        <is>
          <t>Calculado com classes reportadas e PL oficial reconciliado</t>
        </is>
      </c>
      <c r="N97" s="144" t="n">
        <v>0.25</v>
      </c>
      <c r="O97" s="144" t="inlineStr">
        <is>
          <t>N/D</t>
        </is>
      </c>
      <c r="P97" s="144" t="inlineStr">
        <is>
          <t>N/D</t>
        </is>
      </c>
      <c r="Q97" s="144" t="inlineStr">
        <is>
          <t>N/D</t>
        </is>
      </c>
      <c r="R97" s="144" t="inlineStr">
        <is>
          <t>N/D</t>
        </is>
      </c>
      <c r="S97" s="144" t="n">
        <v>0.25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Agro, Indústria e Comércio</t>
        </is>
      </c>
      <c r="AD97" s="75" t="inlineStr">
        <is>
          <t>Recebíveis Comerciais</t>
        </is>
      </c>
      <c r="AE97" s="75" t="inlineStr">
        <is>
          <t>Agro / Revenda</t>
        </is>
      </c>
      <c r="AF97" s="75" t="inlineStr">
        <is>
          <t>Agro / Revenda</t>
        </is>
      </c>
      <c r="AG97" s="75" t="inlineStr">
        <is>
          <t>Agro / Revenda</t>
        </is>
      </c>
      <c r="AH97" s="75" t="inlineStr">
        <is>
          <t>Risco Corporativo</t>
        </is>
      </c>
      <c r="AI97" s="75" t="inlineStr">
        <is>
          <t>Recebíveis comerciais de serviços/indústria</t>
        </is>
      </c>
      <c r="AJ97" s="75" t="b">
        <v>1</v>
      </c>
      <c r="AK97" s="75" t="inlineStr">
        <is>
          <t>APLICAR_ALTA</t>
        </is>
      </c>
      <c r="AL97" s="75" t="inlineStr">
        <is>
          <t>Originadores ligados à Manserv e carteira comercial</t>
        </is>
      </c>
      <c r="AM97" s="75" t="inlineStr">
        <is>
          <t>rating 1118693</t>
        </is>
      </c>
      <c r="AN97" s="75" t="inlineStr">
        <is>
          <t>Candidato</t>
        </is>
      </c>
      <c r="AO97" s="75" t="inlineStr">
        <is>
          <t>rating 1118693</t>
        </is>
      </c>
      <c r="AP97" s="75" t="inlineStr">
        <is>
          <t>N/D</t>
        </is>
      </c>
      <c r="AQ97" s="75" t="inlineStr">
        <is>
          <t>Risco Corporativo</t>
        </is>
      </c>
      <c r="AR97" s="75" t="inlineStr">
        <is>
          <t>Agro / Revenda</t>
        </is>
      </c>
      <c r="AS97" s="75" t="b">
        <v>1</v>
      </c>
      <c r="AT97" s="75" t="inlineStr">
        <is>
          <t>rating 1118693</t>
        </is>
      </c>
      <c r="AU97" s="75" t="inlineStr">
        <is>
          <t>Originadores ligados à Manserv e carteira comercial</t>
        </is>
      </c>
      <c r="AV97" s="75" t="inlineStr">
        <is>
          <t>35%–60%</t>
        </is>
      </c>
      <c r="AW97" s="75" t="b">
        <v>1</v>
      </c>
      <c r="AX97" s="75" t="inlineStr">
        <is>
          <t>incomparável</t>
        </is>
      </c>
      <c r="AY97" s="75" t="inlineStr">
        <is>
          <t>sem benchmark confiável</t>
        </is>
      </c>
      <c r="AZ97" s="144" t="inlineStr">
        <is>
          <t>N/D</t>
        </is>
      </c>
      <c r="BA97" s="75" t="b">
        <v>0</v>
      </c>
      <c r="BB97" s="145" t="n">
        <v>0</v>
      </c>
      <c r="BC97" s="143" t="n">
        <v>1000</v>
      </c>
      <c r="BD97" s="75" t="inlineStr">
        <is>
          <t>R$ 1.000,00</t>
        </is>
      </c>
      <c r="BE97" s="75" t="inlineStr">
        <is>
          <t>preço/valor unitário de emissão</t>
        </is>
      </c>
      <c r="BF97" s="75" t="inlineStr">
        <is>
          <t>N/D</t>
        </is>
      </c>
      <c r="BG97" s="75" t="inlineStr">
        <is>
          <t>27/05/2026</t>
        </is>
      </c>
      <c r="BH97" s="75" t="inlineStr">
        <is>
          <t>1205333</t>
        </is>
      </c>
      <c r="BI97" s="75" t="inlineStr">
        <is>
          <t>https://fnet.bmfbovespa.com.br/fnet/publico/downloadDocumento?id=1205333</t>
        </is>
      </c>
      <c r="BJ97" s="75" t="inlineStr">
        <is>
          <t>localizado documentalmente</t>
        </is>
      </c>
      <c r="BK97" s="75" t="b">
        <v>1</v>
      </c>
      <c r="BL97" s="75" t="inlineStr">
        <is>
          <t>N/D</t>
        </is>
      </c>
      <c r="BM97" s="75" t="inlineStr">
        <is>
          <t>N/D</t>
        </is>
      </c>
      <c r="BN97" s="75" t="inlineStr">
        <is>
          <t>N/D</t>
        </is>
      </c>
      <c r="BO97" s="75" t="inlineStr">
        <is>
          <t>Originadores</t>
        </is>
      </c>
      <c r="BP97" s="75" t="inlineStr">
        <is>
          <t>não tenham relação com qualquer comercialização de tabaco ou qualquer espécie de fumo ou com distribuição de combustíveis (exceto, nesse último caso, se forem companhias abertas), conforme informado pela respectiva</t>
        </is>
      </c>
      <c r="BQ97" s="75" t="inlineStr">
        <is>
          <t>N/D</t>
        </is>
      </c>
      <c r="BR97" s="75" t="inlineStr">
        <is>
          <t>cedente: https://fnet.bmfbovespa.com.br/fnet/publico/downloadDocumento?id=1118693 | sacado_devedor: https://fnet.bmfbovespa.com.br/fnet/publico/downloadDocumento?id=1118693</t>
        </is>
      </c>
      <c r="BS97" s="75" t="inlineStr">
        <is>
          <t>sem_overlay</t>
        </is>
      </c>
      <c r="BT97" s="75" t="inlineStr">
        <is>
          <t>N/D</t>
        </is>
      </c>
      <c r="BU97" s="75" t="inlineStr">
        <is>
          <t>1205333</t>
        </is>
      </c>
      <c r="BV97" s="75" t="inlineStr">
        <is>
          <t>2026-05-27</t>
        </is>
      </c>
      <c r="BW97" s="75" t="inlineStr">
        <is>
          <t>28</t>
        </is>
      </c>
      <c r="BX97" s="75" t="inlineStr">
        <is>
          <t>revisto — mínimo júnior localizado</t>
        </is>
      </c>
      <c r="BY97" s="75" t="inlineStr">
        <is>
          <t>FundosNet/B3; documento 1205333; referência 2026-05-27; p. 28</t>
        </is>
      </c>
      <c r="BZ97" s="75" t="inlineStr">
        <is>
          <t>Cotas subordinadas júnior / PL, mínimo de 25,0%.</t>
        </is>
      </c>
      <c r="CA97" s="75" t="inlineStr">
        <is>
          <t>originador; tipo de recebível</t>
        </is>
      </c>
      <c r="CB97" s="75" t="inlineStr">
        <is>
          <t>estrutura_incomparavel</t>
        </is>
      </c>
    </row>
    <row r="98" ht="31.5" customHeight="1">
      <c r="A98" s="74" t="n">
        <v>96</v>
      </c>
      <c r="B98" s="138" t="n">
        <v>63066147000102</v>
      </c>
      <c r="C98" s="74" t="inlineStr">
        <is>
          <t>63.066.147/0001-02</t>
        </is>
      </c>
      <c r="D98" s="74" t="inlineStr">
        <is>
          <t>FUNDO DE INVESTIMENTO EM DIREITOS CREDITÓRIOS INCLUSÃO CREDIÁRIA RESPONSABILIDADE LIMITADA</t>
        </is>
      </c>
      <c r="E98" s="74" t="inlineStr">
        <is>
          <t>FUNDO DE INVESTIMENTO EM DIREITOS</t>
        </is>
      </c>
      <c r="F98" s="74" t="inlineStr">
        <is>
          <t>Carteira 101</t>
        </is>
      </c>
      <c r="G98" s="74" t="inlineStr">
        <is>
          <t>2026-06</t>
        </is>
      </c>
      <c r="H98" s="74" t="inlineStr">
        <is>
          <t>localizado</t>
        </is>
      </c>
      <c r="I98" s="139" t="n">
        <v>156443253.15</v>
      </c>
      <c r="J98" s="139" t="n">
        <v>156443271.1184409</v>
      </c>
      <c r="K98" s="139" t="n">
        <v>81292572.48349294</v>
      </c>
      <c r="L98" s="140" t="n">
        <v>0.519629775312512</v>
      </c>
      <c r="M98" s="74" t="inlineStr">
        <is>
          <t>Calculado com classes reportadas e PL oficial reconciliado</t>
        </is>
      </c>
      <c r="N98" s="140" t="n">
        <v>0.125</v>
      </c>
      <c r="O98" s="140" t="inlineStr">
        <is>
          <t>N/D</t>
        </is>
      </c>
      <c r="P98" s="140" t="inlineStr">
        <is>
          <t>N/D</t>
        </is>
      </c>
      <c r="Q98" s="140" t="inlineStr">
        <is>
          <t>N/D</t>
        </is>
      </c>
      <c r="R98" s="140" t="inlineStr">
        <is>
          <t>N/D</t>
        </is>
      </c>
      <c r="S98" s="140" t="n">
        <v>0.125</v>
      </c>
      <c r="T98" s="74" t="inlineStr">
        <is>
          <t>N/D</t>
        </is>
      </c>
      <c r="U98" s="74" t="inlineStr">
        <is>
          <t>junior_pl</t>
        </is>
      </c>
      <c r="V98" s="74" t="inlineStr">
        <is>
          <t>direto no regulamento</t>
        </is>
      </c>
      <c r="W98" s="74" t="b">
        <v>0</v>
      </c>
      <c r="X98" s="74" t="inlineStr">
        <is>
          <t>Mínimo júnior isolado; a subordinação atual disponível agrega todas as classes subordinadas.</t>
        </is>
      </c>
      <c r="Y98" s="74" t="b">
        <v>0</v>
      </c>
      <c r="Z98" s="140" t="inlineStr">
        <is>
          <t>N/D</t>
        </is>
      </c>
      <c r="AA98" s="140" t="inlineStr">
        <is>
          <t>N/D</t>
        </is>
      </c>
      <c r="AB98" s="74" t="inlineStr">
        <is>
          <t>não medido</t>
        </is>
      </c>
      <c r="AC98" s="74" t="inlineStr">
        <is>
          <t>Financeiro</t>
        </is>
      </c>
      <c r="AD98" s="74" t="inlineStr">
        <is>
          <t>Multicarteira Financeiro</t>
        </is>
      </c>
      <c r="AE98" s="74" t="inlineStr">
        <is>
          <t>Financeiro</t>
        </is>
      </c>
      <c r="AF98" s="74" t="inlineStr">
        <is>
          <t>Financeiro</t>
        </is>
      </c>
      <c r="AG98" s="74" t="inlineStr">
        <is>
          <t>Financeiro</t>
        </is>
      </c>
      <c r="AH98" s="74" t="inlineStr">
        <is>
          <t>Financeiro</t>
        </is>
      </c>
      <c r="AI98" s="74" t="inlineStr">
        <is>
          <t>Crédito Supersim, CCBs</t>
        </is>
      </c>
      <c r="AJ98" s="74" t="b">
        <v>0</v>
      </c>
      <c r="AK98" s="74" t="inlineStr">
        <is>
          <t>MANTER_ALTA</t>
        </is>
      </c>
      <c r="AL98" s="74" t="inlineStr">
        <is>
          <t>Direitos são CCBs de operações de crédito</t>
        </is>
      </c>
      <c r="AM98" s="74" t="inlineStr">
        <is>
          <t>regulamento 1085943</t>
        </is>
      </c>
      <c r="AN98" s="74" t="inlineStr">
        <is>
          <t>Não</t>
        </is>
      </c>
      <c r="AO98" s="74" t="inlineStr">
        <is>
          <t>regulamento 1085943</t>
        </is>
      </c>
      <c r="AP98" s="74" t="b">
        <v>0</v>
      </c>
      <c r="AQ98" s="74" t="inlineStr">
        <is>
          <t>Financeiro</t>
        </is>
      </c>
      <c r="AR98" s="74" t="inlineStr">
        <is>
          <t>Financeiro</t>
        </is>
      </c>
      <c r="AS98" s="74" t="b">
        <v>0</v>
      </c>
      <c r="AT98" s="74" t="inlineStr">
        <is>
          <t>N/D</t>
        </is>
      </c>
      <c r="AU98" s="74" t="inlineStr">
        <is>
          <t>N/D</t>
        </is>
      </c>
      <c r="AV98" s="74" t="inlineStr">
        <is>
          <t>35%–60%</t>
        </is>
      </c>
      <c r="AW98" s="74" t="b">
        <v>1</v>
      </c>
      <c r="AX98" s="74" t="inlineStr">
        <is>
          <t>incomparável</t>
        </is>
      </c>
      <c r="AY98" s="74" t="inlineStr">
        <is>
          <t>acima do mercado</t>
        </is>
      </c>
      <c r="AZ98" s="140" t="n">
        <v>0.2181702150312609</v>
      </c>
      <c r="BA98" s="74" t="b">
        <v>1</v>
      </c>
      <c r="BB98" s="141" t="n">
        <v>12</v>
      </c>
      <c r="BC98" s="139" t="n">
        <v>1000</v>
      </c>
      <c r="BD98" s="74" t="inlineStr">
        <is>
          <t>R$ 1.000,00</t>
        </is>
      </c>
      <c r="BE98" s="74" t="inlineStr">
        <is>
          <t>valor nominal unitário (VNU)</t>
        </is>
      </c>
      <c r="BF98" s="74" t="inlineStr">
        <is>
          <t>N/D</t>
        </is>
      </c>
      <c r="BG98" s="74" t="inlineStr">
        <is>
          <t>2026-01-15</t>
        </is>
      </c>
      <c r="BH98" s="74" t="inlineStr">
        <is>
          <t>1085943</t>
        </is>
      </c>
      <c r="BI98" s="74" t="inlineStr">
        <is>
          <t>https://fnet.bmfbovespa.com.br/fnet/publico/downloadDocumento?id=1085943</t>
        </is>
      </c>
      <c r="BJ98" s="74" t="inlineStr">
        <is>
          <t>localizado documentalmente</t>
        </is>
      </c>
      <c r="BK98" s="74" t="b">
        <v>1</v>
      </c>
      <c r="BL98" s="74" t="inlineStr">
        <is>
          <t>Supersim</t>
        </is>
      </c>
      <c r="BM98" s="74" t="inlineStr">
        <is>
          <t>cedente</t>
        </is>
      </c>
      <c r="BN98" s="74" t="inlineStr">
        <is>
          <t>N/D</t>
        </is>
      </c>
      <c r="BO98" s="74" t="inlineStr">
        <is>
          <t>Supersim</t>
        </is>
      </c>
      <c r="BP98" s="74" t="inlineStr">
        <is>
          <t>N/D</t>
        </is>
      </c>
      <c r="BQ98" s="74" t="inlineStr">
        <is>
          <t>todos os direitos de crédito vincendos adquiridos ou a serem adquiridos pela Classe Única, representados por CCBs decorrentes da concessão de Crédito Docusign Envelope ID: 9DE35450-3BDE-4638-A712-3F4C7F8F1EF5</t>
        </is>
      </c>
      <c r="BR98" s="74" t="inlineStr">
        <is>
          <t>cedente: IMG_8707.jpg | tipo_recebivel: https://fnet.bmfbovespa.com.br/fnet/publico/downloadDocumento?id=1085943</t>
        </is>
      </c>
      <c r="BS98" s="74" t="inlineStr">
        <is>
          <t>manual_aplicado</t>
        </is>
      </c>
      <c r="BT98" s="74" t="inlineStr">
        <is>
          <t>Denominação cortada pela largura da coluna na foto.</t>
        </is>
      </c>
      <c r="BU98" s="74" t="inlineStr">
        <is>
          <t>1085946</t>
        </is>
      </c>
      <c r="BV98" s="74" t="inlineStr">
        <is>
          <t>2026-01-15</t>
        </is>
      </c>
      <c r="BW98" s="74" t="inlineStr">
        <is>
          <t>12</t>
        </is>
      </c>
      <c r="BX98" s="74" t="inlineStr">
        <is>
          <t>revisto — mínimo júnior localizado</t>
        </is>
      </c>
      <c r="BY98" s="74" t="inlineStr">
        <is>
          <t>FundosNet/B3; documento 1085946; referência 2026-01-15; p. 12</t>
        </is>
      </c>
      <c r="BZ98" s="74" t="inlineStr">
        <is>
          <t>Cotas júnior / PL, mínimo de 12,5%; 17,5% enquanto houver rebaixamento contratualmente definido.</t>
        </is>
      </c>
      <c r="CA98" s="74" t="inlineStr">
        <is>
          <t>originador; sacado/devedor</t>
        </is>
      </c>
      <c r="CB98" s="74" t="inlineStr">
        <is>
          <t>estrutura_incomparavel</t>
        </is>
      </c>
    </row>
    <row r="99" ht="31.5" customHeight="1">
      <c r="A99" s="75" t="n">
        <v>97</v>
      </c>
      <c r="B99" s="142" t="n">
        <v>65836995000170</v>
      </c>
      <c r="C99" s="75" t="inlineStr">
        <is>
          <t>65.836.995/0001-70</t>
        </is>
      </c>
      <c r="D99" s="75" t="inlineStr">
        <is>
          <t>PNEUCASH II FUNDO DE INVESTIMENTO EM DIREITOS CREDITÓRIOS DE CLASSE ÚNICA FECHADA RESP LIMITADA</t>
        </is>
      </c>
      <c r="E99" s="75" t="inlineStr">
        <is>
          <t>DAYCOVAL 0410 FUNDO DE INV EM DIREITOS CREDITORIOS</t>
        </is>
      </c>
      <c r="F99" s="75" t="inlineStr">
        <is>
          <t>Carteira 101</t>
        </is>
      </c>
      <c r="G99" s="75" t="inlineStr">
        <is>
          <t>2026-06</t>
        </is>
      </c>
      <c r="H99" s="75" t="inlineStr">
        <is>
          <t>localizado</t>
        </is>
      </c>
      <c r="I99" s="143" t="n">
        <v>154321628.99</v>
      </c>
      <c r="J99" s="143" t="n">
        <v>153129896.940435</v>
      </c>
      <c r="K99" s="143" t="n">
        <v>30662317.480035</v>
      </c>
      <c r="L99" s="144" t="inlineStr">
        <is>
          <t>N/D</t>
        </is>
      </c>
      <c r="M99" s="75" t="inlineStr">
        <is>
          <t>N/D</t>
        </is>
      </c>
      <c r="N99" s="144" t="inlineStr">
        <is>
          <t>N/D</t>
        </is>
      </c>
      <c r="O99" s="144" t="inlineStr">
        <is>
          <t>N/D</t>
        </is>
      </c>
      <c r="P99" s="144" t="inlineStr">
        <is>
          <t>N/D</t>
        </is>
      </c>
      <c r="Q99" s="144" t="n">
        <v>0.2</v>
      </c>
      <c r="R99" s="144" t="inlineStr">
        <is>
          <t>N/D</t>
        </is>
      </c>
      <c r="S99" s="144" t="n">
        <v>0.2</v>
      </c>
      <c r="T99" s="75" t="inlineStr">
        <is>
          <t>20,0%*</t>
        </is>
      </c>
      <c r="U99" s="75" t="inlineStr">
        <is>
          <t>suporte_total_pl</t>
        </is>
      </c>
      <c r="V99" s="75" t="inlineStr">
        <is>
          <t>direto no regulamento</t>
        </is>
      </c>
      <c r="W99" s="75" t="b">
        <v>1</v>
      </c>
      <c r="X99" s="75" t="inlineStr">
        <is>
          <t>Suporte total ou combinado; não representa mínimo júnior isolado.</t>
        </is>
      </c>
      <c r="Y99" s="75" t="b">
        <v>1</v>
      </c>
      <c r="Z99" s="144" t="inlineStr">
        <is>
          <t>N/D</t>
        </is>
      </c>
      <c r="AA99" s="144" t="inlineStr">
        <is>
          <t>N/D</t>
        </is>
      </c>
      <c r="AB99" s="75" t="inlineStr">
        <is>
          <t>não medido</t>
        </is>
      </c>
      <c r="AC99" s="75" t="inlineStr">
        <is>
          <t>Financeiro</t>
        </is>
      </c>
      <c r="AD99" s="75" t="inlineStr">
        <is>
          <t>Multicarteira Financeiro</t>
        </is>
      </c>
      <c r="AE99" s="75" t="inlineStr">
        <is>
          <t>Financeiro</t>
        </is>
      </c>
      <c r="AF99" s="75" t="inlineStr">
        <is>
          <t>Financeiro</t>
        </is>
      </c>
      <c r="AG99" s="75" t="inlineStr">
        <is>
          <t>Financeiro</t>
        </is>
      </c>
      <c r="AH99" s="75" t="inlineStr">
        <is>
          <t>Risco Corporativo</t>
        </is>
      </c>
      <c r="AI99" s="75" t="inlineStr">
        <is>
          <t>Recebíveis comerciais de produtos Cantu Store</t>
        </is>
      </c>
      <c r="AJ99" s="75" t="b">
        <v>1</v>
      </c>
      <c r="AK99" s="75" t="inlineStr">
        <is>
          <t>APLICAR_ALTA</t>
        </is>
      </c>
      <c r="AL99" s="75" t="inlineStr">
        <is>
          <t>Vendas locais a prazo para PF/PJ</t>
        </is>
      </c>
      <c r="AM99" s="75" t="inlineStr">
        <is>
          <t>regulamento 1184844</t>
        </is>
      </c>
      <c r="AN99" s="75" t="inlineStr">
        <is>
          <t>Candidato</t>
        </is>
      </c>
      <c r="AO99" s="75" t="inlineStr">
        <is>
          <t>regulamento 1184844</t>
        </is>
      </c>
      <c r="AP99" s="75" t="inlineStr">
        <is>
          <t>N/D</t>
        </is>
      </c>
      <c r="AQ99" s="75" t="inlineStr">
        <is>
          <t>Risco Corporativo</t>
        </is>
      </c>
      <c r="AR99" s="75" t="inlineStr">
        <is>
          <t>Financeiro</t>
        </is>
      </c>
      <c r="AS99" s="75" t="b">
        <v>1</v>
      </c>
      <c r="AT99" s="75" t="inlineStr">
        <is>
          <t>regulamento 1184844</t>
        </is>
      </c>
      <c r="AU99" s="75" t="inlineStr">
        <is>
          <t>Vendas locais a prazo para PF/PJ</t>
        </is>
      </c>
      <c r="AV99" s="75" t="inlineStr">
        <is>
          <t>N/D</t>
        </is>
      </c>
      <c r="AW99" s="75" t="b">
        <v>0</v>
      </c>
      <c r="AX99" s="75" t="inlineStr">
        <is>
          <t>N/D</t>
        </is>
      </c>
      <c r="AY99" s="75" t="inlineStr">
        <is>
          <t>sem benchmark confiável</t>
        </is>
      </c>
      <c r="AZ99" s="144" t="inlineStr">
        <is>
          <t>N/D</t>
        </is>
      </c>
      <c r="BA99" s="75" t="b">
        <v>1</v>
      </c>
      <c r="BB99" s="145" t="n">
        <v>12</v>
      </c>
      <c r="BC99" s="143" t="n">
        <v>1000</v>
      </c>
      <c r="BD99" s="75" t="inlineStr">
        <is>
          <t>Cotas Subordinadas Junior: R$ 1.000,00 | Cotas Subordinadas Mezanino: R$ 1.000,00 | Série de Cotas Seniores: R$ 1.000,00</t>
        </is>
      </c>
      <c r="BE99" s="75" t="inlineStr">
        <is>
          <t>preço/valor unitário de emissão</t>
        </is>
      </c>
      <c r="BF99" s="75" t="inlineStr">
        <is>
          <t>Cotas Subordinadas Junior | Cotas Subordinadas Mezanino | Série de Cotas Seniores</t>
        </is>
      </c>
      <c r="BG99" s="75" t="inlineStr">
        <is>
          <t>2026-05-11</t>
        </is>
      </c>
      <c r="BH99" s="75" t="inlineStr">
        <is>
          <t>1188501</t>
        </is>
      </c>
      <c r="BI99" s="75" t="inlineStr">
        <is>
          <t>https://fnet.bmfbovespa.com.br/fnet/publico/downloadDocumento?id=1188501</t>
        </is>
      </c>
      <c r="BJ99" s="75" t="inlineStr">
        <is>
          <t>localizado documentalmente — múltiplos valores/classes</t>
        </is>
      </c>
      <c r="BK99" s="75" t="b">
        <v>1</v>
      </c>
      <c r="BL99" s="75" t="inlineStr">
        <is>
          <t>Cantu Store</t>
        </is>
      </c>
      <c r="BM99" s="75" t="inlineStr">
        <is>
          <t>cedente</t>
        </is>
      </c>
      <c r="BN99" s="75" t="inlineStr">
        <is>
          <t>N/D</t>
        </is>
      </c>
      <c r="BO99" s="75" t="inlineStr">
        <is>
          <t>Cantu Store</t>
        </is>
      </c>
      <c r="BP99" s="75" t="inlineStr">
        <is>
          <t>os devedores (sacados), pessoas físicas ou jurídicas, que tenham estabelecido relação de consumo dos Direitos Creditórios com as Cedentes</t>
        </is>
      </c>
      <c r="BQ99"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99" s="75" t="inlineStr">
        <is>
          <t>cedente: IMG_8707.jpg | sacado_devedor: https://fnet.bmfbovespa.com.br/fnet/publico/downloadDocumento?id=1184844 | tipo_recebivel: https://fnet.bmfbovespa.com.br/fnet/publico/downloadDocumento?id=1184844</t>
        </is>
      </c>
      <c r="BS99" s="75" t="inlineStr">
        <is>
          <t>manual_aplicado</t>
        </is>
      </c>
      <c r="BT99" s="75" t="inlineStr">
        <is>
          <t>N/D</t>
        </is>
      </c>
      <c r="BU99" s="75" t="inlineStr">
        <is>
          <t>1184847</t>
        </is>
      </c>
      <c r="BV99" s="75" t="inlineStr">
        <is>
          <t>2026-05-11</t>
        </is>
      </c>
      <c r="BW99" s="75" t="inlineStr">
        <is>
          <t>49–50</t>
        </is>
      </c>
      <c r="BX99" s="75" t="inlineStr">
        <is>
          <t>revisto — suporte estrutural total localizado</t>
        </is>
      </c>
      <c r="BY99" s="75" t="inlineStr">
        <is>
          <t>FundosNet/B3; documento 1184847; referência 2026-05-11; p. 49–50</t>
        </is>
      </c>
      <c r="BZ99" s="75" t="inlineStr">
        <is>
          <t>N/D</t>
        </is>
      </c>
      <c r="CA99" s="75" t="inlineStr">
        <is>
          <t>Sub/PL atual; originador</t>
        </is>
      </c>
      <c r="CB99" s="75" t="inlineStr">
        <is>
          <t>sub_pl_atual_ausente</t>
        </is>
      </c>
    </row>
    <row r="100" ht="31.5" customHeight="1">
      <c r="A100" s="74" t="n">
        <v>98</v>
      </c>
      <c r="B100" s="138" t="n">
        <v>65873297000145</v>
      </c>
      <c r="C100" s="74" t="inlineStr">
        <is>
          <t>65.873.297/0001-45</t>
        </is>
      </c>
      <c r="D100" s="74" t="inlineStr">
        <is>
          <t>ARCELORMITTAL VÉRTICE FUNDO DE INVESTIMENTO EM DIREITOS CREDITÓRIOS COMERCIAIS - RESP LIMITADA</t>
        </is>
      </c>
      <c r="E100" s="74" t="inlineStr">
        <is>
          <t>ARCELORMITTAL VERTICE FUNDO DE INVESTIMENTO EM DIREITOS CRED</t>
        </is>
      </c>
      <c r="F100" s="74" t="inlineStr">
        <is>
          <t>Carteira 101</t>
        </is>
      </c>
      <c r="G100" s="74" t="inlineStr">
        <is>
          <t>2026-06</t>
        </is>
      </c>
      <c r="H100" s="74" t="inlineStr">
        <is>
          <t>localizado</t>
        </is>
      </c>
      <c r="I100" s="139" t="n">
        <v>162575853.76</v>
      </c>
      <c r="J100" s="139" t="n">
        <v>162575853.7551636</v>
      </c>
      <c r="K100" s="139" t="n">
        <v>30287869.38012357</v>
      </c>
      <c r="L100" s="140" t="n">
        <v>0.1862999251096387</v>
      </c>
      <c r="M100" s="74" t="inlineStr">
        <is>
          <t>Calculado com classes reportadas e PL oficial reconciliado</t>
        </is>
      </c>
      <c r="N100" s="140" t="n">
        <v>0.12</v>
      </c>
      <c r="O100" s="140" t="inlineStr">
        <is>
          <t>N/D</t>
        </is>
      </c>
      <c r="P100" s="140" t="inlineStr">
        <is>
          <t>N/D</t>
        </is>
      </c>
      <c r="Q100" s="140" t="n">
        <v>0.12</v>
      </c>
      <c r="R100" s="140" t="inlineStr">
        <is>
          <t>N/D</t>
        </is>
      </c>
      <c r="S100" s="140" t="n">
        <v>0.12</v>
      </c>
      <c r="T100" s="74" t="inlineStr">
        <is>
          <t>12,0%</t>
        </is>
      </c>
      <c r="U100" s="74" t="inlineStr">
        <is>
          <t>junior_pl</t>
        </is>
      </c>
      <c r="V100" s="74" t="inlineStr">
        <is>
          <t>direto no regulamento</t>
        </is>
      </c>
      <c r="W100" s="74" t="b">
        <v>1</v>
      </c>
      <c r="X100" s="74" t="inlineStr">
        <is>
          <t>Estrutura com uma única classe subordinada; métrica atual e piso usam o total subordinado sobre o PL.</t>
        </is>
      </c>
      <c r="Y100" s="74" t="b">
        <v>0</v>
      </c>
      <c r="Z100" s="140" t="n">
        <v>0.06629992510963872</v>
      </c>
      <c r="AA100" s="140" t="n">
        <v>0.07534082398822582</v>
      </c>
      <c r="AB100" s="74" t="inlineStr">
        <is>
          <t>acima do mínimo</t>
        </is>
      </c>
      <c r="AC100" s="74" t="inlineStr">
        <is>
          <t>Agro, Indústria e Comércio</t>
        </is>
      </c>
      <c r="AD100" s="74" t="inlineStr">
        <is>
          <t>Recebíveis Comerciais</t>
        </is>
      </c>
      <c r="AE100" s="74" t="inlineStr">
        <is>
          <t>Agro / Revenda</t>
        </is>
      </c>
      <c r="AF100" s="74" t="inlineStr">
        <is>
          <t>Agro / Revenda</t>
        </is>
      </c>
      <c r="AG100" s="74" t="inlineStr">
        <is>
          <t>Agro / Revenda</t>
        </is>
      </c>
      <c r="AH100" s="74" t="inlineStr">
        <is>
          <t>Risco Corporativo</t>
        </is>
      </c>
      <c r="AI100" s="74" t="inlineStr">
        <is>
          <t>Supplier finance, ArcelorMittal como devedora</t>
        </is>
      </c>
      <c r="AJ100" s="74" t="b">
        <v>1</v>
      </c>
      <c r="AK100" s="74" t="inlineStr">
        <is>
          <t>APLICAR_ALTA</t>
        </is>
      </c>
      <c r="AL100" s="74" t="inlineStr">
        <is>
          <t>Fornecedores cedem notas fiscais devidas pela ArcelorMittal</t>
        </is>
      </c>
      <c r="AM100" s="74" t="inlineStr">
        <is>
          <t>regulamento 1226438</t>
        </is>
      </c>
      <c r="AN100" s="74" t="inlineStr">
        <is>
          <t>Não</t>
        </is>
      </c>
      <c r="AO100" s="74" t="inlineStr">
        <is>
          <t>regulamento 1226438</t>
        </is>
      </c>
      <c r="AP100" s="74" t="b">
        <v>0</v>
      </c>
      <c r="AQ100" s="74" t="inlineStr">
        <is>
          <t>Risco Corporativo</t>
        </is>
      </c>
      <c r="AR100" s="74" t="inlineStr">
        <is>
          <t>Agro / Revenda</t>
        </is>
      </c>
      <c r="AS100" s="74" t="b">
        <v>1</v>
      </c>
      <c r="AT100" s="74" t="inlineStr">
        <is>
          <t>regulamento 1226438</t>
        </is>
      </c>
      <c r="AU100" s="74" t="inlineStr">
        <is>
          <t>Fornecedores cedem notas fiscais devidas pela ArcelorMittal</t>
        </is>
      </c>
      <c r="AV100" s="74" t="inlineStr">
        <is>
          <t>15%–20%</t>
        </is>
      </c>
      <c r="AW100" s="74" t="b">
        <v>1</v>
      </c>
      <c r="AX100" s="74" t="inlineStr">
        <is>
          <t>acima do piso</t>
        </is>
      </c>
      <c r="AY100" s="74" t="inlineStr">
        <is>
          <t>sem benchmark confiável</t>
        </is>
      </c>
      <c r="AZ100" s="140" t="inlineStr">
        <is>
          <t>N/D</t>
        </is>
      </c>
      <c r="BA100" s="74" t="b">
        <v>0</v>
      </c>
      <c r="BB100" s="141" t="n">
        <v>0</v>
      </c>
      <c r="BC100" s="139" t="n">
        <v>1000</v>
      </c>
      <c r="BD100" s="74" t="inlineStr">
        <is>
          <t>Cotas Seniores: R$ 1.000,00 | Cotas Subordinadas: R$ 1.000,00</t>
        </is>
      </c>
      <c r="BE100" s="74" t="inlineStr">
        <is>
          <t>preço/valor unitário de emissão</t>
        </is>
      </c>
      <c r="BF100" s="74" t="inlineStr">
        <is>
          <t>Cotas Seniores | Cotas Subordinadas</t>
        </is>
      </c>
      <c r="BG100" s="74" t="inlineStr">
        <is>
          <t>20/05/2026</t>
        </is>
      </c>
      <c r="BH100" s="74" t="inlineStr">
        <is>
          <t>1226438</t>
        </is>
      </c>
      <c r="BI100" s="74" t="inlineStr">
        <is>
          <t>https://fnet.bmfbovespa.com.br/fnet/publico/downloadDocumento?id=1226438</t>
        </is>
      </c>
      <c r="BJ100" s="74" t="inlineStr">
        <is>
          <t>localizado documentalmente — múltiplos valores/classes</t>
        </is>
      </c>
      <c r="BK100" s="74" t="b">
        <v>1</v>
      </c>
      <c r="BL100" s="74" t="inlineStr">
        <is>
          <t>N/D</t>
        </is>
      </c>
      <c r="BM100" s="74" t="inlineStr">
        <is>
          <t>N/D</t>
        </is>
      </c>
      <c r="BN100" s="74" t="inlineStr">
        <is>
          <t>N/D</t>
        </is>
      </c>
      <c r="BO100" s="74" t="inlineStr">
        <is>
          <t>os Fornecedores que cedem Direitos Creditórios à Classe</t>
        </is>
      </c>
      <c r="BP100" s="74" t="inlineStr">
        <is>
          <t>N/D</t>
        </is>
      </c>
      <c r="BQ100"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0" s="74" t="inlineStr">
        <is>
          <t>cedente: https://fnet.bmfbovespa.com.br/fnet/publico/downloadDocumento?id=1226438 | tipo_recebivel: https://fnet.bmfbovespa.com.br/fnet/publico/downloadDocumento?id=1226438</t>
        </is>
      </c>
      <c r="BS100" s="74" t="inlineStr">
        <is>
          <t>sem_overlay</t>
        </is>
      </c>
      <c r="BT100" s="74" t="inlineStr">
        <is>
          <t>N/D</t>
        </is>
      </c>
      <c r="BU100" s="74" t="inlineStr">
        <is>
          <t>1226438</t>
        </is>
      </c>
      <c r="BV100" s="74" t="inlineStr">
        <is>
          <t>2026-05-20</t>
        </is>
      </c>
      <c r="BW100" s="74" t="inlineStr">
        <is>
          <t>34</t>
        </is>
      </c>
      <c r="BX100" s="74" t="inlineStr">
        <is>
          <t>revisto — mínimo júnior localizado</t>
        </is>
      </c>
      <c r="BY100" s="74" t="inlineStr">
        <is>
          <t>FundosNet/B3; documento 1226438; referência 2026-05-20; p. 34</t>
        </is>
      </c>
      <c r="BZ100" s="74" t="inlineStr">
        <is>
          <t>Cotas subordinadas / PL, mínimo de 12,0%; estrutura com uma única classe residual.</t>
        </is>
      </c>
      <c r="CA100" s="74" t="inlineStr">
        <is>
          <t>originador; sacado/devedor</t>
        </is>
      </c>
      <c r="CB100" s="74" t="inlineStr">
        <is>
          <t>completo_para_folga</t>
        </is>
      </c>
    </row>
    <row r="101" ht="31.5" customHeight="1">
      <c r="A101" s="75" t="n">
        <v>99</v>
      </c>
      <c r="B101" s="142" t="n">
        <v>65347578000164</v>
      </c>
      <c r="C101" s="75" t="inlineStr">
        <is>
          <t>65.347.578/0001-64</t>
        </is>
      </c>
      <c r="D101" s="75" t="inlineStr">
        <is>
          <t>ICRED INSS III FUNDO DE INVESTIMENTO EM DIREITOS CREDITÓRIOS RESPONSABILIDADE LIMITADA</t>
        </is>
      </c>
      <c r="E101" s="75" t="inlineStr">
        <is>
          <t>ICRED INSS III FUNDO DE INVESTIMENTO EM DIREITOS CREDITORIOS RESPONSABILIDADE</t>
        </is>
      </c>
      <c r="F101" s="75" t="inlineStr">
        <is>
          <t>Carteira 101</t>
        </is>
      </c>
      <c r="G101" s="75" t="inlineStr">
        <is>
          <t>2026-06</t>
        </is>
      </c>
      <c r="H101" s="75" t="inlineStr">
        <is>
          <t>localizado</t>
        </is>
      </c>
      <c r="I101" s="143" t="n">
        <v>664757336.15</v>
      </c>
      <c r="J101" s="143" t="n">
        <v>664757336.1491944</v>
      </c>
      <c r="K101" s="143" t="n">
        <v>89859810.10020947</v>
      </c>
      <c r="L101" s="144" t="n">
        <v>0.1351768611094093</v>
      </c>
      <c r="M101" s="75" t="inlineStr">
        <is>
          <t>Calculado com classes reportadas e PL oficial reconciliado</t>
        </is>
      </c>
      <c r="N101" s="144" t="n">
        <v>0.025</v>
      </c>
      <c r="O101" s="144" t="inlineStr">
        <is>
          <t>N/D</t>
        </is>
      </c>
      <c r="P101" s="144" t="inlineStr">
        <is>
          <t>N/D</t>
        </is>
      </c>
      <c r="Q101" s="144" t="inlineStr">
        <is>
          <t>N/D</t>
        </is>
      </c>
      <c r="R101" s="144" t="inlineStr">
        <is>
          <t>N/D</t>
        </is>
      </c>
      <c r="S101" s="144" t="n">
        <v>0.025</v>
      </c>
      <c r="T101" s="75" t="inlineStr">
        <is>
          <t>N/D</t>
        </is>
      </c>
      <c r="U101" s="75" t="inlineStr">
        <is>
          <t>junior_pl</t>
        </is>
      </c>
      <c r="V101" s="75" t="inlineStr">
        <is>
          <t>direto no regulamento</t>
        </is>
      </c>
      <c r="W101" s="75" t="b">
        <v>0</v>
      </c>
      <c r="X101" s="75" t="inlineStr">
        <is>
          <t>Mínimo júnior isolado; a subordinação atual disponível agrega todas as classes subordinadas.</t>
        </is>
      </c>
      <c r="Y101" s="75" t="b">
        <v>0</v>
      </c>
      <c r="Z101" s="144" t="inlineStr">
        <is>
          <t>N/D</t>
        </is>
      </c>
      <c r="AA101" s="144" t="inlineStr">
        <is>
          <t>N/D</t>
        </is>
      </c>
      <c r="AB101" s="75" t="inlineStr">
        <is>
          <t>não medido</t>
        </is>
      </c>
      <c r="AC101" s="75" t="inlineStr">
        <is>
          <t>Financeiro</t>
        </is>
      </c>
      <c r="AD101" s="75" t="inlineStr">
        <is>
          <t>Multicarteira Financeiro</t>
        </is>
      </c>
      <c r="AE101" s="75" t="inlineStr">
        <is>
          <t>Consignado INSS</t>
        </is>
      </c>
      <c r="AF101" s="75" t="inlineStr">
        <is>
          <t>Consignado INSS</t>
        </is>
      </c>
      <c r="AG101" s="75" t="inlineStr">
        <is>
          <t>Consignado INSS e FGTS</t>
        </is>
      </c>
      <c r="AH101" s="75" t="inlineStr">
        <is>
          <t>Consignado INSS e FGTS</t>
        </is>
      </c>
      <c r="AI101" s="75" t="inlineStr">
        <is>
          <t>N/D</t>
        </is>
      </c>
      <c r="AJ101" s="75" t="b">
        <v>0</v>
      </c>
      <c r="AK101" s="75" t="inlineStr">
        <is>
          <t>fora da revisão Financeiro/Agro</t>
        </is>
      </c>
      <c r="AL101" s="75" t="inlineStr">
        <is>
          <t>N/D</t>
        </is>
      </c>
      <c r="AM101" s="75" t="inlineStr">
        <is>
          <t>N/D</t>
        </is>
      </c>
      <c r="AN101" s="75" t="inlineStr">
        <is>
          <t>N/D</t>
        </is>
      </c>
      <c r="AO101" s="75" t="inlineStr">
        <is>
          <t>N/D</t>
        </is>
      </c>
      <c r="AP101" s="75" t="inlineStr">
        <is>
          <t>N/D</t>
        </is>
      </c>
      <c r="AQ101" s="75" t="inlineStr">
        <is>
          <t>Consignado INSS e FGTS</t>
        </is>
      </c>
      <c r="AR101" s="75" t="inlineStr">
        <is>
          <t>Consignado INSS e FGTS</t>
        </is>
      </c>
      <c r="AS101" s="75" t="b">
        <v>0</v>
      </c>
      <c r="AT101" s="75" t="inlineStr">
        <is>
          <t>N/D</t>
        </is>
      </c>
      <c r="AU101" s="75" t="inlineStr">
        <is>
          <t>N/D</t>
        </is>
      </c>
      <c r="AV101" s="75" t="inlineStr">
        <is>
          <t>10%–15%</t>
        </is>
      </c>
      <c r="AW101" s="75" t="b">
        <v>1</v>
      </c>
      <c r="AX101" s="75" t="inlineStr">
        <is>
          <t>incomparável</t>
        </is>
      </c>
      <c r="AY101" s="75" t="inlineStr">
        <is>
          <t>abaixo do mercado</t>
        </is>
      </c>
      <c r="AZ101" s="144" t="n">
        <v>-0.02599168906376986</v>
      </c>
      <c r="BA101" s="75" t="b">
        <v>1</v>
      </c>
      <c r="BB101" s="145" t="n">
        <v>5</v>
      </c>
      <c r="BC101" s="143" t="n">
        <v>1000</v>
      </c>
      <c r="BD101" s="75" t="inlineStr">
        <is>
          <t>R$ 1.000,00</t>
        </is>
      </c>
      <c r="BE101" s="75" t="inlineStr">
        <is>
          <t>preço/valor unitário de emissão</t>
        </is>
      </c>
      <c r="BF101" s="75" t="inlineStr">
        <is>
          <t>N/D</t>
        </is>
      </c>
      <c r="BG101" s="75" t="inlineStr">
        <is>
          <t>25/05/2026</t>
        </is>
      </c>
      <c r="BH101" s="75" t="inlineStr">
        <is>
          <t>1211821</t>
        </is>
      </c>
      <c r="BI101" s="75" t="inlineStr">
        <is>
          <t>https://fnet.bmfbovespa.com.br/fnet/publico/downloadDocumento?id=1211821</t>
        </is>
      </c>
      <c r="BJ101" s="75" t="inlineStr">
        <is>
          <t>localizado documentalmente</t>
        </is>
      </c>
      <c r="BK101" s="75" t="b">
        <v>1</v>
      </c>
      <c r="BL101" s="75" t="inlineStr">
        <is>
          <t>N/D</t>
        </is>
      </c>
      <c r="BM101" s="75" t="inlineStr">
        <is>
          <t>N/D</t>
        </is>
      </c>
      <c r="BN101" s="75" t="inlineStr">
        <is>
          <t>N/D</t>
        </is>
      </c>
      <c r="BO101" s="75" t="inlineStr">
        <is>
          <t>N/D</t>
        </is>
      </c>
      <c r="BP101" s="75" t="inlineStr">
        <is>
          <t>N/D</t>
        </is>
      </c>
      <c r="BQ101" s="75" t="inlineStr">
        <is>
          <t>N/D</t>
        </is>
      </c>
      <c r="BR101" s="75" t="inlineStr">
        <is>
          <t>N/D</t>
        </is>
      </c>
      <c r="BS101" s="75" t="inlineStr">
        <is>
          <t>sem_overlay</t>
        </is>
      </c>
      <c r="BT101" s="75" t="inlineStr">
        <is>
          <t>N/D</t>
        </is>
      </c>
      <c r="BU101" s="75" t="inlineStr">
        <is>
          <t>1211821</t>
        </is>
      </c>
      <c r="BV101" s="75" t="inlineStr">
        <is>
          <t>2026-05-25</t>
        </is>
      </c>
      <c r="BW101" s="75" t="inlineStr">
        <is>
          <t>186</t>
        </is>
      </c>
      <c r="BX101" s="75" t="inlineStr">
        <is>
          <t>revisto — mínimo júnior localizado</t>
        </is>
      </c>
      <c r="BY101" s="75" t="inlineStr">
        <is>
          <t>FundosNet/B3; documento 1211821; referência 2026-05-25; p. 186</t>
        </is>
      </c>
      <c r="BZ101" s="75" t="inlineStr">
        <is>
          <t>Cotas júnior / PL: mínimo inicial de 2,5%; 4,0% após o índice atingir esse patamar.</t>
        </is>
      </c>
      <c r="CA101" s="75" t="inlineStr">
        <is>
          <t>originador; cedente; sacado/devedor; tipo de recebível</t>
        </is>
      </c>
      <c r="CB101" s="75" t="inlineStr">
        <is>
          <t>estrutura_incomparavel</t>
        </is>
      </c>
    </row>
    <row r="102" ht="31.5" customHeight="1">
      <c r="A102" s="74" t="n">
        <v>100</v>
      </c>
      <c r="B102" s="138" t="n">
        <v>18185812000114</v>
      </c>
      <c r="C102" s="74" t="inlineStr">
        <is>
          <t>18.185.812/0001-14</t>
        </is>
      </c>
      <c r="D102" s="74" t="inlineStr">
        <is>
          <t>GAVEA SUL FUNDO DE INVESTIMENTO EM DIREITOS CREDITÓRIOS MULTISSETORIAL LP</t>
        </is>
      </c>
      <c r="E102" s="74" t="inlineStr">
        <is>
          <t>GAVEA SUL FUNDO DE INVESTIMENTO EM DIREITOS CREDITORIOS MULTISSETORIAL</t>
        </is>
      </c>
      <c r="F102" s="74" t="inlineStr">
        <is>
          <t>Carteira 101</t>
        </is>
      </c>
      <c r="G102" s="74" t="inlineStr">
        <is>
          <t>2026-06</t>
        </is>
      </c>
      <c r="H102" s="74" t="inlineStr">
        <is>
          <t>localizado</t>
        </is>
      </c>
      <c r="I102" s="139" t="n">
        <v>561951177.27</v>
      </c>
      <c r="J102" s="139" t="n">
        <v>561951177.2989568</v>
      </c>
      <c r="K102" s="139" t="n">
        <v>257268349.3297246</v>
      </c>
      <c r="L102" s="140" t="n">
        <v>0.4578126352178015</v>
      </c>
      <c r="M102" s="74" t="inlineStr">
        <is>
          <t>Calculado com classes reportadas e PL oficial reconciliado</t>
        </is>
      </c>
      <c r="N102" s="140" t="n">
        <v>0.22</v>
      </c>
      <c r="O102" s="140" t="inlineStr">
        <is>
          <t>N/D</t>
        </is>
      </c>
      <c r="P102" s="140" t="inlineStr">
        <is>
          <t>N/D</t>
        </is>
      </c>
      <c r="Q102" s="140" t="inlineStr">
        <is>
          <t>N/D</t>
        </is>
      </c>
      <c r="R102" s="140" t="inlineStr">
        <is>
          <t>N/D</t>
        </is>
      </c>
      <c r="S102" s="140" t="n">
        <v>0.22</v>
      </c>
      <c r="T102" s="74" t="inlineStr">
        <is>
          <t>N/D</t>
        </is>
      </c>
      <c r="U102" s="74" t="inlineStr">
        <is>
          <t>junior_pl</t>
        </is>
      </c>
      <c r="V102" s="74" t="inlineStr">
        <is>
          <t>direto no regulamento</t>
        </is>
      </c>
      <c r="W102" s="74" t="b">
        <v>0</v>
      </c>
      <c r="X102" s="74" t="inlineStr">
        <is>
          <t>Mínimo júnior isolado; a subordinação atual disponível agrega todas as classes subordinadas.</t>
        </is>
      </c>
      <c r="Y102" s="74" t="b">
        <v>0</v>
      </c>
      <c r="Z102" s="140" t="inlineStr">
        <is>
          <t>N/D</t>
        </is>
      </c>
      <c r="AA102" s="140" t="inlineStr">
        <is>
          <t>N/D</t>
        </is>
      </c>
      <c r="AB102" s="74" t="inlineStr">
        <is>
          <t>não medido</t>
        </is>
      </c>
      <c r="AC102" s="74" t="inlineStr">
        <is>
          <t>Fomento Mercantil</t>
        </is>
      </c>
      <c r="AD102" s="74" t="inlineStr">
        <is>
          <t>Fomento Mercantil</t>
        </is>
      </c>
      <c r="AE102" s="74" t="inlineStr">
        <is>
          <t>Factoring</t>
        </is>
      </c>
      <c r="AF102" s="74" t="inlineStr">
        <is>
          <t>Factoring</t>
        </is>
      </c>
      <c r="AG102" s="74" t="inlineStr">
        <is>
          <t>Factoring</t>
        </is>
      </c>
      <c r="AH102" s="74" t="inlineStr">
        <is>
          <t>Factoring</t>
        </is>
      </c>
      <c r="AI102" s="74" t="inlineStr">
        <is>
          <t>N/D</t>
        </is>
      </c>
      <c r="AJ102" s="74" t="b">
        <v>0</v>
      </c>
      <c r="AK102" s="74" t="inlineStr">
        <is>
          <t>fora da revisão Financeiro/Agro</t>
        </is>
      </c>
      <c r="AL102" s="74" t="inlineStr">
        <is>
          <t>N/D</t>
        </is>
      </c>
      <c r="AM102" s="74" t="inlineStr">
        <is>
          <t>N/D</t>
        </is>
      </c>
      <c r="AN102" s="74" t="inlineStr">
        <is>
          <t>N/D</t>
        </is>
      </c>
      <c r="AO102" s="74" t="inlineStr">
        <is>
          <t>N/D</t>
        </is>
      </c>
      <c r="AP102" s="74" t="inlineStr">
        <is>
          <t>N/D</t>
        </is>
      </c>
      <c r="AQ102" s="74" t="inlineStr">
        <is>
          <t>Factoring</t>
        </is>
      </c>
      <c r="AR102" s="74" t="inlineStr">
        <is>
          <t>Factoring</t>
        </is>
      </c>
      <c r="AS102" s="74" t="b">
        <v>0</v>
      </c>
      <c r="AT102" s="74" t="inlineStr">
        <is>
          <t>N/D</t>
        </is>
      </c>
      <c r="AU102" s="74" t="inlineStr">
        <is>
          <t>N/D</t>
        </is>
      </c>
      <c r="AV102" s="74" t="inlineStr">
        <is>
          <t>35%–60%</t>
        </is>
      </c>
      <c r="AW102" s="74" t="b">
        <v>1</v>
      </c>
      <c r="AX102" s="74" t="inlineStr">
        <is>
          <t>incomparável</t>
        </is>
      </c>
      <c r="AY102" s="74" t="inlineStr">
        <is>
          <t>sem benchmark confiável</t>
        </is>
      </c>
      <c r="AZ102" s="140" t="inlineStr">
        <is>
          <t>N/D</t>
        </is>
      </c>
      <c r="BA102" s="74" t="b">
        <v>0</v>
      </c>
      <c r="BB102" s="141" t="n">
        <v>2</v>
      </c>
      <c r="BC102" s="139" t="n">
        <v>1000</v>
      </c>
      <c r="BD102" s="74" t="inlineStr">
        <is>
          <t>Cotas Seniores: R$ 1.000,00 | Cotas Subordinadas: R$ 1.000,00 | Cotas Subordinadas Mezanino: R$ 1.000,00</t>
        </is>
      </c>
      <c r="BE102" s="74" t="inlineStr">
        <is>
          <t>preço/valor unitário de emissão</t>
        </is>
      </c>
      <c r="BF102" s="74" t="inlineStr">
        <is>
          <t>Cotas Seniores | Cotas Subordinadas | Cotas Subordinadas Mezanino</t>
        </is>
      </c>
      <c r="BG102" s="74" t="inlineStr">
        <is>
          <t>2025-10-13</t>
        </is>
      </c>
      <c r="BH102" s="74" t="inlineStr">
        <is>
          <t>1011996</t>
        </is>
      </c>
      <c r="BI102" s="74" t="inlineStr">
        <is>
          <t>https://fnet.bmfbovespa.com.br/fnet/publico/downloadDocumento?id=1011996</t>
        </is>
      </c>
      <c r="BJ102" s="74" t="inlineStr">
        <is>
          <t>localizado documentalmente — múltiplos valores/classes</t>
        </is>
      </c>
      <c r="BK102" s="74" t="b">
        <v>1</v>
      </c>
      <c r="BL102" s="74" t="inlineStr">
        <is>
          <t>N/D</t>
        </is>
      </c>
      <c r="BM102" s="74" t="inlineStr">
        <is>
          <t>N/D</t>
        </is>
      </c>
      <c r="BN102" s="74" t="inlineStr">
        <is>
          <t>N/D</t>
        </is>
      </c>
      <c r="BO102" s="74" t="inlineStr">
        <is>
          <t>5 outros 4,62% 3,17% 3,03% 2,46% 2,41% 84,29%</t>
        </is>
      </c>
      <c r="BP102" s="74" t="inlineStr">
        <is>
          <t>5 outros Tipo Recebível valor % PL Duplicata 318.392.662,74R$ 68,17% Duplicata de Servico Fisico 27.816.143,36R$ 5,96% Nota Comercial Pós 37.486.768,91R$ 8,03%</t>
        </is>
      </c>
      <c r="BQ102" s="74" t="inlineStr">
        <is>
          <t>N/D</t>
        </is>
      </c>
      <c r="BR102" s="74" t="inlineStr">
        <is>
          <t>cedente: https://fnet.bmfbovespa.com.br/fnet/publico/downloadDocumento?id=1118448 | sacado_devedor: https://fnet.bmfbovespa.com.br/fnet/publico/downloadDocumento?id=1118448</t>
        </is>
      </c>
      <c r="BS102" s="74" t="inlineStr">
        <is>
          <t>sem_overlay</t>
        </is>
      </c>
      <c r="BT102" s="74" t="inlineStr">
        <is>
          <t>N/D</t>
        </is>
      </c>
      <c r="BU102" s="74" t="inlineStr">
        <is>
          <t>1011996</t>
        </is>
      </c>
      <c r="BV102" s="74" t="inlineStr">
        <is>
          <t>2025-10-13</t>
        </is>
      </c>
      <c r="BW102" s="74" t="inlineStr">
        <is>
          <t>53</t>
        </is>
      </c>
      <c r="BX102" s="74" t="inlineStr">
        <is>
          <t>revisto — mínimo júnior localizado</t>
        </is>
      </c>
      <c r="BY102" s="74" t="inlineStr">
        <is>
          <t>FundosNet/B3; documento 1011996; referência 2025-10-13; p. 53</t>
        </is>
      </c>
      <c r="BZ102" s="74" t="inlineStr">
        <is>
          <t>Cotas subordinadas júnior / PL, mínimo de 22,0%.</t>
        </is>
      </c>
      <c r="CA102" s="74" t="inlineStr">
        <is>
          <t>originador; tipo de recebível</t>
        </is>
      </c>
      <c r="CB102" s="74" t="inlineStr">
        <is>
          <t>estrutura_incomparavel</t>
        </is>
      </c>
    </row>
    <row r="103" ht="31.5" customHeight="1">
      <c r="A103" s="75" t="n">
        <v>101</v>
      </c>
      <c r="B103" s="142" t="n">
        <v>49113994000141</v>
      </c>
      <c r="C103" s="75" t="inlineStr">
        <is>
          <t>49.113.994/0001-41</t>
        </is>
      </c>
      <c r="D103" s="75" t="inlineStr">
        <is>
          <t>FUNDO DE INVESTIMENTO EM DIREITOS CREDITÓRIOS CAP - RESPONSABILIDADE LIMITADA</t>
        </is>
      </c>
      <c r="E103" s="75" t="inlineStr">
        <is>
          <t>FUNDO DE INVESTIMENTO EM DIREITOS CREDITORIOS CAP RESPONSABILIDADE LIMITADA</t>
        </is>
      </c>
      <c r="F103" s="75" t="inlineStr">
        <is>
          <t>Carteira 101</t>
        </is>
      </c>
      <c r="G103" s="75" t="inlineStr">
        <is>
          <t>2026-06</t>
        </is>
      </c>
      <c r="H103" s="75" t="inlineStr">
        <is>
          <t>localizado</t>
        </is>
      </c>
      <c r="I103" s="143" t="n">
        <v>99273854.97</v>
      </c>
      <c r="J103" s="143" t="n">
        <v>99273854.99061295</v>
      </c>
      <c r="K103" s="143" t="n">
        <v>43769680.90915325</v>
      </c>
      <c r="L103" s="144" t="n">
        <v>0.4408983706977049</v>
      </c>
      <c r="M103" s="75" t="inlineStr">
        <is>
          <t>Calculado com classes reportadas e PL oficial reconciliado</t>
        </is>
      </c>
      <c r="N103" s="144" t="n">
        <v>0.14</v>
      </c>
      <c r="O103" s="144" t="inlineStr">
        <is>
          <t>N/D</t>
        </is>
      </c>
      <c r="P103" s="144" t="inlineStr">
        <is>
          <t>N/D</t>
        </is>
      </c>
      <c r="Q103" s="144" t="inlineStr">
        <is>
          <t>N/D</t>
        </is>
      </c>
      <c r="R103" s="144" t="inlineStr">
        <is>
          <t>N/D</t>
        </is>
      </c>
      <c r="S103" s="144" t="n">
        <v>0.14</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Crédito Pessoal</t>
        </is>
      </c>
      <c r="AE103" s="75" t="inlineStr">
        <is>
          <t>Financeiro</t>
        </is>
      </c>
      <c r="AF103" s="75" t="inlineStr">
        <is>
          <t>Financeiro</t>
        </is>
      </c>
      <c r="AG103" s="75" t="inlineStr">
        <is>
          <t>Financeiro</t>
        </is>
      </c>
      <c r="AH103" s="75" t="inlineStr">
        <is>
          <t>Financeiro</t>
        </is>
      </c>
      <c r="AI103" s="75" t="inlineStr">
        <is>
          <t>Tipo de crédito não isolado</t>
        </is>
      </c>
      <c r="AJ103" s="75" t="b">
        <v>0</v>
      </c>
      <c r="AK103" s="75" t="inlineStr">
        <is>
          <t>PENDENTE_DOCUMENTAL</t>
        </is>
      </c>
      <c r="AL103" s="75" t="inlineStr">
        <is>
          <t>Nenhum originador, cedente, devedor ou tipo localizado</t>
        </is>
      </c>
      <c r="AM103" s="75" t="inlineStr">
        <is>
          <t>regulamento 788104 apenas estrutural</t>
        </is>
      </c>
      <c r="AN103" s="75" t="inlineStr">
        <is>
          <t>Pendente</t>
        </is>
      </c>
      <c r="AO103" s="75" t="inlineStr">
        <is>
          <t>regulamento 788104 apenas estrutural</t>
        </is>
      </c>
      <c r="AP103" s="75" t="inlineStr">
        <is>
          <t>N/D</t>
        </is>
      </c>
      <c r="AQ103" s="75" t="inlineStr">
        <is>
          <t>Financeiro</t>
        </is>
      </c>
      <c r="AR103" s="75" t="inlineStr">
        <is>
          <t>Financeiro</t>
        </is>
      </c>
      <c r="AS103" s="75" t="b">
        <v>0</v>
      </c>
      <c r="AT103" s="75" t="inlineStr">
        <is>
          <t>N/D</t>
        </is>
      </c>
      <c r="AU103" s="75" t="inlineStr">
        <is>
          <t>N/D</t>
        </is>
      </c>
      <c r="AV103" s="75" t="inlineStr">
        <is>
          <t>35%–60%</t>
        </is>
      </c>
      <c r="AW103" s="75" t="b">
        <v>1</v>
      </c>
      <c r="AX103" s="75" t="inlineStr">
        <is>
          <t>incomparável</t>
        </is>
      </c>
      <c r="AY103" s="75" t="inlineStr">
        <is>
          <t>acima do mercado</t>
        </is>
      </c>
      <c r="AZ103" s="144" t="n">
        <v>0.1394388104164538</v>
      </c>
      <c r="BA103" s="75" t="b">
        <v>1</v>
      </c>
      <c r="BB103" s="145" t="n">
        <v>12</v>
      </c>
      <c r="BC103" s="143" t="n">
        <v>1000</v>
      </c>
      <c r="BD103" s="75" t="inlineStr">
        <is>
          <t>Cotas Subordinadas Júnior: R$ 1.000,00</t>
        </is>
      </c>
      <c r="BE103" s="75" t="inlineStr">
        <is>
          <t>preço/valor unitário de emissão</t>
        </is>
      </c>
      <c r="BF103" s="75" t="inlineStr">
        <is>
          <t>Cotas Subordinadas Júnior</t>
        </is>
      </c>
      <c r="BG103" s="75" t="inlineStr">
        <is>
          <t>22/11/2024</t>
        </is>
      </c>
      <c r="BH103" s="75" t="inlineStr">
        <is>
          <t>788104</t>
        </is>
      </c>
      <c r="BI103" s="75" t="inlineStr">
        <is>
          <t>https://fnet.bmfbovespa.com.br/fnet/publico/downloadDocumento?id=788104</t>
        </is>
      </c>
      <c r="BJ103" s="75" t="inlineStr">
        <is>
          <t>localizado documentalmente</t>
        </is>
      </c>
      <c r="BK103" s="75" t="b">
        <v>0</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788104</t>
        </is>
      </c>
      <c r="BV103" s="75" t="inlineStr">
        <is>
          <t>2024-11-22</t>
        </is>
      </c>
      <c r="BW103" s="75" t="inlineStr">
        <is>
          <t>53</t>
        </is>
      </c>
      <c r="BX103" s="75" t="inlineStr">
        <is>
          <t>revisto — mínimo júnior localizado</t>
        </is>
      </c>
      <c r="BY103" s="75" t="inlineStr">
        <is>
          <t>FundosNet/B3; documento 788104; referência 2024-11-22; p. 53</t>
        </is>
      </c>
      <c r="BZ103" s="75" t="inlineStr">
        <is>
          <t>Cotas júnior / PL: mínimo de 14,0%; 15,0% no último dia útil de cada mês.</t>
        </is>
      </c>
      <c r="CA103" s="75" t="inlineStr">
        <is>
          <t>originador; cedente; sacado/devedor; tipo de recebível</t>
        </is>
      </c>
      <c r="CB103"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3">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3">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3">
    <cfRule type="containsText" priority="17" operator="containsText" dxfId="1" text="manual_aplicado"/>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8.75" customWidth="1" min="1" max="1"/>
    <col width="15.63000011444092" customWidth="1" min="2" max="2"/>
    <col width="53.75" customWidth="1" min="3" max="3"/>
    <col width="32.5" customWidth="1" min="4" max="4"/>
    <col width="23.1299991607666" customWidth="1" min="5" max="5"/>
    <col width="30" customWidth="1" min="6" max="6"/>
  </cols>
  <sheetData>
    <row r="1" ht="25.5" customHeight="1">
      <c r="A1" s="26" t="inlineStr">
        <is>
          <t>Nomes editáveis · rótulos dos gráficos nativos</t>
        </is>
      </c>
    </row>
    <row r="2" ht="22.5" customHeight="1">
      <c r="A2" s="29" t="inlineStr">
        <is>
          <t>Edite somente a coluna Nome editável para gráfico. As séries dos gráficos apontam para estas células; CNPJ, nome CVM, categoria e subtipo permanecem como referência.</t>
        </is>
      </c>
    </row>
    <row r="4" ht="25.5" customHeight="1">
      <c r="A4" s="32" t="inlineStr">
        <is>
          <t>Ordem</t>
        </is>
      </c>
      <c r="B4" s="32" t="inlineStr">
        <is>
          <t>CNPJ</t>
        </is>
      </c>
      <c r="C4" s="32" t="inlineStr">
        <is>
          <t>Nome completo CVM</t>
        </is>
      </c>
      <c r="D4" s="32" t="inlineStr">
        <is>
          <t>Nome editável para gráfico</t>
        </is>
      </c>
      <c r="E4" s="32" t="inlineStr">
        <is>
          <t>Categoria proposta</t>
        </is>
      </c>
      <c r="F4" s="32" t="inlineStr">
        <is>
          <t>Subtipo</t>
        </is>
      </c>
    </row>
    <row r="5" ht="25.5" customHeight="1">
      <c r="A5" s="104" t="n">
        <v>1</v>
      </c>
      <c r="B5" s="146" t="n">
        <v>42462306000100</v>
      </c>
      <c r="C5" s="104" t="inlineStr">
        <is>
          <t>IS GREEN SOLFÁCIL II FUNDO DE INVESTIMENTO EM DIREITOS CREDITÓRIOS DE RESPONSABILIDADE LIMITADA</t>
        </is>
      </c>
      <c r="D5" s="104" t="inlineStr">
        <is>
          <t>IS GREEN SOLFACIL II FIDC</t>
        </is>
      </c>
      <c r="E5" s="104" t="inlineStr">
        <is>
          <t>Financeiro</t>
        </is>
      </c>
      <c r="F5" s="104" t="inlineStr">
        <is>
          <t>Crédito solar / recebíveis para securitização</t>
        </is>
      </c>
    </row>
    <row r="6" ht="25.5" customHeight="1">
      <c r="A6" s="106" t="n">
        <v>2</v>
      </c>
      <c r="B6" s="147" t="n">
        <v>54810968000102</v>
      </c>
      <c r="C6" s="106" t="inlineStr">
        <is>
          <t>ANGÁ FGTS III FUNDO DE INVESTIMENTO EM DIREITOS CREDITÓRIOS</t>
        </is>
      </c>
      <c r="D6" s="106" t="inlineStr">
        <is>
          <t>ANGA FGTS III FUNDO DE INVESTIMENTO EM DIREITOS CR</t>
        </is>
      </c>
      <c r="E6" s="106" t="inlineStr">
        <is>
          <t>Consignado INSS e FGTS</t>
        </is>
      </c>
      <c r="F6" s="106" t="inlineStr">
        <is>
          <t>N/D</t>
        </is>
      </c>
    </row>
    <row r="7" ht="25.5" customHeight="1">
      <c r="A7" s="105" t="n">
        <v>3</v>
      </c>
      <c r="B7" s="148" t="n">
        <v>53270983000142</v>
      </c>
      <c r="C7" s="105" t="inlineStr">
        <is>
          <t>ANGÁ FGTS +AG FUNDO DE INVESTIMENTO EM DIREITOS CREDITÓRIOS - RESPONSABILIDADE LIMITADA</t>
        </is>
      </c>
      <c r="D7" s="105" t="inlineStr">
        <is>
          <t>ANGA FGTS MAIS AG FIDC RESPONSABILIDADE LIMITADA</t>
        </is>
      </c>
      <c r="E7" s="105" t="inlineStr">
        <is>
          <t>Consignado INSS e FGTS</t>
        </is>
      </c>
      <c r="F7" s="105" t="inlineStr">
        <is>
          <t>N/D</t>
        </is>
      </c>
    </row>
    <row r="8" ht="25.5" customHeight="1">
      <c r="A8" s="106" t="n">
        <v>4</v>
      </c>
      <c r="B8" s="147" t="n">
        <v>52968533000165</v>
      </c>
      <c r="C8" s="106" t="inlineStr">
        <is>
          <t>MCPO FUNDO DE INVESTIMENTO EM DIREITOS CREDITÓRIOS</t>
        </is>
      </c>
      <c r="D8" s="106" t="inlineStr">
        <is>
          <t>MCPO FUNDO DE INVESTIMENTO EM DIREITOS CREDITORIO</t>
        </is>
      </c>
      <c r="E8" s="106" t="inlineStr">
        <is>
          <t>Agro / Revenda</t>
        </is>
      </c>
      <c r="F8" s="106" t="inlineStr">
        <is>
          <t>Máquinas e implementos agrícolas, vendas e serviços performados</t>
        </is>
      </c>
    </row>
    <row r="9" ht="25.5" customHeight="1">
      <c r="A9" s="105" t="n">
        <v>5</v>
      </c>
      <c r="B9" s="148" t="n">
        <v>52100879000147</v>
      </c>
      <c r="C9" s="105" t="inlineStr">
        <is>
          <t>SOTREQ FUNDO DE INVESTIMENTO EM DIREITOS CREDITÓRIOS - RESPONSABILIDADE LIMITADA</t>
        </is>
      </c>
      <c r="D9" s="105" t="inlineStr">
        <is>
          <t>SOTREQ FUNDO DE INVESTIMENTO EM DIREITOS CREDITORIOS</t>
        </is>
      </c>
      <c r="E9" s="105" t="inlineStr">
        <is>
          <t>Risco Corporativo</t>
        </is>
      </c>
      <c r="F9" s="105" t="inlineStr">
        <is>
          <t>Equipamentos e serviços, recebíveis comerciais pulverizados</t>
        </is>
      </c>
    </row>
    <row r="10" ht="25.5" customHeight="1">
      <c r="A10" s="106" t="n">
        <v>6</v>
      </c>
      <c r="B10" s="147" t="n">
        <v>53662209000187</v>
      </c>
      <c r="C10" s="106" t="inlineStr">
        <is>
          <t>PNEUCASH FUNDO DE INVESTIMENTO EM DIREITOS CREDITÓRIOS DE CLASSE ÚNICA FECHADA - RESP LTDA</t>
        </is>
      </c>
      <c r="D10" s="106" t="inlineStr">
        <is>
          <t>PNEUCASH FUNDO DE INVESTIMENTO EM DIREITOS CREDITORIOS</t>
        </is>
      </c>
      <c r="E10" s="106" t="inlineStr">
        <is>
          <t>Factoring</t>
        </is>
      </c>
      <c r="F10" s="106" t="inlineStr">
        <is>
          <t>N/D</t>
        </is>
      </c>
    </row>
    <row r="11" ht="25.5" customHeight="1">
      <c r="A11" s="105" t="n">
        <v>7</v>
      </c>
      <c r="B11" s="148" t="n">
        <v>53577135000180</v>
      </c>
      <c r="C11" s="105" t="inlineStr">
        <is>
          <t>ANGÁ FGTS II FUNDO DE INVESTIMENTO EM DIREITOS CREDITÓRIOS - RESPONSABILIDADE LIMITADA</t>
        </is>
      </c>
      <c r="D11" s="105" t="inlineStr">
        <is>
          <t>ANGA FGTS II FUNDO DE INVESTIMENTO EM DIREITOS CR</t>
        </is>
      </c>
      <c r="E11" s="105" t="inlineStr">
        <is>
          <t>Consignado INSS e FGTS</t>
        </is>
      </c>
      <c r="F11" s="105" t="inlineStr">
        <is>
          <t>N/D</t>
        </is>
      </c>
    </row>
    <row r="12" ht="25.5" customHeight="1">
      <c r="A12" s="106" t="n">
        <v>8</v>
      </c>
      <c r="B12" s="147" t="n">
        <v>62626887000185</v>
      </c>
      <c r="C12" s="106" t="inlineStr">
        <is>
          <t>SUMUP SMART IV FIDC SEGMENTO MEIOS DE PAGAMENTO DE RESPONSABILIDADE LIMITADA</t>
        </is>
      </c>
      <c r="D12" s="106" t="inlineStr">
        <is>
          <t>TOP 2025 C FIDC RESP LTDA</t>
        </is>
      </c>
      <c r="E12" s="106" t="inlineStr">
        <is>
          <t>Adquirência</t>
        </is>
      </c>
      <c r="F12" s="106" t="inlineStr">
        <is>
          <t>N/D</t>
        </is>
      </c>
    </row>
    <row r="13" ht="25.5" customHeight="1">
      <c r="A13" s="105" t="n">
        <v>9</v>
      </c>
      <c r="B13" s="148" t="n">
        <v>50098465000103</v>
      </c>
      <c r="C13" s="105" t="inlineStr">
        <is>
          <t>CHEMICAL XIII - FUNDO DE INVESTIMENTO EM DIREITOS CREDITÓRIOS - INDÚSTRIA PETROQUÍMICA</t>
        </is>
      </c>
      <c r="D13" s="105" t="inlineStr">
        <is>
          <t>CHEMICAL XIII FUNDO DE INVESTIMENTO EM DIREITOS</t>
        </is>
      </c>
      <c r="E13" s="105" t="inlineStr">
        <is>
          <t>Agro / Revenda</t>
        </is>
      </c>
      <c r="F13" s="105" t="inlineStr">
        <is>
          <t>Exposição Braskem, lastro específico pendente</t>
        </is>
      </c>
    </row>
    <row r="14" ht="25.5" customHeight="1">
      <c r="A14" s="106" t="n">
        <v>10</v>
      </c>
      <c r="B14" s="147" t="n">
        <v>48967719000122</v>
      </c>
      <c r="C14" s="106" t="inlineStr">
        <is>
          <t>SOULPAY FUNDO DE INVESTIMENTO EM DIREITOS CREDITÓRIOS</t>
        </is>
      </c>
      <c r="D14" s="106" t="inlineStr">
        <is>
          <t>SOULPAY FIDC</t>
        </is>
      </c>
      <c r="E14" s="106" t="inlineStr">
        <is>
          <t>Adquirência</t>
        </is>
      </c>
      <c r="F14" s="106" t="inlineStr">
        <is>
          <t>N/D</t>
        </is>
      </c>
    </row>
    <row r="15" ht="25.5" customHeight="1">
      <c r="A15" s="105" t="n">
        <v>11</v>
      </c>
      <c r="B15" s="148" t="n">
        <v>37645417000111</v>
      </c>
      <c r="C15" s="105" t="inlineStr">
        <is>
          <t>UBYFOL AGRO III FUNDO DE INVESTIMENTO NAS CADEIAS PRODUTIVAS DO AGRONEGÓCIO - RESP LIMITADA</t>
        </is>
      </c>
      <c r="D15" s="105" t="inlineStr">
        <is>
          <t>UBYFOL AGRO FIDC III</t>
        </is>
      </c>
      <c r="E15" s="105" t="inlineStr">
        <is>
          <t>Agro / Revenda</t>
        </is>
      </c>
      <c r="F15" s="105" t="inlineStr">
        <is>
          <t>Insumos agrícolas, prazo safra</t>
        </is>
      </c>
    </row>
    <row r="16" ht="25.5" customHeight="1">
      <c r="A16" s="106" t="n">
        <v>12</v>
      </c>
      <c r="B16" s="147" t="n">
        <v>50832746000130</v>
      </c>
      <c r="C16" s="106" t="inlineStr">
        <is>
          <t>BOASAFRA FUNDO DE INVESTIMENTO EM DIREITOS CREDITÓRIOS DO AGRONEGÓCIO RESPONSABILIDADE LIMITADA</t>
        </is>
      </c>
      <c r="D16" s="106" t="inlineStr">
        <is>
          <t>BOASAFRA FIDC DO AGRONEGOCIO</t>
        </is>
      </c>
      <c r="E16" s="106" t="inlineStr">
        <is>
          <t>Agro / Revenda</t>
        </is>
      </c>
      <c r="F16" s="106" t="inlineStr">
        <is>
          <t>Insumos agrícolas, prazo safra</t>
        </is>
      </c>
    </row>
    <row r="17" ht="25.5" customHeight="1">
      <c r="A17" s="105" t="n">
        <v>13</v>
      </c>
      <c r="B17" s="148" t="n">
        <v>33076242000118</v>
      </c>
      <c r="C17" s="105" t="inlineStr">
        <is>
          <t>WORKCAP AGRO FUNDO DE INVESTIMENTO EM DIREITOS CREDITORIOS RESPONSABILIDADE LIMITADA</t>
        </is>
      </c>
      <c r="D17" s="105" t="inlineStr">
        <is>
          <t>FUNDO DE INVESTIMENTO EM DIREITOS CREDITORIOS ALBA</t>
        </is>
      </c>
      <c r="E17" s="105" t="inlineStr">
        <is>
          <t>Agro / Revenda</t>
        </is>
      </c>
      <c r="F17" s="105" t="inlineStr">
        <is>
          <t>Recebíveis Albaugh, insumos agro</t>
        </is>
      </c>
    </row>
    <row r="18" ht="25.5" customHeight="1">
      <c r="A18" s="106" t="n">
        <v>14</v>
      </c>
      <c r="B18" s="147" t="n">
        <v>44173467000109</v>
      </c>
      <c r="C18" s="106" t="inlineStr">
        <is>
          <t>MT INSS RECEIVABLES III FUNDO DE INVESTIMENTO EM DIREITOS CREDITÓRIOS RESPONSABILIDADE</t>
        </is>
      </c>
      <c r="D18" s="106" t="inlineStr">
        <is>
          <t>RECEIVABLES 48 FUNDO DE INVEST INSS MEU TUDO</t>
        </is>
      </c>
      <c r="E18" s="106" t="inlineStr">
        <is>
          <t>Consignado INSS e FGTS</t>
        </is>
      </c>
      <c r="F18" s="106" t="inlineStr">
        <is>
          <t>N/D</t>
        </is>
      </c>
    </row>
    <row r="19" ht="25.5" customHeight="1">
      <c r="A19" s="105" t="n">
        <v>15</v>
      </c>
      <c r="B19" s="148" t="n">
        <v>54252144000164</v>
      </c>
      <c r="C19" s="105" t="inlineStr">
        <is>
          <t>J17 FGTS FUNDO DE INVESTIMENTO EM DIREITOS CREDITÓRIOS FINANCEIRO - RESPONSABILIDADE LIMITADA</t>
        </is>
      </c>
      <c r="D19" s="105" t="inlineStr">
        <is>
          <t>J17 FGTS FUNDO DE INVESTIMENTO</t>
        </is>
      </c>
      <c r="E19" s="105" t="inlineStr">
        <is>
          <t>Consignado INSS e FGTS</t>
        </is>
      </c>
      <c r="F19" s="105" t="inlineStr">
        <is>
          <t>N/D</t>
        </is>
      </c>
    </row>
    <row r="20" ht="25.5" customHeight="1">
      <c r="A20" s="106" t="n">
        <v>16</v>
      </c>
      <c r="B20" s="147" t="n">
        <v>48313595000161</v>
      </c>
      <c r="C20" s="106" t="inlineStr">
        <is>
          <t>IBBA AGRO BR FUNDO DE INVESTIMENTO EM DIREITOS CREDITÓRIOS</t>
        </is>
      </c>
      <c r="D20" s="106" t="inlineStr">
        <is>
          <t>IBBA AGRO BR FUNDO DE INVESTIMENTO EM DIREITOS CRE</t>
        </is>
      </c>
      <c r="E20" s="106" t="inlineStr">
        <is>
          <t>Agro / Revenda</t>
        </is>
      </c>
      <c r="F20" s="106" t="inlineStr">
        <is>
          <t>Multicedente agro, lastro específico pendente</t>
        </is>
      </c>
    </row>
    <row r="21" ht="25.5" customHeight="1">
      <c r="A21" s="105" t="n">
        <v>17</v>
      </c>
      <c r="B21" s="148" t="n">
        <v>32526025000110</v>
      </c>
      <c r="C21" s="105" t="inlineStr">
        <is>
          <t>COBUCCIO FUNDO DE INVESTIMENTO EM DIREITOS CREDITÓRIOS DE CLASSE ÚNICA FECHADA DE RESPONS LIMITADA</t>
        </is>
      </c>
      <c r="D21" s="105" t="inlineStr">
        <is>
          <t>COBUCCIO FUNDO I F D C NAO P</t>
        </is>
      </c>
      <c r="E21" s="105" t="inlineStr">
        <is>
          <t>Financeiro</t>
        </is>
      </c>
      <c r="F21" s="105" t="inlineStr">
        <is>
          <t>Cartão e CCB PF, recebíveis de pagamento</t>
        </is>
      </c>
    </row>
    <row r="22" ht="25.5" customHeight="1">
      <c r="A22" s="106" t="n">
        <v>18</v>
      </c>
      <c r="B22" s="147" t="n">
        <v>45523699000102</v>
      </c>
      <c r="C22" s="106" t="inlineStr">
        <is>
          <t>VIXTRA FUNDO DE INVESTIMENTO EM DIREITOS CREDITÓRIOS RESPONSABILIDADE LIMITADA</t>
        </is>
      </c>
      <c r="D22" s="106" t="inlineStr">
        <is>
          <t>VIXTRA FUNDO DE INVE E D C RL</t>
        </is>
      </c>
      <c r="E22" s="106" t="inlineStr">
        <is>
          <t>Agro / Revenda</t>
        </is>
      </c>
      <c r="F22" s="106" t="inlineStr">
        <is>
          <t>Trade finance / recebíveis comerciais</t>
        </is>
      </c>
    </row>
    <row r="23" ht="25.5" customHeight="1">
      <c r="A23" s="105" t="n">
        <v>19</v>
      </c>
      <c r="B23" s="148" t="n">
        <v>54083697000130</v>
      </c>
      <c r="C23" s="105" t="inlineStr">
        <is>
          <t>PERNAMBUCANAS FIDC DE RESPONSABILIDADE LIMITADA</t>
        </is>
      </c>
      <c r="D23" s="105" t="inlineStr">
        <is>
          <t>PERNAMBUCANAS FIDC DE RESPONSABILIDADE LIMITADA</t>
        </is>
      </c>
      <c r="E23" s="105" t="inlineStr">
        <is>
          <t>Adquirência</t>
        </is>
      </c>
      <c r="F23" s="105" t="inlineStr">
        <is>
          <t>Recebíveis de transações de pagamento Pernambucanas</t>
        </is>
      </c>
    </row>
    <row r="24" ht="25.5" customHeight="1">
      <c r="A24" s="106" t="n">
        <v>20</v>
      </c>
      <c r="B24" s="147" t="n">
        <v>56936116000191</v>
      </c>
      <c r="C24" s="106" t="inlineStr">
        <is>
          <t>FATOR TARKEN FIAGRO</t>
        </is>
      </c>
      <c r="D24" s="106" t="inlineStr">
        <is>
          <t>FATOR TARKEN FUNDO DE INVESTIMENTO EM DIREITOS CRE</t>
        </is>
      </c>
      <c r="E24" s="106" t="inlineStr">
        <is>
          <t>Agro / Revenda</t>
        </is>
      </c>
      <c r="F24" s="106" t="inlineStr">
        <is>
          <t>Multicedente/multisacado, recebível comercial a confirmar</t>
        </is>
      </c>
    </row>
    <row r="25" ht="25.5" customHeight="1">
      <c r="A25" s="105" t="n">
        <v>21</v>
      </c>
      <c r="B25" s="148" t="n">
        <v>50089559000108</v>
      </c>
      <c r="C25" s="105" t="inlineStr">
        <is>
          <t>AGRICONNECTION FIAGRO</t>
        </is>
      </c>
      <c r="D25" s="105" t="inlineStr">
        <is>
          <t>AGRICONNECTION FIAGRO DIREITOS CREDITORIOS</t>
        </is>
      </c>
      <c r="E25" s="105" t="inlineStr">
        <is>
          <t>Agro / Revenda</t>
        </is>
      </c>
      <c r="F25" s="105" t="inlineStr">
        <is>
          <t>Insumos agrícolas, prazo safra</t>
        </is>
      </c>
    </row>
    <row r="26" ht="25.5" customHeight="1">
      <c r="A26" s="106" t="n">
        <v>22</v>
      </c>
      <c r="B26" s="147" t="n">
        <v>57131490000182</v>
      </c>
      <c r="C26" s="106" t="inlineStr">
        <is>
          <t>PONTO RURAL FIAGRO RESPONSABILIDADE LIMITADA</t>
        </is>
      </c>
      <c r="D26" s="106" t="inlineStr">
        <is>
          <t>PONTO RURAL FIAGRO FIDC LTDA</t>
        </is>
      </c>
      <c r="E26" s="106" t="inlineStr">
        <is>
          <t>Agro / Revenda</t>
        </is>
      </c>
      <c r="F26" s="106" t="inlineStr">
        <is>
          <t>Insumos agrícolas, prazo safra</t>
        </is>
      </c>
    </row>
    <row r="27" ht="25.5" customHeight="1">
      <c r="A27" s="105" t="n">
        <v>23</v>
      </c>
      <c r="B27" s="148" t="n">
        <v>47151680000108</v>
      </c>
      <c r="C27" s="105" t="inlineStr">
        <is>
          <t>FARM TECH IBBA I FUNDO DE INVESTIMENTO EM DIREITOS CREDITÓRIOS RESPONSABILIDADE LIMITADA</t>
        </is>
      </c>
      <c r="D27" s="105" t="inlineStr">
        <is>
          <t>FARM TECH IBBA I FUNDO DE INVESTIMENTO EM DIREITOS</t>
        </is>
      </c>
      <c r="E27" s="105" t="inlineStr">
        <is>
          <t>Agro / Revenda</t>
        </is>
      </c>
      <c r="F27" s="105" t="inlineStr">
        <is>
          <t>Multicedente agro, lastro específico pendente</t>
        </is>
      </c>
    </row>
    <row r="28" ht="25.5" customHeight="1">
      <c r="A28" s="106" t="n">
        <v>24</v>
      </c>
      <c r="B28" s="147" t="n">
        <v>43309233000183</v>
      </c>
      <c r="C28" s="106" t="inlineStr">
        <is>
          <t>FUNDO DE INVESTIMENTO EM DIREITOS CREDITÓRIOS LIVERPOOL RESPONSABILIDADE LIMITADA</t>
        </is>
      </c>
      <c r="D28" s="106" t="inlineStr">
        <is>
          <t>FUNDO DE INVESTIMENTO EM DIREITOS CREDITORIOS LIVERPOOL</t>
        </is>
      </c>
      <c r="E28" s="106" t="inlineStr">
        <is>
          <t>Agro / Revenda</t>
        </is>
      </c>
      <c r="F28" s="106" t="inlineStr">
        <is>
          <t>CPR-F, CDCA e recebíveis de distribuidores Adama</t>
        </is>
      </c>
    </row>
    <row r="29" ht="25.5" customHeight="1">
      <c r="A29" s="105" t="n">
        <v>25</v>
      </c>
      <c r="B29" s="148" t="n">
        <v>43616659000180</v>
      </c>
      <c r="C29" s="105" t="inlineStr">
        <is>
          <t>TALÓ 1 FUNDO DE INVESTIMENTO EM DIREITOS CREDITÓRIOS RESPONSABILIDADE LIMITADA</t>
        </is>
      </c>
      <c r="D29" s="105" t="inlineStr">
        <is>
          <t>TALO 1 FUNDO DE INVESTIMENTO EM DIREITOS CREDITORIOS</t>
        </is>
      </c>
      <c r="E29" s="105" t="inlineStr">
        <is>
          <t>Agro / Revenda</t>
        </is>
      </c>
      <c r="F29" s="105" t="inlineStr">
        <is>
          <t>Recebíveis de insumos Yara</t>
        </is>
      </c>
    </row>
    <row r="30" ht="25.5" customHeight="1">
      <c r="A30" s="106" t="n">
        <v>26</v>
      </c>
      <c r="B30" s="147" t="n">
        <v>52343195000176</v>
      </c>
      <c r="C30" s="106" t="inlineStr">
        <is>
          <t>FARMTECH SYNGENTA FUNDO DE INVESTIMENTO EM DIREITOS CREDITÓRIOS RESPONSABILIDADE LIMITADA</t>
        </is>
      </c>
      <c r="D30" s="106" t="inlineStr">
        <is>
          <t>FARMTECH SYNGENTA FUNDO DE INVESTIMENTO EM DIREITO</t>
        </is>
      </c>
      <c r="E30" s="106" t="inlineStr">
        <is>
          <t>Agro / Revenda</t>
        </is>
      </c>
      <c r="F30" s="106" t="inlineStr">
        <is>
          <t>Multicedente Syngenta, lastro específico pendente</t>
        </is>
      </c>
    </row>
    <row r="31" ht="25.5" customHeight="1">
      <c r="A31" s="105" t="n">
        <v>27</v>
      </c>
      <c r="B31" s="148" t="n">
        <v>44574361000117</v>
      </c>
      <c r="C31" s="105" t="inlineStr">
        <is>
          <t>FUNDO DE INVESTIMENTO EM DIREITOS CREDITORIOS UPL 02 - RESPONSABILIDADE LIMITADA</t>
        </is>
      </c>
      <c r="D31" s="105" t="inlineStr">
        <is>
          <t>FUNDO DE INVESTIMENTO EM DIREITOS CREDITORIOS UPL</t>
        </is>
      </c>
      <c r="E31" s="105" t="inlineStr">
        <is>
          <t>Agro / Revenda</t>
        </is>
      </c>
      <c r="F31" s="105" t="inlineStr">
        <is>
          <t>Insumos agrícolas, prazo safra</t>
        </is>
      </c>
    </row>
    <row r="32" ht="25.5" customHeight="1">
      <c r="A32" s="106" t="n">
        <v>29</v>
      </c>
      <c r="B32" s="147" t="n">
        <v>50857998000113</v>
      </c>
      <c r="C32" s="106" t="inlineStr">
        <is>
          <t>LEO MADEIRAS FIDC SEGMENTO MEIOS DE PAGAMENTO DE RESPONSABILIDADE LIMITADA</t>
        </is>
      </c>
      <c r="D32" s="106" t="inlineStr">
        <is>
          <t>LEO I FUNDO INV DIR CREDITORIOS</t>
        </is>
      </c>
      <c r="E32" s="106" t="inlineStr">
        <is>
          <t>Adquirência</t>
        </is>
      </c>
      <c r="F32" s="106" t="inlineStr">
        <is>
          <t>Recebíveis de pagamento, subcredenciadora como devedora</t>
        </is>
      </c>
    </row>
    <row r="33" ht="25.5" customHeight="1">
      <c r="A33" s="105" t="n">
        <v>30</v>
      </c>
      <c r="B33" s="148" t="n">
        <v>38376526000143</v>
      </c>
      <c r="C33" s="105" t="inlineStr">
        <is>
          <t>HOTFUND FUNDO DE INVESTIMENTO EM DIREITOS CREDITÓRIOS SEGMENTO MEIOS DE PAGAMENTO DE RESPONSABILIDAD</t>
        </is>
      </c>
      <c r="D33" s="105" t="inlineStr">
        <is>
          <t>HOTFUND FIDC</t>
        </is>
      </c>
      <c r="E33" s="105" t="inlineStr">
        <is>
          <t>Adquirência</t>
        </is>
      </c>
      <c r="F33" s="105" t="inlineStr">
        <is>
          <t>Recebíveis de cartão / Hotmart</t>
        </is>
      </c>
    </row>
    <row r="34" ht="25.5" customHeight="1">
      <c r="A34" s="106" t="n">
        <v>31</v>
      </c>
      <c r="B34" s="147" t="n">
        <v>45598747000121</v>
      </c>
      <c r="C34" s="106" t="inlineStr">
        <is>
          <t>SUMUP SOLO FUNDO DE INVESTIMENTO EM DIREITOS CREDITÓRIOS SEGMENTO MEIOS DE PAGAMENTO DE RESPONSABILI</t>
        </is>
      </c>
      <c r="D34" s="106" t="inlineStr">
        <is>
          <t>FIDC SUMUP</t>
        </is>
      </c>
      <c r="E34" s="106" t="inlineStr">
        <is>
          <t>Adquirência</t>
        </is>
      </c>
      <c r="F34" s="106" t="inlineStr">
        <is>
          <t>N/D</t>
        </is>
      </c>
    </row>
    <row r="35" ht="25.5" customHeight="1">
      <c r="A35" s="105" t="n">
        <v>32</v>
      </c>
      <c r="B35" s="148" t="n">
        <v>41197066000109</v>
      </c>
      <c r="C35" s="105" t="inlineStr">
        <is>
          <t>IFOOD PAGO CRÉDITO I FUNDO DE INVESTIMENTO EM DIREITOS CREDITÓRIOS FINANCEIRO DE RESP LIMITADA</t>
        </is>
      </c>
      <c r="D35" s="105" t="inlineStr">
        <is>
          <t>MOVILEPAY CREDITO I FIDC SEGMENTO FINANCEIRO DE RE</t>
        </is>
      </c>
      <c r="E35" s="105" t="inlineStr">
        <is>
          <t>Financeiro</t>
        </is>
      </c>
      <c r="F35" s="105" t="inlineStr">
        <is>
          <t>Crédito embedded PF/PJ, CCBs no ecossistema iFood</t>
        </is>
      </c>
    </row>
    <row r="36" ht="25.5" customHeight="1">
      <c r="A36" s="106" t="n">
        <v>33</v>
      </c>
      <c r="B36" s="147" t="n">
        <v>44124617000194</v>
      </c>
      <c r="C36" s="106" t="inlineStr">
        <is>
          <t>CLOUDWALK AKIRA II FIDC SEGMENTO MEIOS DE PAGAMENTO</t>
        </is>
      </c>
      <c r="D36" s="106" t="inlineStr">
        <is>
          <t>CLOUDWALK AKIRA II FUNDO DE INVESTIMENTO EM DIREITO</t>
        </is>
      </c>
      <c r="E36" s="106" t="inlineStr">
        <is>
          <t>Adquirência</t>
        </is>
      </c>
      <c r="F36" s="106" t="inlineStr">
        <is>
          <t>N/D</t>
        </is>
      </c>
    </row>
    <row r="37" ht="25.5" customHeight="1">
      <c r="A37" s="105" t="n">
        <v>34</v>
      </c>
      <c r="B37" s="148" t="n">
        <v>42085816000105</v>
      </c>
      <c r="C37" s="105" t="inlineStr">
        <is>
          <t>CLOUDWALK KICK ASS I FUNDO DE INVESTIMENTO EM DIREITOS CREDITÓRIOS SEGMENTO MEIOS DE PAGAMENTO</t>
        </is>
      </c>
      <c r="D37" s="105" t="inlineStr">
        <is>
          <t>CLOUDWALK KICK ASS I FUNDO DE INVESTIMENTO EM DIRE</t>
        </is>
      </c>
      <c r="E37" s="105" t="inlineStr">
        <is>
          <t>Adquirência</t>
        </is>
      </c>
      <c r="F37" s="105" t="inlineStr">
        <is>
          <t>N/D</t>
        </is>
      </c>
    </row>
    <row r="38" ht="25.5" customHeight="1">
      <c r="A38" s="106" t="n">
        <v>35</v>
      </c>
      <c r="B38" s="147" t="n">
        <v>38385876000176</v>
      </c>
      <c r="C38" s="106" t="inlineStr">
        <is>
          <t>ESTRATÉGIA EDUCACIONAL FUNDO DE INVESTIMENTO EM DIREITOS CREDITÓRIOS</t>
        </is>
      </c>
      <c r="D38" s="106" t="inlineStr">
        <is>
          <t>ESTRATEGIA EDUCACIONAL FIDC</t>
        </is>
      </c>
      <c r="E38" s="106" t="inlineStr">
        <is>
          <t>Adquirência</t>
        </is>
      </c>
      <c r="F38" s="106" t="inlineStr">
        <is>
          <t>Agenda de recebíveis de transações de pagamento</t>
        </is>
      </c>
    </row>
    <row r="39" ht="25.5" customHeight="1">
      <c r="A39" s="105" t="n">
        <v>36</v>
      </c>
      <c r="B39" s="148" t="n">
        <v>40919667000107</v>
      </c>
      <c r="C39" s="105" t="inlineStr">
        <is>
          <t>RECARGAPAY I FUNDO DE INVESTIMENTO EM DIREITOS CREDITÓRIOS</t>
        </is>
      </c>
      <c r="D39" s="105" t="inlineStr">
        <is>
          <t>RECARGAPAY I FUNDO DE INVESTIMENTO EM DIREITOS CRE</t>
        </is>
      </c>
      <c r="E39" s="105" t="inlineStr">
        <is>
          <t>Adquirência</t>
        </is>
      </c>
      <c r="F39" s="105" t="inlineStr">
        <is>
          <t>N/D</t>
        </is>
      </c>
    </row>
    <row r="40" ht="25.5" customHeight="1">
      <c r="A40" s="106" t="n">
        <v>37</v>
      </c>
      <c r="B40" s="147" t="n">
        <v>42102603000144</v>
      </c>
      <c r="C40" s="106" t="inlineStr">
        <is>
          <t>CLOUDWALK KICK ASS II FUNDO DE INVESTIMENTO EM DIREITOS CREDITÓRIOS SEGMENTO MEIOS DE PAGAMENTO</t>
        </is>
      </c>
      <c r="D40" s="106" t="inlineStr">
        <is>
          <t>CLOUDWALK KICK ASS II FUNDO DE INVESTIMENTO EM DIR</t>
        </is>
      </c>
      <c r="E40" s="106" t="inlineStr">
        <is>
          <t>Adquirência</t>
        </is>
      </c>
      <c r="F40" s="106" t="inlineStr">
        <is>
          <t>N/D</t>
        </is>
      </c>
    </row>
    <row r="41" ht="25.5" customHeight="1">
      <c r="A41" s="105" t="n">
        <v>38</v>
      </c>
      <c r="B41" s="148" t="n">
        <v>28169275000172</v>
      </c>
      <c r="C41" s="105" t="inlineStr">
        <is>
          <t>FUNDO DE INVESTIMENTO EM DIREITOS CREDITÓRIOS PAGSEGURO I</t>
        </is>
      </c>
      <c r="D41" s="105" t="inlineStr">
        <is>
          <t>FUNDO DE INVESTIMENTO EM DIREITOS CREDITORIOS PAGSEGURO I</t>
        </is>
      </c>
      <c r="E41" s="105" t="inlineStr">
        <is>
          <t>Adquirência</t>
        </is>
      </c>
      <c r="F41" s="105" t="inlineStr">
        <is>
          <t>N/D</t>
        </is>
      </c>
    </row>
    <row r="42" ht="25.5" customHeight="1">
      <c r="A42" s="106" t="n">
        <v>39</v>
      </c>
      <c r="B42" s="147" t="n">
        <v>38658727000133</v>
      </c>
      <c r="C42" s="106" t="inlineStr">
        <is>
          <t>FUNDO DE INVESTIMENTO EM DIREITOS CREDITÓRIOS FORNECEDORES MADEIRA MADEIRA I</t>
        </is>
      </c>
      <c r="D42" s="106" t="inlineStr">
        <is>
          <t>FIDC FORNEC MADEIRA MADEIRA I</t>
        </is>
      </c>
      <c r="E42" s="106" t="inlineStr">
        <is>
          <t>Risco Corporativo</t>
        </is>
      </c>
      <c r="F42" s="106" t="inlineStr">
        <is>
          <t>Supplier finance, MadeiraMadeira como devedora</t>
        </is>
      </c>
    </row>
    <row r="43" ht="25.5" customHeight="1">
      <c r="A43" s="105" t="n">
        <v>40</v>
      </c>
      <c r="B43" s="148" t="n">
        <v>52271464000136</v>
      </c>
      <c r="C43" s="105" t="inlineStr">
        <is>
          <t>KIWIFY FUNDO DE INVESTIMENTO EM DIREITOS CREDITÓRIOS SEGMENTO MEIOS DE PAGAMENTO DE RESPONSABILIDADE</t>
        </is>
      </c>
      <c r="D43" s="105" t="inlineStr">
        <is>
          <t>KIWIFY FUNDO DE INVESTIMENTO E</t>
        </is>
      </c>
      <c r="E43" s="105" t="inlineStr">
        <is>
          <t>Adquirência</t>
        </is>
      </c>
      <c r="F43" s="105" t="inlineStr">
        <is>
          <t>N/D</t>
        </is>
      </c>
    </row>
    <row r="44" ht="25.5" customHeight="1">
      <c r="A44" s="106" t="n">
        <v>41</v>
      </c>
      <c r="B44" s="147" t="n">
        <v>29226654000110</v>
      </c>
      <c r="C44" s="106" t="inlineStr">
        <is>
          <t>INVESTCRED FUNDO DE INVESTIMENTO EM DIREITOS CREDITÓRIOS</t>
        </is>
      </c>
      <c r="D44" s="106" t="inlineStr">
        <is>
          <t>INVESTCRED FUNDO DE INVESTIMENTO EM DIREITOS CREDI</t>
        </is>
      </c>
      <c r="E44" s="106" t="inlineStr">
        <is>
          <t>Agro / Revenda</t>
        </is>
      </c>
      <c r="F44" s="106" t="inlineStr">
        <is>
          <t>Cartão/CCB, ecossistema Credsystem</t>
        </is>
      </c>
    </row>
    <row r="45" ht="25.5" customHeight="1">
      <c r="A45" s="105" t="n">
        <v>42</v>
      </c>
      <c r="B45" s="148" t="n">
        <v>54857414000160</v>
      </c>
      <c r="C45" s="105" t="inlineStr">
        <is>
          <t>INDIE MERX RAIZ I CRÉDITO AGRO FIDC DO AGRONEGÓCIO - RESPONSABILIDADE LIMITADA</t>
        </is>
      </c>
      <c r="D45" s="105" t="inlineStr">
        <is>
          <t>INDIE MERX RAIZ I CREDITO AGRO FUNDO DE INVESTIMEN</t>
        </is>
      </c>
      <c r="E45" s="105" t="inlineStr">
        <is>
          <t>Agro / Revenda</t>
        </is>
      </c>
      <c r="F45" s="105" t="inlineStr">
        <is>
          <t>CPR-F de produtores rurais</t>
        </is>
      </c>
    </row>
    <row r="46" ht="25.5" customHeight="1">
      <c r="A46" s="106" t="n">
        <v>43</v>
      </c>
      <c r="B46" s="147" t="n">
        <v>44124465000120</v>
      </c>
      <c r="C46" s="106" t="inlineStr">
        <is>
          <t>TMAQ 21 FUNDO DE INVESTIMENTO EM DIREITOS CREDITÓRIOS DE ARRANJOS DE PAGAMENTO DE RESPONSABILIDADE L</t>
        </is>
      </c>
      <c r="D46" s="106" t="inlineStr">
        <is>
          <t>TMAQ21 FUNDO I E D CREDITORIOS</t>
        </is>
      </c>
      <c r="E46" s="106" t="inlineStr">
        <is>
          <t>Agro / Revenda</t>
        </is>
      </c>
      <c r="F46" s="106" t="inlineStr">
        <is>
          <t>Risco de emissores de cartão / arranjo ACQIO</t>
        </is>
      </c>
    </row>
    <row r="47" ht="25.5" customHeight="1">
      <c r="A47" s="105" t="n">
        <v>44</v>
      </c>
      <c r="B47" s="148" t="n">
        <v>55401645000128</v>
      </c>
      <c r="C47" s="105" t="inlineStr">
        <is>
          <t>QUATÁ FDC FGTS FUNDO DE INVESTIMENTO EM DIREITOS CREDITÓRIOS</t>
        </is>
      </c>
      <c r="D47" s="105" t="inlineStr">
        <is>
          <t>QUATA FIDC FGTS FUNDO DE INVESTIMENTO EM DIREITOS</t>
        </is>
      </c>
      <c r="E47" s="105" t="inlineStr">
        <is>
          <t>Consignado INSS e FGTS</t>
        </is>
      </c>
      <c r="F47" s="105" t="inlineStr">
        <is>
          <t>N/D</t>
        </is>
      </c>
    </row>
    <row r="48" ht="25.5" customHeight="1">
      <c r="A48" s="106" t="n">
        <v>45</v>
      </c>
      <c r="B48" s="147" t="n">
        <v>63622842000103</v>
      </c>
      <c r="C48" s="106" t="inlineStr">
        <is>
          <t>DESBRAVA UNO ARTIGOS ESPORTIVOS FUNDO DE INVESTIMENTO EM DIREITOS CREDITÓRIOS RESP LIMITADA</t>
        </is>
      </c>
      <c r="D48" s="106" t="inlineStr">
        <is>
          <t>DESBRAVA UNO ART ESP FIDC RL</t>
        </is>
      </c>
      <c r="E48" s="106" t="inlineStr">
        <is>
          <t>Risco Corporativo</t>
        </is>
      </c>
      <c r="F48" s="106" t="inlineStr">
        <is>
          <t>Notas comerciais da Dass, projeto de investimento</t>
        </is>
      </c>
    </row>
    <row r="49" ht="25.5" customHeight="1">
      <c r="A49" s="105" t="n">
        <v>46</v>
      </c>
      <c r="B49" s="148" t="n">
        <v>44272584000120</v>
      </c>
      <c r="C49" s="105" t="inlineStr">
        <is>
          <t>LAVORO AGRO FIAGRO - DIREITOS CREDITÓRIOS - RESPONSABILIDADE LIMITADA</t>
        </is>
      </c>
      <c r="D49" s="105" t="inlineStr">
        <is>
          <t>LAVORO AGRO FIDC DAS CADEIAS PRODUTIVAS AGROINDUST</t>
        </is>
      </c>
      <c r="E49" s="105" t="inlineStr">
        <is>
          <t>Agro / Revenda</t>
        </is>
      </c>
      <c r="F49" s="105" t="inlineStr">
        <is>
          <t>Recebíveis do Grupo Lavoro</t>
        </is>
      </c>
    </row>
    <row r="50" ht="25.5" customHeight="1">
      <c r="A50" s="106" t="n">
        <v>47</v>
      </c>
      <c r="B50" s="147" t="n">
        <v>62838025000116</v>
      </c>
      <c r="C50" s="106" t="inlineStr">
        <is>
          <t>ENDURANCE FUNDO DE INVESTIMENTO EM DIREITOS CREDITÓRIOS RESPONSABILIDADE LIMITADA</t>
        </is>
      </c>
      <c r="D50" s="106" t="inlineStr">
        <is>
          <t>TOP 2025 J FIDC RESP LTDA</t>
        </is>
      </c>
      <c r="E50" s="106" t="inlineStr">
        <is>
          <t>Financeiro</t>
        </is>
      </c>
      <c r="F50" s="106" t="inlineStr">
        <is>
          <t>Recebíveis de arranjos de pagamento</t>
        </is>
      </c>
    </row>
    <row r="51" ht="25.5" customHeight="1">
      <c r="A51" s="105" t="n">
        <v>48</v>
      </c>
      <c r="B51" s="148" t="n">
        <v>47280025000150</v>
      </c>
      <c r="C51" s="105" t="inlineStr">
        <is>
          <t>FIDC AGRO CAPITAL FINANCE RESPONSABILIDADE LIMITADA</t>
        </is>
      </c>
      <c r="D51" s="105" t="inlineStr">
        <is>
          <t>FUNDO DE INVESTIMENTO EM DIREITOS CREDITORIOS ALBA</t>
        </is>
      </c>
      <c r="E51" s="105" t="inlineStr">
        <is>
          <t>Agro / Revenda</t>
        </is>
      </c>
      <c r="F51" s="105" t="inlineStr">
        <is>
          <t>Recebíveis Albaugh, insumos agro</t>
        </is>
      </c>
    </row>
    <row r="52" ht="25.5" customHeight="1">
      <c r="A52" s="106" t="n">
        <v>49</v>
      </c>
      <c r="B52" s="147" t="n">
        <v>57270666000187</v>
      </c>
      <c r="C52" s="106" t="inlineStr">
        <is>
          <t>MOBILITAS FUNDO DE INVESTIMENTO EM DIREITOS CREDITÓRIOS - RESPONSABILIDADE LIMITADA</t>
        </is>
      </c>
      <c r="D52" s="106" t="inlineStr">
        <is>
          <t>MOBILITAS FIDC RL</t>
        </is>
      </c>
      <c r="E52" s="106" t="inlineStr">
        <is>
          <t>Agro / Revenda</t>
        </is>
      </c>
      <c r="F52" s="106" t="inlineStr">
        <is>
          <t>Recebíveis performados, Rede como adquirente</t>
        </is>
      </c>
    </row>
    <row r="53" ht="25.5" customHeight="1">
      <c r="A53" s="105" t="n">
        <v>50</v>
      </c>
      <c r="B53" s="148" t="n">
        <v>58288437000152</v>
      </c>
      <c r="C53" s="105" t="inlineStr">
        <is>
          <t>ALTOMAX FUNDO DE INVESTIMENTO EM DIREITOS CREDITÓRIOS SEGMENTO RECEBÍVEIS COMERCIAIS DE RESP LTDA</t>
        </is>
      </c>
      <c r="D53" s="105" t="inlineStr">
        <is>
          <t>ALTOMAX FIDC SEG RECEB COM LTD</t>
        </is>
      </c>
      <c r="E53" s="105" t="inlineStr">
        <is>
          <t>Risco Corporativo</t>
        </is>
      </c>
      <c r="F53" s="105" t="inlineStr">
        <is>
          <t>Recebíveis comerciais Altomax / grupo econômico</t>
        </is>
      </c>
    </row>
    <row r="54" ht="25.5" customHeight="1">
      <c r="A54" s="106" t="n">
        <v>51</v>
      </c>
      <c r="B54" s="147" t="n">
        <v>55476342000174</v>
      </c>
      <c r="C54" s="106" t="inlineStr">
        <is>
          <t>LAVORO AGRO II FIAGRO - DIREITOS CREDITÓRIOS - RESPONSABILIDADE LIMITADA</t>
        </is>
      </c>
      <c r="D54" s="106" t="inlineStr">
        <is>
          <t>LAVORO AGRO II FUNDO DE INVESTIMENTO EM DIREITOS C</t>
        </is>
      </c>
      <c r="E54" s="106" t="inlineStr">
        <is>
          <t>Agro / Revenda</t>
        </is>
      </c>
      <c r="F54" s="106" t="inlineStr">
        <is>
          <t>Recebíveis do Grupo Lavoro</t>
        </is>
      </c>
    </row>
    <row r="55" ht="25.5" customHeight="1">
      <c r="A55" s="105" t="n">
        <v>52</v>
      </c>
      <c r="B55" s="148" t="n">
        <v>63679792000192</v>
      </c>
      <c r="C55" s="105" t="inlineStr">
        <is>
          <t>BLUE HEALTH FIDC RECEBÍVEIS COMERCIAIS DE RESPONSABILIDADE LIMITADA</t>
        </is>
      </c>
      <c r="D55" s="105" t="inlineStr">
        <is>
          <t>BLUE HEALTH FIDC RECEB LTDA</t>
        </is>
      </c>
      <c r="E55" s="105" t="inlineStr">
        <is>
          <t>Risco Corporativo</t>
        </is>
      </c>
      <c r="F55" s="105" t="inlineStr">
        <is>
          <t>Locação de equipamentos médicos</t>
        </is>
      </c>
    </row>
    <row r="56" ht="25.5" customHeight="1">
      <c r="A56" s="106" t="n">
        <v>53</v>
      </c>
      <c r="B56" s="147" t="n">
        <v>42154687000160</v>
      </c>
      <c r="C56" s="106" t="inlineStr">
        <is>
          <t>MULTIPLIKE PLUS FUNDO DE INVESTIMENTO EM DIREITOS CREDITÓRIOS</t>
        </is>
      </c>
      <c r="D56" s="106" t="inlineStr">
        <is>
          <t>MULTIPLIKE PLUS FUNDO I D CRED</t>
        </is>
      </c>
      <c r="E56" s="106" t="inlineStr">
        <is>
          <t>Financeiro</t>
        </is>
      </c>
      <c r="F56" s="106" t="inlineStr">
        <is>
          <t>Multissetorial com predominância permitida de CCB</t>
        </is>
      </c>
    </row>
    <row r="57" ht="25.5" customHeight="1">
      <c r="A57" s="105" t="n">
        <v>54</v>
      </c>
      <c r="B57" s="148" t="n">
        <v>48946335000123</v>
      </c>
      <c r="C57" s="105" t="inlineStr">
        <is>
          <t>NAGRO OIKOS FUNDO DE INVESTIMENTO NAS CADEIAS PRODUTIVAS DO AGRONEGÓCIO</t>
        </is>
      </c>
      <c r="D57" s="105" t="inlineStr">
        <is>
          <t>NAGRO OIKOS FIAGRO FUNDO DE INVESTIMENTO EM DIREI</t>
        </is>
      </c>
      <c r="E57" s="105" t="inlineStr">
        <is>
          <t>Agro / Revenda</t>
        </is>
      </c>
      <c r="F57" s="105" t="inlineStr">
        <is>
          <t>Multicedente FIAGRO, lastro específico pendente</t>
        </is>
      </c>
    </row>
    <row r="58" ht="25.5" customHeight="1">
      <c r="A58" s="106" t="n">
        <v>55</v>
      </c>
      <c r="B58" s="147" t="n">
        <v>55374251000128</v>
      </c>
      <c r="C58" s="106" t="inlineStr">
        <is>
          <t>FUNDO DE INVESTIMENTO EM DIREITOS CREDITÓRIOS BLUE II SEGMENTO CRÉDITO CORPORATIVO DE RESP LTDA</t>
        </is>
      </c>
      <c r="D58" s="106" t="inlineStr">
        <is>
          <t>FUNDO DE INVESTIMENTO EM DIREITOS CREDITORIOS BLUE</t>
        </is>
      </c>
      <c r="E58" s="106" t="inlineStr">
        <is>
          <t>Agro / Revenda</t>
        </is>
      </c>
      <c r="F58" s="106" t="inlineStr">
        <is>
          <t>Debênture / risco Azul</t>
        </is>
      </c>
    </row>
    <row r="59" ht="25.5" customHeight="1">
      <c r="A59" s="105" t="n">
        <v>57</v>
      </c>
      <c r="B59" s="148" t="n">
        <v>48953864000154</v>
      </c>
      <c r="C59" s="105" t="inlineStr">
        <is>
          <t>FUNDO DE INVESTIMENTO EM DIREITOS CREDITORIOS ASAAS II - RESPONSABILIDADE LIMITADA</t>
        </is>
      </c>
      <c r="D59" s="105" t="inlineStr">
        <is>
          <t>FUNDO INVESTIMENTO E D C A II</t>
        </is>
      </c>
      <c r="E59" s="105" t="inlineStr">
        <is>
          <t>Adquirência</t>
        </is>
      </c>
      <c r="F59" s="105" t="inlineStr">
        <is>
          <t>URs de transações de pagamento Asaas</t>
        </is>
      </c>
    </row>
    <row r="60" ht="25.5" customHeight="1">
      <c r="A60" s="106" t="n">
        <v>58</v>
      </c>
      <c r="B60" s="147" t="n">
        <v>65976848000104</v>
      </c>
      <c r="C60" s="106" t="inlineStr">
        <is>
          <t>FUNDO DE INVESTIMENTO EM DIREITOS CREDITÓRIOS AGIBANK II RESPONSABILIDADE LIMITADA</t>
        </is>
      </c>
      <c r="D60" s="106" t="inlineStr">
        <is>
          <t>FUNDO DE INVESTIMENTO EM DIREITOS CREDITORIOS AGIBANK II</t>
        </is>
      </c>
      <c r="E60" s="106" t="inlineStr">
        <is>
          <t>Consignado INSS e FGTS</t>
        </is>
      </c>
      <c r="F60" s="106" t="inlineStr">
        <is>
          <t>N/D</t>
        </is>
      </c>
    </row>
    <row r="61" ht="25.5" customHeight="1">
      <c r="A61" s="105" t="n">
        <v>59</v>
      </c>
      <c r="B61" s="148" t="n">
        <v>50536324000117</v>
      </c>
      <c r="C61" s="105" t="inlineStr">
        <is>
          <t>MAQNELSON FUNDO DE INVESTIMENTO EM DIREITOS CREDITÓRIOS - RESPONSABILIDADE LIMITADA</t>
        </is>
      </c>
      <c r="D61" s="105" t="inlineStr">
        <is>
          <t>MAQNELSON FUNDO DE INVESTIMENTO EM DIREITOS CREDIT</t>
        </is>
      </c>
      <c r="E61" s="105" t="inlineStr">
        <is>
          <t>Agro / Revenda</t>
        </is>
      </c>
      <c r="F61" s="105" t="inlineStr">
        <is>
          <t>Venda a prazo de máquinas e implementos Maqnelson</t>
        </is>
      </c>
    </row>
    <row r="62" ht="25.5" customHeight="1">
      <c r="A62" s="106" t="n">
        <v>60</v>
      </c>
      <c r="B62" s="147" t="n">
        <v>57816252000100</v>
      </c>
      <c r="C62" s="106" t="inlineStr">
        <is>
          <t>NATURA PAY FUNDO DE INVESTIMENTO EM DIREITOS CREDITÓRIOS CRÉDITO PESSOAL SOCIAL E IS RESP LTDA</t>
        </is>
      </c>
      <c r="D62" s="106" t="inlineStr">
        <is>
          <t>NATURA PAY FUNDO DE INVESTIMENTO EM DIREITOS CREDI</t>
        </is>
      </c>
      <c r="E62" s="106" t="inlineStr">
        <is>
          <t>Financeiro</t>
        </is>
      </c>
      <c r="F62" s="106" t="inlineStr">
        <is>
          <t>Financiamento a consultoras Natura, CCBs</t>
        </is>
      </c>
    </row>
    <row r="63" ht="25.5" customHeight="1">
      <c r="A63" s="105" t="n">
        <v>61</v>
      </c>
      <c r="B63" s="148" t="n">
        <v>50473039000102</v>
      </c>
      <c r="C63" s="105" t="inlineStr">
        <is>
          <t>SELLER FIDC SEGMENTO MEIOS DE PAGAMENTO DE RESPONSABILIDADE LIMITADA</t>
        </is>
      </c>
      <c r="D63" s="105" t="inlineStr">
        <is>
          <t>SELLER FUNDO DE INVESTIMENTO EM DIREITOS CREDITORIOS</t>
        </is>
      </c>
      <c r="E63" s="105" t="inlineStr">
        <is>
          <t>Adquirência</t>
        </is>
      </c>
      <c r="F63" s="105" t="inlineStr">
        <is>
          <t>N/D</t>
        </is>
      </c>
    </row>
    <row r="64" ht="25.5" customHeight="1">
      <c r="A64" s="106" t="n">
        <v>62</v>
      </c>
      <c r="B64" s="147" t="n">
        <v>62588266000154</v>
      </c>
      <c r="C64" s="106" t="inlineStr">
        <is>
          <t>VTK FUNDO DE INVESTIMENTO EM DIREITOS CREDITÓRIOS RESPONSABILIDADE LIMITADA</t>
        </is>
      </c>
      <c r="D64" s="106" t="inlineStr">
        <is>
          <t>VTK FIDC RESP LIMIT</t>
        </is>
      </c>
      <c r="E64" s="106" t="inlineStr">
        <is>
          <t>Consignado INSS e FGTS</t>
        </is>
      </c>
      <c r="F64" s="106" t="inlineStr">
        <is>
          <t>N/D</t>
        </is>
      </c>
    </row>
    <row r="65" ht="25.5" customHeight="1">
      <c r="A65" s="105" t="n">
        <v>63</v>
      </c>
      <c r="B65" s="148" t="n">
        <v>50988212000105</v>
      </c>
      <c r="C65" s="105" t="inlineStr">
        <is>
          <t>CARTÃO DE COMPRA SUPPLIER FUNDO DE INVESTIMENTO EM DIREITOS CREDITÓRIOS II-RESPONSABILIDADE LIMITADA</t>
        </is>
      </c>
      <c r="D65" s="105" t="inlineStr">
        <is>
          <t>CARTAO DE COMPRA SUPPLIER FUNDO DE INVESTIMENTO EM</t>
        </is>
      </c>
      <c r="E65" s="105" t="inlineStr">
        <is>
          <t>Financeiro</t>
        </is>
      </c>
      <c r="F65" s="105" t="inlineStr">
        <is>
          <t>Crédito comercial/PME segurado</t>
        </is>
      </c>
    </row>
    <row r="66" ht="25.5" customHeight="1">
      <c r="A66" s="106" t="n">
        <v>64</v>
      </c>
      <c r="B66" s="147" t="n">
        <v>58476088000100</v>
      </c>
      <c r="C66" s="106" t="inlineStr">
        <is>
          <t>SAGA FUNDO DE INVESTIMENTO EM DIREITOS CREDITÓRIOS CRÉDITO PRIVADO - RESPONSABILIDADE LIMITADA</t>
        </is>
      </c>
      <c r="D66" s="106" t="inlineStr">
        <is>
          <t>CONSORCIO DALTEZ</t>
        </is>
      </c>
      <c r="E66" s="106" t="inlineStr">
        <is>
          <t>Risco Corporativo</t>
        </is>
      </c>
      <c r="F66" s="106" t="inlineStr">
        <is>
          <t>Notas comerciais de empresas/devedores</t>
        </is>
      </c>
    </row>
    <row r="67" ht="25.5" customHeight="1">
      <c r="A67" s="105" t="n">
        <v>65</v>
      </c>
      <c r="B67" s="148" t="n">
        <v>58349979000198</v>
      </c>
      <c r="C67" s="105" t="inlineStr">
        <is>
          <t>VOLKSWAGEN TERA FUNDO DE INVESTIMENTO EM DIREITOS CREDITÓRIOS RECEBÍVEIS COMERCIAIS RESP LTDA</t>
        </is>
      </c>
      <c r="D67" s="105" t="inlineStr">
        <is>
          <t>VOLKSWAGEN TERA FIDC SEGMENTO RECEBIVEIS COMERCIAI</t>
        </is>
      </c>
      <c r="E67" s="105" t="inlineStr">
        <is>
          <t>Risco Corporativo</t>
        </is>
      </c>
      <c r="F67" s="105" t="inlineStr">
        <is>
          <t>Recebíveis comerciais Volkswagen</t>
        </is>
      </c>
    </row>
    <row r="68" ht="25.5" customHeight="1">
      <c r="A68" s="106" t="n">
        <v>66</v>
      </c>
      <c r="B68" s="147" t="n">
        <v>54559035000194</v>
      </c>
      <c r="C68" s="106" t="inlineStr">
        <is>
          <t>ESTRATÉGIA VINCULADA I FUNDO DE INVESTIMENTO EM DIREITOS CREDITÓRIOS - RESPONSABILIDADE LIMITADA</t>
        </is>
      </c>
      <c r="D68" s="106" t="inlineStr">
        <is>
          <t>FUNDO DE INVESTIMENTO EM DIREITOS CREDITORIOS RESP</t>
        </is>
      </c>
      <c r="E68" s="106" t="inlineStr">
        <is>
          <t>Financeiro</t>
        </is>
      </c>
      <c r="F68" s="106" t="inlineStr">
        <is>
          <t>CDB Banco IBM vinculado a contratos de leasing</t>
        </is>
      </c>
    </row>
    <row r="69" ht="25.5" customHeight="1">
      <c r="A69" s="105" t="n">
        <v>67</v>
      </c>
      <c r="B69" s="148" t="n">
        <v>55070804000159</v>
      </c>
      <c r="C69" s="105" t="inlineStr">
        <is>
          <t>ESTRATÉGIA VINCULADA II FUNDO DE INVESTIMENTO EM DIREITOS CREDITÓRIOS - RESPONSABILIDADE LIMITADA</t>
        </is>
      </c>
      <c r="D69" s="105" t="inlineStr">
        <is>
          <t>ESTRATEGIA VINCULADA II FUNDO DE INVESTIMENTO EM D</t>
        </is>
      </c>
      <c r="E69" s="105" t="inlineStr">
        <is>
          <t>Financeiro</t>
        </is>
      </c>
      <c r="F69" s="105" t="inlineStr">
        <is>
          <t>CDB Banco IBM vinculado a contratos de leasing</t>
        </is>
      </c>
    </row>
    <row r="70" ht="25.5" customHeight="1">
      <c r="A70" s="106" t="n">
        <v>68</v>
      </c>
      <c r="B70" s="147" t="n">
        <v>43866348000179</v>
      </c>
      <c r="C70" s="106" t="inlineStr">
        <is>
          <t>FUNDO DE INVESTIMENTO EM DIREITOS CREDITÓRIOS OPEA AGRO SUMITOMO CHEMICAL RESP LIMITADA</t>
        </is>
      </c>
      <c r="D70" s="106" t="inlineStr">
        <is>
          <t>FUNDO DE INVESTIMENTO EM DIREITOS CREDITORIOS OPEA</t>
        </is>
      </c>
      <c r="E70" s="106" t="inlineStr">
        <is>
          <t>Agro / Revenda</t>
        </is>
      </c>
      <c r="F70" s="106" t="inlineStr">
        <is>
          <t>NP, CPR-F e CDCA da cadeia de insumos</t>
        </is>
      </c>
    </row>
    <row r="71" ht="25.5" customHeight="1">
      <c r="A71" s="105" t="n">
        <v>69</v>
      </c>
      <c r="B71" s="148" t="n">
        <v>47936340000192</v>
      </c>
      <c r="C71" s="105" t="inlineStr">
        <is>
          <t>FUNDO DE INVESTIMENTO NAS CADEIAS PRODUTIVAS AGROINDUSTRIAIS OPEA AGRO INSUMOS RESPONSABILIDADE LIMI</t>
        </is>
      </c>
      <c r="D71" s="105" t="inlineStr">
        <is>
          <t>FUNDO DE INVESTIMENTO EM DIREITOS CREDITORIOS OPEA</t>
        </is>
      </c>
      <c r="E71" s="105" t="inlineStr">
        <is>
          <t>Agro / Revenda</t>
        </is>
      </c>
      <c r="F71" s="105" t="inlineStr">
        <is>
          <t>Insumos agrícolas, prazo safra BASF</t>
        </is>
      </c>
    </row>
    <row r="72" ht="25.5" customHeight="1">
      <c r="A72" s="106" t="n">
        <v>70</v>
      </c>
      <c r="B72" s="147" t="n">
        <v>58291962000127</v>
      </c>
      <c r="C72" s="106" t="inlineStr">
        <is>
          <t>HELM FUNDO DE INVESTIMENTO NAS CADEIAS PRODUTIVAS DO AGRONEGÓCIO - RESPONSABILIDADE LIMITADA</t>
        </is>
      </c>
      <c r="D72" s="106" t="inlineStr">
        <is>
          <t>HELM FUNDO I E D C RESPONS</t>
        </is>
      </c>
      <c r="E72" s="106" t="inlineStr">
        <is>
          <t>Agro / Revenda</t>
        </is>
      </c>
      <c r="F72" s="106" t="inlineStr">
        <is>
          <t>Recebíveis comerciais HELM na cadeia agro</t>
        </is>
      </c>
    </row>
    <row r="73" ht="25.5" customHeight="1">
      <c r="A73" s="105" t="n">
        <v>71</v>
      </c>
      <c r="B73" s="148" t="n">
        <v>57259989000170</v>
      </c>
      <c r="C73" s="105" t="inlineStr">
        <is>
          <t>TRÊS TENTOS FIAGRO RESPONSABILIDADE LIMITADA</t>
        </is>
      </c>
      <c r="D73" s="105" t="inlineStr">
        <is>
          <t>TRES TENTOS FUNDO DE INVESTIMENTO EM DIREITOS CRE</t>
        </is>
      </c>
      <c r="E73" s="105" t="inlineStr">
        <is>
          <t>Agro / Revenda</t>
        </is>
      </c>
      <c r="F73" s="105" t="inlineStr">
        <is>
          <t>Recebíveis e CPR da 3Tentos</t>
        </is>
      </c>
    </row>
    <row r="74" ht="25.5" customHeight="1">
      <c r="A74" s="106" t="n">
        <v>72</v>
      </c>
      <c r="B74" s="147" t="n">
        <v>58171340000165</v>
      </c>
      <c r="C74" s="106" t="inlineStr">
        <is>
          <t>FRIMESA FUNDO DE INVESTIMENTO EM DIREITOS CREDITÓRIOS DE RESPONSABILIDADE LIMITADA</t>
        </is>
      </c>
      <c r="D74" s="106" t="inlineStr">
        <is>
          <t>FRIMESA FUNDO DE INVESTIMENTO EM DIREITOS CREDITOR</t>
        </is>
      </c>
      <c r="E74" s="106" t="inlineStr">
        <is>
          <t>Agro / Revenda</t>
        </is>
      </c>
      <c r="F74" s="106" t="inlineStr">
        <is>
          <t>Recebíveis comerciais contra supermercados</t>
        </is>
      </c>
    </row>
    <row r="75" ht="25.5" customHeight="1">
      <c r="A75" s="105" t="n">
        <v>73</v>
      </c>
      <c r="B75" s="148" t="n">
        <v>51554551000138</v>
      </c>
      <c r="C75" s="105" t="inlineStr">
        <is>
          <t>CLASSE ÚNICA DO FIDC CRÉDITO NITRO AGRO - RESPONSABILIDADE LIMITADA</t>
        </is>
      </c>
      <c r="D75" s="105" t="inlineStr">
        <is>
          <t>CLASSE UNICA DO FIDC CREDITO NITRO AGRO RESPONSA</t>
        </is>
      </c>
      <c r="E75" s="105" t="inlineStr">
        <is>
          <t>Agro / Revenda</t>
        </is>
      </c>
      <c r="F75" s="105" t="inlineStr">
        <is>
          <t>Venda de insumos a produtores e distribuidores</t>
        </is>
      </c>
    </row>
    <row r="76" ht="25.5" customHeight="1">
      <c r="A76" s="106" t="n">
        <v>74</v>
      </c>
      <c r="B76" s="147" t="n">
        <v>57752597000148</v>
      </c>
      <c r="C76" s="106" t="inlineStr">
        <is>
          <t>AGROMERCANTIL CRÉDITO AGRO FUNDO DE INVESTIMENTO EM DIREITOS CREDITÓRIOS - RESPONSABILIDADE LIMITADA</t>
        </is>
      </c>
      <c r="D76" s="106" t="inlineStr">
        <is>
          <t>AGROMERCANTIL CREDITO AGRO FUNDO DE INVESTIMENTO EM DIREITOS CREDITORIOS</t>
        </is>
      </c>
      <c r="E76" s="106" t="inlineStr">
        <is>
          <t>Agro / Revenda</t>
        </is>
      </c>
      <c r="F76" s="106" t="inlineStr">
        <is>
          <t>Comercialização de grãos</t>
        </is>
      </c>
    </row>
    <row r="77" ht="25.5" customHeight="1">
      <c r="A77" s="105" t="n">
        <v>75</v>
      </c>
      <c r="B77" s="148" t="n">
        <v>47425750000179</v>
      </c>
      <c r="C77" s="105" t="inlineStr">
        <is>
          <t>CEREALIS FUNDO DE INVESTIMENTO EM DIREITOS CREDITÓRIOS</t>
        </is>
      </c>
      <c r="D77" s="105" t="inlineStr">
        <is>
          <t>FIDC CROPFIELD CEREALIS</t>
        </is>
      </c>
      <c r="E77" s="105" t="inlineStr">
        <is>
          <t>Agro / Revenda</t>
        </is>
      </c>
      <c r="F77" s="105" t="inlineStr">
        <is>
          <t>Lastro agro não isolado</t>
        </is>
      </c>
    </row>
    <row r="78" ht="25.5" customHeight="1">
      <c r="A78" s="106" t="n">
        <v>76</v>
      </c>
      <c r="B78" s="147" t="n">
        <v>37035970000132</v>
      </c>
      <c r="C78" s="106" t="inlineStr">
        <is>
          <t>CD CASH FUNDO DE INVESTIMENTO EM DIREITOS CREDITÓRIOS RESPONSABILIDADE LIMITADA</t>
        </is>
      </c>
      <c r="D78" s="106" t="inlineStr">
        <is>
          <t>CD BANCK FIDC</t>
        </is>
      </c>
      <c r="E78" s="106" t="inlineStr">
        <is>
          <t>Agro / Revenda</t>
        </is>
      </c>
      <c r="F78" s="106" t="inlineStr">
        <is>
          <t>Insumos agrícolas, inclui não performados</t>
        </is>
      </c>
    </row>
    <row r="79" ht="25.5" customHeight="1">
      <c r="A79" s="105" t="n">
        <v>77</v>
      </c>
      <c r="B79" s="148" t="n">
        <v>17468142000180</v>
      </c>
      <c r="C79" s="105" t="inlineStr">
        <is>
          <t>VALOREM FUNDO DE INVESTIMENTO EM DIREITOS CREDITÓRIOS MULTISETORIAL RESPONSABILIDADE LIMITADA</t>
        </is>
      </c>
      <c r="D79" s="105" t="inlineStr">
        <is>
          <t>VALOREM FIDC MULTISSETORIAL</t>
        </is>
      </c>
      <c r="E79" s="105" t="inlineStr">
        <is>
          <t>Factoring</t>
        </is>
      </c>
      <c r="F79" s="105" t="inlineStr">
        <is>
          <t>N/D</t>
        </is>
      </c>
    </row>
    <row r="80" ht="25.5" customHeight="1">
      <c r="A80" s="106" t="n">
        <v>78</v>
      </c>
      <c r="B80" s="147" t="n">
        <v>29492605000129</v>
      </c>
      <c r="C80" s="106" t="inlineStr">
        <is>
          <t>GAZIN FUNDO DE INVESTIMENTO EM DIREITOS CREDITÓRIOS MULTISSEGMENTOS - RESPONSABILIDADE LIMITADA</t>
        </is>
      </c>
      <c r="D80" s="106" t="inlineStr">
        <is>
          <t>GAZIN FUNDO DE INVESTIMENTO EM DIREITOS CREDITORIO</t>
        </is>
      </c>
      <c r="E80" s="106" t="inlineStr">
        <is>
          <t>Agro / Revenda</t>
        </is>
      </c>
      <c r="F80" s="106" t="inlineStr">
        <is>
          <t>Recebíveis Gazin, natureza contratual não isolada</t>
        </is>
      </c>
    </row>
    <row r="81" ht="25.5" customHeight="1">
      <c r="A81" s="105" t="n">
        <v>79</v>
      </c>
      <c r="B81" s="148" t="n">
        <v>31739396000117</v>
      </c>
      <c r="C81" s="105" t="inlineStr">
        <is>
          <t>LF III FUNDO DE INVESTIMENTO EM DIREITOS CREDITÓRIOS DE RESPONSABILIDADE LIMITADA</t>
        </is>
      </c>
      <c r="D81" s="105" t="inlineStr">
        <is>
          <t>FIDC LF III</t>
        </is>
      </c>
      <c r="E81" s="105" t="inlineStr">
        <is>
          <t>Adquirência</t>
        </is>
      </c>
      <c r="F81" s="105" t="inlineStr">
        <is>
          <t>N/D</t>
        </is>
      </c>
    </row>
    <row r="82" ht="25.5" customHeight="1">
      <c r="A82" s="106" t="n">
        <v>80</v>
      </c>
      <c r="B82" s="147" t="n">
        <v>26749095000134</v>
      </c>
      <c r="C82" s="106" t="inlineStr">
        <is>
          <t>PRAVALER CRÉDITO UNIVERSITÁRIO II FUNDO DE INVESTIMENTO EM DIREITOS CREDITÓRIOS - RESP LIMITADAL</t>
        </is>
      </c>
      <c r="D82" s="106" t="inlineStr">
        <is>
          <t>CREDITO UNIVERSITARIO II FUNDO DE INVESTIMENTO EM</t>
        </is>
      </c>
      <c r="E82" s="106" t="inlineStr">
        <is>
          <t>Financeiro</t>
        </is>
      </c>
      <c r="F82" s="106" t="inlineStr">
        <is>
          <t>Crédito estudantil</t>
        </is>
      </c>
    </row>
    <row r="83" ht="25.5" customHeight="1">
      <c r="A83" s="105" t="n">
        <v>81</v>
      </c>
      <c r="B83" s="148" t="n">
        <v>62393829000159</v>
      </c>
      <c r="C83" s="105" t="inlineStr">
        <is>
          <t>FUNDO DE INVESTIMENTO EM DIREITOS CREDITÓRIOS COMERCIAIS MEDICI I - RESPONSABILIDADE LIMITADA</t>
        </is>
      </c>
      <c r="D83" s="105" t="inlineStr">
        <is>
          <t>TOP 2025 V FIDC RESP LIMITADA</t>
        </is>
      </c>
      <c r="E83" s="105" t="inlineStr">
        <is>
          <t>Risco Corporativo</t>
        </is>
      </c>
      <c r="F83" s="105" t="inlineStr">
        <is>
          <t>Monosacado/concentrado BRF e Marfrig</t>
        </is>
      </c>
    </row>
    <row r="84" ht="25.5" customHeight="1">
      <c r="A84" s="106" t="n">
        <v>82</v>
      </c>
      <c r="B84" s="147" t="n">
        <v>47640584000123</v>
      </c>
      <c r="C84" s="106" t="inlineStr">
        <is>
          <t>SOL AGORA GREEN ESG FIDC IS SEGMENTO FINANCEIRO DE RESPONSABILIDADE LIMITADA</t>
        </is>
      </c>
      <c r="D84" s="106" t="inlineStr">
        <is>
          <t>SOL AGORA GREEN ESG FIDC IS SEGMENTO FINANCEIRO DE</t>
        </is>
      </c>
      <c r="E84" s="106" t="inlineStr">
        <is>
          <t>Financeiro</t>
        </is>
      </c>
      <c r="F84" s="106" t="inlineStr">
        <is>
          <t>Financiamento solar, CCBs</t>
        </is>
      </c>
    </row>
    <row r="85" ht="25.5" customHeight="1">
      <c r="A85" s="105" t="n">
        <v>83</v>
      </c>
      <c r="B85" s="148" t="n">
        <v>57028406000108</v>
      </c>
      <c r="C85" s="105" t="inlineStr">
        <is>
          <t>IS GREEN SOLFÁCIL VI FUNDO DE INVESTIMENTO EM DIREITOS CREDITÓRIOS RESPONSABILIDADE LIMITADA</t>
        </is>
      </c>
      <c r="D85" s="105" t="inlineStr">
        <is>
          <t>IS GREEN SOLFACIL VI FIDC RL</t>
        </is>
      </c>
      <c r="E85" s="105" t="inlineStr">
        <is>
          <t>Financeiro</t>
        </is>
      </c>
      <c r="F85" s="105" t="inlineStr">
        <is>
          <t>Financiamento solar, recebíveis performados</t>
        </is>
      </c>
    </row>
    <row r="86" ht="25.5" customHeight="1">
      <c r="A86" s="106" t="n">
        <v>84</v>
      </c>
      <c r="B86" s="147" t="n">
        <v>31570767000180</v>
      </c>
      <c r="C86" s="106" t="inlineStr">
        <is>
          <t>FUNDO DE INVESTIMENTO EM DIREITOS CREDITÓRIOS TRADEPAY VAREJO I - RESPONSABILIDADE LIMITADA</t>
        </is>
      </c>
      <c r="D86" s="106" t="inlineStr">
        <is>
          <t>FUNDO DE INVESTIMENTO EM DIREITOS</t>
        </is>
      </c>
      <c r="E86" s="106" t="inlineStr">
        <is>
          <t>Risco Corporativo</t>
        </is>
      </c>
      <c r="F86" s="106" t="inlineStr">
        <is>
          <t>Recebíveis comerciais pulverizados Trademaster</t>
        </is>
      </c>
    </row>
    <row r="87" ht="25.5" customHeight="1">
      <c r="A87" s="105" t="n">
        <v>85</v>
      </c>
      <c r="B87" s="148" t="n">
        <v>54464892000100</v>
      </c>
      <c r="C87" s="105" t="inlineStr">
        <is>
          <t>FUNDO DE INVESTIMENTO EM DIREITOS CREDITÓRIOS MT FGTS RECEIVABLES II</t>
        </is>
      </c>
      <c r="D87" s="105" t="inlineStr">
        <is>
          <t>FUNDO I E D C MF RECEIV</t>
        </is>
      </c>
      <c r="E87" s="105" t="inlineStr">
        <is>
          <t>Consignado INSS e FGTS</t>
        </is>
      </c>
      <c r="F87" s="105" t="inlineStr">
        <is>
          <t>N/D</t>
        </is>
      </c>
    </row>
    <row r="88" ht="25.5" customHeight="1">
      <c r="A88" s="106" t="n">
        <v>86</v>
      </c>
      <c r="B88" s="147" t="n">
        <v>11468186000124</v>
      </c>
      <c r="C88" s="106" t="inlineStr">
        <is>
          <t>ATLANTA FUNDO DE INVESTIMENTO EM DIREITOS CREDITÓRIOS DE RESPONSABILIDADE LIMITADA</t>
        </is>
      </c>
      <c r="D88" s="106" t="inlineStr">
        <is>
          <t>ATLANTA FIDC NAO PADRONIZADO</t>
        </is>
      </c>
      <c r="E88" s="106" t="inlineStr">
        <is>
          <t>Factoring</t>
        </is>
      </c>
      <c r="F88" s="106" t="inlineStr">
        <is>
          <t>N/D</t>
        </is>
      </c>
    </row>
    <row r="89" ht="25.5" customHeight="1">
      <c r="A89" s="105" t="n">
        <v>87</v>
      </c>
      <c r="B89" s="148" t="n">
        <v>43193260000133</v>
      </c>
      <c r="C89" s="105" t="inlineStr">
        <is>
          <t>RESIDENCE CLUB FUNDO DE INVESTIMENTO EM DIREITOS CREDITÓRIOS</t>
        </is>
      </c>
      <c r="D89" s="105" t="inlineStr">
        <is>
          <t>RESIDENCE CLUB FIDC</t>
        </is>
      </c>
      <c r="E89" s="105" t="inlineStr">
        <is>
          <t>Financeiro</t>
        </is>
      </c>
      <c r="F89" s="105" t="inlineStr">
        <is>
          <t>Tipo de crédito não isolado</t>
        </is>
      </c>
    </row>
    <row r="90" ht="25.5" customHeight="1">
      <c r="A90" s="106" t="n">
        <v>88</v>
      </c>
      <c r="B90" s="147" t="n">
        <v>58152340000118</v>
      </c>
      <c r="C90" s="106" t="inlineStr">
        <is>
          <t>MONEE II FUNDO DE INVESTIMENTO EM DIREITOS CREDITÓRIOS SEGMENTO FINANCEIRO - RESP. LIMITADA</t>
        </is>
      </c>
      <c r="D90" s="106" t="inlineStr">
        <is>
          <t>MONEE II FUNDO DE INVESTIMENTO</t>
        </is>
      </c>
      <c r="E90" s="106" t="inlineStr">
        <is>
          <t>Financeiro</t>
        </is>
      </c>
      <c r="F90" s="106" t="inlineStr">
        <is>
          <t>Empréstimos Monee SCD, CCBs</t>
        </is>
      </c>
    </row>
    <row r="91" ht="25.5" customHeight="1">
      <c r="A91" s="105" t="n">
        <v>89</v>
      </c>
      <c r="B91" s="148" t="n">
        <v>52340225000190</v>
      </c>
      <c r="C91" s="105" t="inlineStr">
        <is>
          <t>INOVA CREDTECH III FIDC SEGMENTO MULTICARTEIRA DE RESPONSABILIDADE LIMITADA</t>
        </is>
      </c>
      <c r="D91" s="105" t="inlineStr">
        <is>
          <t>INOVA CREDTECH III FUNDO DE INVESTIMENTO</t>
        </is>
      </c>
      <c r="E91" s="105" t="inlineStr">
        <is>
          <t>Risco Corporativo</t>
        </is>
      </c>
      <c r="F91" s="105" t="inlineStr">
        <is>
          <t>Duplicatas, notas comerciais e CCBs corporativas</t>
        </is>
      </c>
    </row>
    <row r="92" ht="25.5" customHeight="1">
      <c r="A92" s="106" t="n">
        <v>90</v>
      </c>
      <c r="B92" s="147" t="n">
        <v>63546406000194</v>
      </c>
      <c r="C92" s="106" t="inlineStr">
        <is>
          <t>PINE INSS III FUNDO DE INVESTIMENTO EM DIREITOS CREDITÓRIOS RESPONSABILIDADE LIMITADA</t>
        </is>
      </c>
      <c r="D92" s="106" t="inlineStr">
        <is>
          <t>PINE INSS III FUNDO DE INVESTIMENTO EM DIREITOS CREDITORIOS RESPONSABILIDADE</t>
        </is>
      </c>
      <c r="E92" s="106" t="inlineStr">
        <is>
          <t>Consignado INSS e FGTS</t>
        </is>
      </c>
      <c r="F92" s="106" t="inlineStr">
        <is>
          <t>N/D</t>
        </is>
      </c>
    </row>
    <row r="93" ht="25.5" customHeight="1">
      <c r="A93" s="105" t="n">
        <v>91</v>
      </c>
      <c r="B93" s="148" t="n">
        <v>37294759000134</v>
      </c>
      <c r="C93" s="105" t="inlineStr">
        <is>
          <t>GALLERIA HOME EQUITY FIDC</t>
        </is>
      </c>
      <c r="D93" s="105" t="inlineStr">
        <is>
          <t>FUNDO I E D C GALLERIA</t>
        </is>
      </c>
      <c r="E93" s="105" t="inlineStr">
        <is>
          <t>Financeiro</t>
        </is>
      </c>
      <c r="F93" s="105" t="inlineStr">
        <is>
          <t>Home equity PF/PJ, CCB com alienação fiduciária</t>
        </is>
      </c>
    </row>
    <row r="94" ht="25.5" customHeight="1">
      <c r="A94" s="106" t="n">
        <v>92</v>
      </c>
      <c r="B94" s="147" t="n">
        <v>42085830000109</v>
      </c>
      <c r="C94" s="106" t="inlineStr">
        <is>
          <t>CLOUDWALK AKIRA I FUNDO DE INVESTIMENTO EM DIREITOS CREDITÓRIOS SEGMENTO MEIOS DE PAGAMENTO</t>
        </is>
      </c>
      <c r="D94" s="106" t="inlineStr">
        <is>
          <t>CLOUDWALK AKIRA I FUNDO DE INVESTIMENTO EM DIREITO</t>
        </is>
      </c>
      <c r="E94" s="106" t="inlineStr">
        <is>
          <t>Adquirência</t>
        </is>
      </c>
      <c r="F94" s="106" t="inlineStr">
        <is>
          <t>N/D</t>
        </is>
      </c>
    </row>
    <row r="95" ht="25.5" customHeight="1">
      <c r="A95" s="105" t="n">
        <v>93</v>
      </c>
      <c r="B95" s="148" t="n">
        <v>61288838000117</v>
      </c>
      <c r="C95" s="105" t="inlineStr">
        <is>
          <t>IFOOD PAGO CRÉDITO III FUNDO DE INVESTIMENTO EM DIREITOS CREDITÓRIOS FINANCEIRO RESP. LIMITADA</t>
        </is>
      </c>
      <c r="D95" s="105" t="inlineStr">
        <is>
          <t>FIDC MOVILE III</t>
        </is>
      </c>
      <c r="E95" s="105" t="inlineStr">
        <is>
          <t>Financeiro</t>
        </is>
      </c>
      <c r="F95" s="105" t="inlineStr">
        <is>
          <t>Estrutura mista, CCB + recebíveis de credenciadoras</t>
        </is>
      </c>
    </row>
    <row r="96" ht="25.5" customHeight="1">
      <c r="A96" s="106" t="n">
        <v>94</v>
      </c>
      <c r="B96" s="147" t="n">
        <v>30035329000159</v>
      </c>
      <c r="C96" s="106" t="inlineStr">
        <is>
          <t>VIA INVEST II FUNDO DE INVESTIMENTO EM DIREITOS CREDITÓRIOS RESPONSABILIDADE LIMITADA</t>
        </is>
      </c>
      <c r="D96" s="106" t="inlineStr">
        <is>
          <t>VIAINVEST II FIDC MULTISSETORIAL</t>
        </is>
      </c>
      <c r="E96" s="106" t="inlineStr">
        <is>
          <t>Consignado INSS e FGTS</t>
        </is>
      </c>
      <c r="F96" s="106" t="inlineStr">
        <is>
          <t>Antecipação do saque-aniversário FGTS, CCBs</t>
        </is>
      </c>
    </row>
    <row r="97" ht="25.5" customHeight="1">
      <c r="A97" s="105" t="n">
        <v>95</v>
      </c>
      <c r="B97" s="148" t="n">
        <v>63657457000193</v>
      </c>
      <c r="C97" s="105" t="inlineStr">
        <is>
          <t>MSV3 FUNDO DE INVESTIMENTO EM DIREITOS CREDITÓRIOS RECEBÍVEIS COMERCIAIS RESPONSABILIDADE LIMITADA</t>
        </is>
      </c>
      <c r="D97" s="105" t="inlineStr">
        <is>
          <t>MSV3 FUNDO DE INVESTIMENTO EM DIREITOS CREDITORIOS RECEBIVEIS COMERCIAIS</t>
        </is>
      </c>
      <c r="E97" s="105" t="inlineStr">
        <is>
          <t>Risco Corporativo</t>
        </is>
      </c>
      <c r="F97" s="105" t="inlineStr">
        <is>
          <t>Recebíveis comerciais de serviços/indústria</t>
        </is>
      </c>
    </row>
    <row r="98" ht="25.5" customHeight="1">
      <c r="A98" s="106" t="n">
        <v>96</v>
      </c>
      <c r="B98" s="147" t="n">
        <v>63066147000102</v>
      </c>
      <c r="C98" s="106" t="inlineStr">
        <is>
          <t>FUNDO DE INVESTIMENTO EM DIREITOS CREDITÓRIOS INCLUSÃO CREDIÁRIA RESPONSABILIDADE LIMITADA</t>
        </is>
      </c>
      <c r="D98" s="106" t="inlineStr">
        <is>
          <t>FUNDO DE INVESTIMENTO EM DIREITOS</t>
        </is>
      </c>
      <c r="E98" s="106" t="inlineStr">
        <is>
          <t>Financeiro</t>
        </is>
      </c>
      <c r="F98" s="106" t="inlineStr">
        <is>
          <t>Crédito Supersim, CCBs</t>
        </is>
      </c>
    </row>
    <row r="99" ht="25.5" customHeight="1">
      <c r="A99" s="105" t="n">
        <v>97</v>
      </c>
      <c r="B99" s="148" t="n">
        <v>65836995000170</v>
      </c>
      <c r="C99" s="105" t="inlineStr">
        <is>
          <t>PNEUCASH II FUNDO DE INVESTIMENTO EM DIREITOS CREDITÓRIOS DE CLASSE ÚNICA FECHADA RESP LIMITADA</t>
        </is>
      </c>
      <c r="D99" s="105" t="inlineStr">
        <is>
          <t>DAYCOVAL 0410 FUNDO DE INV EM DIREITOS CREDITORIOS</t>
        </is>
      </c>
      <c r="E99" s="105" t="inlineStr">
        <is>
          <t>Risco Corporativo</t>
        </is>
      </c>
      <c r="F99" s="105" t="inlineStr">
        <is>
          <t>Recebíveis comerciais de produtos Cantu Store</t>
        </is>
      </c>
    </row>
    <row r="100" ht="25.5" customHeight="1">
      <c r="A100" s="106" t="n">
        <v>98</v>
      </c>
      <c r="B100" s="147" t="n">
        <v>65873297000145</v>
      </c>
      <c r="C100" s="106" t="inlineStr">
        <is>
          <t>ARCELORMITTAL VÉRTICE FUNDO DE INVESTIMENTO EM DIREITOS CREDITÓRIOS COMERCIAIS - RESP LIMITADA</t>
        </is>
      </c>
      <c r="D100" s="106" t="inlineStr">
        <is>
          <t>ARCELORMITTAL VERTICE FUNDO DE INVESTIMENTO EM DIREITOS CRED</t>
        </is>
      </c>
      <c r="E100" s="106" t="inlineStr">
        <is>
          <t>Risco Corporativo</t>
        </is>
      </c>
      <c r="F100" s="106" t="inlineStr">
        <is>
          <t>Supplier finance, ArcelorMittal como devedora</t>
        </is>
      </c>
    </row>
    <row r="101" ht="25.5" customHeight="1">
      <c r="A101" s="105" t="n">
        <v>99</v>
      </c>
      <c r="B101" s="148" t="n">
        <v>65347578000164</v>
      </c>
      <c r="C101" s="105" t="inlineStr">
        <is>
          <t>ICRED INSS III FUNDO DE INVESTIMENTO EM DIREITOS CREDITÓRIOS RESPONSABILIDADE LIMITADA</t>
        </is>
      </c>
      <c r="D101" s="105" t="inlineStr">
        <is>
          <t>ICRED INSS III FUNDO DE INVESTIMENTO EM DIREITOS CREDITORIOS RESPONSABILIDADE</t>
        </is>
      </c>
      <c r="E101" s="105" t="inlineStr">
        <is>
          <t>Consignado INSS e FGTS</t>
        </is>
      </c>
      <c r="F101" s="105" t="inlineStr">
        <is>
          <t>N/D</t>
        </is>
      </c>
    </row>
    <row r="102" ht="25.5" customHeight="1">
      <c r="A102" s="106" t="n">
        <v>100</v>
      </c>
      <c r="B102" s="147" t="n">
        <v>18185812000114</v>
      </c>
      <c r="C102" s="106" t="inlineStr">
        <is>
          <t>GAVEA SUL FUNDO DE INVESTIMENTO EM DIREITOS CREDITÓRIOS MULTISSETORIAL LP</t>
        </is>
      </c>
      <c r="D102" s="106" t="inlineStr">
        <is>
          <t>GAVEA SUL FUNDO DE INVESTIMENTO EM DIREITOS CREDITORIOS MULTISSETORIAL</t>
        </is>
      </c>
      <c r="E102" s="106" t="inlineStr">
        <is>
          <t>Factoring</t>
        </is>
      </c>
      <c r="F102" s="106" t="inlineStr">
        <is>
          <t>N/D</t>
        </is>
      </c>
    </row>
    <row r="103" ht="25.5" customHeight="1">
      <c r="A103" s="105" t="n">
        <v>101</v>
      </c>
      <c r="B103" s="148" t="n">
        <v>49113994000141</v>
      </c>
      <c r="C103" s="105" t="inlineStr">
        <is>
          <t>FUNDO DE INVESTIMENTO EM DIREITOS CREDITÓRIOS CAP - RESPONSABILIDADE LIMITADA</t>
        </is>
      </c>
      <c r="D103" s="105" t="inlineStr">
        <is>
          <t>FUNDO DE INVESTIMENTO EM DIREITOS CREDITORIOS CAP RESPONSABILIDADE LIMITADA</t>
        </is>
      </c>
      <c r="E103" s="105" t="inlineStr">
        <is>
          <t>Financeiro</t>
        </is>
      </c>
      <c r="F103" s="105" t="inlineStr">
        <is>
          <t>Tipo de crédito não isolado</t>
        </is>
      </c>
    </row>
  </sheetData>
  <mergeCells count="2">
    <mergeCell ref="A2:F2"/>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B51"/>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Flagships · base manipulável de risco estrutural</t>
        </is>
      </c>
    </row>
    <row r="2" ht="22.5" customHeight="1">
      <c r="A2" s="29" t="inlineStr">
        <is>
          <t>47 CNPJs flagship. Folga e capacidade aparecem somente quando a ausência de mezanino ou equivalência de tranche está comprovada.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58458416000138</v>
      </c>
      <c r="C5" s="73" t="inlineStr">
        <is>
          <t>58.458.416/0001-38</t>
        </is>
      </c>
      <c r="D5" s="73" t="inlineStr">
        <is>
          <t>MT CONSIGNADO PRIVADO II FUNDO DE INVESTIMENTO EM DIREITOS CREDITÓRIOS RESPONSABILIDADE LIMITADA</t>
        </is>
      </c>
      <c r="E5" s="73" t="inlineStr">
        <is>
          <t>MT Consignado Privado I e II</t>
        </is>
      </c>
      <c r="F5" s="73" t="inlineStr">
        <is>
          <t>Flagships</t>
        </is>
      </c>
      <c r="G5" s="73" t="inlineStr">
        <is>
          <t>2026-06</t>
        </is>
      </c>
      <c r="H5" s="73" t="inlineStr">
        <is>
          <t>localizado</t>
        </is>
      </c>
      <c r="I5" s="135" t="n">
        <v>387756518.91</v>
      </c>
      <c r="J5" s="135" t="n">
        <v>387756518.9114405</v>
      </c>
      <c r="K5" s="135" t="n">
        <v>111907004.010538</v>
      </c>
      <c r="L5" s="136" t="n">
        <v>0.2886012189430453</v>
      </c>
      <c r="M5" s="73" t="inlineStr">
        <is>
          <t>Calculado com classes reportadas e PL oficial reconciliado</t>
        </is>
      </c>
      <c r="N5" s="136" t="inlineStr">
        <is>
          <t>N/D</t>
        </is>
      </c>
      <c r="O5" s="136" t="inlineStr">
        <is>
          <t>N/D</t>
        </is>
      </c>
      <c r="P5" s="136" t="inlineStr">
        <is>
          <t>N/D</t>
        </is>
      </c>
      <c r="Q5" s="136" t="inlineStr">
        <is>
          <t>N/D</t>
        </is>
      </c>
      <c r="R5" s="136" t="inlineStr">
        <is>
          <t>N/D</t>
        </is>
      </c>
      <c r="S5" s="136" t="inlineStr">
        <is>
          <t>N/D</t>
        </is>
      </c>
      <c r="T5" s="73" t="inlineStr">
        <is>
          <t>N/D</t>
        </is>
      </c>
      <c r="U5" s="73" t="inlineStr">
        <is>
          <t>sem_indice</t>
        </is>
      </c>
      <c r="V5" s="73" t="inlineStr">
        <is>
          <t>N/D</t>
        </is>
      </c>
      <c r="W5" s="73" t="b">
        <v>0</v>
      </c>
      <c r="X5" s="73" t="inlineStr">
        <is>
          <t>N/D — mínimo estrutural ou subordinação atual ausente</t>
        </is>
      </c>
      <c r="Y5" s="73" t="b">
        <v>0</v>
      </c>
      <c r="Z5" s="136" t="inlineStr">
        <is>
          <t>N/D</t>
        </is>
      </c>
      <c r="AA5" s="136" t="inlineStr">
        <is>
          <t>N/D</t>
        </is>
      </c>
      <c r="AB5" s="73" t="inlineStr">
        <is>
          <t>não medido</t>
        </is>
      </c>
      <c r="AC5" s="73" t="inlineStr">
        <is>
          <t>N/D</t>
        </is>
      </c>
      <c r="AD5" s="73" t="inlineStr">
        <is>
          <t>N/D</t>
        </is>
      </c>
      <c r="AE5" s="73" t="inlineStr">
        <is>
          <t>Consignado CLT</t>
        </is>
      </c>
      <c r="AF5" s="73" t="inlineStr">
        <is>
          <t>Financeiro</t>
        </is>
      </c>
      <c r="AG5" s="73" t="inlineStr">
        <is>
          <t>N/D</t>
        </is>
      </c>
      <c r="AH5" s="73" t="inlineStr">
        <is>
          <t>N/D</t>
        </is>
      </c>
      <c r="AI5" s="73" t="inlineStr">
        <is>
          <t>N/D</t>
        </is>
      </c>
      <c r="AJ5" s="73" t="b">
        <v>0</v>
      </c>
      <c r="AK5" s="73" t="inlineStr">
        <is>
          <t>N/D</t>
        </is>
      </c>
      <c r="AL5" s="73" t="inlineStr">
        <is>
          <t>N/D</t>
        </is>
      </c>
      <c r="AM5" s="73" t="inlineStr">
        <is>
          <t>N/D</t>
        </is>
      </c>
      <c r="AN5" s="73" t="inlineStr">
        <is>
          <t>N/D</t>
        </is>
      </c>
      <c r="AO5" s="73" t="inlineStr">
        <is>
          <t>N/D</t>
        </is>
      </c>
      <c r="AP5" s="73" t="inlineStr">
        <is>
          <t>N/D</t>
        </is>
      </c>
      <c r="AQ5" s="73" t="inlineStr">
        <is>
          <t>N/D</t>
        </is>
      </c>
      <c r="AR5" s="73" t="inlineStr">
        <is>
          <t>N/D</t>
        </is>
      </c>
      <c r="AS5" s="73" t="inlineStr">
        <is>
          <t>N/D</t>
        </is>
      </c>
      <c r="AT5" s="73" t="inlineStr">
        <is>
          <t>N/D</t>
        </is>
      </c>
      <c r="AU5" s="73" t="inlineStr">
        <is>
          <t>N/D</t>
        </is>
      </c>
      <c r="AV5" s="73" t="inlineStr">
        <is>
          <t>N/D</t>
        </is>
      </c>
      <c r="AW5" s="73" t="b">
        <v>0</v>
      </c>
      <c r="AX5" s="73" t="inlineStr">
        <is>
          <t>N/D</t>
        </is>
      </c>
      <c r="AY5" s="73" t="inlineStr">
        <is>
          <t>N/D</t>
        </is>
      </c>
      <c r="AZ5" s="136" t="inlineStr">
        <is>
          <t>N/D</t>
        </is>
      </c>
      <c r="BA5" s="73" t="inlineStr">
        <is>
          <t>N/D</t>
        </is>
      </c>
      <c r="BB5" s="137" t="inlineStr">
        <is>
          <t>N/D</t>
        </is>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N/D</t>
        </is>
      </c>
      <c r="BM5" s="73" t="inlineStr">
        <is>
          <t>N/D</t>
        </is>
      </c>
      <c r="BN5" s="73" t="inlineStr">
        <is>
          <t>N/D</t>
        </is>
      </c>
      <c r="BO5" s="73" t="inlineStr">
        <is>
          <t>N/D</t>
        </is>
      </c>
      <c r="BP5" s="73" t="inlineStr">
        <is>
          <t>N/D</t>
        </is>
      </c>
      <c r="BQ5" s="73" t="inlineStr">
        <is>
          <t>N/D</t>
        </is>
      </c>
      <c r="BR5" s="73" t="inlineStr">
        <is>
          <t>N/D</t>
        </is>
      </c>
      <c r="BS5" s="73" t="inlineStr">
        <is>
          <t>sem_overlay</t>
        </is>
      </c>
      <c r="BT5" s="73" t="inlineStr">
        <is>
          <t>N/D</t>
        </is>
      </c>
      <c r="BU5" s="73" t="inlineStr">
        <is>
          <t>N/D</t>
        </is>
      </c>
      <c r="BV5" s="73" t="inlineStr">
        <is>
          <t>N/D</t>
        </is>
      </c>
      <c r="BW5" s="73" t="inlineStr">
        <is>
          <t>N/D</t>
        </is>
      </c>
      <c r="BX5" s="73" t="inlineStr">
        <is>
          <t>lacuna — regulamento integral não disponível nas fontes locais</t>
        </is>
      </c>
      <c r="BY5" s="73" t="inlineStr">
        <is>
          <t>N/D</t>
        </is>
      </c>
      <c r="BZ5" s="73" t="inlineStr">
        <is>
          <t>N/D</t>
        </is>
      </c>
      <c r="CA5" s="73" t="inlineStr">
        <is>
          <t>mínimo estrutural comparável; preço unitário da cota; originador; cedente; sacado/devedor; tipo de recebível</t>
        </is>
      </c>
      <c r="CB5" s="73" t="inlineStr">
        <is>
          <t>minimo_estrutural_ausente</t>
        </is>
      </c>
    </row>
    <row r="6" ht="31.5" customHeight="1">
      <c r="A6" s="74" t="n">
        <v>1</v>
      </c>
      <c r="B6" s="138" t="n">
        <v>60010416000112</v>
      </c>
      <c r="C6" s="74" t="inlineStr">
        <is>
          <t>60.010.416/0001-12</t>
        </is>
      </c>
      <c r="D6" s="74" t="inlineStr">
        <is>
          <t>MT CONSIGNADO PRIVADO I FUNDO DE INVESTIMENTO EM DIREITOS CREDITÓRIOS</t>
        </is>
      </c>
      <c r="E6" s="74" t="inlineStr">
        <is>
          <t>MT Consignado Privado I e II</t>
        </is>
      </c>
      <c r="F6" s="74" t="inlineStr">
        <is>
          <t>Flagships</t>
        </is>
      </c>
      <c r="G6" s="74" t="inlineStr">
        <is>
          <t>2026-06</t>
        </is>
      </c>
      <c r="H6" s="74" t="inlineStr">
        <is>
          <t>localizado</t>
        </is>
      </c>
      <c r="I6" s="139" t="n">
        <v>3072067502.44</v>
      </c>
      <c r="J6" s="139" t="n">
        <v>3072067502.462935</v>
      </c>
      <c r="K6" s="139" t="n">
        <v>175783459.9031031</v>
      </c>
      <c r="L6" s="140" t="n">
        <v>0.05721992103477104</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5,0%</t>
        </is>
      </c>
      <c r="U6" s="74" t="inlineStr">
        <is>
          <t>junior_pl</t>
        </is>
      </c>
      <c r="V6" s="74" t="inlineStr">
        <is>
          <t>direto no regulamento</t>
        </is>
      </c>
      <c r="W6" s="74" t="b">
        <v>1</v>
      </c>
      <c r="X6" s="74" t="inlineStr">
        <is>
          <t>Comparável — documento confirma ausência de mezanino</t>
        </is>
      </c>
      <c r="Y6" s="74" t="b">
        <v>0</v>
      </c>
      <c r="Z6" s="140" t="n">
        <v>0.007219921034771037</v>
      </c>
      <c r="AA6" s="140" t="n">
        <v>0.007599916878706356</v>
      </c>
      <c r="AB6" s="74" t="inlineStr">
        <is>
          <t>acima do mínimo</t>
        </is>
      </c>
      <c r="AC6" s="74" t="inlineStr">
        <is>
          <t>N/D</t>
        </is>
      </c>
      <c r="AD6" s="74" t="inlineStr">
        <is>
          <t>N/D</t>
        </is>
      </c>
      <c r="AE6" s="74" t="inlineStr">
        <is>
          <t>Consignado CLT</t>
        </is>
      </c>
      <c r="AF6" s="74" t="inlineStr">
        <is>
          <t>Financeiro</t>
        </is>
      </c>
      <c r="AG6" s="74" t="inlineStr">
        <is>
          <t>N/D</t>
        </is>
      </c>
      <c r="AH6" s="74" t="inlineStr">
        <is>
          <t>N/D</t>
        </is>
      </c>
      <c r="AI6" s="74" t="inlineStr">
        <is>
          <t>N/D</t>
        </is>
      </c>
      <c r="AJ6" s="74" t="b">
        <v>0</v>
      </c>
      <c r="AK6" s="74" t="inlineStr">
        <is>
          <t>N/D</t>
        </is>
      </c>
      <c r="AL6" s="74" t="inlineStr">
        <is>
          <t>N/D</t>
        </is>
      </c>
      <c r="AM6" s="74" t="inlineStr">
        <is>
          <t>N/D</t>
        </is>
      </c>
      <c r="AN6" s="74" t="inlineStr">
        <is>
          <t>N/D</t>
        </is>
      </c>
      <c r="AO6" s="74" t="inlineStr">
        <is>
          <t>N/D</t>
        </is>
      </c>
      <c r="AP6" s="74" t="inlineStr">
        <is>
          <t>N/D</t>
        </is>
      </c>
      <c r="AQ6" s="74" t="inlineStr">
        <is>
          <t>N/D</t>
        </is>
      </c>
      <c r="AR6" s="74" t="inlineStr">
        <is>
          <t>N/D</t>
        </is>
      </c>
      <c r="AS6" s="74" t="inlineStr">
        <is>
          <t>N/D</t>
        </is>
      </c>
      <c r="AT6" s="74" t="inlineStr">
        <is>
          <t>N/D</t>
        </is>
      </c>
      <c r="AU6" s="74" t="inlineStr">
        <is>
          <t>N/D</t>
        </is>
      </c>
      <c r="AV6" s="74" t="inlineStr">
        <is>
          <t>N/D</t>
        </is>
      </c>
      <c r="AW6" s="74" t="b">
        <v>0</v>
      </c>
      <c r="AX6" s="74" t="inlineStr">
        <is>
          <t>N/D</t>
        </is>
      </c>
      <c r="AY6" s="74" t="inlineStr">
        <is>
          <t>N/D</t>
        </is>
      </c>
      <c r="AZ6" s="140" t="inlineStr">
        <is>
          <t>N/D</t>
        </is>
      </c>
      <c r="BA6" s="74" t="inlineStr">
        <is>
          <t>N/D</t>
        </is>
      </c>
      <c r="BB6" s="141" t="inlineStr">
        <is>
          <t>N/D</t>
        </is>
      </c>
      <c r="BC6" s="139" t="n">
        <v>1000</v>
      </c>
      <c r="BD6" s="74" t="inlineStr">
        <is>
          <t>R$ 1.000,00</t>
        </is>
      </c>
      <c r="BE6" s="74" t="inlineStr">
        <is>
          <t>preço/VNU conforme fonte</t>
        </is>
      </c>
      <c r="BF6" s="74" t="inlineStr">
        <is>
          <t>3ª Série Senior</t>
        </is>
      </c>
      <c r="BG6" s="74" t="inlineStr">
        <is>
          <t>26/11/2025</t>
        </is>
      </c>
      <c r="BH6" s="74" t="inlineStr">
        <is>
          <t>1049114</t>
        </is>
      </c>
      <c r="BI6" s="74" t="inlineStr">
        <is>
          <t>1049114_assembleia_assembleia_1049114_2025-11-26.pdf · p.1-3</t>
        </is>
      </c>
      <c r="BJ6" s="74" t="inlineStr">
        <is>
          <t>localizado documentalmente</t>
        </is>
      </c>
      <c r="BK6" s="74" t="b">
        <v>1</v>
      </c>
      <c r="BL6" s="74" t="inlineStr">
        <is>
          <t>N/D</t>
        </is>
      </c>
      <c r="BM6" s="74" t="inlineStr">
        <is>
          <t>N/D</t>
        </is>
      </c>
      <c r="BN6" s="74" t="inlineStr">
        <is>
          <t>N/D</t>
        </is>
      </c>
      <c r="BO6" s="74" t="inlineStr">
        <is>
          <t>N/D</t>
        </is>
      </c>
      <c r="BP6" s="74" t="inlineStr">
        <is>
          <t>N/D</t>
        </is>
      </c>
      <c r="BQ6" s="74" t="inlineStr">
        <is>
          <t>N/D</t>
        </is>
      </c>
      <c r="BR6" s="74" t="inlineStr">
        <is>
          <t>N/D</t>
        </is>
      </c>
      <c r="BS6" s="74" t="inlineStr">
        <is>
          <t>sem_overlay</t>
        </is>
      </c>
      <c r="BT6" s="74" t="inlineStr">
        <is>
          <t>N/D</t>
        </is>
      </c>
      <c r="BU6" s="74" t="inlineStr">
        <is>
          <t>1051393</t>
        </is>
      </c>
      <c r="BV6" s="74" t="inlineStr">
        <is>
          <t>2025-10-09</t>
        </is>
      </c>
      <c r="BW6" s="74" t="inlineStr">
        <is>
          <t>definição “Índice de Subordinação”</t>
        </is>
      </c>
      <c r="BX6" s="74" t="inlineStr">
        <is>
          <t>revisto — mínimo júnior localizado</t>
        </is>
      </c>
      <c r="BY6" s="74" t="inlineStr">
        <is>
          <t>FundosNet/B3; documento 1051393; referência 2025-10-09; definição “Índice de Subordinação”</t>
        </is>
      </c>
      <c r="BZ6" s="74" t="inlineStr">
        <is>
          <t>Cotas subordinadas / PL, razão mínima de 5,0%; a estrutura não tem mezanino no regulamento lido.</t>
        </is>
      </c>
      <c r="CA6" s="74" t="inlineStr">
        <is>
          <t>originador; cedente; sacado/devedor; tipo de recebível</t>
        </is>
      </c>
      <c r="CB6" s="74" t="inlineStr">
        <is>
          <t>completo_para_folga</t>
        </is>
      </c>
    </row>
    <row r="7" ht="31.5" customHeight="1">
      <c r="A7" s="75" t="n">
        <v>2</v>
      </c>
      <c r="B7" s="142" t="n">
        <v>53841740000117</v>
      </c>
      <c r="C7" s="75" t="inlineStr">
        <is>
          <t>53.841.740/0001-17</t>
        </is>
      </c>
      <c r="D7" s="75" t="inlineStr">
        <is>
          <t>FUNDO DE INVESTIMENTO EM DIREITOS CREDITÓRIOS CRÉDITO CONSIGNADO PRIVADO PAKETÁ DE RESPONSABILID</t>
        </is>
      </c>
      <c r="E7" s="75" t="inlineStr">
        <is>
          <t>Paketa</t>
        </is>
      </c>
      <c r="F7" s="75" t="inlineStr">
        <is>
          <t>Flagships</t>
        </is>
      </c>
      <c r="G7" s="75" t="inlineStr">
        <is>
          <t>2026-06</t>
        </is>
      </c>
      <c r="H7" s="75" t="inlineStr">
        <is>
          <t>localizado</t>
        </is>
      </c>
      <c r="I7" s="143" t="n">
        <v>1918531934.02</v>
      </c>
      <c r="J7" s="143" t="n">
        <v>1918531934.022721</v>
      </c>
      <c r="K7" s="143" t="n">
        <v>613765264.6693748</v>
      </c>
      <c r="L7" s="144" t="n">
        <v>0.3199140206039315</v>
      </c>
      <c r="M7" s="75" t="inlineStr">
        <is>
          <t>Calculado com classes reportadas e PL oficial reconciliado</t>
        </is>
      </c>
      <c r="N7" s="144" t="inlineStr">
        <is>
          <t>N/D</t>
        </is>
      </c>
      <c r="O7" s="144" t="inlineStr">
        <is>
          <t>N/D</t>
        </is>
      </c>
      <c r="P7" s="144" t="inlineStr">
        <is>
          <t>N/D</t>
        </is>
      </c>
      <c r="Q7" s="144" t="inlineStr">
        <is>
          <t>N/D</t>
        </is>
      </c>
      <c r="R7" s="144" t="inlineStr">
        <is>
          <t>N/D</t>
        </is>
      </c>
      <c r="S7" s="144" t="inlineStr">
        <is>
          <t>N/D</t>
        </is>
      </c>
      <c r="T7" s="75" t="inlineStr">
        <is>
          <t>N/D</t>
        </is>
      </c>
      <c r="U7" s="75" t="inlineStr">
        <is>
          <t>sem_indice</t>
        </is>
      </c>
      <c r="V7" s="75" t="inlineStr">
        <is>
          <t>N/D</t>
        </is>
      </c>
      <c r="W7" s="75" t="b">
        <v>0</v>
      </c>
      <c r="X7" s="75" t="inlineStr">
        <is>
          <t>N/D — mínimo estrutural ou subordinação atual ausente</t>
        </is>
      </c>
      <c r="Y7" s="75" t="b">
        <v>0</v>
      </c>
      <c r="Z7" s="144" t="inlineStr">
        <is>
          <t>N/D</t>
        </is>
      </c>
      <c r="AA7" s="144" t="inlineStr">
        <is>
          <t>N/D</t>
        </is>
      </c>
      <c r="AB7" s="75" t="inlineStr">
        <is>
          <t>não medido</t>
        </is>
      </c>
      <c r="AC7" s="75" t="inlineStr">
        <is>
          <t>N/D</t>
        </is>
      </c>
      <c r="AD7" s="75" t="inlineStr">
        <is>
          <t>N/D</t>
        </is>
      </c>
      <c r="AE7" s="75" t="inlineStr">
        <is>
          <t>Consignado CLT</t>
        </is>
      </c>
      <c r="AF7" s="75" t="inlineStr">
        <is>
          <t>Financeiro</t>
        </is>
      </c>
      <c r="AG7" s="75" t="inlineStr">
        <is>
          <t>N/D</t>
        </is>
      </c>
      <c r="AH7" s="75" t="inlineStr">
        <is>
          <t>N/D</t>
        </is>
      </c>
      <c r="AI7" s="75" t="inlineStr">
        <is>
          <t>N/D</t>
        </is>
      </c>
      <c r="AJ7" s="75" t="b">
        <v>0</v>
      </c>
      <c r="AK7" s="75" t="inlineStr">
        <is>
          <t>N/D</t>
        </is>
      </c>
      <c r="AL7" s="75" t="inlineStr">
        <is>
          <t>N/D</t>
        </is>
      </c>
      <c r="AM7" s="75" t="inlineStr">
        <is>
          <t>N/D</t>
        </is>
      </c>
      <c r="AN7" s="75" t="inlineStr">
        <is>
          <t>N/D</t>
        </is>
      </c>
      <c r="AO7" s="75" t="inlineStr">
        <is>
          <t>N/D</t>
        </is>
      </c>
      <c r="AP7" s="75" t="inlineStr">
        <is>
          <t>N/D</t>
        </is>
      </c>
      <c r="AQ7" s="75" t="inlineStr">
        <is>
          <t>N/D</t>
        </is>
      </c>
      <c r="AR7" s="75" t="inlineStr">
        <is>
          <t>N/D</t>
        </is>
      </c>
      <c r="AS7" s="75" t="inlineStr">
        <is>
          <t>N/D</t>
        </is>
      </c>
      <c r="AT7" s="75" t="inlineStr">
        <is>
          <t>N/D</t>
        </is>
      </c>
      <c r="AU7" s="75" t="inlineStr">
        <is>
          <t>N/D</t>
        </is>
      </c>
      <c r="AV7" s="75" t="inlineStr">
        <is>
          <t>N/D</t>
        </is>
      </c>
      <c r="AW7" s="75" t="b">
        <v>0</v>
      </c>
      <c r="AX7" s="75" t="inlineStr">
        <is>
          <t>N/D</t>
        </is>
      </c>
      <c r="AY7" s="75" t="inlineStr">
        <is>
          <t>N/D</t>
        </is>
      </c>
      <c r="AZ7" s="144" t="inlineStr">
        <is>
          <t>N/D</t>
        </is>
      </c>
      <c r="BA7" s="75" t="inlineStr">
        <is>
          <t>N/D</t>
        </is>
      </c>
      <c r="BB7" s="145" t="inlineStr">
        <is>
          <t>N/D</t>
        </is>
      </c>
      <c r="BC7" s="143" t="inlineStr">
        <is>
          <t>N/D</t>
        </is>
      </c>
      <c r="BD7" s="75" t="inlineStr">
        <is>
          <t>N/D</t>
        </is>
      </c>
      <c r="BE7" s="75" t="inlineStr">
        <is>
          <t>N/D</t>
        </is>
      </c>
      <c r="BF7" s="75" t="inlineStr">
        <is>
          <t>N/D</t>
        </is>
      </c>
      <c r="BG7" s="75" t="inlineStr">
        <is>
          <t>N/D</t>
        </is>
      </c>
      <c r="BH7" s="75" t="inlineStr">
        <is>
          <t>N/D</t>
        </is>
      </c>
      <c r="BI7" s="75" t="inlineStr">
        <is>
          <t>N/D</t>
        </is>
      </c>
      <c r="BJ7" s="75" t="inlineStr">
        <is>
          <t>não localizado</t>
        </is>
      </c>
      <c r="BK7" s="75" t="b">
        <v>0</v>
      </c>
      <c r="BL7" s="75" t="inlineStr">
        <is>
          <t>N/D</t>
        </is>
      </c>
      <c r="BM7" s="75" t="inlineStr">
        <is>
          <t>N/D</t>
        </is>
      </c>
      <c r="BN7" s="75" t="inlineStr">
        <is>
          <t>N/D</t>
        </is>
      </c>
      <c r="BO7" s="75" t="inlineStr">
        <is>
          <t>N/D</t>
        </is>
      </c>
      <c r="BP7" s="75" t="inlineStr">
        <is>
          <t>N/D</t>
        </is>
      </c>
      <c r="BQ7" s="75" t="inlineStr">
        <is>
          <t>N/D</t>
        </is>
      </c>
      <c r="BR7" s="75" t="inlineStr">
        <is>
          <t>N/D</t>
        </is>
      </c>
      <c r="BS7" s="75" t="inlineStr">
        <is>
          <t>sem_overlay</t>
        </is>
      </c>
      <c r="BT7" s="75" t="inlineStr">
        <is>
          <t>N/D</t>
        </is>
      </c>
      <c r="BU7" s="75" t="inlineStr">
        <is>
          <t>N/D</t>
        </is>
      </c>
      <c r="BV7" s="75" t="inlineStr">
        <is>
          <t>N/D</t>
        </is>
      </c>
      <c r="BW7" s="75" t="inlineStr">
        <is>
          <t>N/D</t>
        </is>
      </c>
      <c r="BX7" s="75" t="inlineStr">
        <is>
          <t>lacuna — regulamento integral não disponível nas fontes locais</t>
        </is>
      </c>
      <c r="BY7" s="75" t="inlineStr">
        <is>
          <t>N/D</t>
        </is>
      </c>
      <c r="BZ7" s="75" t="inlineStr">
        <is>
          <t>N/D</t>
        </is>
      </c>
      <c r="CA7" s="75" t="inlineStr">
        <is>
          <t>mínimo estrutural comparável; preço unitário da cota; originador; cedente; sacado/devedor; tipo de recebível</t>
        </is>
      </c>
      <c r="CB7" s="75" t="inlineStr">
        <is>
          <t>minimo_estrutural_ausente</t>
        </is>
      </c>
    </row>
    <row r="8" ht="31.5" customHeight="1">
      <c r="A8" s="74" t="n">
        <v>3</v>
      </c>
      <c r="B8" s="138" t="n">
        <v>62390922000100</v>
      </c>
      <c r="C8" s="74" t="inlineStr">
        <is>
          <t>62.390.922/0001-00</t>
        </is>
      </c>
      <c r="D8" s="74" t="inlineStr">
        <is>
          <t>FUNDO DE INVESTIMENTO EM DIREITOS CREDITÓRIOS CLT NOW RESPONSABILIDADE LIMITADA</t>
        </is>
      </c>
      <c r="E8" s="74" t="inlineStr">
        <is>
          <t>CLT Now</t>
        </is>
      </c>
      <c r="F8" s="74" t="inlineStr">
        <is>
          <t>Flagships</t>
        </is>
      </c>
      <c r="G8" s="74" t="inlineStr">
        <is>
          <t>2026-06</t>
        </is>
      </c>
      <c r="H8" s="74" t="inlineStr">
        <is>
          <t>localizado</t>
        </is>
      </c>
      <c r="I8" s="139" t="n">
        <v>474420536.29</v>
      </c>
      <c r="J8" s="139" t="n">
        <v>474420536.2937306</v>
      </c>
      <c r="K8" s="139" t="n">
        <v>169257902.7756072</v>
      </c>
      <c r="L8" s="140" t="n">
        <v>0.3567676561795051</v>
      </c>
      <c r="M8" s="74" t="inlineStr">
        <is>
          <t>Calculado com classes reportadas e PL oficial reconciliado</t>
        </is>
      </c>
      <c r="N8" s="140" t="inlineStr">
        <is>
          <t>N/D</t>
        </is>
      </c>
      <c r="O8" s="140" t="inlineStr">
        <is>
          <t>N/D</t>
        </is>
      </c>
      <c r="P8" s="140" t="inlineStr">
        <is>
          <t>N/D</t>
        </is>
      </c>
      <c r="Q8" s="140" t="inlineStr">
        <is>
          <t>N/D</t>
        </is>
      </c>
      <c r="R8" s="140" t="inlineStr">
        <is>
          <t>N/D</t>
        </is>
      </c>
      <c r="S8" s="140" t="inlineStr">
        <is>
          <t>N/D</t>
        </is>
      </c>
      <c r="T8" s="74" t="inlineStr">
        <is>
          <t>N/D</t>
        </is>
      </c>
      <c r="U8" s="74" t="inlineStr">
        <is>
          <t>sem_indice</t>
        </is>
      </c>
      <c r="V8" s="74" t="inlineStr">
        <is>
          <t>N/D</t>
        </is>
      </c>
      <c r="W8" s="74" t="b">
        <v>0</v>
      </c>
      <c r="X8" s="74" t="inlineStr">
        <is>
          <t>N/D — mínimo estrutural ou subordinação atual ausente</t>
        </is>
      </c>
      <c r="Y8" s="74" t="b">
        <v>0</v>
      </c>
      <c r="Z8" s="140" t="inlineStr">
        <is>
          <t>N/D</t>
        </is>
      </c>
      <c r="AA8" s="140" t="inlineStr">
        <is>
          <t>N/D</t>
        </is>
      </c>
      <c r="AB8" s="74" t="inlineStr">
        <is>
          <t>não medido</t>
        </is>
      </c>
      <c r="AC8" s="74" t="inlineStr">
        <is>
          <t>N/D</t>
        </is>
      </c>
      <c r="AD8" s="74" t="inlineStr">
        <is>
          <t>N/D</t>
        </is>
      </c>
      <c r="AE8" s="74" t="inlineStr">
        <is>
          <t>Consignado CLT</t>
        </is>
      </c>
      <c r="AF8" s="74" t="inlineStr">
        <is>
          <t>Financeiro</t>
        </is>
      </c>
      <c r="AG8" s="74" t="inlineStr">
        <is>
          <t>N/D</t>
        </is>
      </c>
      <c r="AH8" s="74" t="inlineStr">
        <is>
          <t>N/D</t>
        </is>
      </c>
      <c r="AI8" s="74" t="inlineStr">
        <is>
          <t>N/D</t>
        </is>
      </c>
      <c r="AJ8" s="74" t="b">
        <v>0</v>
      </c>
      <c r="AK8" s="74" t="inlineStr">
        <is>
          <t>N/D</t>
        </is>
      </c>
      <c r="AL8" s="74" t="inlineStr">
        <is>
          <t>N/D</t>
        </is>
      </c>
      <c r="AM8" s="74" t="inlineStr">
        <is>
          <t>N/D</t>
        </is>
      </c>
      <c r="AN8" s="74" t="inlineStr">
        <is>
          <t>N/D</t>
        </is>
      </c>
      <c r="AO8" s="74" t="inlineStr">
        <is>
          <t>N/D</t>
        </is>
      </c>
      <c r="AP8" s="74" t="inlineStr">
        <is>
          <t>N/D</t>
        </is>
      </c>
      <c r="AQ8" s="74" t="inlineStr">
        <is>
          <t>N/D</t>
        </is>
      </c>
      <c r="AR8" s="74" t="inlineStr">
        <is>
          <t>N/D</t>
        </is>
      </c>
      <c r="AS8" s="74" t="inlineStr">
        <is>
          <t>N/D</t>
        </is>
      </c>
      <c r="AT8" s="74" t="inlineStr">
        <is>
          <t>N/D</t>
        </is>
      </c>
      <c r="AU8" s="74" t="inlineStr">
        <is>
          <t>N/D</t>
        </is>
      </c>
      <c r="AV8" s="74" t="inlineStr">
        <is>
          <t>N/D</t>
        </is>
      </c>
      <c r="AW8" s="74" t="b">
        <v>0</v>
      </c>
      <c r="AX8" s="74" t="inlineStr">
        <is>
          <t>N/D</t>
        </is>
      </c>
      <c r="AY8" s="74" t="inlineStr">
        <is>
          <t>N/D</t>
        </is>
      </c>
      <c r="AZ8" s="140" t="inlineStr">
        <is>
          <t>N/D</t>
        </is>
      </c>
      <c r="BA8" s="74" t="inlineStr">
        <is>
          <t>N/D</t>
        </is>
      </c>
      <c r="BB8" s="141" t="inlineStr">
        <is>
          <t>N/D</t>
        </is>
      </c>
      <c r="BC8" s="139" t="inlineStr">
        <is>
          <t>N/D</t>
        </is>
      </c>
      <c r="BD8" s="74" t="inlineStr">
        <is>
          <t>N/D</t>
        </is>
      </c>
      <c r="BE8" s="74" t="inlineStr">
        <is>
          <t>N/D</t>
        </is>
      </c>
      <c r="BF8" s="74" t="inlineStr">
        <is>
          <t>N/D</t>
        </is>
      </c>
      <c r="BG8" s="74" t="inlineStr">
        <is>
          <t>N/D</t>
        </is>
      </c>
      <c r="BH8" s="74" t="inlineStr">
        <is>
          <t>N/D</t>
        </is>
      </c>
      <c r="BI8" s="74" t="inlineStr">
        <is>
          <t>N/D</t>
        </is>
      </c>
      <c r="BJ8" s="74" t="inlineStr">
        <is>
          <t>não localizado</t>
        </is>
      </c>
      <c r="BK8" s="74" t="b">
        <v>0</v>
      </c>
      <c r="BL8" s="74" t="inlineStr">
        <is>
          <t>N/D</t>
        </is>
      </c>
      <c r="BM8" s="74" t="inlineStr">
        <is>
          <t>N/D</t>
        </is>
      </c>
      <c r="BN8" s="74" t="inlineStr">
        <is>
          <t>N/D</t>
        </is>
      </c>
      <c r="BO8" s="74" t="inlineStr">
        <is>
          <t>N/D</t>
        </is>
      </c>
      <c r="BP8" s="74" t="inlineStr">
        <is>
          <t>N/D</t>
        </is>
      </c>
      <c r="BQ8" s="74" t="inlineStr">
        <is>
          <t>N/D</t>
        </is>
      </c>
      <c r="BR8" s="74" t="inlineStr">
        <is>
          <t>N/D</t>
        </is>
      </c>
      <c r="BS8" s="74" t="inlineStr">
        <is>
          <t>sem_overlay</t>
        </is>
      </c>
      <c r="BT8" s="74" t="inlineStr">
        <is>
          <t>N/D</t>
        </is>
      </c>
      <c r="BU8" s="74" t="inlineStr">
        <is>
          <t>1170223</t>
        </is>
      </c>
      <c r="BV8" s="74" t="inlineStr">
        <is>
          <t>2026-04-15</t>
        </is>
      </c>
      <c r="BW8" s="74" t="inlineStr">
        <is>
          <t>cláusulas de subordinação e definições revisadas</t>
        </is>
      </c>
      <c r="BX8" s="74" t="inlineStr">
        <is>
          <t>revisto — mínimo júnior não isolado</t>
        </is>
      </c>
      <c r="BY8" s="74" t="inlineStr">
        <is>
          <t>FundosNet/B3; documento 1170223; referência 2026-04-15; cláusulas candidatas revisadas</t>
        </is>
      </c>
      <c r="BZ8" s="74" t="inlineStr">
        <is>
          <t>N/D</t>
        </is>
      </c>
      <c r="CA8" s="74" t="inlineStr">
        <is>
          <t>mínimo estrutural comparável; preço unitário da cota; originador; cedente; sacado/devedor; tipo de recebível</t>
        </is>
      </c>
      <c r="CB8" s="74" t="inlineStr">
        <is>
          <t>minimo_estrutural_ausente</t>
        </is>
      </c>
    </row>
    <row r="9" ht="31.5" customHeight="1">
      <c r="A9" s="75" t="n">
        <v>4</v>
      </c>
      <c r="B9" s="142" t="n">
        <v>63546406000194</v>
      </c>
      <c r="C9" s="75" t="inlineStr">
        <is>
          <t>63.546.406/0001-94</t>
        </is>
      </c>
      <c r="D9" s="75" t="inlineStr">
        <is>
          <t>PINE INSS III FUNDO DE INVESTIMENTO EM DIREITOS CREDITÓRIOS RESPONSABILIDADE LIMITADA</t>
        </is>
      </c>
      <c r="E9" s="75" t="inlineStr">
        <is>
          <t>Pine INSS I, II e III</t>
        </is>
      </c>
      <c r="F9" s="75" t="inlineStr">
        <is>
          <t>Flagships</t>
        </is>
      </c>
      <c r="G9" s="75" t="inlineStr">
        <is>
          <t>2026-06</t>
        </is>
      </c>
      <c r="H9" s="75" t="inlineStr">
        <is>
          <t>localizado</t>
        </is>
      </c>
      <c r="I9" s="143" t="n">
        <v>1153763377.65</v>
      </c>
      <c r="J9" s="143" t="n">
        <v>1153763377.6455</v>
      </c>
      <c r="K9" s="143" t="n">
        <v>172223714.7399375</v>
      </c>
      <c r="L9" s="144" t="n">
        <v>0.1492712614008645</v>
      </c>
      <c r="M9" s="75" t="inlineStr">
        <is>
          <t>Calculado com classes reportadas e PL oficial reconciliado</t>
        </is>
      </c>
      <c r="N9" s="144" t="n">
        <v>0.015</v>
      </c>
      <c r="O9" s="144" t="inlineStr">
        <is>
          <t>N/D</t>
        </is>
      </c>
      <c r="P9" s="144" t="inlineStr">
        <is>
          <t>N/D</t>
        </is>
      </c>
      <c r="Q9" s="144" t="inlineStr">
        <is>
          <t>N/D</t>
        </is>
      </c>
      <c r="R9" s="144" t="inlineStr">
        <is>
          <t>N/D</t>
        </is>
      </c>
      <c r="S9" s="144" t="inlineStr">
        <is>
          <t>N/D</t>
        </is>
      </c>
      <c r="T9" s="75" t="inlineStr">
        <is>
          <t>1,5% inicial; meta 2,5%</t>
        </is>
      </c>
      <c r="U9" s="75" t="inlineStr">
        <is>
          <t>junior_pl</t>
        </is>
      </c>
      <c r="V9" s="75" t="inlineStr">
        <is>
          <t>direto no regulamento</t>
        </is>
      </c>
      <c r="W9" s="75" t="b">
        <v>0</v>
      </c>
      <c r="X9" s="75" t="inlineStr">
        <is>
          <t>N/D — equivalência entre mínimo júnior e subordinação total não comprovada</t>
        </is>
      </c>
      <c r="Y9" s="75" t="b">
        <v>1</v>
      </c>
      <c r="Z9" s="144" t="inlineStr">
        <is>
          <t>N/D</t>
        </is>
      </c>
      <c r="AA9" s="144" t="inlineStr">
        <is>
          <t>N/D</t>
        </is>
      </c>
      <c r="AB9" s="75" t="inlineStr">
        <is>
          <t>não medido</t>
        </is>
      </c>
      <c r="AC9" s="75" t="inlineStr">
        <is>
          <t>N/D</t>
        </is>
      </c>
      <c r="AD9" s="75" t="inlineStr">
        <is>
          <t>N/D</t>
        </is>
      </c>
      <c r="AE9" s="75" t="inlineStr">
        <is>
          <t>Consignado INSS</t>
        </is>
      </c>
      <c r="AF9" s="75" t="inlineStr">
        <is>
          <t>Consignado INSS</t>
        </is>
      </c>
      <c r="AG9" s="75" t="inlineStr">
        <is>
          <t>N/D</t>
        </is>
      </c>
      <c r="AH9" s="75" t="inlineStr">
        <is>
          <t>N/D</t>
        </is>
      </c>
      <c r="AI9" s="75" t="inlineStr">
        <is>
          <t>N/D</t>
        </is>
      </c>
      <c r="AJ9" s="75" t="b">
        <v>0</v>
      </c>
      <c r="AK9" s="75" t="inlineStr">
        <is>
          <t>N/D</t>
        </is>
      </c>
      <c r="AL9" s="75" t="inlineStr">
        <is>
          <t>N/D</t>
        </is>
      </c>
      <c r="AM9" s="75" t="inlineStr">
        <is>
          <t>N/D</t>
        </is>
      </c>
      <c r="AN9" s="75" t="inlineStr">
        <is>
          <t>N/D</t>
        </is>
      </c>
      <c r="AO9" s="75" t="inlineStr">
        <is>
          <t>N/D</t>
        </is>
      </c>
      <c r="AP9" s="75" t="inlineStr">
        <is>
          <t>N/D</t>
        </is>
      </c>
      <c r="AQ9" s="75" t="inlineStr">
        <is>
          <t>N/D</t>
        </is>
      </c>
      <c r="AR9" s="75" t="inlineStr">
        <is>
          <t>N/D</t>
        </is>
      </c>
      <c r="AS9" s="75" t="inlineStr">
        <is>
          <t>N/D</t>
        </is>
      </c>
      <c r="AT9" s="75" t="inlineStr">
        <is>
          <t>N/D</t>
        </is>
      </c>
      <c r="AU9" s="75" t="inlineStr">
        <is>
          <t>N/D</t>
        </is>
      </c>
      <c r="AV9" s="75" t="inlineStr">
        <is>
          <t>N/D</t>
        </is>
      </c>
      <c r="AW9" s="75" t="b">
        <v>0</v>
      </c>
      <c r="AX9" s="75" t="inlineStr">
        <is>
          <t>N/D</t>
        </is>
      </c>
      <c r="AY9" s="75" t="inlineStr">
        <is>
          <t>N/D</t>
        </is>
      </c>
      <c r="AZ9" s="144" t="inlineStr">
        <is>
          <t>N/D</t>
        </is>
      </c>
      <c r="BA9" s="75" t="inlineStr">
        <is>
          <t>N/D</t>
        </is>
      </c>
      <c r="BB9" s="145" t="inlineStr">
        <is>
          <t>N/D</t>
        </is>
      </c>
      <c r="BC9" s="143" t="inlineStr">
        <is>
          <t>N/D</t>
        </is>
      </c>
      <c r="BD9" s="75" t="inlineStr">
        <is>
          <t>N/D</t>
        </is>
      </c>
      <c r="BE9" s="75" t="inlineStr">
        <is>
          <t>N/D</t>
        </is>
      </c>
      <c r="BF9" s="75" t="inlineStr">
        <is>
          <t>N/D</t>
        </is>
      </c>
      <c r="BG9" s="75" t="inlineStr">
        <is>
          <t>N/D</t>
        </is>
      </c>
      <c r="BH9" s="75" t="inlineStr">
        <is>
          <t>N/D</t>
        </is>
      </c>
      <c r="BI9" s="75" t="inlineStr">
        <is>
          <t>N/D</t>
        </is>
      </c>
      <c r="BJ9" s="75" t="inlineStr">
        <is>
          <t>não localizado</t>
        </is>
      </c>
      <c r="BK9" s="75" t="b">
        <v>0</v>
      </c>
      <c r="BL9" s="75" t="inlineStr">
        <is>
          <t>N/D</t>
        </is>
      </c>
      <c r="BM9" s="75" t="inlineStr">
        <is>
          <t>N/D</t>
        </is>
      </c>
      <c r="BN9" s="75" t="inlineStr">
        <is>
          <t>N/D</t>
        </is>
      </c>
      <c r="BO9" s="75" t="inlineStr">
        <is>
          <t>N/D</t>
        </is>
      </c>
      <c r="BP9" s="75" t="inlineStr">
        <is>
          <t>N/D</t>
        </is>
      </c>
      <c r="BQ9" s="75" t="inlineStr">
        <is>
          <t>N/D</t>
        </is>
      </c>
      <c r="BR9" s="75" t="inlineStr">
        <is>
          <t>N/D</t>
        </is>
      </c>
      <c r="BS9" s="75" t="inlineStr">
        <is>
          <t>sem_overlay</t>
        </is>
      </c>
      <c r="BT9" s="75" t="inlineStr">
        <is>
          <t>N/D</t>
        </is>
      </c>
      <c r="BU9" s="75" t="inlineStr">
        <is>
          <t>1130481</t>
        </is>
      </c>
      <c r="BV9" s="75" t="inlineStr">
        <is>
          <t>2026-03-05</t>
        </is>
      </c>
      <c r="BW9" s="75" t="inlineStr">
        <is>
          <t>p. 142; item 6.8.5</t>
        </is>
      </c>
      <c r="BX9" s="75" t="inlineStr">
        <is>
          <t>revisto — mínimo júnior localizado</t>
        </is>
      </c>
      <c r="BY9" s="75" t="inlineStr">
        <is>
          <t>FundosNet/B3; documento 1130481; referência 2026-03-05; p. 142; item 6.8.5</t>
        </is>
      </c>
      <c r="BZ9" s="75" t="inlineStr">
        <is>
          <t>Cotas subordinadas júnior / PL: mínimo inicial de 1,5% e meta de 2,5%.</t>
        </is>
      </c>
      <c r="CA9" s="75" t="inlineStr">
        <is>
          <t>mínimo estrutural comparável; preço unitário da cota; originador; cedente; sacado/devedor; tipo de recebível</t>
        </is>
      </c>
      <c r="CB9" s="75" t="inlineStr">
        <is>
          <t>estrutura_incomparavel</t>
        </is>
      </c>
    </row>
    <row r="10" ht="31.5" customHeight="1">
      <c r="A10" s="74" t="n">
        <v>4</v>
      </c>
      <c r="B10" s="138" t="n">
        <v>61271872000189</v>
      </c>
      <c r="C10" s="74" t="inlineStr">
        <is>
          <t>61.271.872/0001-89</t>
        </is>
      </c>
      <c r="D10" s="74" t="inlineStr">
        <is>
          <t>PINE INSS FUNDO DE INVESTIMENTO EM DIREITOS CREDITÓRIOS SEGMENTO FINANCEIRO RESP LIMITADA</t>
        </is>
      </c>
      <c r="E10" s="74" t="inlineStr">
        <is>
          <t>Pine INSS I, II e III</t>
        </is>
      </c>
      <c r="F10" s="74" t="inlineStr">
        <is>
          <t>Flagships</t>
        </is>
      </c>
      <c r="G10" s="74" t="inlineStr">
        <is>
          <t>2026-06</t>
        </is>
      </c>
      <c r="H10" s="74" t="inlineStr">
        <is>
          <t>localizado</t>
        </is>
      </c>
      <c r="I10" s="139" t="n">
        <v>1019915716.89</v>
      </c>
      <c r="J10" s="139" t="n">
        <v>1019915716.892</v>
      </c>
      <c r="K10" s="139" t="n">
        <v>164378337.39</v>
      </c>
      <c r="L10" s="140" t="n">
        <v>0.1611685501731792</v>
      </c>
      <c r="M10" s="74" t="inlineStr">
        <is>
          <t>Calculado com classes reportadas e PL oficial reconciliado</t>
        </is>
      </c>
      <c r="N10" s="140" t="inlineStr">
        <is>
          <t>N/D</t>
        </is>
      </c>
      <c r="O10" s="140" t="inlineStr">
        <is>
          <t>N/D</t>
        </is>
      </c>
      <c r="P10" s="140" t="inlineStr">
        <is>
          <t>N/D</t>
        </is>
      </c>
      <c r="Q10" s="140" t="inlineStr">
        <is>
          <t>N/D</t>
        </is>
      </c>
      <c r="R10" s="140" t="inlineStr">
        <is>
          <t>N/D</t>
        </is>
      </c>
      <c r="S10" s="140" t="inlineStr">
        <is>
          <t>N/D</t>
        </is>
      </c>
      <c r="T10" s="74" t="inlineStr">
        <is>
          <t>N/D</t>
        </is>
      </c>
      <c r="U10" s="74" t="inlineStr">
        <is>
          <t>sem_indice</t>
        </is>
      </c>
      <c r="V10" s="74" t="inlineStr">
        <is>
          <t>N/D</t>
        </is>
      </c>
      <c r="W10" s="74" t="b">
        <v>0</v>
      </c>
      <c r="X10" s="74" t="inlineStr">
        <is>
          <t>N/D — mínimo estrutural ou subordinação atual ausente</t>
        </is>
      </c>
      <c r="Y10" s="74" t="b">
        <v>0</v>
      </c>
      <c r="Z10" s="140" t="inlineStr">
        <is>
          <t>N/D</t>
        </is>
      </c>
      <c r="AA10" s="140" t="inlineStr">
        <is>
          <t>N/D</t>
        </is>
      </c>
      <c r="AB10" s="74" t="inlineStr">
        <is>
          <t>não medido</t>
        </is>
      </c>
      <c r="AC10" s="74" t="inlineStr">
        <is>
          <t>N/D</t>
        </is>
      </c>
      <c r="AD10" s="74" t="inlineStr">
        <is>
          <t>N/D</t>
        </is>
      </c>
      <c r="AE10" s="74" t="inlineStr">
        <is>
          <t>Consignado INSS</t>
        </is>
      </c>
      <c r="AF10" s="74" t="inlineStr">
        <is>
          <t>Consignado INSS</t>
        </is>
      </c>
      <c r="AG10" s="74" t="inlineStr">
        <is>
          <t>N/D</t>
        </is>
      </c>
      <c r="AH10" s="74" t="inlineStr">
        <is>
          <t>N/D</t>
        </is>
      </c>
      <c r="AI10" s="74" t="inlineStr">
        <is>
          <t>N/D</t>
        </is>
      </c>
      <c r="AJ10" s="74" t="b">
        <v>0</v>
      </c>
      <c r="AK10" s="74" t="inlineStr">
        <is>
          <t>N/D</t>
        </is>
      </c>
      <c r="AL10" s="74" t="inlineStr">
        <is>
          <t>N/D</t>
        </is>
      </c>
      <c r="AM10" s="74" t="inlineStr">
        <is>
          <t>N/D</t>
        </is>
      </c>
      <c r="AN10" s="74" t="inlineStr">
        <is>
          <t>N/D</t>
        </is>
      </c>
      <c r="AO10" s="74" t="inlineStr">
        <is>
          <t>N/D</t>
        </is>
      </c>
      <c r="AP10" s="74" t="inlineStr">
        <is>
          <t>N/D</t>
        </is>
      </c>
      <c r="AQ10" s="74" t="inlineStr">
        <is>
          <t>N/D</t>
        </is>
      </c>
      <c r="AR10" s="74" t="inlineStr">
        <is>
          <t>N/D</t>
        </is>
      </c>
      <c r="AS10" s="74" t="inlineStr">
        <is>
          <t>N/D</t>
        </is>
      </c>
      <c r="AT10" s="74" t="inlineStr">
        <is>
          <t>N/D</t>
        </is>
      </c>
      <c r="AU10" s="74" t="inlineStr">
        <is>
          <t>N/D</t>
        </is>
      </c>
      <c r="AV10" s="74" t="inlineStr">
        <is>
          <t>N/D</t>
        </is>
      </c>
      <c r="AW10" s="74" t="b">
        <v>0</v>
      </c>
      <c r="AX10" s="74" t="inlineStr">
        <is>
          <t>N/D</t>
        </is>
      </c>
      <c r="AY10" s="74" t="inlineStr">
        <is>
          <t>N/D</t>
        </is>
      </c>
      <c r="AZ10" s="140" t="inlineStr">
        <is>
          <t>N/D</t>
        </is>
      </c>
      <c r="BA10" s="74" t="inlineStr">
        <is>
          <t>N/D</t>
        </is>
      </c>
      <c r="BB10" s="141" t="inlineStr">
        <is>
          <t>N/D</t>
        </is>
      </c>
      <c r="BC10" s="139" t="inlineStr">
        <is>
          <t>N/D</t>
        </is>
      </c>
      <c r="BD10" s="74" t="inlineStr">
        <is>
          <t>N/D</t>
        </is>
      </c>
      <c r="BE10" s="74" t="inlineStr">
        <is>
          <t>N/D</t>
        </is>
      </c>
      <c r="BF10" s="74" t="inlineStr">
        <is>
          <t>N/D</t>
        </is>
      </c>
      <c r="BG10" s="74" t="inlineStr">
        <is>
          <t>N/D</t>
        </is>
      </c>
      <c r="BH10" s="74" t="inlineStr">
        <is>
          <t>N/D</t>
        </is>
      </c>
      <c r="BI10" s="74" t="inlineStr">
        <is>
          <t>N/D</t>
        </is>
      </c>
      <c r="BJ10" s="74" t="inlineStr">
        <is>
          <t>não localizado</t>
        </is>
      </c>
      <c r="BK10" s="74" t="b">
        <v>0</v>
      </c>
      <c r="BL10" s="74" t="inlineStr">
        <is>
          <t>N/D</t>
        </is>
      </c>
      <c r="BM10" s="74" t="inlineStr">
        <is>
          <t>N/D</t>
        </is>
      </c>
      <c r="BN10" s="74" t="inlineStr">
        <is>
          <t>N/D</t>
        </is>
      </c>
      <c r="BO10" s="74" t="inlineStr">
        <is>
          <t>N/D</t>
        </is>
      </c>
      <c r="BP10" s="74" t="inlineStr">
        <is>
          <t>N/D</t>
        </is>
      </c>
      <c r="BQ10" s="74" t="inlineStr">
        <is>
          <t>N/D</t>
        </is>
      </c>
      <c r="BR10" s="74" t="inlineStr">
        <is>
          <t>N/D</t>
        </is>
      </c>
      <c r="BS10" s="74" t="inlineStr">
        <is>
          <t>sem_overlay</t>
        </is>
      </c>
      <c r="BT10" s="74" t="inlineStr">
        <is>
          <t>N/D</t>
        </is>
      </c>
      <c r="BU10" s="74" t="inlineStr">
        <is>
          <t>1211502</t>
        </is>
      </c>
      <c r="BV10" s="74" t="inlineStr">
        <is>
          <t>2026-06-01</t>
        </is>
      </c>
      <c r="BW10" s="74" t="inlineStr">
        <is>
          <t>cláusulas de subordinação e definições revisadas</t>
        </is>
      </c>
      <c r="BX10" s="74" t="inlineStr">
        <is>
          <t>revisto — mínimo júnior não isolado</t>
        </is>
      </c>
      <c r="BY10" s="74" t="inlineStr">
        <is>
          <t>FundosNet/B3; documento 1211502; referência 2026-06-01; cláusulas candidatas revisadas</t>
        </is>
      </c>
      <c r="BZ10" s="74" t="inlineStr">
        <is>
          <t>N/D</t>
        </is>
      </c>
      <c r="CA10" s="74" t="inlineStr">
        <is>
          <t>mínimo estrutural comparável; preço unitário da cota; originador; cedente; sacado/devedor; tipo de recebível</t>
        </is>
      </c>
      <c r="CB10" s="74" t="inlineStr">
        <is>
          <t>minimo_estrutural_ausente</t>
        </is>
      </c>
    </row>
    <row r="11" ht="31.5" customHeight="1">
      <c r="A11" s="75" t="n">
        <v>4</v>
      </c>
      <c r="B11" s="142" t="n">
        <v>63321684000143</v>
      </c>
      <c r="C11" s="75" t="inlineStr">
        <is>
          <t>63.321.684/0001-43</t>
        </is>
      </c>
      <c r="D11" s="75" t="inlineStr">
        <is>
          <t>PINE INSS II FUNDO DE INVESTIMENTO EM DIREITOS CREDITÓRIOS RESPONSABILIDADE LIMITADA</t>
        </is>
      </c>
      <c r="E11" s="75" t="inlineStr">
        <is>
          <t>Pine INSS I, II e III</t>
        </is>
      </c>
      <c r="F11" s="75" t="inlineStr">
        <is>
          <t>Flagships</t>
        </is>
      </c>
      <c r="G11" s="75" t="inlineStr">
        <is>
          <t>2026-06</t>
        </is>
      </c>
      <c r="H11" s="75" t="inlineStr">
        <is>
          <t>localizado</t>
        </is>
      </c>
      <c r="I11" s="143" t="n">
        <v>1019657420.09</v>
      </c>
      <c r="J11" s="143" t="n">
        <v>1019657420.091615</v>
      </c>
      <c r="K11" s="143" t="n">
        <v>166663463.2003649</v>
      </c>
      <c r="L11" s="144" t="n">
        <v>0.163450449059307</v>
      </c>
      <c r="M11" s="75" t="inlineStr">
        <is>
          <t>Calculado com classes reportadas e PL oficial reconciliado</t>
        </is>
      </c>
      <c r="N11" s="144" t="inlineStr">
        <is>
          <t>N/D</t>
        </is>
      </c>
      <c r="O11" s="144" t="inlineStr">
        <is>
          <t>N/D</t>
        </is>
      </c>
      <c r="P11" s="144" t="inlineStr">
        <is>
          <t>N/D</t>
        </is>
      </c>
      <c r="Q11" s="144" t="inlineStr">
        <is>
          <t>N/D</t>
        </is>
      </c>
      <c r="R11" s="144" t="inlineStr">
        <is>
          <t>N/D</t>
        </is>
      </c>
      <c r="S11" s="144" t="inlineStr">
        <is>
          <t>N/D</t>
        </is>
      </c>
      <c r="T11" s="75" t="inlineStr">
        <is>
          <t>N/D</t>
        </is>
      </c>
      <c r="U11" s="75" t="inlineStr">
        <is>
          <t>sem_indice</t>
        </is>
      </c>
      <c r="V11" s="75" t="inlineStr">
        <is>
          <t>N/D</t>
        </is>
      </c>
      <c r="W11" s="75" t="b">
        <v>0</v>
      </c>
      <c r="X11" s="75" t="inlineStr">
        <is>
          <t>N/D — mínimo estrutural ou subordinação atual ausente</t>
        </is>
      </c>
      <c r="Y11" s="75" t="b">
        <v>0</v>
      </c>
      <c r="Z11" s="144" t="inlineStr">
        <is>
          <t>N/D</t>
        </is>
      </c>
      <c r="AA11" s="144" t="inlineStr">
        <is>
          <t>N/D</t>
        </is>
      </c>
      <c r="AB11" s="75" t="inlineStr">
        <is>
          <t>não medido</t>
        </is>
      </c>
      <c r="AC11" s="75" t="inlineStr">
        <is>
          <t>N/D</t>
        </is>
      </c>
      <c r="AD11" s="75" t="inlineStr">
        <is>
          <t>N/D</t>
        </is>
      </c>
      <c r="AE11" s="75" t="inlineStr">
        <is>
          <t>Consignado INSS</t>
        </is>
      </c>
      <c r="AF11" s="75" t="inlineStr">
        <is>
          <t>Consignado INSS</t>
        </is>
      </c>
      <c r="AG11" s="75" t="inlineStr">
        <is>
          <t>N/D</t>
        </is>
      </c>
      <c r="AH11" s="75" t="inlineStr">
        <is>
          <t>N/D</t>
        </is>
      </c>
      <c r="AI11" s="75" t="inlineStr">
        <is>
          <t>N/D</t>
        </is>
      </c>
      <c r="AJ11" s="75" t="b">
        <v>0</v>
      </c>
      <c r="AK11" s="75" t="inlineStr">
        <is>
          <t>N/D</t>
        </is>
      </c>
      <c r="AL11" s="75" t="inlineStr">
        <is>
          <t>N/D</t>
        </is>
      </c>
      <c r="AM11" s="75" t="inlineStr">
        <is>
          <t>N/D</t>
        </is>
      </c>
      <c r="AN11" s="75" t="inlineStr">
        <is>
          <t>N/D</t>
        </is>
      </c>
      <c r="AO11" s="75" t="inlineStr">
        <is>
          <t>N/D</t>
        </is>
      </c>
      <c r="AP11" s="75" t="inlineStr">
        <is>
          <t>N/D</t>
        </is>
      </c>
      <c r="AQ11" s="75" t="inlineStr">
        <is>
          <t>N/D</t>
        </is>
      </c>
      <c r="AR11" s="75" t="inlineStr">
        <is>
          <t>N/D</t>
        </is>
      </c>
      <c r="AS11" s="75" t="inlineStr">
        <is>
          <t>N/D</t>
        </is>
      </c>
      <c r="AT11" s="75" t="inlineStr">
        <is>
          <t>N/D</t>
        </is>
      </c>
      <c r="AU11" s="75" t="inlineStr">
        <is>
          <t>N/D</t>
        </is>
      </c>
      <c r="AV11" s="75" t="inlineStr">
        <is>
          <t>N/D</t>
        </is>
      </c>
      <c r="AW11" s="75" t="b">
        <v>0</v>
      </c>
      <c r="AX11" s="75" t="inlineStr">
        <is>
          <t>N/D</t>
        </is>
      </c>
      <c r="AY11" s="75" t="inlineStr">
        <is>
          <t>N/D</t>
        </is>
      </c>
      <c r="AZ11" s="144" t="inlineStr">
        <is>
          <t>N/D</t>
        </is>
      </c>
      <c r="BA11" s="75" t="inlineStr">
        <is>
          <t>N/D</t>
        </is>
      </c>
      <c r="BB11" s="145" t="inlineStr">
        <is>
          <t>N/D</t>
        </is>
      </c>
      <c r="BC11" s="143" t="inlineStr">
        <is>
          <t>N/D</t>
        </is>
      </c>
      <c r="BD11" s="75" t="inlineStr">
        <is>
          <t>N/D</t>
        </is>
      </c>
      <c r="BE11" s="75" t="inlineStr">
        <is>
          <t>N/D</t>
        </is>
      </c>
      <c r="BF11" s="75" t="inlineStr">
        <is>
          <t>N/D</t>
        </is>
      </c>
      <c r="BG11" s="75" t="inlineStr">
        <is>
          <t>N/D</t>
        </is>
      </c>
      <c r="BH11" s="75" t="inlineStr">
        <is>
          <t>N/D</t>
        </is>
      </c>
      <c r="BI11" s="75" t="inlineStr">
        <is>
          <t>N/D</t>
        </is>
      </c>
      <c r="BJ11" s="75" t="inlineStr">
        <is>
          <t>não localizado</t>
        </is>
      </c>
      <c r="BK11" s="75" t="b">
        <v>0</v>
      </c>
      <c r="BL11" s="75" t="inlineStr">
        <is>
          <t>N/D</t>
        </is>
      </c>
      <c r="BM11" s="75" t="inlineStr">
        <is>
          <t>N/D</t>
        </is>
      </c>
      <c r="BN11" s="75" t="inlineStr">
        <is>
          <t>N/D</t>
        </is>
      </c>
      <c r="BO11" s="75" t="inlineStr">
        <is>
          <t>N/D</t>
        </is>
      </c>
      <c r="BP11" s="75" t="inlineStr">
        <is>
          <t>N/D</t>
        </is>
      </c>
      <c r="BQ11" s="75" t="inlineStr">
        <is>
          <t>N/D</t>
        </is>
      </c>
      <c r="BR11" s="75" t="inlineStr">
        <is>
          <t>N/D</t>
        </is>
      </c>
      <c r="BS11" s="75" t="inlineStr">
        <is>
          <t>sem_overlay</t>
        </is>
      </c>
      <c r="BT11" s="75" t="inlineStr">
        <is>
          <t>N/D</t>
        </is>
      </c>
      <c r="BU11" s="75" t="inlineStr">
        <is>
          <t>N/D</t>
        </is>
      </c>
      <c r="BV11" s="75" t="inlineStr">
        <is>
          <t>N/D</t>
        </is>
      </c>
      <c r="BW11" s="75" t="inlineStr">
        <is>
          <t>N/D</t>
        </is>
      </c>
      <c r="BX11" s="75" t="inlineStr">
        <is>
          <t>lacuna — regulamento integral não disponível nas fontes locais</t>
        </is>
      </c>
      <c r="BY11" s="75" t="inlineStr">
        <is>
          <t>N/D</t>
        </is>
      </c>
      <c r="BZ11" s="75" t="inlineStr">
        <is>
          <t>N/D</t>
        </is>
      </c>
      <c r="CA11" s="75" t="inlineStr">
        <is>
          <t>mínimo estrutural comparável; preço unitário da cota; originador; cedente; sacado/devedor; tipo de recebível</t>
        </is>
      </c>
      <c r="CB11" s="75" t="inlineStr">
        <is>
          <t>minimo_estrutural_ausente</t>
        </is>
      </c>
    </row>
    <row r="12" ht="31.5" customHeight="1">
      <c r="A12" s="74" t="n">
        <v>5</v>
      </c>
      <c r="B12" s="138" t="n">
        <v>62310468000130</v>
      </c>
      <c r="C12" s="74" t="inlineStr">
        <is>
          <t>62.310.468/0001-30</t>
        </is>
      </c>
      <c r="D12" s="74" t="inlineStr">
        <is>
          <t>MT INSS RECEIVABLES VI FUNDO DE INVESTIMENTO EM DIREITOS CREDITÓRIOS RESPONSABILIDADE LIMITADA</t>
        </is>
      </c>
      <c r="E12" s="74" t="inlineStr">
        <is>
          <t>MT INSS Receivables VI</t>
        </is>
      </c>
      <c r="F12" s="74" t="inlineStr">
        <is>
          <t>Flagships</t>
        </is>
      </c>
      <c r="G12" s="74" t="inlineStr">
        <is>
          <t>2026-06</t>
        </is>
      </c>
      <c r="H12" s="74" t="inlineStr">
        <is>
          <t>localizado</t>
        </is>
      </c>
      <c r="I12" s="139" t="n">
        <v>1535189477.94</v>
      </c>
      <c r="J12" s="139" t="n">
        <v>1535189477.940505</v>
      </c>
      <c r="K12" s="139" t="n">
        <v>311138430.9755064</v>
      </c>
      <c r="L12" s="140" t="n">
        <v>0.2026710288511153</v>
      </c>
      <c r="M12" s="74" t="inlineStr">
        <is>
          <t>Calculado com classes reportadas e PL oficial reconciliado</t>
        </is>
      </c>
      <c r="N12" s="140" t="inlineStr">
        <is>
          <t>N/D</t>
        </is>
      </c>
      <c r="O12" s="140" t="inlineStr">
        <is>
          <t>N/D</t>
        </is>
      </c>
      <c r="P12" s="140" t="inlineStr">
        <is>
          <t>N/D</t>
        </is>
      </c>
      <c r="Q12" s="140" t="inlineStr">
        <is>
          <t>N/D</t>
        </is>
      </c>
      <c r="R12" s="140" t="inlineStr">
        <is>
          <t>N/D</t>
        </is>
      </c>
      <c r="S12" s="140" t="inlineStr">
        <is>
          <t>N/D</t>
        </is>
      </c>
      <c r="T12" s="74" t="inlineStr">
        <is>
          <t>N/D</t>
        </is>
      </c>
      <c r="U12" s="74" t="inlineStr">
        <is>
          <t>sem_indice</t>
        </is>
      </c>
      <c r="V12" s="74" t="inlineStr">
        <is>
          <t>N/D</t>
        </is>
      </c>
      <c r="W12" s="74" t="b">
        <v>0</v>
      </c>
      <c r="X12" s="74" t="inlineStr">
        <is>
          <t>N/D — mínimo estrutural ou subordinação atual ausente</t>
        </is>
      </c>
      <c r="Y12" s="74" t="b">
        <v>0</v>
      </c>
      <c r="Z12" s="140" t="inlineStr">
        <is>
          <t>N/D</t>
        </is>
      </c>
      <c r="AA12" s="140" t="inlineStr">
        <is>
          <t>N/D</t>
        </is>
      </c>
      <c r="AB12" s="74" t="inlineStr">
        <is>
          <t>não medido</t>
        </is>
      </c>
      <c r="AC12" s="74" t="inlineStr">
        <is>
          <t>N/D</t>
        </is>
      </c>
      <c r="AD12" s="74" t="inlineStr">
        <is>
          <t>N/D</t>
        </is>
      </c>
      <c r="AE12" s="74" t="inlineStr">
        <is>
          <t>Consignado INSS</t>
        </is>
      </c>
      <c r="AF12" s="74" t="inlineStr">
        <is>
          <t>Consignado INSS</t>
        </is>
      </c>
      <c r="AG12" s="74" t="inlineStr">
        <is>
          <t>N/D</t>
        </is>
      </c>
      <c r="AH12" s="74" t="inlineStr">
        <is>
          <t>N/D</t>
        </is>
      </c>
      <c r="AI12" s="74" t="inlineStr">
        <is>
          <t>N/D</t>
        </is>
      </c>
      <c r="AJ12" s="74" t="b">
        <v>0</v>
      </c>
      <c r="AK12" s="74" t="inlineStr">
        <is>
          <t>N/D</t>
        </is>
      </c>
      <c r="AL12" s="74" t="inlineStr">
        <is>
          <t>N/D</t>
        </is>
      </c>
      <c r="AM12" s="74" t="inlineStr">
        <is>
          <t>N/D</t>
        </is>
      </c>
      <c r="AN12" s="74" t="inlineStr">
        <is>
          <t>N/D</t>
        </is>
      </c>
      <c r="AO12" s="74" t="inlineStr">
        <is>
          <t>N/D</t>
        </is>
      </c>
      <c r="AP12" s="74" t="inlineStr">
        <is>
          <t>N/D</t>
        </is>
      </c>
      <c r="AQ12" s="74" t="inlineStr">
        <is>
          <t>N/D</t>
        </is>
      </c>
      <c r="AR12" s="74" t="inlineStr">
        <is>
          <t>N/D</t>
        </is>
      </c>
      <c r="AS12" s="74" t="inlineStr">
        <is>
          <t>N/D</t>
        </is>
      </c>
      <c r="AT12" s="74" t="inlineStr">
        <is>
          <t>N/D</t>
        </is>
      </c>
      <c r="AU12" s="74" t="inlineStr">
        <is>
          <t>N/D</t>
        </is>
      </c>
      <c r="AV12" s="74" t="inlineStr">
        <is>
          <t>N/D</t>
        </is>
      </c>
      <c r="AW12" s="74" t="b">
        <v>0</v>
      </c>
      <c r="AX12" s="74" t="inlineStr">
        <is>
          <t>N/D</t>
        </is>
      </c>
      <c r="AY12" s="74" t="inlineStr">
        <is>
          <t>N/D</t>
        </is>
      </c>
      <c r="AZ12" s="140" t="inlineStr">
        <is>
          <t>N/D</t>
        </is>
      </c>
      <c r="BA12" s="74" t="inlineStr">
        <is>
          <t>N/D</t>
        </is>
      </c>
      <c r="BB12" s="141" t="inlineStr">
        <is>
          <t>N/D</t>
        </is>
      </c>
      <c r="BC12" s="139" t="inlineStr">
        <is>
          <t>N/D</t>
        </is>
      </c>
      <c r="BD12" s="74" t="inlineStr">
        <is>
          <t>N/D</t>
        </is>
      </c>
      <c r="BE12" s="74" t="inlineStr">
        <is>
          <t>N/D</t>
        </is>
      </c>
      <c r="BF12" s="74" t="inlineStr">
        <is>
          <t>N/D</t>
        </is>
      </c>
      <c r="BG12" s="74" t="inlineStr">
        <is>
          <t>N/D</t>
        </is>
      </c>
      <c r="BH12" s="74" t="inlineStr">
        <is>
          <t>N/D</t>
        </is>
      </c>
      <c r="BI12" s="74" t="inlineStr">
        <is>
          <t>N/D</t>
        </is>
      </c>
      <c r="BJ12" s="74" t="inlineStr">
        <is>
          <t>não localizado</t>
        </is>
      </c>
      <c r="BK12" s="74" t="b">
        <v>0</v>
      </c>
      <c r="BL12" s="74" t="inlineStr">
        <is>
          <t>N/D</t>
        </is>
      </c>
      <c r="BM12" s="74" t="inlineStr">
        <is>
          <t>N/D</t>
        </is>
      </c>
      <c r="BN12" s="74" t="inlineStr">
        <is>
          <t>N/D</t>
        </is>
      </c>
      <c r="BO12" s="74" t="inlineStr">
        <is>
          <t>N/D</t>
        </is>
      </c>
      <c r="BP12" s="74" t="inlineStr">
        <is>
          <t>N/D</t>
        </is>
      </c>
      <c r="BQ12" s="74" t="inlineStr">
        <is>
          <t>N/D</t>
        </is>
      </c>
      <c r="BR12" s="74" t="inlineStr">
        <is>
          <t>N/D</t>
        </is>
      </c>
      <c r="BS12" s="74" t="inlineStr">
        <is>
          <t>sem_overlay</t>
        </is>
      </c>
      <c r="BT12" s="74" t="inlineStr">
        <is>
          <t>N/D</t>
        </is>
      </c>
      <c r="BU12" s="74" t="inlineStr">
        <is>
          <t>1153512</t>
        </is>
      </c>
      <c r="BV12" s="74" t="inlineStr">
        <is>
          <t>2026-04-01</t>
        </is>
      </c>
      <c r="BW12" s="74" t="inlineStr">
        <is>
          <t>cláusulas de subordinação e definições revisadas</t>
        </is>
      </c>
      <c r="BX12" s="74" t="inlineStr">
        <is>
          <t>revisto — mínimo júnior não isolado</t>
        </is>
      </c>
      <c r="BY12" s="74" t="inlineStr">
        <is>
          <t>FundosNet/B3; documento 1153512; referência 2026-04-01; cláusulas candidatas revisadas</t>
        </is>
      </c>
      <c r="BZ12" s="74" t="inlineStr">
        <is>
          <t>N/D</t>
        </is>
      </c>
      <c r="CA12" s="74" t="inlineStr">
        <is>
          <t>mínimo estrutural comparável; preço unitário da cota; originador; cedente; sacado/devedor; tipo de recebível</t>
        </is>
      </c>
      <c r="CB12" s="74" t="inlineStr">
        <is>
          <t>minimo_estrutural_ausente</t>
        </is>
      </c>
    </row>
    <row r="13" ht="31.5" customHeight="1">
      <c r="A13" s="75" t="n">
        <v>6</v>
      </c>
      <c r="B13" s="142" t="n">
        <v>63733796000101</v>
      </c>
      <c r="C13" s="75" t="inlineStr">
        <is>
          <t>63.733.796/0001-01</t>
        </is>
      </c>
      <c r="D13" s="75" t="inlineStr">
        <is>
          <t>ICRED CHOPIN INSS FUNDO DE INVESTIMENTO EM DIREITOS CREDITÓRIOS RESPONSABILIDADE LIMITADA</t>
        </is>
      </c>
      <c r="E13" s="75" t="inlineStr">
        <is>
          <t>ICRED Chopin INSS</t>
        </is>
      </c>
      <c r="F13" s="75" t="inlineStr">
        <is>
          <t>Flagships</t>
        </is>
      </c>
      <c r="G13" s="75" t="inlineStr">
        <is>
          <t>2026-06</t>
        </is>
      </c>
      <c r="H13" s="75" t="inlineStr">
        <is>
          <t>localizado</t>
        </is>
      </c>
      <c r="I13" s="143" t="n">
        <v>1111178920.37</v>
      </c>
      <c r="J13" s="143" t="n">
        <v>1111178920.371703</v>
      </c>
      <c r="K13" s="143" t="n">
        <v>153239252.2302936</v>
      </c>
      <c r="L13" s="144" t="n">
        <v>0.1379069107783902</v>
      </c>
      <c r="M13" s="75" t="inlineStr">
        <is>
          <t>Calculado com classes reportadas e PL oficial reconciliado</t>
        </is>
      </c>
      <c r="N13" s="144" t="inlineStr">
        <is>
          <t>N/D</t>
        </is>
      </c>
      <c r="O13" s="144" t="inlineStr">
        <is>
          <t>N/D</t>
        </is>
      </c>
      <c r="P13" s="144" t="inlineStr">
        <is>
          <t>N/D</t>
        </is>
      </c>
      <c r="Q13" s="144" t="inlineStr">
        <is>
          <t>N/D</t>
        </is>
      </c>
      <c r="R13" s="144" t="inlineStr">
        <is>
          <t>N/D</t>
        </is>
      </c>
      <c r="S13" s="144" t="inlineStr">
        <is>
          <t>N/D</t>
        </is>
      </c>
      <c r="T13" s="75" t="inlineStr">
        <is>
          <t>N/D</t>
        </is>
      </c>
      <c r="U13" s="75" t="inlineStr">
        <is>
          <t>sem_indice</t>
        </is>
      </c>
      <c r="V13" s="75" t="inlineStr">
        <is>
          <t>N/D</t>
        </is>
      </c>
      <c r="W13" s="75" t="b">
        <v>0</v>
      </c>
      <c r="X13" s="75" t="inlineStr">
        <is>
          <t>N/D — mínimo estrutural ou subordinação atual ausente</t>
        </is>
      </c>
      <c r="Y13" s="75" t="b">
        <v>0</v>
      </c>
      <c r="Z13" s="144" t="inlineStr">
        <is>
          <t>N/D</t>
        </is>
      </c>
      <c r="AA13" s="144" t="inlineStr">
        <is>
          <t>N/D</t>
        </is>
      </c>
      <c r="AB13" s="75" t="inlineStr">
        <is>
          <t>não medido</t>
        </is>
      </c>
      <c r="AC13" s="75" t="inlineStr">
        <is>
          <t>N/D</t>
        </is>
      </c>
      <c r="AD13" s="75" t="inlineStr">
        <is>
          <t>N/D</t>
        </is>
      </c>
      <c r="AE13" s="75" t="inlineStr">
        <is>
          <t>Consignado INSS</t>
        </is>
      </c>
      <c r="AF13" s="75" t="inlineStr">
        <is>
          <t>Consignado INSS</t>
        </is>
      </c>
      <c r="AG13" s="75" t="inlineStr">
        <is>
          <t>N/D</t>
        </is>
      </c>
      <c r="AH13" s="75" t="inlineStr">
        <is>
          <t>N/D</t>
        </is>
      </c>
      <c r="AI13" s="75" t="inlineStr">
        <is>
          <t>N/D</t>
        </is>
      </c>
      <c r="AJ13" s="75" t="b">
        <v>0</v>
      </c>
      <c r="AK13" s="75" t="inlineStr">
        <is>
          <t>N/D</t>
        </is>
      </c>
      <c r="AL13" s="75" t="inlineStr">
        <is>
          <t>N/D</t>
        </is>
      </c>
      <c r="AM13" s="75" t="inlineStr">
        <is>
          <t>N/D</t>
        </is>
      </c>
      <c r="AN13" s="75" t="inlineStr">
        <is>
          <t>N/D</t>
        </is>
      </c>
      <c r="AO13" s="75" t="inlineStr">
        <is>
          <t>N/D</t>
        </is>
      </c>
      <c r="AP13" s="75" t="inlineStr">
        <is>
          <t>N/D</t>
        </is>
      </c>
      <c r="AQ13" s="75" t="inlineStr">
        <is>
          <t>N/D</t>
        </is>
      </c>
      <c r="AR13" s="75" t="inlineStr">
        <is>
          <t>N/D</t>
        </is>
      </c>
      <c r="AS13" s="75" t="inlineStr">
        <is>
          <t>N/D</t>
        </is>
      </c>
      <c r="AT13" s="75" t="inlineStr">
        <is>
          <t>N/D</t>
        </is>
      </c>
      <c r="AU13" s="75" t="inlineStr">
        <is>
          <t>N/D</t>
        </is>
      </c>
      <c r="AV13" s="75" t="inlineStr">
        <is>
          <t>N/D</t>
        </is>
      </c>
      <c r="AW13" s="75" t="b">
        <v>0</v>
      </c>
      <c r="AX13" s="75" t="inlineStr">
        <is>
          <t>N/D</t>
        </is>
      </c>
      <c r="AY13" s="75" t="inlineStr">
        <is>
          <t>N/D</t>
        </is>
      </c>
      <c r="AZ13" s="144" t="inlineStr">
        <is>
          <t>N/D</t>
        </is>
      </c>
      <c r="BA13" s="75" t="inlineStr">
        <is>
          <t>N/D</t>
        </is>
      </c>
      <c r="BB13" s="145" t="inlineStr">
        <is>
          <t>N/D</t>
        </is>
      </c>
      <c r="BC13" s="143" t="inlineStr">
        <is>
          <t>N/D</t>
        </is>
      </c>
      <c r="BD13" s="75" t="inlineStr">
        <is>
          <t>N/D</t>
        </is>
      </c>
      <c r="BE13" s="75" t="inlineStr">
        <is>
          <t>N/D</t>
        </is>
      </c>
      <c r="BF13" s="75" t="inlineStr">
        <is>
          <t>N/D</t>
        </is>
      </c>
      <c r="BG13" s="75" t="inlineStr">
        <is>
          <t>N/D</t>
        </is>
      </c>
      <c r="BH13" s="75" t="inlineStr">
        <is>
          <t>N/D</t>
        </is>
      </c>
      <c r="BI13" s="75" t="inlineStr">
        <is>
          <t>N/D</t>
        </is>
      </c>
      <c r="BJ13" s="75" t="inlineStr">
        <is>
          <t>não localizado</t>
        </is>
      </c>
      <c r="BK13" s="75" t="b">
        <v>0</v>
      </c>
      <c r="BL13" s="75" t="inlineStr">
        <is>
          <t>N/D</t>
        </is>
      </c>
      <c r="BM13" s="75" t="inlineStr">
        <is>
          <t>N/D</t>
        </is>
      </c>
      <c r="BN13" s="75" t="inlineStr">
        <is>
          <t>N/D</t>
        </is>
      </c>
      <c r="BO13" s="75" t="inlineStr">
        <is>
          <t>N/D</t>
        </is>
      </c>
      <c r="BP13" s="75" t="inlineStr">
        <is>
          <t>N/D</t>
        </is>
      </c>
      <c r="BQ13" s="75" t="inlineStr">
        <is>
          <t>N/D</t>
        </is>
      </c>
      <c r="BR13" s="75" t="inlineStr">
        <is>
          <t>N/D</t>
        </is>
      </c>
      <c r="BS13" s="75" t="inlineStr">
        <is>
          <t>sem_overlay</t>
        </is>
      </c>
      <c r="BT13" s="75" t="inlineStr">
        <is>
          <t>N/D</t>
        </is>
      </c>
      <c r="BU13" s="75" t="inlineStr">
        <is>
          <t>N/D</t>
        </is>
      </c>
      <c r="BV13" s="75" t="inlineStr">
        <is>
          <t>N/D</t>
        </is>
      </c>
      <c r="BW13" s="75" t="inlineStr">
        <is>
          <t>N/D</t>
        </is>
      </c>
      <c r="BX13" s="75" t="inlineStr">
        <is>
          <t>lacuna — regulamento integral não disponível nas fontes locais</t>
        </is>
      </c>
      <c r="BY13" s="75" t="inlineStr">
        <is>
          <t>N/D</t>
        </is>
      </c>
      <c r="BZ13" s="75" t="inlineStr">
        <is>
          <t>N/D</t>
        </is>
      </c>
      <c r="CA13" s="75" t="inlineStr">
        <is>
          <t>mínimo estrutural comparável; preço unitário da cota; originador; cedente; sacado/devedor; tipo de recebível</t>
        </is>
      </c>
      <c r="CB13" s="75" t="inlineStr">
        <is>
          <t>minimo_estrutural_ausente</t>
        </is>
      </c>
    </row>
    <row r="14" ht="31.5" customHeight="1">
      <c r="A14" s="74" t="n">
        <v>7</v>
      </c>
      <c r="B14" s="138" t="n">
        <v>53337453000174</v>
      </c>
      <c r="C14" s="74" t="inlineStr">
        <is>
          <t>53.337.453/0001-74</t>
        </is>
      </c>
      <c r="D14" s="74" t="inlineStr">
        <is>
          <t>CM ESTADUAL II FUNDO DE INVESTIMENTO EM DIREITOS CREDITÓRIOS - RESPONSABILIDADE LIMITADA</t>
        </is>
      </c>
      <c r="E14" s="74" t="inlineStr">
        <is>
          <t>CM Estadual I e II</t>
        </is>
      </c>
      <c r="F14" s="74" t="inlineStr">
        <is>
          <t>Flagships</t>
        </is>
      </c>
      <c r="G14" s="74" t="inlineStr">
        <is>
          <t>2026-06</t>
        </is>
      </c>
      <c r="H14" s="74" t="inlineStr">
        <is>
          <t>localizado</t>
        </is>
      </c>
      <c r="I14" s="139" t="n">
        <v>73640952.95999999</v>
      </c>
      <c r="J14" s="139" t="n">
        <v>73640954.32435574</v>
      </c>
      <c r="K14" s="139" t="n">
        <v>8500325.536604879</v>
      </c>
      <c r="L14" s="140" t="n">
        <v>0.1154293255985165</v>
      </c>
      <c r="M14" s="74" t="inlineStr">
        <is>
          <t>Calculado com classes reportadas e PL oficial reconciliado</t>
        </is>
      </c>
      <c r="N14" s="140" t="inlineStr">
        <is>
          <t>N/D</t>
        </is>
      </c>
      <c r="O14" s="140" t="inlineStr">
        <is>
          <t>N/D</t>
        </is>
      </c>
      <c r="P14" s="140" t="inlineStr">
        <is>
          <t>N/D</t>
        </is>
      </c>
      <c r="Q14" s="140" t="inlineStr">
        <is>
          <t>N/D</t>
        </is>
      </c>
      <c r="R14" s="140" t="inlineStr">
        <is>
          <t>N/D</t>
        </is>
      </c>
      <c r="S14" s="140" t="inlineStr">
        <is>
          <t>N/D</t>
        </is>
      </c>
      <c r="T14" s="74" t="inlineStr">
        <is>
          <t>N/D</t>
        </is>
      </c>
      <c r="U14" s="74" t="inlineStr">
        <is>
          <t>sem_indice</t>
        </is>
      </c>
      <c r="V14" s="74" t="inlineStr">
        <is>
          <t>N/D</t>
        </is>
      </c>
      <c r="W14" s="74" t="b">
        <v>0</v>
      </c>
      <c r="X14" s="74" t="inlineStr">
        <is>
          <t>N/D — mínimo estrutural ou subordinação atual ausente</t>
        </is>
      </c>
      <c r="Y14" s="74" t="b">
        <v>0</v>
      </c>
      <c r="Z14" s="140" t="inlineStr">
        <is>
          <t>N/D</t>
        </is>
      </c>
      <c r="AA14" s="140" t="inlineStr">
        <is>
          <t>N/D</t>
        </is>
      </c>
      <c r="AB14" s="74" t="inlineStr">
        <is>
          <t>não medido</t>
        </is>
      </c>
      <c r="AC14" s="74" t="inlineStr">
        <is>
          <t>N/D</t>
        </is>
      </c>
      <c r="AD14" s="74" t="inlineStr">
        <is>
          <t>N/D</t>
        </is>
      </c>
      <c r="AE14" s="74" t="inlineStr">
        <is>
          <t>Consignado estadual</t>
        </is>
      </c>
      <c r="AF14" s="74" t="inlineStr">
        <is>
          <t>Financeiro</t>
        </is>
      </c>
      <c r="AG14" s="74" t="inlineStr">
        <is>
          <t>N/D</t>
        </is>
      </c>
      <c r="AH14" s="74" t="inlineStr">
        <is>
          <t>N/D</t>
        </is>
      </c>
      <c r="AI14" s="74" t="inlineStr">
        <is>
          <t>N/D</t>
        </is>
      </c>
      <c r="AJ14" s="74" t="b">
        <v>0</v>
      </c>
      <c r="AK14" s="74" t="inlineStr">
        <is>
          <t>N/D</t>
        </is>
      </c>
      <c r="AL14" s="74" t="inlineStr">
        <is>
          <t>N/D</t>
        </is>
      </c>
      <c r="AM14" s="74" t="inlineStr">
        <is>
          <t>N/D</t>
        </is>
      </c>
      <c r="AN14" s="74" t="inlineStr">
        <is>
          <t>N/D</t>
        </is>
      </c>
      <c r="AO14" s="74" t="inlineStr">
        <is>
          <t>N/D</t>
        </is>
      </c>
      <c r="AP14" s="74" t="inlineStr">
        <is>
          <t>N/D</t>
        </is>
      </c>
      <c r="AQ14" s="74" t="inlineStr">
        <is>
          <t>N/D</t>
        </is>
      </c>
      <c r="AR14" s="74" t="inlineStr">
        <is>
          <t>N/D</t>
        </is>
      </c>
      <c r="AS14" s="74" t="inlineStr">
        <is>
          <t>N/D</t>
        </is>
      </c>
      <c r="AT14" s="74" t="inlineStr">
        <is>
          <t>N/D</t>
        </is>
      </c>
      <c r="AU14" s="74" t="inlineStr">
        <is>
          <t>N/D</t>
        </is>
      </c>
      <c r="AV14" s="74" t="inlineStr">
        <is>
          <t>N/D</t>
        </is>
      </c>
      <c r="AW14" s="74" t="b">
        <v>0</v>
      </c>
      <c r="AX14" s="74" t="inlineStr">
        <is>
          <t>N/D</t>
        </is>
      </c>
      <c r="AY14" s="74" t="inlineStr">
        <is>
          <t>N/D</t>
        </is>
      </c>
      <c r="AZ14" s="140" t="inlineStr">
        <is>
          <t>N/D</t>
        </is>
      </c>
      <c r="BA14" s="74" t="inlineStr">
        <is>
          <t>N/D</t>
        </is>
      </c>
      <c r="BB14" s="141" t="inlineStr">
        <is>
          <t>N/D</t>
        </is>
      </c>
      <c r="BC14" s="139" t="inlineStr">
        <is>
          <t>N/D</t>
        </is>
      </c>
      <c r="BD14" s="74" t="inlineStr">
        <is>
          <t>N/D</t>
        </is>
      </c>
      <c r="BE14" s="74" t="inlineStr">
        <is>
          <t>N/D</t>
        </is>
      </c>
      <c r="BF14" s="74" t="inlineStr">
        <is>
          <t>N/D</t>
        </is>
      </c>
      <c r="BG14" s="74" t="inlineStr">
        <is>
          <t>N/D</t>
        </is>
      </c>
      <c r="BH14" s="74" t="inlineStr">
        <is>
          <t>N/D</t>
        </is>
      </c>
      <c r="BI14" s="74" t="inlineStr">
        <is>
          <t>N/D</t>
        </is>
      </c>
      <c r="BJ14" s="74" t="inlineStr">
        <is>
          <t>não localizado</t>
        </is>
      </c>
      <c r="BK14" s="74" t="b">
        <v>0</v>
      </c>
      <c r="BL14" s="74" t="inlineStr">
        <is>
          <t>N/D</t>
        </is>
      </c>
      <c r="BM14" s="74" t="inlineStr">
        <is>
          <t>N/D</t>
        </is>
      </c>
      <c r="BN14" s="74" t="inlineStr">
        <is>
          <t>N/D</t>
        </is>
      </c>
      <c r="BO14" s="74" t="inlineStr">
        <is>
          <t>N/D</t>
        </is>
      </c>
      <c r="BP14" s="74" t="inlineStr">
        <is>
          <t>N/D</t>
        </is>
      </c>
      <c r="BQ14" s="74" t="inlineStr">
        <is>
          <t>N/D</t>
        </is>
      </c>
      <c r="BR14" s="74" t="inlineStr">
        <is>
          <t>N/D</t>
        </is>
      </c>
      <c r="BS14" s="74" t="inlineStr">
        <is>
          <t>sem_overlay</t>
        </is>
      </c>
      <c r="BT14" s="74" t="inlineStr">
        <is>
          <t>N/D</t>
        </is>
      </c>
      <c r="BU14" s="74" t="inlineStr">
        <is>
          <t>683618</t>
        </is>
      </c>
      <c r="BV14" s="74" t="inlineStr">
        <is>
          <t>2024-06-19</t>
        </is>
      </c>
      <c r="BW14" s="74" t="inlineStr">
        <is>
          <t>cláusulas de subordinação e definições revisadas</t>
        </is>
      </c>
      <c r="BX14" s="74" t="inlineStr">
        <is>
          <t>revisto — mínimo júnior não isolado</t>
        </is>
      </c>
      <c r="BY14" s="74" t="inlineStr">
        <is>
          <t>FundosNet/B3; documento 683618; referência 2024-06-19; cláusulas candidatas revisadas</t>
        </is>
      </c>
      <c r="BZ14" s="74" t="inlineStr">
        <is>
          <t>N/D</t>
        </is>
      </c>
      <c r="CA14" s="74" t="inlineStr">
        <is>
          <t>mínimo estrutural comparável; preço unitário da cota; originador; cedente; sacado/devedor; tipo de recebível</t>
        </is>
      </c>
      <c r="CB14" s="74" t="inlineStr">
        <is>
          <t>minimo_estrutural_ausente</t>
        </is>
      </c>
    </row>
    <row r="15" ht="31.5" customHeight="1">
      <c r="A15" s="75" t="n">
        <v>7</v>
      </c>
      <c r="B15" s="142" t="n">
        <v>44395657000170</v>
      </c>
      <c r="C15" s="75" t="inlineStr">
        <is>
          <t>44.395.657/0001-70</t>
        </is>
      </c>
      <c r="D15" s="75" t="inlineStr">
        <is>
          <t>CM ESTADUAL FUNDO DE INVESTIMENTO EM DIREITOS CREDITÓRIOS NÃO PADRONIZADOS</t>
        </is>
      </c>
      <c r="E15" s="75" t="inlineStr">
        <is>
          <t>CM Estadual I e II</t>
        </is>
      </c>
      <c r="F15" s="75" t="inlineStr">
        <is>
          <t>Flagships</t>
        </is>
      </c>
      <c r="G15" s="75" t="inlineStr">
        <is>
          <t>2026-06</t>
        </is>
      </c>
      <c r="H15" s="75" t="inlineStr">
        <is>
          <t>localizado</t>
        </is>
      </c>
      <c r="I15" s="143" t="n">
        <v>18067373.92</v>
      </c>
      <c r="J15" s="143" t="n">
        <v>18067373.91816216</v>
      </c>
      <c r="K15" s="143" t="n">
        <v>0.009999660878091199</v>
      </c>
      <c r="L15" s="144" t="n">
        <v>5.534650980473646e-10</v>
      </c>
      <c r="M15" s="75" t="inlineStr">
        <is>
          <t>Calculado com classes reportadas e PL oficial reconciliado</t>
        </is>
      </c>
      <c r="N15" s="144" t="inlineStr">
        <is>
          <t>N/D</t>
        </is>
      </c>
      <c r="O15" s="144" t="inlineStr">
        <is>
          <t>N/D</t>
        </is>
      </c>
      <c r="P15" s="144" t="inlineStr">
        <is>
          <t>N/D</t>
        </is>
      </c>
      <c r="Q15" s="144" t="inlineStr">
        <is>
          <t>N/D</t>
        </is>
      </c>
      <c r="R15" s="144" t="inlineStr">
        <is>
          <t>N/D</t>
        </is>
      </c>
      <c r="S15" s="144" t="inlineStr">
        <is>
          <t>N/D</t>
        </is>
      </c>
      <c r="T15" s="75" t="inlineStr">
        <is>
          <t>N/D</t>
        </is>
      </c>
      <c r="U15" s="75" t="inlineStr">
        <is>
          <t>sem_indice</t>
        </is>
      </c>
      <c r="V15" s="75" t="inlineStr">
        <is>
          <t>N/D</t>
        </is>
      </c>
      <c r="W15" s="75" t="b">
        <v>0</v>
      </c>
      <c r="X15" s="75" t="inlineStr">
        <is>
          <t>N/D — mínimo estrutural ou subordinação atual ausente</t>
        </is>
      </c>
      <c r="Y15" s="75" t="b">
        <v>0</v>
      </c>
      <c r="Z15" s="144" t="inlineStr">
        <is>
          <t>N/D</t>
        </is>
      </c>
      <c r="AA15" s="144" t="inlineStr">
        <is>
          <t>N/D</t>
        </is>
      </c>
      <c r="AB15" s="75" t="inlineStr">
        <is>
          <t>não medido</t>
        </is>
      </c>
      <c r="AC15" s="75" t="inlineStr">
        <is>
          <t>N/D</t>
        </is>
      </c>
      <c r="AD15" s="75" t="inlineStr">
        <is>
          <t>N/D</t>
        </is>
      </c>
      <c r="AE15" s="75" t="inlineStr">
        <is>
          <t>Consignado estadual</t>
        </is>
      </c>
      <c r="AF15" s="75" t="inlineStr">
        <is>
          <t>Financeiro</t>
        </is>
      </c>
      <c r="AG15" s="75" t="inlineStr">
        <is>
          <t>N/D</t>
        </is>
      </c>
      <c r="AH15" s="75" t="inlineStr">
        <is>
          <t>N/D</t>
        </is>
      </c>
      <c r="AI15" s="75" t="inlineStr">
        <is>
          <t>N/D</t>
        </is>
      </c>
      <c r="AJ15" s="75" t="b">
        <v>0</v>
      </c>
      <c r="AK15" s="75" t="inlineStr">
        <is>
          <t>N/D</t>
        </is>
      </c>
      <c r="AL15" s="75" t="inlineStr">
        <is>
          <t>N/D</t>
        </is>
      </c>
      <c r="AM15" s="75" t="inlineStr">
        <is>
          <t>N/D</t>
        </is>
      </c>
      <c r="AN15" s="75" t="inlineStr">
        <is>
          <t>N/D</t>
        </is>
      </c>
      <c r="AO15" s="75" t="inlineStr">
        <is>
          <t>N/D</t>
        </is>
      </c>
      <c r="AP15" s="75" t="inlineStr">
        <is>
          <t>N/D</t>
        </is>
      </c>
      <c r="AQ15" s="75" t="inlineStr">
        <is>
          <t>N/D</t>
        </is>
      </c>
      <c r="AR15" s="75" t="inlineStr">
        <is>
          <t>N/D</t>
        </is>
      </c>
      <c r="AS15" s="75" t="inlineStr">
        <is>
          <t>N/D</t>
        </is>
      </c>
      <c r="AT15" s="75" t="inlineStr">
        <is>
          <t>N/D</t>
        </is>
      </c>
      <c r="AU15" s="75" t="inlineStr">
        <is>
          <t>N/D</t>
        </is>
      </c>
      <c r="AV15" s="75" t="inlineStr">
        <is>
          <t>N/D</t>
        </is>
      </c>
      <c r="AW15" s="75" t="b">
        <v>0</v>
      </c>
      <c r="AX15" s="75" t="inlineStr">
        <is>
          <t>N/D</t>
        </is>
      </c>
      <c r="AY15" s="75" t="inlineStr">
        <is>
          <t>N/D</t>
        </is>
      </c>
      <c r="AZ15" s="144" t="inlineStr">
        <is>
          <t>N/D</t>
        </is>
      </c>
      <c r="BA15" s="75" t="inlineStr">
        <is>
          <t>N/D</t>
        </is>
      </c>
      <c r="BB15" s="145" t="inlineStr">
        <is>
          <t>N/D</t>
        </is>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N/D</t>
        </is>
      </c>
      <c r="BM15" s="75" t="inlineStr">
        <is>
          <t>N/D</t>
        </is>
      </c>
      <c r="BN15" s="75" t="inlineStr">
        <is>
          <t>N/D</t>
        </is>
      </c>
      <c r="BO15" s="75" t="inlineStr">
        <is>
          <t>N/D</t>
        </is>
      </c>
      <c r="BP15" s="75" t="inlineStr">
        <is>
          <t>N/D</t>
        </is>
      </c>
      <c r="BQ15" s="75" t="inlineStr">
        <is>
          <t>N/D</t>
        </is>
      </c>
      <c r="BR15" s="75" t="inlineStr">
        <is>
          <t>N/D</t>
        </is>
      </c>
      <c r="BS15" s="75" t="inlineStr">
        <is>
          <t>sem_overlay</t>
        </is>
      </c>
      <c r="BT15" s="75" t="inlineStr">
        <is>
          <t>N/D</t>
        </is>
      </c>
      <c r="BU15" s="75" t="inlineStr">
        <is>
          <t>N/D</t>
        </is>
      </c>
      <c r="BV15" s="75" t="inlineStr">
        <is>
          <t>N/D</t>
        </is>
      </c>
      <c r="BW15" s="75" t="inlineStr">
        <is>
          <t>N/D</t>
        </is>
      </c>
      <c r="BX15" s="75" t="inlineStr">
        <is>
          <t>lacuna — regulamento integral não disponível nas fontes locais</t>
        </is>
      </c>
      <c r="BY15" s="75" t="inlineStr">
        <is>
          <t>N/D</t>
        </is>
      </c>
      <c r="BZ15" s="75" t="inlineStr">
        <is>
          <t>N/D</t>
        </is>
      </c>
      <c r="CA15" s="75" t="inlineStr">
        <is>
          <t>mínimo estrutural comparável; preço unitário da cota; originador; cedente; sacado/devedor; tipo de recebível</t>
        </is>
      </c>
      <c r="CB15" s="75" t="inlineStr">
        <is>
          <t>minimo_estrutural_ausente</t>
        </is>
      </c>
    </row>
    <row r="16" ht="31.5" customHeight="1">
      <c r="A16" s="74" t="n">
        <v>8</v>
      </c>
      <c r="B16" s="138" t="n">
        <v>65839682000176</v>
      </c>
      <c r="C16" s="74" t="inlineStr">
        <is>
          <t>65.839.682/0001-76</t>
        </is>
      </c>
      <c r="D16" s="74" t="inlineStr">
        <is>
          <t>FUNDO DE INVESTIMENTOS EM DIREITOS CREDITÓRIOS PICPAY FGTS II DE RESPONSABILIDADE LIMITADA</t>
        </is>
      </c>
      <c r="E16" s="74" t="inlineStr">
        <is>
          <t>PicPay FGTS I e II</t>
        </is>
      </c>
      <c r="F16" s="74" t="inlineStr">
        <is>
          <t>Flagships</t>
        </is>
      </c>
      <c r="G16" s="74" t="inlineStr">
        <is>
          <t>2026-06</t>
        </is>
      </c>
      <c r="H16" s="74" t="inlineStr">
        <is>
          <t>localizado</t>
        </is>
      </c>
      <c r="I16" s="139" t="n">
        <v>1420614297.06</v>
      </c>
      <c r="J16" s="139" t="n">
        <v>1420606312.290964</v>
      </c>
      <c r="K16" s="139" t="n">
        <v>148124314.9694299</v>
      </c>
      <c r="L16" s="140" t="n">
        <v>0.1042677912477561</v>
      </c>
      <c r="M16" s="74" t="inlineStr">
        <is>
          <t>Calculado com classes reportadas e PL oficial reconciliado</t>
        </is>
      </c>
      <c r="N16" s="140" t="inlineStr">
        <is>
          <t>N/D</t>
        </is>
      </c>
      <c r="O16" s="140" t="inlineStr">
        <is>
          <t>N/D</t>
        </is>
      </c>
      <c r="P16" s="140" t="inlineStr">
        <is>
          <t>N/D</t>
        </is>
      </c>
      <c r="Q16" s="140" t="inlineStr">
        <is>
          <t>N/D</t>
        </is>
      </c>
      <c r="R16" s="140" t="inlineStr">
        <is>
          <t>N/D</t>
        </is>
      </c>
      <c r="S16" s="140" t="inlineStr">
        <is>
          <t>N/D</t>
        </is>
      </c>
      <c r="T16" s="74" t="inlineStr">
        <is>
          <t>N/D</t>
        </is>
      </c>
      <c r="U16" s="74" t="inlineStr">
        <is>
          <t>sem_indice</t>
        </is>
      </c>
      <c r="V16" s="74" t="inlineStr">
        <is>
          <t>N/D</t>
        </is>
      </c>
      <c r="W16" s="74" t="b">
        <v>0</v>
      </c>
      <c r="X16" s="74" t="inlineStr">
        <is>
          <t>N/D — mínimo estrutural ou subordinação atual ausente</t>
        </is>
      </c>
      <c r="Y16" s="74" t="b">
        <v>0</v>
      </c>
      <c r="Z16" s="140" t="inlineStr">
        <is>
          <t>N/D</t>
        </is>
      </c>
      <c r="AA16" s="140" t="inlineStr">
        <is>
          <t>N/D</t>
        </is>
      </c>
      <c r="AB16" s="74" t="inlineStr">
        <is>
          <t>não medido</t>
        </is>
      </c>
      <c r="AC16" s="74" t="inlineStr">
        <is>
          <t>N/D</t>
        </is>
      </c>
      <c r="AD16" s="74" t="inlineStr">
        <is>
          <t>N/D</t>
        </is>
      </c>
      <c r="AE16" s="74" t="inlineStr">
        <is>
          <t>Consignado FGTS</t>
        </is>
      </c>
      <c r="AF16" s="74" t="inlineStr">
        <is>
          <t>Consignado FGTS</t>
        </is>
      </c>
      <c r="AG16" s="74" t="inlineStr">
        <is>
          <t>N/D</t>
        </is>
      </c>
      <c r="AH16" s="74" t="inlineStr">
        <is>
          <t>N/D</t>
        </is>
      </c>
      <c r="AI16" s="74" t="inlineStr">
        <is>
          <t>N/D</t>
        </is>
      </c>
      <c r="AJ16" s="74" t="b">
        <v>0</v>
      </c>
      <c r="AK16" s="74" t="inlineStr">
        <is>
          <t>N/D</t>
        </is>
      </c>
      <c r="AL16" s="74" t="inlineStr">
        <is>
          <t>N/D</t>
        </is>
      </c>
      <c r="AM16" s="74" t="inlineStr">
        <is>
          <t>N/D</t>
        </is>
      </c>
      <c r="AN16" s="74" t="inlineStr">
        <is>
          <t>N/D</t>
        </is>
      </c>
      <c r="AO16" s="74" t="inlineStr">
        <is>
          <t>N/D</t>
        </is>
      </c>
      <c r="AP16" s="74" t="inlineStr">
        <is>
          <t>N/D</t>
        </is>
      </c>
      <c r="AQ16" s="74" t="inlineStr">
        <is>
          <t>N/D</t>
        </is>
      </c>
      <c r="AR16" s="74" t="inlineStr">
        <is>
          <t>N/D</t>
        </is>
      </c>
      <c r="AS16" s="74" t="inlineStr">
        <is>
          <t>N/D</t>
        </is>
      </c>
      <c r="AT16" s="74" t="inlineStr">
        <is>
          <t>N/D</t>
        </is>
      </c>
      <c r="AU16" s="74" t="inlineStr">
        <is>
          <t>N/D</t>
        </is>
      </c>
      <c r="AV16" s="74" t="inlineStr">
        <is>
          <t>N/D</t>
        </is>
      </c>
      <c r="AW16" s="74" t="b">
        <v>0</v>
      </c>
      <c r="AX16" s="74" t="inlineStr">
        <is>
          <t>N/D</t>
        </is>
      </c>
      <c r="AY16" s="74" t="inlineStr">
        <is>
          <t>N/D</t>
        </is>
      </c>
      <c r="AZ16" s="140" t="inlineStr">
        <is>
          <t>N/D</t>
        </is>
      </c>
      <c r="BA16" s="74" t="inlineStr">
        <is>
          <t>N/D</t>
        </is>
      </c>
      <c r="BB16" s="141" t="inlineStr">
        <is>
          <t>N/D</t>
        </is>
      </c>
      <c r="BC16" s="139" t="inlineStr">
        <is>
          <t>N/D</t>
        </is>
      </c>
      <c r="BD16" s="74" t="inlineStr">
        <is>
          <t>N/D</t>
        </is>
      </c>
      <c r="BE16" s="74" t="inlineStr">
        <is>
          <t>N/D</t>
        </is>
      </c>
      <c r="BF16" s="74" t="inlineStr">
        <is>
          <t>N/D</t>
        </is>
      </c>
      <c r="BG16" s="74" t="inlineStr">
        <is>
          <t>N/D</t>
        </is>
      </c>
      <c r="BH16" s="74" t="inlineStr">
        <is>
          <t>N/D</t>
        </is>
      </c>
      <c r="BI16" s="74" t="inlineStr">
        <is>
          <t>N/D</t>
        </is>
      </c>
      <c r="BJ16" s="74" t="inlineStr">
        <is>
          <t>não localizado</t>
        </is>
      </c>
      <c r="BK16" s="74" t="b">
        <v>0</v>
      </c>
      <c r="BL16" s="74" t="inlineStr">
        <is>
          <t>N/D</t>
        </is>
      </c>
      <c r="BM16" s="74" t="inlineStr">
        <is>
          <t>N/D</t>
        </is>
      </c>
      <c r="BN16" s="74" t="inlineStr">
        <is>
          <t>N/D</t>
        </is>
      </c>
      <c r="BO16" s="74" t="inlineStr">
        <is>
          <t>N/D</t>
        </is>
      </c>
      <c r="BP16" s="74" t="inlineStr">
        <is>
          <t>N/D</t>
        </is>
      </c>
      <c r="BQ16" s="74" t="inlineStr">
        <is>
          <t>N/D</t>
        </is>
      </c>
      <c r="BR16" s="74" t="inlineStr">
        <is>
          <t>N/D</t>
        </is>
      </c>
      <c r="BS16" s="74" t="inlineStr">
        <is>
          <t>sem_overlay</t>
        </is>
      </c>
      <c r="BT16" s="74" t="inlineStr">
        <is>
          <t>N/D</t>
        </is>
      </c>
      <c r="BU16" s="74" t="inlineStr">
        <is>
          <t>1201421</t>
        </is>
      </c>
      <c r="BV16" s="74" t="inlineStr">
        <is>
          <t>2026-05-20</t>
        </is>
      </c>
      <c r="BW16" s="74" t="inlineStr">
        <is>
          <t>cláusulas de subordinação e definições revisadas</t>
        </is>
      </c>
      <c r="BX16" s="74" t="inlineStr">
        <is>
          <t>revisto — mínimo júnior não isolado</t>
        </is>
      </c>
      <c r="BY16" s="74" t="inlineStr">
        <is>
          <t>FundosNet/B3; documento 1201421; referência 2026-05-20; cláusulas candidatas revisadas</t>
        </is>
      </c>
      <c r="BZ16" s="74" t="inlineStr">
        <is>
          <t>N/D</t>
        </is>
      </c>
      <c r="CA16" s="74" t="inlineStr">
        <is>
          <t>mínimo estrutural comparável; preço unitário da cota; originador; cedente; sacado/devedor; tipo de recebível</t>
        </is>
      </c>
      <c r="CB16" s="74" t="inlineStr">
        <is>
          <t>minimo_estrutural_ausente</t>
        </is>
      </c>
    </row>
    <row r="17" ht="31.5" customHeight="1">
      <c r="A17" s="75" t="n">
        <v>8</v>
      </c>
      <c r="B17" s="142" t="n">
        <v>58148845000109</v>
      </c>
      <c r="C17" s="75" t="inlineStr">
        <is>
          <t>58.148.845/0001-09</t>
        </is>
      </c>
      <c r="D17" s="75" t="inlineStr">
        <is>
          <t>FUNDO DE INVESTIMENTO EM DIREITOS CREDITÓRIOS PICPAY FGTS</t>
        </is>
      </c>
      <c r="E17" s="75" t="inlineStr">
        <is>
          <t>PicPay FGTS I e II</t>
        </is>
      </c>
      <c r="F17" s="75" t="inlineStr">
        <is>
          <t>Flagships</t>
        </is>
      </c>
      <c r="G17" s="75" t="inlineStr">
        <is>
          <t>2026-06</t>
        </is>
      </c>
      <c r="H17" s="75" t="inlineStr">
        <is>
          <t>localizado</t>
        </is>
      </c>
      <c r="I17" s="143" t="n">
        <v>868936209.65</v>
      </c>
      <c r="J17" s="143" t="n">
        <v>868936209.6507403</v>
      </c>
      <c r="K17" s="143" t="n">
        <v>236698919.5806381</v>
      </c>
      <c r="L17" s="144" t="n">
        <v>0.2724008010622302</v>
      </c>
      <c r="M17" s="75" t="inlineStr">
        <is>
          <t>Calculado com classes reportadas e PL oficial reconciliado</t>
        </is>
      </c>
      <c r="N17" s="144" t="inlineStr">
        <is>
          <t>N/D</t>
        </is>
      </c>
      <c r="O17" s="144" t="inlineStr">
        <is>
          <t>N/D</t>
        </is>
      </c>
      <c r="P17" s="144" t="inlineStr">
        <is>
          <t>N/D</t>
        </is>
      </c>
      <c r="Q17" s="144" t="inlineStr">
        <is>
          <t>N/D</t>
        </is>
      </c>
      <c r="R17" s="144" t="inlineStr">
        <is>
          <t>N/D</t>
        </is>
      </c>
      <c r="S17" s="144" t="inlineStr">
        <is>
          <t>N/D</t>
        </is>
      </c>
      <c r="T17" s="75" t="inlineStr">
        <is>
          <t>N/D</t>
        </is>
      </c>
      <c r="U17" s="75" t="inlineStr">
        <is>
          <t>sem_indice</t>
        </is>
      </c>
      <c r="V17" s="75" t="inlineStr">
        <is>
          <t>N/D</t>
        </is>
      </c>
      <c r="W17" s="75" t="b">
        <v>0</v>
      </c>
      <c r="X17" s="75" t="inlineStr">
        <is>
          <t>N/D — mínimo estrutural ou subordinação atual ausente</t>
        </is>
      </c>
      <c r="Y17" s="75" t="b">
        <v>0</v>
      </c>
      <c r="Z17" s="144" t="inlineStr">
        <is>
          <t>N/D</t>
        </is>
      </c>
      <c r="AA17" s="144" t="inlineStr">
        <is>
          <t>N/D</t>
        </is>
      </c>
      <c r="AB17" s="75" t="inlineStr">
        <is>
          <t>não medido</t>
        </is>
      </c>
      <c r="AC17" s="75" t="inlineStr">
        <is>
          <t>N/D</t>
        </is>
      </c>
      <c r="AD17" s="75" t="inlineStr">
        <is>
          <t>N/D</t>
        </is>
      </c>
      <c r="AE17" s="75" t="inlineStr">
        <is>
          <t>Consignado FGTS</t>
        </is>
      </c>
      <c r="AF17" s="75" t="inlineStr">
        <is>
          <t>Consignado FGTS</t>
        </is>
      </c>
      <c r="AG17" s="75" t="inlineStr">
        <is>
          <t>N/D</t>
        </is>
      </c>
      <c r="AH17" s="75" t="inlineStr">
        <is>
          <t>N/D</t>
        </is>
      </c>
      <c r="AI17" s="75" t="inlineStr">
        <is>
          <t>N/D</t>
        </is>
      </c>
      <c r="AJ17" s="75" t="b">
        <v>0</v>
      </c>
      <c r="AK17" s="75" t="inlineStr">
        <is>
          <t>N/D</t>
        </is>
      </c>
      <c r="AL17" s="75" t="inlineStr">
        <is>
          <t>N/D</t>
        </is>
      </c>
      <c r="AM17" s="75" t="inlineStr">
        <is>
          <t>N/D</t>
        </is>
      </c>
      <c r="AN17" s="75" t="inlineStr">
        <is>
          <t>N/D</t>
        </is>
      </c>
      <c r="AO17" s="75" t="inlineStr">
        <is>
          <t>N/D</t>
        </is>
      </c>
      <c r="AP17" s="75" t="inlineStr">
        <is>
          <t>N/D</t>
        </is>
      </c>
      <c r="AQ17" s="75" t="inlineStr">
        <is>
          <t>N/D</t>
        </is>
      </c>
      <c r="AR17" s="75" t="inlineStr">
        <is>
          <t>N/D</t>
        </is>
      </c>
      <c r="AS17" s="75" t="inlineStr">
        <is>
          <t>N/D</t>
        </is>
      </c>
      <c r="AT17" s="75" t="inlineStr">
        <is>
          <t>N/D</t>
        </is>
      </c>
      <c r="AU17" s="75" t="inlineStr">
        <is>
          <t>N/D</t>
        </is>
      </c>
      <c r="AV17" s="75" t="inlineStr">
        <is>
          <t>N/D</t>
        </is>
      </c>
      <c r="AW17" s="75" t="b">
        <v>0</v>
      </c>
      <c r="AX17" s="75" t="inlineStr">
        <is>
          <t>N/D</t>
        </is>
      </c>
      <c r="AY17" s="75" t="inlineStr">
        <is>
          <t>N/D</t>
        </is>
      </c>
      <c r="AZ17" s="144" t="inlineStr">
        <is>
          <t>N/D</t>
        </is>
      </c>
      <c r="BA17" s="75" t="inlineStr">
        <is>
          <t>N/D</t>
        </is>
      </c>
      <c r="BB17" s="145" t="inlineStr">
        <is>
          <t>N/D</t>
        </is>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N/D</t>
        </is>
      </c>
      <c r="BM17" s="75" t="inlineStr">
        <is>
          <t>N/D</t>
        </is>
      </c>
      <c r="BN17" s="75" t="inlineStr">
        <is>
          <t>N/D</t>
        </is>
      </c>
      <c r="BO17" s="75" t="inlineStr">
        <is>
          <t>N/D</t>
        </is>
      </c>
      <c r="BP17" s="75" t="inlineStr">
        <is>
          <t>N/D</t>
        </is>
      </c>
      <c r="BQ17" s="75" t="inlineStr">
        <is>
          <t>N/D</t>
        </is>
      </c>
      <c r="BR17" s="75" t="inlineStr">
        <is>
          <t>N/D</t>
        </is>
      </c>
      <c r="BS17" s="75" t="inlineStr">
        <is>
          <t>sem_overlay</t>
        </is>
      </c>
      <c r="BT17" s="75" t="inlineStr">
        <is>
          <t>N/D</t>
        </is>
      </c>
      <c r="BU17" s="75" t="inlineStr">
        <is>
          <t>877220</t>
        </is>
      </c>
      <c r="BV17" s="75" t="inlineStr">
        <is>
          <t>2025-04-07</t>
        </is>
      </c>
      <c r="BW17" s="75" t="inlineStr">
        <is>
          <t>cláusulas de subordinação e definições revisadas</t>
        </is>
      </c>
      <c r="BX17" s="75" t="inlineStr">
        <is>
          <t>revisto — mínimo júnior não isolado</t>
        </is>
      </c>
      <c r="BY17" s="75" t="inlineStr">
        <is>
          <t>FundosNet/B3; documento 877220; referência 2025-04-07; cláusulas candidatas revisadas</t>
        </is>
      </c>
      <c r="BZ17" s="75" t="inlineStr">
        <is>
          <t>N/D</t>
        </is>
      </c>
      <c r="CA17" s="75" t="inlineStr">
        <is>
          <t>mínimo estrutural comparável; preço unitário da cota; originador; cedente; sacado/devedor; tipo de recebível</t>
        </is>
      </c>
      <c r="CB17" s="75" t="inlineStr">
        <is>
          <t>minimo_estrutural_ausente</t>
        </is>
      </c>
    </row>
    <row r="18" ht="31.5" customHeight="1">
      <c r="A18" s="74" t="n">
        <v>9</v>
      </c>
      <c r="B18" s="138" t="n">
        <v>62010175000137</v>
      </c>
      <c r="C18" s="74" t="inlineStr">
        <is>
          <t>62.010.175/0001-37</t>
        </is>
      </c>
      <c r="D18" s="74" t="inlineStr">
        <is>
          <t>FUNDO DE INVESTIMENTO EM DIREITOS CREDITÓRIOS MT FGTS RECEIVABLES IV</t>
        </is>
      </c>
      <c r="E18" s="74" t="inlineStr">
        <is>
          <t>MT FGTS II e IV</t>
        </is>
      </c>
      <c r="F18" s="74" t="inlineStr">
        <is>
          <t>Flagships</t>
        </is>
      </c>
      <c r="G18" s="74" t="inlineStr">
        <is>
          <t>2026-06</t>
        </is>
      </c>
      <c r="H18" s="74" t="inlineStr">
        <is>
          <t>localizado</t>
        </is>
      </c>
      <c r="I18" s="139" t="n">
        <v>553851632.17</v>
      </c>
      <c r="J18" s="139" t="n">
        <v>553851633.1098243</v>
      </c>
      <c r="K18" s="139" t="n">
        <v>95186729.57982424</v>
      </c>
      <c r="L18" s="140" t="n">
        <v>0.1718632284369752</v>
      </c>
      <c r="M18" s="74" t="inlineStr">
        <is>
          <t>Calculado com classes reportadas e PL oficial reconciliado</t>
        </is>
      </c>
      <c r="N18" s="140" t="inlineStr">
        <is>
          <t>N/D</t>
        </is>
      </c>
      <c r="O18" s="140" t="inlineStr">
        <is>
          <t>N/D</t>
        </is>
      </c>
      <c r="P18" s="140" t="inlineStr">
        <is>
          <t>N/D</t>
        </is>
      </c>
      <c r="Q18" s="140" t="inlineStr">
        <is>
          <t>N/D</t>
        </is>
      </c>
      <c r="R18" s="140" t="inlineStr">
        <is>
          <t>N/D</t>
        </is>
      </c>
      <c r="S18" s="140" t="inlineStr">
        <is>
          <t>N/D</t>
        </is>
      </c>
      <c r="T18" s="74" t="inlineStr">
        <is>
          <t>N/D</t>
        </is>
      </c>
      <c r="U18" s="74" t="inlineStr">
        <is>
          <t>sem_indice</t>
        </is>
      </c>
      <c r="V18" s="74" t="inlineStr">
        <is>
          <t>N/D</t>
        </is>
      </c>
      <c r="W18" s="74" t="b">
        <v>0</v>
      </c>
      <c r="X18" s="74" t="inlineStr">
        <is>
          <t>N/D — mínimo estrutural ou subordinação atual ausente</t>
        </is>
      </c>
      <c r="Y18" s="74" t="b">
        <v>0</v>
      </c>
      <c r="Z18" s="140" t="inlineStr">
        <is>
          <t>N/D</t>
        </is>
      </c>
      <c r="AA18" s="140" t="inlineStr">
        <is>
          <t>N/D</t>
        </is>
      </c>
      <c r="AB18" s="74" t="inlineStr">
        <is>
          <t>não medido</t>
        </is>
      </c>
      <c r="AC18" s="74" t="inlineStr">
        <is>
          <t>N/D</t>
        </is>
      </c>
      <c r="AD18" s="74" t="inlineStr">
        <is>
          <t>N/D</t>
        </is>
      </c>
      <c r="AE18" s="74" t="inlineStr">
        <is>
          <t>Consignado FGTS</t>
        </is>
      </c>
      <c r="AF18" s="74" t="inlineStr">
        <is>
          <t>Consignado FGTS</t>
        </is>
      </c>
      <c r="AG18" s="74" t="inlineStr">
        <is>
          <t>N/D</t>
        </is>
      </c>
      <c r="AH18" s="74" t="inlineStr">
        <is>
          <t>N/D</t>
        </is>
      </c>
      <c r="AI18" s="74" t="inlineStr">
        <is>
          <t>N/D</t>
        </is>
      </c>
      <c r="AJ18" s="74" t="b">
        <v>0</v>
      </c>
      <c r="AK18" s="74" t="inlineStr">
        <is>
          <t>N/D</t>
        </is>
      </c>
      <c r="AL18" s="74" t="inlineStr">
        <is>
          <t>N/D</t>
        </is>
      </c>
      <c r="AM18" s="74" t="inlineStr">
        <is>
          <t>N/D</t>
        </is>
      </c>
      <c r="AN18" s="74" t="inlineStr">
        <is>
          <t>N/D</t>
        </is>
      </c>
      <c r="AO18" s="74" t="inlineStr">
        <is>
          <t>N/D</t>
        </is>
      </c>
      <c r="AP18" s="74" t="inlineStr">
        <is>
          <t>N/D</t>
        </is>
      </c>
      <c r="AQ18" s="74" t="inlineStr">
        <is>
          <t>N/D</t>
        </is>
      </c>
      <c r="AR18" s="74" t="inlineStr">
        <is>
          <t>N/D</t>
        </is>
      </c>
      <c r="AS18" s="74" t="inlineStr">
        <is>
          <t>N/D</t>
        </is>
      </c>
      <c r="AT18" s="74" t="inlineStr">
        <is>
          <t>N/D</t>
        </is>
      </c>
      <c r="AU18" s="74" t="inlineStr">
        <is>
          <t>N/D</t>
        </is>
      </c>
      <c r="AV18" s="74" t="inlineStr">
        <is>
          <t>N/D</t>
        </is>
      </c>
      <c r="AW18" s="74" t="b">
        <v>0</v>
      </c>
      <c r="AX18" s="74" t="inlineStr">
        <is>
          <t>N/D</t>
        </is>
      </c>
      <c r="AY18" s="74" t="inlineStr">
        <is>
          <t>N/D</t>
        </is>
      </c>
      <c r="AZ18" s="140" t="inlineStr">
        <is>
          <t>N/D</t>
        </is>
      </c>
      <c r="BA18" s="74" t="inlineStr">
        <is>
          <t>N/D</t>
        </is>
      </c>
      <c r="BB18" s="141" t="inlineStr">
        <is>
          <t>N/D</t>
        </is>
      </c>
      <c r="BC18" s="139" t="inlineStr">
        <is>
          <t>N/D</t>
        </is>
      </c>
      <c r="BD18" s="74" t="inlineStr">
        <is>
          <t>N/D</t>
        </is>
      </c>
      <c r="BE18" s="74" t="inlineStr">
        <is>
          <t>N/D</t>
        </is>
      </c>
      <c r="BF18" s="74" t="inlineStr">
        <is>
          <t>N/D</t>
        </is>
      </c>
      <c r="BG18" s="74" t="inlineStr">
        <is>
          <t>N/D</t>
        </is>
      </c>
      <c r="BH18" s="74" t="inlineStr">
        <is>
          <t>N/D</t>
        </is>
      </c>
      <c r="BI18" s="74" t="inlineStr">
        <is>
          <t>N/D</t>
        </is>
      </c>
      <c r="BJ18" s="74" t="inlineStr">
        <is>
          <t>não localizado</t>
        </is>
      </c>
      <c r="BK18" s="74" t="b">
        <v>0</v>
      </c>
      <c r="BL18" s="74" t="inlineStr">
        <is>
          <t>N/D</t>
        </is>
      </c>
      <c r="BM18" s="74" t="inlineStr">
        <is>
          <t>N/D</t>
        </is>
      </c>
      <c r="BN18" s="74" t="inlineStr">
        <is>
          <t>N/D</t>
        </is>
      </c>
      <c r="BO18" s="74" t="inlineStr">
        <is>
          <t>N/D</t>
        </is>
      </c>
      <c r="BP18" s="74" t="inlineStr">
        <is>
          <t>N/D</t>
        </is>
      </c>
      <c r="BQ18" s="74" t="inlineStr">
        <is>
          <t>N/D</t>
        </is>
      </c>
      <c r="BR18" s="74" t="inlineStr">
        <is>
          <t>N/D</t>
        </is>
      </c>
      <c r="BS18" s="74" t="inlineStr">
        <is>
          <t>sem_overlay</t>
        </is>
      </c>
      <c r="BT18" s="74" t="inlineStr">
        <is>
          <t>N/D</t>
        </is>
      </c>
      <c r="BU18" s="74" t="inlineStr">
        <is>
          <t>N/D</t>
        </is>
      </c>
      <c r="BV18" s="74" t="inlineStr">
        <is>
          <t>N/D</t>
        </is>
      </c>
      <c r="BW18" s="74" t="inlineStr">
        <is>
          <t>N/D</t>
        </is>
      </c>
      <c r="BX18" s="74" t="inlineStr">
        <is>
          <t>lacuna — regulamento integral não disponível nas fontes locais</t>
        </is>
      </c>
      <c r="BY18" s="74" t="inlineStr">
        <is>
          <t>N/D</t>
        </is>
      </c>
      <c r="BZ18" s="74" t="inlineStr">
        <is>
          <t>N/D</t>
        </is>
      </c>
      <c r="CA18" s="74" t="inlineStr">
        <is>
          <t>mínimo estrutural comparável; preço unitário da cota; originador; cedente; sacado/devedor; tipo de recebível</t>
        </is>
      </c>
      <c r="CB18" s="74" t="inlineStr">
        <is>
          <t>minimo_estrutural_ausente</t>
        </is>
      </c>
    </row>
    <row r="19" ht="31.5" customHeight="1">
      <c r="A19" s="75" t="n">
        <v>9</v>
      </c>
      <c r="B19" s="142" t="n">
        <v>54464892000100</v>
      </c>
      <c r="C19" s="75" t="inlineStr">
        <is>
          <t>54.464.892/0001-00</t>
        </is>
      </c>
      <c r="D19" s="75" t="inlineStr">
        <is>
          <t>FUNDO DE INVESTIMENTO EM DIREITOS CREDITÓRIOS MT FGTS RECEIVABLES II</t>
        </is>
      </c>
      <c r="E19" s="75" t="inlineStr">
        <is>
          <t>MT FGTS II e IV</t>
        </is>
      </c>
      <c r="F19" s="75" t="inlineStr">
        <is>
          <t>Flagships</t>
        </is>
      </c>
      <c r="G19" s="75" t="inlineStr">
        <is>
          <t>2026-06</t>
        </is>
      </c>
      <c r="H19" s="75" t="inlineStr">
        <is>
          <t>localizado</t>
        </is>
      </c>
      <c r="I19" s="143" t="n">
        <v>697493758.97</v>
      </c>
      <c r="J19" s="143" t="n">
        <v>697493753.1297442</v>
      </c>
      <c r="K19" s="143" t="n">
        <v>135018676.3259432</v>
      </c>
      <c r="L19" s="144" t="n">
        <v>0.1935768952618692</v>
      </c>
      <c r="M19" s="75" t="inlineStr">
        <is>
          <t>Calculado com classes reportadas e PL oficial reconciliado</t>
        </is>
      </c>
      <c r="N19" s="144" t="inlineStr">
        <is>
          <t>N/D</t>
        </is>
      </c>
      <c r="O19" s="144" t="inlineStr">
        <is>
          <t>N/D</t>
        </is>
      </c>
      <c r="P19" s="144" t="inlineStr">
        <is>
          <t>N/D</t>
        </is>
      </c>
      <c r="Q19" s="144" t="inlineStr">
        <is>
          <t>N/D</t>
        </is>
      </c>
      <c r="R19" s="144" t="inlineStr">
        <is>
          <t>N/D</t>
        </is>
      </c>
      <c r="S19" s="144" t="inlineStr">
        <is>
          <t>N/D</t>
        </is>
      </c>
      <c r="T19" s="75" t="inlineStr">
        <is>
          <t>N/D</t>
        </is>
      </c>
      <c r="U19" s="75" t="inlineStr">
        <is>
          <t>sem_indice</t>
        </is>
      </c>
      <c r="V19" s="75" t="inlineStr">
        <is>
          <t>N/D</t>
        </is>
      </c>
      <c r="W19" s="75" t="b">
        <v>0</v>
      </c>
      <c r="X19" s="75" t="inlineStr">
        <is>
          <t>N/D — mínimo estrutural ou subordinação atual ausente</t>
        </is>
      </c>
      <c r="Y19" s="75" t="b">
        <v>0</v>
      </c>
      <c r="Z19" s="144" t="inlineStr">
        <is>
          <t>N/D</t>
        </is>
      </c>
      <c r="AA19" s="144" t="inlineStr">
        <is>
          <t>N/D</t>
        </is>
      </c>
      <c r="AB19" s="75" t="inlineStr">
        <is>
          <t>não medido</t>
        </is>
      </c>
      <c r="AC19" s="75" t="inlineStr">
        <is>
          <t>N/D</t>
        </is>
      </c>
      <c r="AD19" s="75" t="inlineStr">
        <is>
          <t>N/D</t>
        </is>
      </c>
      <c r="AE19" s="75" t="inlineStr">
        <is>
          <t>Consignado FGTS</t>
        </is>
      </c>
      <c r="AF19" s="75" t="inlineStr">
        <is>
          <t>Consignado FGTS</t>
        </is>
      </c>
      <c r="AG19" s="75" t="inlineStr">
        <is>
          <t>N/D</t>
        </is>
      </c>
      <c r="AH19" s="75" t="inlineStr">
        <is>
          <t>N/D</t>
        </is>
      </c>
      <c r="AI19" s="75" t="inlineStr">
        <is>
          <t>N/D</t>
        </is>
      </c>
      <c r="AJ19" s="75" t="b">
        <v>0</v>
      </c>
      <c r="AK19" s="75" t="inlineStr">
        <is>
          <t>N/D</t>
        </is>
      </c>
      <c r="AL19" s="75" t="inlineStr">
        <is>
          <t>N/D</t>
        </is>
      </c>
      <c r="AM19" s="75" t="inlineStr">
        <is>
          <t>N/D</t>
        </is>
      </c>
      <c r="AN19" s="75" t="inlineStr">
        <is>
          <t>N/D</t>
        </is>
      </c>
      <c r="AO19" s="75" t="inlineStr">
        <is>
          <t>N/D</t>
        </is>
      </c>
      <c r="AP19" s="75" t="inlineStr">
        <is>
          <t>N/D</t>
        </is>
      </c>
      <c r="AQ19" s="75" t="inlineStr">
        <is>
          <t>N/D</t>
        </is>
      </c>
      <c r="AR19" s="75" t="inlineStr">
        <is>
          <t>N/D</t>
        </is>
      </c>
      <c r="AS19" s="75" t="inlineStr">
        <is>
          <t>N/D</t>
        </is>
      </c>
      <c r="AT19" s="75" t="inlineStr">
        <is>
          <t>N/D</t>
        </is>
      </c>
      <c r="AU19" s="75" t="inlineStr">
        <is>
          <t>N/D</t>
        </is>
      </c>
      <c r="AV19" s="75" t="inlineStr">
        <is>
          <t>N/D</t>
        </is>
      </c>
      <c r="AW19" s="75" t="b">
        <v>0</v>
      </c>
      <c r="AX19" s="75" t="inlineStr">
        <is>
          <t>N/D</t>
        </is>
      </c>
      <c r="AY19" s="75" t="inlineStr">
        <is>
          <t>N/D</t>
        </is>
      </c>
      <c r="AZ19" s="144" t="inlineStr">
        <is>
          <t>N/D</t>
        </is>
      </c>
      <c r="BA19" s="75" t="inlineStr">
        <is>
          <t>N/D</t>
        </is>
      </c>
      <c r="BB19" s="145" t="inlineStr">
        <is>
          <t>N/D</t>
        </is>
      </c>
      <c r="BC19" s="143" t="inlineStr">
        <is>
          <t>N/D</t>
        </is>
      </c>
      <c r="BD19" s="75" t="inlineStr">
        <is>
          <t>N/D</t>
        </is>
      </c>
      <c r="BE19" s="75" t="inlineStr">
        <is>
          <t>N/D</t>
        </is>
      </c>
      <c r="BF19" s="75" t="inlineStr">
        <is>
          <t>N/D</t>
        </is>
      </c>
      <c r="BG19" s="75" t="inlineStr">
        <is>
          <t>N/D</t>
        </is>
      </c>
      <c r="BH19" s="75" t="inlineStr">
        <is>
          <t>N/D</t>
        </is>
      </c>
      <c r="BI19" s="75" t="inlineStr">
        <is>
          <t>N/D</t>
        </is>
      </c>
      <c r="BJ19" s="75" t="inlineStr">
        <is>
          <t>não localizado</t>
        </is>
      </c>
      <c r="BK19" s="75" t="b">
        <v>0</v>
      </c>
      <c r="BL19" s="75" t="inlineStr">
        <is>
          <t>75% Parati / 25% QI Tech</t>
        </is>
      </c>
      <c r="BM19" s="75" t="inlineStr">
        <is>
          <t>cedente</t>
        </is>
      </c>
      <c r="BN19" s="75" t="inlineStr">
        <is>
          <t>N/D</t>
        </is>
      </c>
      <c r="BO19" s="75" t="inlineStr">
        <is>
          <t>75% Parati / 25% QI Tech</t>
        </is>
      </c>
      <c r="BP19" s="75" t="inlineStr">
        <is>
          <t>N/D</t>
        </is>
      </c>
      <c r="BQ19" s="75" t="inlineStr">
        <is>
          <t>N/D</t>
        </is>
      </c>
      <c r="BR19" s="75" t="inlineStr">
        <is>
          <t>IMG_8707.jpg</t>
        </is>
      </c>
      <c r="BS19" s="75" t="inlineStr">
        <is>
          <t>manual_aplicado</t>
        </is>
      </c>
      <c r="BT19" s="75" t="inlineStr">
        <is>
          <t>OBS da foto: Rating atual Ba1; se ajustar o rating na base, pode considerar perspectiva estável. Denominação cortada.</t>
        </is>
      </c>
      <c r="BU19" s="75" t="inlineStr">
        <is>
          <t>N/D</t>
        </is>
      </c>
      <c r="BV19" s="75" t="inlineStr">
        <is>
          <t>N/D</t>
        </is>
      </c>
      <c r="BW19" s="75" t="inlineStr">
        <is>
          <t>N/D</t>
        </is>
      </c>
      <c r="BX19" s="75" t="inlineStr">
        <is>
          <t>lacuna — regulamento integral não disponível nas fontes locais</t>
        </is>
      </c>
      <c r="BY19" s="75" t="inlineStr">
        <is>
          <t>N/D</t>
        </is>
      </c>
      <c r="BZ19" s="75" t="inlineStr">
        <is>
          <t>N/D</t>
        </is>
      </c>
      <c r="CA19" s="75" t="inlineStr">
        <is>
          <t>mínimo estrutural comparável; preço unitário da cota; originador; sacado/devedor; tipo de recebível</t>
        </is>
      </c>
      <c r="CB19" s="75" t="inlineStr">
        <is>
          <t>minimo_estrutural_ausente</t>
        </is>
      </c>
    </row>
    <row r="20" ht="31.5" customHeight="1">
      <c r="A20" s="74" t="n">
        <v>10</v>
      </c>
      <c r="B20" s="138" t="n">
        <v>63848380000139</v>
      </c>
      <c r="C20" s="74" t="inlineStr">
        <is>
          <t>63.848.380/0001-39</t>
        </is>
      </c>
      <c r="D20" s="74" t="inlineStr">
        <is>
          <t>FUNDO DE INVESTIMENTO EM DIREITOS CREDITÓRIOS DAYCOVAL FGTS I RESPONSABILIDADE LIMITADA</t>
        </is>
      </c>
      <c r="E20" s="74" t="inlineStr">
        <is>
          <t>Daycoval FGTS I</t>
        </is>
      </c>
      <c r="F20" s="74" t="inlineStr">
        <is>
          <t>Flagships</t>
        </is>
      </c>
      <c r="G20" s="74" t="inlineStr">
        <is>
          <t>2026-06</t>
        </is>
      </c>
      <c r="H20" s="74" t="inlineStr">
        <is>
          <t>localizado</t>
        </is>
      </c>
      <c r="I20" s="139" t="n">
        <v>102701036.48</v>
      </c>
      <c r="J20" s="139" t="n">
        <v>102701036.4804899</v>
      </c>
      <c r="K20" s="139" t="n">
        <v>17481658.78003613</v>
      </c>
      <c r="L20" s="140" t="n">
        <v>0.1702189128679389</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N/D — mínimo estrutural ou subordinação atual ausente</t>
        </is>
      </c>
      <c r="Y20" s="74" t="b">
        <v>0</v>
      </c>
      <c r="Z20" s="140" t="inlineStr">
        <is>
          <t>N/D</t>
        </is>
      </c>
      <c r="AA20" s="140" t="inlineStr">
        <is>
          <t>N/D</t>
        </is>
      </c>
      <c r="AB20" s="74" t="inlineStr">
        <is>
          <t>não medido</t>
        </is>
      </c>
      <c r="AC20" s="74" t="inlineStr">
        <is>
          <t>N/D</t>
        </is>
      </c>
      <c r="AD20" s="74" t="inlineStr">
        <is>
          <t>N/D</t>
        </is>
      </c>
      <c r="AE20" s="74" t="inlineStr">
        <is>
          <t>Consignado FGTS</t>
        </is>
      </c>
      <c r="AF20" s="74" t="inlineStr">
        <is>
          <t>Consignado FGTS</t>
        </is>
      </c>
      <c r="AG20" s="74" t="inlineStr">
        <is>
          <t>N/D</t>
        </is>
      </c>
      <c r="AH20" s="74" t="inlineStr">
        <is>
          <t>N/D</t>
        </is>
      </c>
      <c r="AI20" s="74" t="inlineStr">
        <is>
          <t>N/D</t>
        </is>
      </c>
      <c r="AJ20" s="74" t="b">
        <v>0</v>
      </c>
      <c r="AK20" s="74" t="inlineStr">
        <is>
          <t>N/D</t>
        </is>
      </c>
      <c r="AL20" s="74" t="inlineStr">
        <is>
          <t>N/D</t>
        </is>
      </c>
      <c r="AM20" s="74" t="inlineStr">
        <is>
          <t>N/D</t>
        </is>
      </c>
      <c r="AN20" s="74" t="inlineStr">
        <is>
          <t>N/D</t>
        </is>
      </c>
      <c r="AO20" s="74" t="inlineStr">
        <is>
          <t>N/D</t>
        </is>
      </c>
      <c r="AP20" s="74" t="inlineStr">
        <is>
          <t>N/D</t>
        </is>
      </c>
      <c r="AQ20" s="74" t="inlineStr">
        <is>
          <t>N/D</t>
        </is>
      </c>
      <c r="AR20" s="74" t="inlineStr">
        <is>
          <t>N/D</t>
        </is>
      </c>
      <c r="AS20" s="74" t="inlineStr">
        <is>
          <t>N/D</t>
        </is>
      </c>
      <c r="AT20" s="74" t="inlineStr">
        <is>
          <t>N/D</t>
        </is>
      </c>
      <c r="AU20" s="74" t="inlineStr">
        <is>
          <t>N/D</t>
        </is>
      </c>
      <c r="AV20" s="74" t="inlineStr">
        <is>
          <t>N/D</t>
        </is>
      </c>
      <c r="AW20" s="74" t="b">
        <v>0</v>
      </c>
      <c r="AX20" s="74" t="inlineStr">
        <is>
          <t>N/D</t>
        </is>
      </c>
      <c r="AY20" s="74" t="inlineStr">
        <is>
          <t>N/D</t>
        </is>
      </c>
      <c r="AZ20" s="140" t="inlineStr">
        <is>
          <t>N/D</t>
        </is>
      </c>
      <c r="BA20" s="74" t="inlineStr">
        <is>
          <t>N/D</t>
        </is>
      </c>
      <c r="BB20" s="141" t="inlineStr">
        <is>
          <t>N/D</t>
        </is>
      </c>
      <c r="BC20" s="139" t="inlineStr">
        <is>
          <t>N/D</t>
        </is>
      </c>
      <c r="BD20" s="74" t="inlineStr">
        <is>
          <t>N/D</t>
        </is>
      </c>
      <c r="BE20" s="74" t="inlineStr">
        <is>
          <t>N/D</t>
        </is>
      </c>
      <c r="BF20" s="74" t="inlineStr">
        <is>
          <t>N/D</t>
        </is>
      </c>
      <c r="BG20" s="74" t="inlineStr">
        <is>
          <t>N/D</t>
        </is>
      </c>
      <c r="BH20" s="74" t="inlineStr">
        <is>
          <t>N/D</t>
        </is>
      </c>
      <c r="BI20" s="74" t="inlineStr">
        <is>
          <t>N/D</t>
        </is>
      </c>
      <c r="BJ20" s="74" t="inlineStr">
        <is>
          <t>não localizado</t>
        </is>
      </c>
      <c r="BK20" s="74" t="b">
        <v>0</v>
      </c>
      <c r="BL20" s="74" t="inlineStr">
        <is>
          <t>N/D</t>
        </is>
      </c>
      <c r="BM20" s="74" t="inlineStr">
        <is>
          <t>N/D</t>
        </is>
      </c>
      <c r="BN20" s="74" t="inlineStr">
        <is>
          <t>N/D</t>
        </is>
      </c>
      <c r="BO20" s="74" t="inlineStr">
        <is>
          <t>N/D</t>
        </is>
      </c>
      <c r="BP20" s="74" t="inlineStr">
        <is>
          <t>N/D</t>
        </is>
      </c>
      <c r="BQ20" s="74" t="inlineStr">
        <is>
          <t>N/D</t>
        </is>
      </c>
      <c r="BR20" s="74" t="inlineStr">
        <is>
          <t>N/D</t>
        </is>
      </c>
      <c r="BS20" s="74" t="inlineStr">
        <is>
          <t>sem_overlay</t>
        </is>
      </c>
      <c r="BT20" s="74" t="inlineStr">
        <is>
          <t>N/D</t>
        </is>
      </c>
      <c r="BU20" s="74" t="inlineStr">
        <is>
          <t>1068666</t>
        </is>
      </c>
      <c r="BV20" s="74" t="inlineStr">
        <is>
          <t>2025-12-18</t>
        </is>
      </c>
      <c r="BW20" s="74" t="inlineStr">
        <is>
          <t>cláusulas de subordinação e definições revisadas</t>
        </is>
      </c>
      <c r="BX20" s="74" t="inlineStr">
        <is>
          <t>revisto — mínimo júnior não isolado</t>
        </is>
      </c>
      <c r="BY20" s="74" t="inlineStr">
        <is>
          <t>FundosNet/B3; documento 1068666; referência 2025-12-18; cláusulas candidatas revisadas</t>
        </is>
      </c>
      <c r="BZ20" s="74" t="inlineStr">
        <is>
          <t>N/D</t>
        </is>
      </c>
      <c r="CA20" s="74" t="inlineStr">
        <is>
          <t>mínimo estrutural comparável; preço unitário da cota; originador; cedente; sacado/devedor; tipo de recebível</t>
        </is>
      </c>
      <c r="CB20" s="74" t="inlineStr">
        <is>
          <t>minimo_estrutural_ausente</t>
        </is>
      </c>
    </row>
    <row r="21" ht="31.5" customHeight="1">
      <c r="A21" s="75" t="n">
        <v>11</v>
      </c>
      <c r="B21" s="142" t="n">
        <v>62393679000183</v>
      </c>
      <c r="C21" s="75" t="inlineStr">
        <is>
          <t>62.393.679/0001-83</t>
        </is>
      </c>
      <c r="D21" s="75" t="inlineStr">
        <is>
          <t>CLOUDWALK BELA FUNDO DE INVESTIMENTO EM DIREITOS CREDITÓRIOS SEGMENTO MEIOS DE PAGAMENTO</t>
        </is>
      </c>
      <c r="E21" s="75" t="inlineStr">
        <is>
          <t>Cloudwalk Bela Pi e Big Picture I–IV</t>
        </is>
      </c>
      <c r="F21" s="75" t="inlineStr">
        <is>
          <t>Flagships</t>
        </is>
      </c>
      <c r="G21" s="75" t="inlineStr">
        <is>
          <t>2026-06</t>
        </is>
      </c>
      <c r="H21" s="75" t="inlineStr">
        <is>
          <t>localizado</t>
        </is>
      </c>
      <c r="I21" s="143" t="n">
        <v>10010957003.11</v>
      </c>
      <c r="J21" s="143" t="n">
        <v>10010957000.26428</v>
      </c>
      <c r="K21" s="143" t="n">
        <v>1555296816.272171</v>
      </c>
      <c r="L21" s="144" t="n">
        <v>0.1553594542249061</v>
      </c>
      <c r="M21" s="75" t="inlineStr">
        <is>
          <t>Calculado com classes reportadas e PL oficial reconciliado</t>
        </is>
      </c>
      <c r="N21" s="144" t="inlineStr">
        <is>
          <t>N/D</t>
        </is>
      </c>
      <c r="O21" s="144" t="inlineStr">
        <is>
          <t>N/D</t>
        </is>
      </c>
      <c r="P21" s="144" t="inlineStr">
        <is>
          <t>N/D</t>
        </is>
      </c>
      <c r="Q21" s="144" t="inlineStr">
        <is>
          <t>N/D</t>
        </is>
      </c>
      <c r="R21" s="144" t="inlineStr">
        <is>
          <t>N/D</t>
        </is>
      </c>
      <c r="S21" s="144" t="inlineStr">
        <is>
          <t>N/D</t>
        </is>
      </c>
      <c r="T21" s="75" t="inlineStr">
        <is>
          <t>1,0% até D+180; 2,5% após D+180</t>
        </is>
      </c>
      <c r="U21" s="75" t="inlineStr">
        <is>
          <t>sem_indice</t>
        </is>
      </c>
      <c r="V21" s="75" t="inlineStr">
        <is>
          <t>N/D</t>
        </is>
      </c>
      <c r="W21" s="75" t="b">
        <v>0</v>
      </c>
      <c r="X21" s="75" t="inlineStr">
        <is>
          <t>N/D — mínimo estrutural ou subordinação atual ausente</t>
        </is>
      </c>
      <c r="Y21" s="75" t="b">
        <v>0</v>
      </c>
      <c r="Z21" s="144" t="inlineStr">
        <is>
          <t>N/D</t>
        </is>
      </c>
      <c r="AA21" s="144" t="inlineStr">
        <is>
          <t>N/D</t>
        </is>
      </c>
      <c r="AB21" s="75" t="inlineStr">
        <is>
          <t>não medido</t>
        </is>
      </c>
      <c r="AC21" s="75" t="inlineStr">
        <is>
          <t>N/D</t>
        </is>
      </c>
      <c r="AD21" s="75" t="inlineStr">
        <is>
          <t>N/D</t>
        </is>
      </c>
      <c r="AE21" s="75" t="inlineStr">
        <is>
          <t>Adquirência — banco emissor</t>
        </is>
      </c>
      <c r="AF21" s="75" t="inlineStr">
        <is>
          <t>Adquirência</t>
        </is>
      </c>
      <c r="AG21" s="75" t="inlineStr">
        <is>
          <t>N/D</t>
        </is>
      </c>
      <c r="AH21" s="75" t="inlineStr">
        <is>
          <t>N/D</t>
        </is>
      </c>
      <c r="AI21" s="75" t="inlineStr">
        <is>
          <t>N/D</t>
        </is>
      </c>
      <c r="AJ21" s="75" t="b">
        <v>0</v>
      </c>
      <c r="AK21" s="75" t="inlineStr">
        <is>
          <t>N/D</t>
        </is>
      </c>
      <c r="AL21" s="75" t="inlineStr">
        <is>
          <t>N/D</t>
        </is>
      </c>
      <c r="AM21" s="75" t="inlineStr">
        <is>
          <t>N/D</t>
        </is>
      </c>
      <c r="AN21" s="75" t="inlineStr">
        <is>
          <t>N/D</t>
        </is>
      </c>
      <c r="AO21" s="75" t="inlineStr">
        <is>
          <t>N/D</t>
        </is>
      </c>
      <c r="AP21" s="75" t="inlineStr">
        <is>
          <t>N/D</t>
        </is>
      </c>
      <c r="AQ21" s="75" t="inlineStr">
        <is>
          <t>N/D</t>
        </is>
      </c>
      <c r="AR21" s="75" t="inlineStr">
        <is>
          <t>N/D</t>
        </is>
      </c>
      <c r="AS21" s="75" t="inlineStr">
        <is>
          <t>N/D</t>
        </is>
      </c>
      <c r="AT21" s="75" t="inlineStr">
        <is>
          <t>N/D</t>
        </is>
      </c>
      <c r="AU21" s="75" t="inlineStr">
        <is>
          <t>N/D</t>
        </is>
      </c>
      <c r="AV21" s="75" t="inlineStr">
        <is>
          <t>N/D</t>
        </is>
      </c>
      <c r="AW21" s="75" t="b">
        <v>0</v>
      </c>
      <c r="AX21" s="75" t="inlineStr">
        <is>
          <t>N/D</t>
        </is>
      </c>
      <c r="AY21" s="75" t="inlineStr">
        <is>
          <t>N/D</t>
        </is>
      </c>
      <c r="AZ21" s="144" t="inlineStr">
        <is>
          <t>N/D</t>
        </is>
      </c>
      <c r="BA21" s="75" t="inlineStr">
        <is>
          <t>N/D</t>
        </is>
      </c>
      <c r="BB21" s="145" t="inlineStr">
        <is>
          <t>N/D</t>
        </is>
      </c>
      <c r="BC21" s="143" t="n">
        <v>1000</v>
      </c>
      <c r="BD21" s="75" t="inlineStr">
        <is>
          <t>R$ 1.000,00</t>
        </is>
      </c>
      <c r="BE21" s="75" t="inlineStr">
        <is>
          <t>preço/VNU conforme fonte</t>
        </is>
      </c>
      <c r="BF21" s="75" t="inlineStr">
        <is>
          <t>2ª série sênior / 2ª série mezanino A / 2ª série mezanino B</t>
        </is>
      </c>
      <c r="BG21" s="75" t="inlineStr">
        <is>
          <t>27/02/2026</t>
        </is>
      </c>
      <c r="BH21" s="75" t="inlineStr">
        <is>
          <t>1117954 | 1124808</t>
        </is>
      </c>
      <c r="BI21" s="75" t="inlineStr">
        <is>
          <t>1117954_regulamento_regulamento_1117954_2026-02-19.pdf · p.142-145 · 1124808_emissao_emissao_1124808_2026-02-27.pdf | 1117954_regulamento_regulamento_1117954_2026-02-19.pdf · p.153-156 | 1117954_regulamento_regulamento_1117954_2026-02-19.pdf · p.164-166</t>
        </is>
      </c>
      <c r="BJ21" s="75" t="inlineStr">
        <is>
          <t>localizado documentalmente</t>
        </is>
      </c>
      <c r="BK21" s="75" t="b">
        <v>1</v>
      </c>
      <c r="BL21" s="75" t="inlineStr">
        <is>
          <t>Cloudwalk</t>
        </is>
      </c>
      <c r="BM21" s="75" t="inlineStr">
        <is>
          <t>originador</t>
        </is>
      </c>
      <c r="BN21" s="75" t="inlineStr">
        <is>
          <t>Cloudwalk</t>
        </is>
      </c>
      <c r="BO21" s="75" t="inlineStr">
        <is>
          <t>N/D</t>
        </is>
      </c>
      <c r="BP21" s="75" t="inlineStr">
        <is>
          <t>N/D</t>
        </is>
      </c>
      <c r="BQ21" s="75" t="inlineStr">
        <is>
          <t>N/D</t>
        </is>
      </c>
      <c r="BR21" s="75" t="inlineStr">
        <is>
          <t>IMG_8698.jpg</t>
        </is>
      </c>
      <c r="BS21" s="75" t="inlineStr">
        <is>
          <t>manual_aplicado</t>
        </is>
      </c>
      <c r="BT21" s="75" t="inlineStr">
        <is>
          <t>Originador transcrito da coluna da foto; complemento manual marcado com asterisco no slide.</t>
        </is>
      </c>
      <c r="BU21" s="75" t="inlineStr">
        <is>
          <t>1117954</t>
        </is>
      </c>
      <c r="BV21" s="75" t="inlineStr">
        <is>
          <t>2026-02-19</t>
        </is>
      </c>
      <c r="BW21" s="75" t="inlineStr">
        <is>
          <t>p. 162–166</t>
        </is>
      </c>
      <c r="BX21" s="75" t="inlineStr">
        <is>
          <t>revisto — mínimo júnior localizado</t>
        </is>
      </c>
      <c r="BY21" s="75" t="inlineStr">
        <is>
          <t>FundosNet/B3; documento 1117954; referência 2026-02-19; p. 162–166</t>
        </is>
      </c>
      <c r="BZ21" s="75" t="inlineStr">
        <is>
          <t>Cotas subordinadas júnior / PL: 1,0% até D+180 e 2,5% após D+180; condição temporal preservada.</t>
        </is>
      </c>
      <c r="CA21" s="75" t="inlineStr">
        <is>
          <t>mínimo estrutural comparável; cedente; sacado/devedor; tipo de recebível</t>
        </is>
      </c>
      <c r="CB21" s="75" t="inlineStr">
        <is>
          <t>minimo_estrutural_ausente</t>
        </is>
      </c>
    </row>
    <row r="22" ht="31.5" customHeight="1">
      <c r="A22" s="74" t="n">
        <v>11</v>
      </c>
      <c r="B22" s="138" t="n">
        <v>60356171000180</v>
      </c>
      <c r="C22" s="74" t="inlineStr">
        <is>
          <t>60.356.171/0001-80</t>
        </is>
      </c>
      <c r="D22" s="74" t="inlineStr">
        <is>
          <t>CLOUDWALK PI FUNDO DE INVESTIMENTO EM DIREITOS CREDITÓRIOS SEGMENTO MEIOS DE PAGAMENTO</t>
        </is>
      </c>
      <c r="E22" s="74" t="inlineStr">
        <is>
          <t>Cloudwalk Bela Pi e Big Picture I–IV</t>
        </is>
      </c>
      <c r="F22" s="74" t="inlineStr">
        <is>
          <t>Flagships</t>
        </is>
      </c>
      <c r="G22" s="74" t="inlineStr">
        <is>
          <t>2026-06</t>
        </is>
      </c>
      <c r="H22" s="74" t="inlineStr">
        <is>
          <t>localizado</t>
        </is>
      </c>
      <c r="I22" s="139" t="n">
        <v>3254537202.75</v>
      </c>
      <c r="J22" s="139" t="n">
        <v>3254537213.268016</v>
      </c>
      <c r="K22" s="139" t="n">
        <v>524782216.9551569</v>
      </c>
      <c r="L22" s="140" t="n">
        <v>0.1612463414189057</v>
      </c>
      <c r="M22" s="74" t="inlineStr">
        <is>
          <t>Calculado com classes reportadas e PL oficial reconciliado</t>
        </is>
      </c>
      <c r="N22" s="140" t="n">
        <v>0.025</v>
      </c>
      <c r="O22" s="140" t="inlineStr">
        <is>
          <t>N/D</t>
        </is>
      </c>
      <c r="P22" s="140" t="inlineStr">
        <is>
          <t>N/D</t>
        </is>
      </c>
      <c r="Q22" s="140" t="inlineStr">
        <is>
          <t>N/D</t>
        </is>
      </c>
      <c r="R22" s="140" t="inlineStr">
        <is>
          <t>N/D</t>
        </is>
      </c>
      <c r="S22" s="140" t="inlineStr">
        <is>
          <t>N/D</t>
        </is>
      </c>
      <c r="T22" s="74" t="inlineStr">
        <is>
          <t>2,5%</t>
        </is>
      </c>
      <c r="U22" s="74" t="inlineStr">
        <is>
          <t>junior_pl</t>
        </is>
      </c>
      <c r="V22" s="74" t="inlineStr">
        <is>
          <t>direto no regulamento</t>
        </is>
      </c>
      <c r="W22" s="74" t="b">
        <v>0</v>
      </c>
      <c r="X22" s="74" t="inlineStr">
        <is>
          <t>N/D — equivalência entre mínimo júnior e subordinação total não comprovada</t>
        </is>
      </c>
      <c r="Y22" s="74" t="b">
        <v>1</v>
      </c>
      <c r="Z22" s="140" t="inlineStr">
        <is>
          <t>N/D</t>
        </is>
      </c>
      <c r="AA22" s="140" t="inlineStr">
        <is>
          <t>N/D</t>
        </is>
      </c>
      <c r="AB22" s="74" t="inlineStr">
        <is>
          <t>não medido</t>
        </is>
      </c>
      <c r="AC22" s="74" t="inlineStr">
        <is>
          <t>N/D</t>
        </is>
      </c>
      <c r="AD22" s="74" t="inlineStr">
        <is>
          <t>N/D</t>
        </is>
      </c>
      <c r="AE22" s="74" t="inlineStr">
        <is>
          <t>Adquirência — banco emissor</t>
        </is>
      </c>
      <c r="AF22" s="74" t="inlineStr">
        <is>
          <t>Adquirência</t>
        </is>
      </c>
      <c r="AG22" s="74" t="inlineStr">
        <is>
          <t>N/D</t>
        </is>
      </c>
      <c r="AH22" s="74" t="inlineStr">
        <is>
          <t>N/D</t>
        </is>
      </c>
      <c r="AI22" s="74" t="inlineStr">
        <is>
          <t>N/D</t>
        </is>
      </c>
      <c r="AJ22" s="74" t="b">
        <v>0</v>
      </c>
      <c r="AK22" s="74" t="inlineStr">
        <is>
          <t>N/D</t>
        </is>
      </c>
      <c r="AL22" s="74" t="inlineStr">
        <is>
          <t>N/D</t>
        </is>
      </c>
      <c r="AM22" s="74" t="inlineStr">
        <is>
          <t>N/D</t>
        </is>
      </c>
      <c r="AN22" s="74" t="inlineStr">
        <is>
          <t>N/D</t>
        </is>
      </c>
      <c r="AO22" s="74" t="inlineStr">
        <is>
          <t>N/D</t>
        </is>
      </c>
      <c r="AP22" s="74" t="inlineStr">
        <is>
          <t>N/D</t>
        </is>
      </c>
      <c r="AQ22" s="74" t="inlineStr">
        <is>
          <t>N/D</t>
        </is>
      </c>
      <c r="AR22" s="74" t="inlineStr">
        <is>
          <t>N/D</t>
        </is>
      </c>
      <c r="AS22" s="74" t="inlineStr">
        <is>
          <t>N/D</t>
        </is>
      </c>
      <c r="AT22" s="74" t="inlineStr">
        <is>
          <t>N/D</t>
        </is>
      </c>
      <c r="AU22" s="74" t="inlineStr">
        <is>
          <t>N/D</t>
        </is>
      </c>
      <c r="AV22" s="74" t="inlineStr">
        <is>
          <t>N/D</t>
        </is>
      </c>
      <c r="AW22" s="74" t="b">
        <v>0</v>
      </c>
      <c r="AX22" s="74" t="inlineStr">
        <is>
          <t>N/D</t>
        </is>
      </c>
      <c r="AY22" s="74" t="inlineStr">
        <is>
          <t>N/D</t>
        </is>
      </c>
      <c r="AZ22" s="140" t="inlineStr">
        <is>
          <t>N/D</t>
        </is>
      </c>
      <c r="BA22" s="74" t="inlineStr">
        <is>
          <t>N/D</t>
        </is>
      </c>
      <c r="BB22" s="141" t="inlineStr">
        <is>
          <t>N/D</t>
        </is>
      </c>
      <c r="BC22" s="139" t="n">
        <v>1</v>
      </c>
      <c r="BD22" s="74" t="inlineStr">
        <is>
          <t>R$ 1,00</t>
        </is>
      </c>
      <c r="BE22" s="74" t="inlineStr">
        <is>
          <t>preço/VNU conforme fonte</t>
        </is>
      </c>
      <c r="BF22" s="74" t="inlineStr">
        <is>
          <t>1ª série sênior / 2ª série sênior</t>
        </is>
      </c>
      <c r="BG22" s="74" t="inlineStr">
        <is>
          <t>11/04/2025</t>
        </is>
      </c>
      <c r="BH22" s="74" t="inlineStr">
        <is>
          <t>883040</t>
        </is>
      </c>
      <c r="BI22" s="74" t="inlineStr">
        <is>
          <t>883040_regulamento_regulamento_883040_2025-04-11.pdf · p.6-8 · ID 883040 | 883040_regulamento_regulamento_883040_2025-04-11.pdf · p.10-11 · ID 883040</t>
        </is>
      </c>
      <c r="BJ22" s="74" t="inlineStr">
        <is>
          <t>localizado documentalmente</t>
        </is>
      </c>
      <c r="BK22" s="74" t="b">
        <v>1</v>
      </c>
      <c r="BL22" s="74" t="inlineStr">
        <is>
          <t>Cloudwalk</t>
        </is>
      </c>
      <c r="BM22" s="74" t="inlineStr">
        <is>
          <t>originador</t>
        </is>
      </c>
      <c r="BN22" s="74" t="inlineStr">
        <is>
          <t>Cloudwalk</t>
        </is>
      </c>
      <c r="BO22" s="74" t="inlineStr">
        <is>
          <t>N/D</t>
        </is>
      </c>
      <c r="BP22" s="74" t="inlineStr">
        <is>
          <t>N/D</t>
        </is>
      </c>
      <c r="BQ22" s="74" t="inlineStr">
        <is>
          <t>N/D</t>
        </is>
      </c>
      <c r="BR22" s="74" t="inlineStr">
        <is>
          <t>IMG_8698.jpg</t>
        </is>
      </c>
      <c r="BS22" s="74" t="inlineStr">
        <is>
          <t>manual_aplicado</t>
        </is>
      </c>
      <c r="BT22" s="74" t="inlineStr">
        <is>
          <t>O documento já identifica Cloudwalk IP como originador/cedente; a foto funciona como complemento manual.</t>
        </is>
      </c>
      <c r="BU22" s="74" t="inlineStr">
        <is>
          <t>993687</t>
        </is>
      </c>
      <c r="BV22" s="74" t="inlineStr">
        <is>
          <t>2025-09-04</t>
        </is>
      </c>
      <c r="BW22" s="74" t="inlineStr">
        <is>
          <t>p. 112–113; apêndice Mezanino B</t>
        </is>
      </c>
      <c r="BX22" s="74" t="inlineStr">
        <is>
          <t>revisto — mínimo júnior localizado</t>
        </is>
      </c>
      <c r="BY22" s="74" t="inlineStr">
        <is>
          <t>FundosNet/B3; documento 993687; referência 2025-09-04; p. 112–113; apêndice Mezanino B</t>
        </is>
      </c>
      <c r="BZ22" s="74" t="inlineStr">
        <is>
          <t>Cotas subordinadas júnior / PL, mínimo de 2,5%.</t>
        </is>
      </c>
      <c r="CA22" s="74" t="inlineStr">
        <is>
          <t>mínimo estrutural comparável; cedente; sacado/devedor; tipo de recebível</t>
        </is>
      </c>
      <c r="CB22" s="74" t="inlineStr">
        <is>
          <t>estrutura_incomparavel</t>
        </is>
      </c>
    </row>
    <row r="23" ht="31.5" customHeight="1">
      <c r="A23" s="75" t="n">
        <v>11</v>
      </c>
      <c r="B23" s="142" t="n">
        <v>54218673000141</v>
      </c>
      <c r="C23" s="75" t="inlineStr">
        <is>
          <t>54.218.673/0001-41</t>
        </is>
      </c>
      <c r="D23" s="75" t="inlineStr">
        <is>
          <t>CLOUDWALK BIG PICTURE I FUNDO DE INVESTIMENTO EM DIREITOS CREDITÓRIOS SEGMENTO MEIOS DE PAGAMENTO</t>
        </is>
      </c>
      <c r="E23" s="75" t="inlineStr">
        <is>
          <t>Cloudwalk Bela Pi e Big Picture I–IV</t>
        </is>
      </c>
      <c r="F23" s="75" t="inlineStr">
        <is>
          <t>Flagships</t>
        </is>
      </c>
      <c r="G23" s="75" t="inlineStr">
        <is>
          <t>2026-06</t>
        </is>
      </c>
      <c r="H23" s="75" t="inlineStr">
        <is>
          <t>localizado</t>
        </is>
      </c>
      <c r="I23" s="143" t="n">
        <v>904073803.4299999</v>
      </c>
      <c r="J23" s="143" t="n">
        <v>904073803.4307282</v>
      </c>
      <c r="K23" s="143" t="n">
        <v>23050123.39000326</v>
      </c>
      <c r="L23" s="144" t="n">
        <v>0.02549584259885921</v>
      </c>
      <c r="M23" s="75" t="inlineStr">
        <is>
          <t>Calculado com classes reportadas e PL oficial reconciliado</t>
        </is>
      </c>
      <c r="N23" s="144" t="n">
        <v>0.025</v>
      </c>
      <c r="O23" s="144" t="inlineStr">
        <is>
          <t>N/D</t>
        </is>
      </c>
      <c r="P23" s="144" t="inlineStr">
        <is>
          <t>N/D</t>
        </is>
      </c>
      <c r="Q23" s="144" t="inlineStr">
        <is>
          <t>N/D</t>
        </is>
      </c>
      <c r="R23" s="144" t="inlineStr">
        <is>
          <t>N/D</t>
        </is>
      </c>
      <c r="S23" s="144" t="n">
        <v>0.025</v>
      </c>
      <c r="T23" s="75" t="inlineStr">
        <is>
          <t>2,5%</t>
        </is>
      </c>
      <c r="U23" s="75" t="inlineStr">
        <is>
          <t>junior_pl</t>
        </is>
      </c>
      <c r="V23" s="75" t="inlineStr">
        <is>
          <t>direto no regulamento</t>
        </is>
      </c>
      <c r="W23" s="75" t="b">
        <v>1</v>
      </c>
      <c r="X23" s="75" t="inlineStr">
        <is>
          <t>Comparável — documento confirma ausência de mezanino</t>
        </is>
      </c>
      <c r="Y23" s="75" t="b">
        <v>0</v>
      </c>
      <c r="Z23" s="144" t="n">
        <v>0.0004958425988592086</v>
      </c>
      <c r="AA23" s="144" t="n">
        <v>0.0005085565116504703</v>
      </c>
      <c r="AB23" s="75" t="inlineStr">
        <is>
          <t>acima do mínimo</t>
        </is>
      </c>
      <c r="AC23" s="75" t="inlineStr">
        <is>
          <t>N/D</t>
        </is>
      </c>
      <c r="AD23" s="75" t="inlineStr">
        <is>
          <t>N/D</t>
        </is>
      </c>
      <c r="AE23" s="75" t="inlineStr">
        <is>
          <t>Adquirência — banco emissor</t>
        </is>
      </c>
      <c r="AF23" s="75" t="inlineStr">
        <is>
          <t>Adquirência</t>
        </is>
      </c>
      <c r="AG23" s="75" t="inlineStr">
        <is>
          <t>N/D</t>
        </is>
      </c>
      <c r="AH23" s="75" t="inlineStr">
        <is>
          <t>N/D</t>
        </is>
      </c>
      <c r="AI23" s="75" t="inlineStr">
        <is>
          <t>N/D</t>
        </is>
      </c>
      <c r="AJ23" s="75" t="b">
        <v>0</v>
      </c>
      <c r="AK23" s="75" t="inlineStr">
        <is>
          <t>N/D</t>
        </is>
      </c>
      <c r="AL23" s="75" t="inlineStr">
        <is>
          <t>N/D</t>
        </is>
      </c>
      <c r="AM23" s="75" t="inlineStr">
        <is>
          <t>N/D</t>
        </is>
      </c>
      <c r="AN23" s="75" t="inlineStr">
        <is>
          <t>N/D</t>
        </is>
      </c>
      <c r="AO23" s="75" t="inlineStr">
        <is>
          <t>N/D</t>
        </is>
      </c>
      <c r="AP23" s="75" t="inlineStr">
        <is>
          <t>N/D</t>
        </is>
      </c>
      <c r="AQ23" s="75" t="inlineStr">
        <is>
          <t>N/D</t>
        </is>
      </c>
      <c r="AR23" s="75" t="inlineStr">
        <is>
          <t>N/D</t>
        </is>
      </c>
      <c r="AS23" s="75" t="inlineStr">
        <is>
          <t>N/D</t>
        </is>
      </c>
      <c r="AT23" s="75" t="inlineStr">
        <is>
          <t>N/D</t>
        </is>
      </c>
      <c r="AU23" s="75" t="inlineStr">
        <is>
          <t>N/D</t>
        </is>
      </c>
      <c r="AV23" s="75" t="inlineStr">
        <is>
          <t>N/D</t>
        </is>
      </c>
      <c r="AW23" s="75" t="b">
        <v>0</v>
      </c>
      <c r="AX23" s="75" t="inlineStr">
        <is>
          <t>N/D</t>
        </is>
      </c>
      <c r="AY23" s="75" t="inlineStr">
        <is>
          <t>N/D</t>
        </is>
      </c>
      <c r="AZ23" s="144" t="inlineStr">
        <is>
          <t>N/D</t>
        </is>
      </c>
      <c r="BA23" s="75" t="inlineStr">
        <is>
          <t>N/D</t>
        </is>
      </c>
      <c r="BB23" s="145" t="inlineStr">
        <is>
          <t>N/D</t>
        </is>
      </c>
      <c r="BC23" s="143" t="n">
        <v>1000</v>
      </c>
      <c r="BD23" s="75" t="inlineStr">
        <is>
          <t>R$ 1.000,00</t>
        </is>
      </c>
      <c r="BE23" s="75" t="inlineStr">
        <is>
          <t>preço/VNU conforme fonte</t>
        </is>
      </c>
      <c r="BF23" s="75" t="inlineStr">
        <is>
          <t>1ª série sênior</t>
        </is>
      </c>
      <c r="BG23" s="75" t="inlineStr">
        <is>
          <t>15/04/2024</t>
        </is>
      </c>
      <c r="BH23" s="75" t="inlineStr">
        <is>
          <t>620348 | 643240 | 644981</t>
        </is>
      </c>
      <c r="BI23" s="75" t="inlineStr">
        <is>
          <t>620348_emissao_emissao_620348_2024-03-14.pdf · 643240_emissao_emissao_643240_2024-04-22.pdf · 644981_emissao_emissao_644981_2024-04-25.pdf</t>
        </is>
      </c>
      <c r="BJ23" s="75" t="inlineStr">
        <is>
          <t>localizado documentalmente</t>
        </is>
      </c>
      <c r="BK23" s="75" t="b">
        <v>1</v>
      </c>
      <c r="BL23" s="75" t="inlineStr">
        <is>
          <t>N/D</t>
        </is>
      </c>
      <c r="BM23" s="75" t="inlineStr">
        <is>
          <t>N/D</t>
        </is>
      </c>
      <c r="BN23" s="75" t="inlineStr">
        <is>
          <t>N/D</t>
        </is>
      </c>
      <c r="BO23" s="75" t="inlineStr">
        <is>
          <t>N/D</t>
        </is>
      </c>
      <c r="BP23" s="75" t="inlineStr">
        <is>
          <t>N/D</t>
        </is>
      </c>
      <c r="BQ23" s="75" t="inlineStr">
        <is>
          <t>N/D</t>
        </is>
      </c>
      <c r="BR23" s="75" t="inlineStr">
        <is>
          <t>N/D</t>
        </is>
      </c>
      <c r="BS23" s="75" t="inlineStr">
        <is>
          <t>sem_overlay</t>
        </is>
      </c>
      <c r="BT23" s="75" t="inlineStr">
        <is>
          <t>N/D</t>
        </is>
      </c>
      <c r="BU23" s="75" t="inlineStr">
        <is>
          <t>1072697</t>
        </is>
      </c>
      <c r="BV23" s="75" t="inlineStr">
        <is>
          <t>2025-12-23</t>
        </is>
      </c>
      <c r="BW23" s="75" t="inlineStr">
        <is>
          <t>p. 90; Suplemento 1, definição “Índice de Subordinação”</t>
        </is>
      </c>
      <c r="BX23" s="75" t="inlineStr">
        <is>
          <t>revisto — mínimo júnior localizado</t>
        </is>
      </c>
      <c r="BY23" s="75" t="inlineStr">
        <is>
          <t>FundosNet/B3; documento 1072697; referência 2025-12-23; p. 90; Suplemento 1, definição “Índice de Subordinação”</t>
        </is>
      </c>
      <c r="BZ23" s="75" t="inlineStr">
        <is>
          <t>Cotas subordinadas / PL, razão mínima de 2,5%; a estrutura não tem mezanino no regulamento lido.</t>
        </is>
      </c>
      <c r="CA23" s="75" t="inlineStr">
        <is>
          <t>originador; cedente; sacado/devedor; tipo de recebível</t>
        </is>
      </c>
      <c r="CB23" s="75" t="inlineStr">
        <is>
          <t>completo_para_folga</t>
        </is>
      </c>
    </row>
    <row r="24" ht="31.5" customHeight="1">
      <c r="A24" s="74" t="n">
        <v>11</v>
      </c>
      <c r="B24" s="138" t="n">
        <v>54248022000102</v>
      </c>
      <c r="C24" s="74" t="inlineStr">
        <is>
          <t>54.248.022/0001-02</t>
        </is>
      </c>
      <c r="D24" s="74" t="inlineStr">
        <is>
          <t>CLOUDWALK BIG PICTURE IV FUNDO DE INVESTIMENTO EM DIREITOS CREDITÓRIOS SEGMENTO MEIOS DE PAGAMENTO</t>
        </is>
      </c>
      <c r="E24" s="74" t="inlineStr">
        <is>
          <t>Cloudwalk Bela Pi e Big Picture I–IV</t>
        </is>
      </c>
      <c r="F24" s="74" t="inlineStr">
        <is>
          <t>Flagships</t>
        </is>
      </c>
      <c r="G24" s="74" t="inlineStr">
        <is>
          <t>2026-06</t>
        </is>
      </c>
      <c r="H24" s="74" t="inlineStr">
        <is>
          <t>localizado</t>
        </is>
      </c>
      <c r="I24" s="139" t="n">
        <v>310583203.44</v>
      </c>
      <c r="J24" s="139" t="n">
        <v>310582827.7614887</v>
      </c>
      <c r="K24" s="139" t="n">
        <v>69501050.47028863</v>
      </c>
      <c r="L24" s="140" t="n">
        <v>0.2237759469942334</v>
      </c>
      <c r="M24" s="74" t="inlineStr">
        <is>
          <t>Calculado com classes reportadas e PL oficial reconciliado</t>
        </is>
      </c>
      <c r="N24" s="140" t="n">
        <v>0.2</v>
      </c>
      <c r="O24" s="140" t="inlineStr">
        <is>
          <t>N/D</t>
        </is>
      </c>
      <c r="P24" s="140" t="inlineStr">
        <is>
          <t>N/D</t>
        </is>
      </c>
      <c r="Q24" s="140" t="inlineStr">
        <is>
          <t>N/D</t>
        </is>
      </c>
      <c r="R24" s="140" t="inlineStr">
        <is>
          <t>N/D</t>
        </is>
      </c>
      <c r="S24" s="140" t="n">
        <v>0.2</v>
      </c>
      <c r="T24" s="74" t="inlineStr">
        <is>
          <t>20,0%</t>
        </is>
      </c>
      <c r="U24" s="74" t="inlineStr">
        <is>
          <t>junior_pl</t>
        </is>
      </c>
      <c r="V24" s="74" t="inlineStr">
        <is>
          <t>direto no regulamento</t>
        </is>
      </c>
      <c r="W24" s="74" t="b">
        <v>1</v>
      </c>
      <c r="X24" s="74" t="inlineStr">
        <is>
          <t>Comparável — documento confirma ausência de mezanino</t>
        </is>
      </c>
      <c r="Y24" s="74" t="b">
        <v>0</v>
      </c>
      <c r="Z24" s="140" t="n">
        <v>0.02377594699423335</v>
      </c>
      <c r="AA24" s="140" t="n">
        <v>0.02971993374279169</v>
      </c>
      <c r="AB24" s="74" t="inlineStr">
        <is>
          <t>acima do mínimo</t>
        </is>
      </c>
      <c r="AC24" s="74" t="inlineStr">
        <is>
          <t>N/D</t>
        </is>
      </c>
      <c r="AD24" s="74" t="inlineStr">
        <is>
          <t>N/D</t>
        </is>
      </c>
      <c r="AE24" s="74" t="inlineStr">
        <is>
          <t>Adquirência — banco emissor</t>
        </is>
      </c>
      <c r="AF24" s="74" t="inlineStr">
        <is>
          <t>Adquirência</t>
        </is>
      </c>
      <c r="AG24" s="74" t="inlineStr">
        <is>
          <t>N/D</t>
        </is>
      </c>
      <c r="AH24" s="74" t="inlineStr">
        <is>
          <t>N/D</t>
        </is>
      </c>
      <c r="AI24" s="74" t="inlineStr">
        <is>
          <t>N/D</t>
        </is>
      </c>
      <c r="AJ24" s="74" t="b">
        <v>0</v>
      </c>
      <c r="AK24" s="74" t="inlineStr">
        <is>
          <t>N/D</t>
        </is>
      </c>
      <c r="AL24" s="74" t="inlineStr">
        <is>
          <t>N/D</t>
        </is>
      </c>
      <c r="AM24" s="74" t="inlineStr">
        <is>
          <t>N/D</t>
        </is>
      </c>
      <c r="AN24" s="74" t="inlineStr">
        <is>
          <t>N/D</t>
        </is>
      </c>
      <c r="AO24" s="74" t="inlineStr">
        <is>
          <t>N/D</t>
        </is>
      </c>
      <c r="AP24" s="74" t="inlineStr">
        <is>
          <t>N/D</t>
        </is>
      </c>
      <c r="AQ24" s="74" t="inlineStr">
        <is>
          <t>N/D</t>
        </is>
      </c>
      <c r="AR24" s="74" t="inlineStr">
        <is>
          <t>N/D</t>
        </is>
      </c>
      <c r="AS24" s="74" t="inlineStr">
        <is>
          <t>N/D</t>
        </is>
      </c>
      <c r="AT24" s="74" t="inlineStr">
        <is>
          <t>N/D</t>
        </is>
      </c>
      <c r="AU24" s="74" t="inlineStr">
        <is>
          <t>N/D</t>
        </is>
      </c>
      <c r="AV24" s="74" t="inlineStr">
        <is>
          <t>N/D</t>
        </is>
      </c>
      <c r="AW24" s="74" t="b">
        <v>0</v>
      </c>
      <c r="AX24" s="74" t="inlineStr">
        <is>
          <t>N/D</t>
        </is>
      </c>
      <c r="AY24" s="74" t="inlineStr">
        <is>
          <t>N/D</t>
        </is>
      </c>
      <c r="AZ24" s="140" t="inlineStr">
        <is>
          <t>N/D</t>
        </is>
      </c>
      <c r="BA24" s="74" t="inlineStr">
        <is>
          <t>N/D</t>
        </is>
      </c>
      <c r="BB24" s="141" t="inlineStr">
        <is>
          <t>N/D</t>
        </is>
      </c>
      <c r="BC24" s="139" t="n">
        <v>1000</v>
      </c>
      <c r="BD24" s="74" t="inlineStr">
        <is>
          <t>R$ 1.000,00</t>
        </is>
      </c>
      <c r="BE24" s="74" t="inlineStr">
        <is>
          <t>preço/VNU conforme fonte</t>
        </is>
      </c>
      <c r="BF24" s="74" t="inlineStr">
        <is>
          <t>1ª série sênior</t>
        </is>
      </c>
      <c r="BG24" s="74" t="inlineStr">
        <is>
          <t>16/04/2024</t>
        </is>
      </c>
      <c r="BH24" s="74" t="inlineStr">
        <is>
          <t>620354 | 641900 | 643244 | 644984</t>
        </is>
      </c>
      <c r="BI24" s="74" t="inlineStr">
        <is>
          <t>620354_emissao_emissao_620354_2024-03-14.pdf · 641900_emissao_emissao_641900_2024-04-16.pdf · 643244_emissao_emissao_643244_2024-04-22.pdf · 644984_emissao_emissao_644984_2024-0...</t>
        </is>
      </c>
      <c r="BJ24" s="74" t="inlineStr">
        <is>
          <t>localizado documentalmente</t>
        </is>
      </c>
      <c r="BK24" s="74" t="b">
        <v>1</v>
      </c>
      <c r="BL24" s="74" t="inlineStr">
        <is>
          <t>N/D</t>
        </is>
      </c>
      <c r="BM24" s="74" t="inlineStr">
        <is>
          <t>N/D</t>
        </is>
      </c>
      <c r="BN24" s="74" t="inlineStr">
        <is>
          <t>N/D</t>
        </is>
      </c>
      <c r="BO24" s="74" t="inlineStr">
        <is>
          <t>N/D</t>
        </is>
      </c>
      <c r="BP24" s="74" t="inlineStr">
        <is>
          <t>N/D</t>
        </is>
      </c>
      <c r="BQ24" s="74" t="inlineStr">
        <is>
          <t>N/D</t>
        </is>
      </c>
      <c r="BR24" s="74" t="inlineStr">
        <is>
          <t>N/D</t>
        </is>
      </c>
      <c r="BS24" s="74" t="inlineStr">
        <is>
          <t>sem_overlay</t>
        </is>
      </c>
      <c r="BT24" s="74" t="inlineStr">
        <is>
          <t>N/D</t>
        </is>
      </c>
      <c r="BU24" s="74" t="inlineStr">
        <is>
          <t>1072746</t>
        </is>
      </c>
      <c r="BV24" s="74" t="inlineStr">
        <is>
          <t>2025-12-22</t>
        </is>
      </c>
      <c r="BW24" s="74" t="inlineStr">
        <is>
          <t>p. 91; Suplemento 1, definição “Índice de Subordinação”</t>
        </is>
      </c>
      <c r="BX24" s="74" t="inlineStr">
        <is>
          <t>revisto — mínimo júnior localizado</t>
        </is>
      </c>
      <c r="BY24" s="74" t="inlineStr">
        <is>
          <t>FundosNet/B3; documento 1072746; referência 2025-12-22; p. 91; Suplemento 1, definição “Índice de Subordinação”</t>
        </is>
      </c>
      <c r="BZ24" s="74" t="inlineStr">
        <is>
          <t>Cotas subordinadas / PL, razão mínima de 20,0%; a estrutura não tem mezanino no regulamento lido.</t>
        </is>
      </c>
      <c r="CA24" s="74" t="inlineStr">
        <is>
          <t>originador; cedente; sacado/devedor; tipo de recebível</t>
        </is>
      </c>
      <c r="CB24" s="74" t="inlineStr">
        <is>
          <t>completo_para_folga</t>
        </is>
      </c>
    </row>
    <row r="25" ht="31.5" customHeight="1">
      <c r="A25" s="75" t="n">
        <v>11</v>
      </c>
      <c r="B25" s="142" t="n">
        <v>54218941000125</v>
      </c>
      <c r="C25" s="75" t="inlineStr">
        <is>
          <t>54.218.941/0001-25</t>
        </is>
      </c>
      <c r="D25" s="75" t="inlineStr">
        <is>
          <t>CLOUDWALK BIG PICTURE II FUNDO DE INVESTIMENTO EM DIREITOS CREDITÓRIOS SEGMENTO MEIOS DE PAGAMENTO</t>
        </is>
      </c>
      <c r="E25" s="75" t="inlineStr">
        <is>
          <t>Cloudwalk Bela Pi e Big Picture I–IV</t>
        </is>
      </c>
      <c r="F25" s="75" t="inlineStr">
        <is>
          <t>Flagships</t>
        </is>
      </c>
      <c r="G25" s="75" t="inlineStr">
        <is>
          <t>2026-06</t>
        </is>
      </c>
      <c r="H25" s="75" t="inlineStr">
        <is>
          <t>localizado</t>
        </is>
      </c>
      <c r="I25" s="143" t="n">
        <v>301953274.03</v>
      </c>
      <c r="J25" s="143" t="n">
        <v>301953274.0413766</v>
      </c>
      <c r="K25" s="143" t="n">
        <v>9760713.340036629</v>
      </c>
      <c r="L25" s="144" t="n">
        <v>0.03232524426632603</v>
      </c>
      <c r="M25" s="75" t="inlineStr">
        <is>
          <t>Calculado com classes reportadas e PL oficial reconciliado</t>
        </is>
      </c>
      <c r="N25" s="144" t="n">
        <v>0.03</v>
      </c>
      <c r="O25" s="144" t="inlineStr">
        <is>
          <t>N/D</t>
        </is>
      </c>
      <c r="P25" s="144" t="inlineStr">
        <is>
          <t>N/D</t>
        </is>
      </c>
      <c r="Q25" s="144" t="inlineStr">
        <is>
          <t>N/D</t>
        </is>
      </c>
      <c r="R25" s="144" t="inlineStr">
        <is>
          <t>N/D</t>
        </is>
      </c>
      <c r="S25" s="144" t="n">
        <v>0.03</v>
      </c>
      <c r="T25" s="75" t="inlineStr">
        <is>
          <t>3,0%</t>
        </is>
      </c>
      <c r="U25" s="75" t="inlineStr">
        <is>
          <t>junior_pl</t>
        </is>
      </c>
      <c r="V25" s="75" t="inlineStr">
        <is>
          <t>direto no regulamento</t>
        </is>
      </c>
      <c r="W25" s="75" t="b">
        <v>1</v>
      </c>
      <c r="X25" s="75" t="inlineStr">
        <is>
          <t>Comparável — documento confirma ausência de mezanino</t>
        </is>
      </c>
      <c r="Y25" s="75" t="b">
        <v>0</v>
      </c>
      <c r="Z25" s="144" t="n">
        <v>0.002325244266326028</v>
      </c>
      <c r="AA25" s="144" t="n">
        <v>0.002397159037449513</v>
      </c>
      <c r="AB25" s="75" t="inlineStr">
        <is>
          <t>acima do mínimo</t>
        </is>
      </c>
      <c r="AC25" s="75" t="inlineStr">
        <is>
          <t>N/D</t>
        </is>
      </c>
      <c r="AD25" s="75" t="inlineStr">
        <is>
          <t>N/D</t>
        </is>
      </c>
      <c r="AE25" s="75" t="inlineStr">
        <is>
          <t>Adquirência — banco emissor</t>
        </is>
      </c>
      <c r="AF25" s="75" t="inlineStr">
        <is>
          <t>Adquirência</t>
        </is>
      </c>
      <c r="AG25" s="75" t="inlineStr">
        <is>
          <t>N/D</t>
        </is>
      </c>
      <c r="AH25" s="75" t="inlineStr">
        <is>
          <t>N/D</t>
        </is>
      </c>
      <c r="AI25" s="75" t="inlineStr">
        <is>
          <t>N/D</t>
        </is>
      </c>
      <c r="AJ25" s="75" t="b">
        <v>0</v>
      </c>
      <c r="AK25" s="75" t="inlineStr">
        <is>
          <t>N/D</t>
        </is>
      </c>
      <c r="AL25" s="75" t="inlineStr">
        <is>
          <t>N/D</t>
        </is>
      </c>
      <c r="AM25" s="75" t="inlineStr">
        <is>
          <t>N/D</t>
        </is>
      </c>
      <c r="AN25" s="75" t="inlineStr">
        <is>
          <t>N/D</t>
        </is>
      </c>
      <c r="AO25" s="75" t="inlineStr">
        <is>
          <t>N/D</t>
        </is>
      </c>
      <c r="AP25" s="75" t="inlineStr">
        <is>
          <t>N/D</t>
        </is>
      </c>
      <c r="AQ25" s="75" t="inlineStr">
        <is>
          <t>N/D</t>
        </is>
      </c>
      <c r="AR25" s="75" t="inlineStr">
        <is>
          <t>N/D</t>
        </is>
      </c>
      <c r="AS25" s="75" t="inlineStr">
        <is>
          <t>N/D</t>
        </is>
      </c>
      <c r="AT25" s="75" t="inlineStr">
        <is>
          <t>N/D</t>
        </is>
      </c>
      <c r="AU25" s="75" t="inlineStr">
        <is>
          <t>N/D</t>
        </is>
      </c>
      <c r="AV25" s="75" t="inlineStr">
        <is>
          <t>N/D</t>
        </is>
      </c>
      <c r="AW25" s="75" t="b">
        <v>0</v>
      </c>
      <c r="AX25" s="75" t="inlineStr">
        <is>
          <t>N/D</t>
        </is>
      </c>
      <c r="AY25" s="75" t="inlineStr">
        <is>
          <t>N/D</t>
        </is>
      </c>
      <c r="AZ25" s="144" t="inlineStr">
        <is>
          <t>N/D</t>
        </is>
      </c>
      <c r="BA25" s="75" t="inlineStr">
        <is>
          <t>N/D</t>
        </is>
      </c>
      <c r="BB25" s="145" t="inlineStr">
        <is>
          <t>N/D</t>
        </is>
      </c>
      <c r="BC25" s="143" t="n">
        <v>1000</v>
      </c>
      <c r="BD25" s="75" t="inlineStr">
        <is>
          <t>R$ 1.000,00</t>
        </is>
      </c>
      <c r="BE25" s="75" t="inlineStr">
        <is>
          <t>preço/VNU conforme fonte</t>
        </is>
      </c>
      <c r="BF25" s="75" t="inlineStr">
        <is>
          <t>1ª série sênior</t>
        </is>
      </c>
      <c r="BG25" s="75" t="inlineStr">
        <is>
          <t>15/04/2024</t>
        </is>
      </c>
      <c r="BH25" s="75" t="inlineStr">
        <is>
          <t>620351 | 643242 | 644982</t>
        </is>
      </c>
      <c r="BI25" s="75" t="inlineStr">
        <is>
          <t>620351_emissao_emissao_620351_2024-03-14.pdf · 643242_emissao_emissao_643242_2024-04-22.pdf · 644982_emissao_emissao_644982_2024-04-25.pdf</t>
        </is>
      </c>
      <c r="BJ25" s="75" t="inlineStr">
        <is>
          <t>localizado documentalmente</t>
        </is>
      </c>
      <c r="BK25" s="75" t="b">
        <v>1</v>
      </c>
      <c r="BL25" s="75" t="inlineStr">
        <is>
          <t>N/D</t>
        </is>
      </c>
      <c r="BM25" s="75" t="inlineStr">
        <is>
          <t>N/D</t>
        </is>
      </c>
      <c r="BN25" s="75" t="inlineStr">
        <is>
          <t>N/D</t>
        </is>
      </c>
      <c r="BO25" s="75" t="inlineStr">
        <is>
          <t>N/D</t>
        </is>
      </c>
      <c r="BP25" s="75" t="inlineStr">
        <is>
          <t>N/D</t>
        </is>
      </c>
      <c r="BQ25" s="75" t="inlineStr">
        <is>
          <t>N/D</t>
        </is>
      </c>
      <c r="BR25" s="75" t="inlineStr">
        <is>
          <t>N/D</t>
        </is>
      </c>
      <c r="BS25" s="75" t="inlineStr">
        <is>
          <t>sem_overlay</t>
        </is>
      </c>
      <c r="BT25" s="75" t="inlineStr">
        <is>
          <t>N/D</t>
        </is>
      </c>
      <c r="BU25" s="75" t="inlineStr">
        <is>
          <t>1072783</t>
        </is>
      </c>
      <c r="BV25" s="75" t="inlineStr">
        <is>
          <t>2025-12-22</t>
        </is>
      </c>
      <c r="BW25" s="75" t="inlineStr">
        <is>
          <t>p. 90; Suplemento 1, definição “Índice de Subordinação”</t>
        </is>
      </c>
      <c r="BX25" s="75" t="inlineStr">
        <is>
          <t>revisto — mínimo júnior localizado</t>
        </is>
      </c>
      <c r="BY25" s="75" t="inlineStr">
        <is>
          <t>FundosNet/B3; documento 1072783; referência 2025-12-22; p. 90; Suplemento 1, definição “Índice de Subordinação”</t>
        </is>
      </c>
      <c r="BZ25" s="75" t="inlineStr">
        <is>
          <t>Cotas subordinadas / PL, razão mínima de 3,0%; a estrutura não tem mezanino no regulamento lido.</t>
        </is>
      </c>
      <c r="CA25" s="75" t="inlineStr">
        <is>
          <t>originador; cedente; sacado/devedor; tipo de recebível</t>
        </is>
      </c>
      <c r="CB25" s="75" t="inlineStr">
        <is>
          <t>completo_para_folga</t>
        </is>
      </c>
    </row>
    <row r="26" ht="31.5" customHeight="1">
      <c r="A26" s="74" t="n">
        <v>11</v>
      </c>
      <c r="B26" s="138" t="n">
        <v>54219179000100</v>
      </c>
      <c r="C26" s="74" t="inlineStr">
        <is>
          <t>54.219.179/0001-00</t>
        </is>
      </c>
      <c r="D26" s="74" t="inlineStr">
        <is>
          <t>CLOUDWALK BIG PICTURE III FUNDO DE INVESTIMENTO EM DIREITOS CREDITÓRIOS SEGMENTO MEIOS DE PAGAMENTO</t>
        </is>
      </c>
      <c r="E26" s="74" t="inlineStr">
        <is>
          <t>Cloudwalk Bela Pi e Big Picture I–IV</t>
        </is>
      </c>
      <c r="F26" s="74" t="inlineStr">
        <is>
          <t>Flagships</t>
        </is>
      </c>
      <c r="G26" s="74" t="inlineStr">
        <is>
          <t>2026-06</t>
        </is>
      </c>
      <c r="H26" s="74" t="inlineStr">
        <is>
          <t>localizado</t>
        </is>
      </c>
      <c r="I26" s="139" t="n">
        <v>151890811.96</v>
      </c>
      <c r="J26" s="139" t="n">
        <v>151900811.9605531</v>
      </c>
      <c r="K26" s="139" t="n">
        <v>8801192.709978115</v>
      </c>
      <c r="L26" s="140" t="n">
        <v>0.05794420739745524</v>
      </c>
      <c r="M26" s="74" t="inlineStr">
        <is>
          <t>Calculado com classes reportadas e PL oficial reconciliado</t>
        </is>
      </c>
      <c r="N26" s="140" t="inlineStr">
        <is>
          <t>N/D</t>
        </is>
      </c>
      <c r="O26" s="140" t="inlineStr">
        <is>
          <t>N/D</t>
        </is>
      </c>
      <c r="P26" s="140" t="inlineStr">
        <is>
          <t>N/D</t>
        </is>
      </c>
      <c r="Q26" s="140" t="inlineStr">
        <is>
          <t>N/D</t>
        </is>
      </c>
      <c r="R26" s="140" t="inlineStr">
        <is>
          <t>N/D</t>
        </is>
      </c>
      <c r="S26" s="140" t="inlineStr">
        <is>
          <t>N/D</t>
        </is>
      </c>
      <c r="T26" s="74" t="inlineStr">
        <is>
          <t>N/D</t>
        </is>
      </c>
      <c r="U26" s="74" t="inlineStr">
        <is>
          <t>sem_indice</t>
        </is>
      </c>
      <c r="V26" s="74" t="inlineStr">
        <is>
          <t>N/D</t>
        </is>
      </c>
      <c r="W26" s="74" t="b">
        <v>0</v>
      </c>
      <c r="X26" s="74" t="inlineStr">
        <is>
          <t>N/D — mínimo estrutural ou subordinação atual ausente</t>
        </is>
      </c>
      <c r="Y26" s="74" t="b">
        <v>0</v>
      </c>
      <c r="Z26" s="140" t="inlineStr">
        <is>
          <t>N/D</t>
        </is>
      </c>
      <c r="AA26" s="140" t="inlineStr">
        <is>
          <t>N/D</t>
        </is>
      </c>
      <c r="AB26" s="74" t="inlineStr">
        <is>
          <t>não medido</t>
        </is>
      </c>
      <c r="AC26" s="74" t="inlineStr">
        <is>
          <t>N/D</t>
        </is>
      </c>
      <c r="AD26" s="74" t="inlineStr">
        <is>
          <t>N/D</t>
        </is>
      </c>
      <c r="AE26" s="74" t="inlineStr">
        <is>
          <t>Adquirência — banco emissor</t>
        </is>
      </c>
      <c r="AF26" s="74" t="inlineStr">
        <is>
          <t>Adquirência</t>
        </is>
      </c>
      <c r="AG26" s="74" t="inlineStr">
        <is>
          <t>N/D</t>
        </is>
      </c>
      <c r="AH26" s="74" t="inlineStr">
        <is>
          <t>N/D</t>
        </is>
      </c>
      <c r="AI26" s="74" t="inlineStr">
        <is>
          <t>N/D</t>
        </is>
      </c>
      <c r="AJ26" s="74" t="b">
        <v>0</v>
      </c>
      <c r="AK26" s="74" t="inlineStr">
        <is>
          <t>N/D</t>
        </is>
      </c>
      <c r="AL26" s="74" t="inlineStr">
        <is>
          <t>N/D</t>
        </is>
      </c>
      <c r="AM26" s="74" t="inlineStr">
        <is>
          <t>N/D</t>
        </is>
      </c>
      <c r="AN26" s="74" t="inlineStr">
        <is>
          <t>N/D</t>
        </is>
      </c>
      <c r="AO26" s="74" t="inlineStr">
        <is>
          <t>N/D</t>
        </is>
      </c>
      <c r="AP26" s="74" t="inlineStr">
        <is>
          <t>N/D</t>
        </is>
      </c>
      <c r="AQ26" s="74" t="inlineStr">
        <is>
          <t>N/D</t>
        </is>
      </c>
      <c r="AR26" s="74" t="inlineStr">
        <is>
          <t>N/D</t>
        </is>
      </c>
      <c r="AS26" s="74" t="inlineStr">
        <is>
          <t>N/D</t>
        </is>
      </c>
      <c r="AT26" s="74" t="inlineStr">
        <is>
          <t>N/D</t>
        </is>
      </c>
      <c r="AU26" s="74" t="inlineStr">
        <is>
          <t>N/D</t>
        </is>
      </c>
      <c r="AV26" s="74" t="inlineStr">
        <is>
          <t>N/D</t>
        </is>
      </c>
      <c r="AW26" s="74" t="b">
        <v>0</v>
      </c>
      <c r="AX26" s="74" t="inlineStr">
        <is>
          <t>N/D</t>
        </is>
      </c>
      <c r="AY26" s="74" t="inlineStr">
        <is>
          <t>N/D</t>
        </is>
      </c>
      <c r="AZ26" s="140" t="inlineStr">
        <is>
          <t>N/D</t>
        </is>
      </c>
      <c r="BA26" s="74" t="inlineStr">
        <is>
          <t>N/D</t>
        </is>
      </c>
      <c r="BB26" s="141" t="inlineStr">
        <is>
          <t>N/D</t>
        </is>
      </c>
      <c r="BC26" s="139" t="n">
        <v>1000</v>
      </c>
      <c r="BD26" s="74" t="inlineStr">
        <is>
          <t>R$ 1.000,00</t>
        </is>
      </c>
      <c r="BE26" s="74" t="inlineStr">
        <is>
          <t>preço/VNU conforme fonte</t>
        </is>
      </c>
      <c r="BF26" s="74" t="inlineStr">
        <is>
          <t>1ª série sênior</t>
        </is>
      </c>
      <c r="BG26" s="74" t="inlineStr">
        <is>
          <t>15/04/2024</t>
        </is>
      </c>
      <c r="BH26" s="74" t="inlineStr">
        <is>
          <t>620353 | 643243 | 644983</t>
        </is>
      </c>
      <c r="BI26" s="74" t="inlineStr">
        <is>
          <t>620353_emissao_emissao_620353_2024-03-14.pdf · 643243_emissao_emissao_643243_2024-04-22.pdf · 644983_emissao_emissao_644983_2024-04-25.pdf</t>
        </is>
      </c>
      <c r="BJ26" s="74" t="inlineStr">
        <is>
          <t>localizado documentalmente</t>
        </is>
      </c>
      <c r="BK26" s="74" t="b">
        <v>1</v>
      </c>
      <c r="BL26" s="74" t="inlineStr">
        <is>
          <t>N/D</t>
        </is>
      </c>
      <c r="BM26" s="74" t="inlineStr">
        <is>
          <t>N/D</t>
        </is>
      </c>
      <c r="BN26" s="74" t="inlineStr">
        <is>
          <t>N/D</t>
        </is>
      </c>
      <c r="BO26" s="74" t="inlineStr">
        <is>
          <t>N/D</t>
        </is>
      </c>
      <c r="BP26" s="74" t="inlineStr">
        <is>
          <t>N/D</t>
        </is>
      </c>
      <c r="BQ26" s="74" t="inlineStr">
        <is>
          <t>N/D</t>
        </is>
      </c>
      <c r="BR26" s="74" t="inlineStr">
        <is>
          <t>N/D</t>
        </is>
      </c>
      <c r="BS26" s="74" t="inlineStr">
        <is>
          <t>sem_overlay</t>
        </is>
      </c>
      <c r="BT26" s="74" t="inlineStr">
        <is>
          <t>N/D</t>
        </is>
      </c>
      <c r="BU26" s="74" t="inlineStr">
        <is>
          <t>1072799</t>
        </is>
      </c>
      <c r="BV26" s="74" t="inlineStr">
        <is>
          <t>2025-12-22</t>
        </is>
      </c>
      <c r="BW26" s="74" t="inlineStr">
        <is>
          <t>p. 90; Suplemento 1, definição “Índice de Subordinação”</t>
        </is>
      </c>
      <c r="BX26" s="74" t="inlineStr">
        <is>
          <t>revisto — conflito interno do documento</t>
        </is>
      </c>
      <c r="BY26" s="74" t="inlineStr">
        <is>
          <t>FundosNet/B3; documento 1072799; referência 2025-12-22; p. 90; Suplemento 1, definição “Índice de Subordinação”</t>
        </is>
      </c>
      <c r="BZ26" s="74" t="inlineStr">
        <is>
          <t>N/D</t>
        </is>
      </c>
      <c r="CA26" s="74" t="inlineStr">
        <is>
          <t>mínimo estrutural comparável; originador; cedente; sacado/devedor; tipo de recebível</t>
        </is>
      </c>
      <c r="CB26" s="74" t="inlineStr">
        <is>
          <t>minimo_estrutural_ausente</t>
        </is>
      </c>
    </row>
    <row r="27" ht="31.5" customHeight="1">
      <c r="A27" s="75" t="n">
        <v>12</v>
      </c>
      <c r="B27" s="142" t="n">
        <v>26286939000158</v>
      </c>
      <c r="C27" s="75" t="inlineStr">
        <is>
          <t>26.286.939/0001-58</t>
        </is>
      </c>
      <c r="D27" s="75" t="inlineStr">
        <is>
          <t>CIELO FUNDO DE INVESTIMENTO EM DIREITOS CREDITÓRIOS</t>
        </is>
      </c>
      <c r="E27" s="75" t="inlineStr">
        <is>
          <t>Cielo</t>
        </is>
      </c>
      <c r="F27" s="75" t="inlineStr">
        <is>
          <t>Flagships</t>
        </is>
      </c>
      <c r="G27" s="75" t="inlineStr">
        <is>
          <t>2026-06</t>
        </is>
      </c>
      <c r="H27" s="75" t="inlineStr">
        <is>
          <t>localizado</t>
        </is>
      </c>
      <c r="I27" s="143" t="n">
        <v>6479950762.42</v>
      </c>
      <c r="J27" s="143" t="n">
        <v>6479950569.116418</v>
      </c>
      <c r="K27" s="143" t="n">
        <v>5452833865.316418</v>
      </c>
      <c r="L27" s="144" t="n">
        <v>0.8414931016049888</v>
      </c>
      <c r="M27" s="75" t="inlineStr">
        <is>
          <t>Calculado com classes reportadas e PL oficial reconciliado</t>
        </is>
      </c>
      <c r="N27" s="144" t="inlineStr">
        <is>
          <t>N/D</t>
        </is>
      </c>
      <c r="O27" s="144" t="inlineStr">
        <is>
          <t>N/D</t>
        </is>
      </c>
      <c r="P27" s="144" t="inlineStr">
        <is>
          <t>N/D</t>
        </is>
      </c>
      <c r="Q27" s="144" t="inlineStr">
        <is>
          <t>N/D</t>
        </is>
      </c>
      <c r="R27" s="144" t="inlineStr">
        <is>
          <t>N/D</t>
        </is>
      </c>
      <c r="S27" s="144" t="inlineStr">
        <is>
          <t>N/D</t>
        </is>
      </c>
      <c r="T27" s="75" t="inlineStr">
        <is>
          <t>N/D</t>
        </is>
      </c>
      <c r="U27" s="75" t="inlineStr">
        <is>
          <t>sem_indice</t>
        </is>
      </c>
      <c r="V27" s="75" t="inlineStr">
        <is>
          <t>N/D</t>
        </is>
      </c>
      <c r="W27" s="75" t="b">
        <v>0</v>
      </c>
      <c r="X27" s="75" t="inlineStr">
        <is>
          <t>N/D — mínimo estrutural ou subordinação atual ausente</t>
        </is>
      </c>
      <c r="Y27" s="75" t="b">
        <v>0</v>
      </c>
      <c r="Z27" s="144" t="inlineStr">
        <is>
          <t>N/D</t>
        </is>
      </c>
      <c r="AA27" s="144" t="inlineStr">
        <is>
          <t>N/D</t>
        </is>
      </c>
      <c r="AB27" s="75" t="inlineStr">
        <is>
          <t>não medido</t>
        </is>
      </c>
      <c r="AC27" s="75" t="inlineStr">
        <is>
          <t>N/D</t>
        </is>
      </c>
      <c r="AD27" s="75" t="inlineStr">
        <is>
          <t>N/D</t>
        </is>
      </c>
      <c r="AE27" s="75" t="inlineStr">
        <is>
          <t>Adquirência — banco emissor</t>
        </is>
      </c>
      <c r="AF27" s="75" t="inlineStr">
        <is>
          <t>Adquirência</t>
        </is>
      </c>
      <c r="AG27" s="75" t="inlineStr">
        <is>
          <t>N/D</t>
        </is>
      </c>
      <c r="AH27" s="75" t="inlineStr">
        <is>
          <t>N/D</t>
        </is>
      </c>
      <c r="AI27" s="75" t="inlineStr">
        <is>
          <t>N/D</t>
        </is>
      </c>
      <c r="AJ27" s="75" t="b">
        <v>0</v>
      </c>
      <c r="AK27" s="75" t="inlineStr">
        <is>
          <t>N/D</t>
        </is>
      </c>
      <c r="AL27" s="75" t="inlineStr">
        <is>
          <t>N/D</t>
        </is>
      </c>
      <c r="AM27" s="75" t="inlineStr">
        <is>
          <t>N/D</t>
        </is>
      </c>
      <c r="AN27" s="75" t="inlineStr">
        <is>
          <t>N/D</t>
        </is>
      </c>
      <c r="AO27" s="75" t="inlineStr">
        <is>
          <t>N/D</t>
        </is>
      </c>
      <c r="AP27" s="75" t="inlineStr">
        <is>
          <t>N/D</t>
        </is>
      </c>
      <c r="AQ27" s="75" t="inlineStr">
        <is>
          <t>N/D</t>
        </is>
      </c>
      <c r="AR27" s="75" t="inlineStr">
        <is>
          <t>N/D</t>
        </is>
      </c>
      <c r="AS27" s="75" t="inlineStr">
        <is>
          <t>N/D</t>
        </is>
      </c>
      <c r="AT27" s="75" t="inlineStr">
        <is>
          <t>N/D</t>
        </is>
      </c>
      <c r="AU27" s="75" t="inlineStr">
        <is>
          <t>N/D</t>
        </is>
      </c>
      <c r="AV27" s="75" t="inlineStr">
        <is>
          <t>N/D</t>
        </is>
      </c>
      <c r="AW27" s="75" t="b">
        <v>0</v>
      </c>
      <c r="AX27" s="75" t="inlineStr">
        <is>
          <t>N/D</t>
        </is>
      </c>
      <c r="AY27" s="75" t="inlineStr">
        <is>
          <t>N/D</t>
        </is>
      </c>
      <c r="AZ27" s="144" t="inlineStr">
        <is>
          <t>N/D</t>
        </is>
      </c>
      <c r="BA27" s="75" t="inlineStr">
        <is>
          <t>N/D</t>
        </is>
      </c>
      <c r="BB27" s="145" t="inlineStr">
        <is>
          <t>N/D</t>
        </is>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Cielo</t>
        </is>
      </c>
      <c r="BM27" s="75" t="inlineStr">
        <is>
          <t>originador</t>
        </is>
      </c>
      <c r="BN27" s="75" t="inlineStr">
        <is>
          <t>Cielo</t>
        </is>
      </c>
      <c r="BO27" s="75" t="inlineStr">
        <is>
          <t>N/D</t>
        </is>
      </c>
      <c r="BP27" s="75" t="inlineStr">
        <is>
          <t>N/D</t>
        </is>
      </c>
      <c r="BQ27" s="75" t="inlineStr">
        <is>
          <t>N/D</t>
        </is>
      </c>
      <c r="BR27" s="75" t="inlineStr">
        <is>
          <t>IMG_8698.jpg</t>
        </is>
      </c>
      <c r="BS27" s="75" t="inlineStr">
        <is>
          <t>manual_aplicado</t>
        </is>
      </c>
      <c r="BT27" s="75" t="inlineStr">
        <is>
          <t>A foto classifica Cielo como originador; eventual papel documental distinto prevalece.</t>
        </is>
      </c>
      <c r="BU27" s="75" t="inlineStr">
        <is>
          <t>N/D</t>
        </is>
      </c>
      <c r="BV27" s="75" t="inlineStr">
        <is>
          <t>N/D</t>
        </is>
      </c>
      <c r="BW27" s="75" t="inlineStr">
        <is>
          <t>N/D</t>
        </is>
      </c>
      <c r="BX27" s="75" t="inlineStr">
        <is>
          <t>lacuna — regulamento integral não disponível nas fontes locais</t>
        </is>
      </c>
      <c r="BY27" s="75" t="inlineStr">
        <is>
          <t>N/D</t>
        </is>
      </c>
      <c r="BZ27" s="75" t="inlineStr">
        <is>
          <t>N/D</t>
        </is>
      </c>
      <c r="CA27" s="75" t="inlineStr">
        <is>
          <t>mínimo estrutural comparável; preço unitário da cota; cedente; sacado/devedor; tipo de recebível</t>
        </is>
      </c>
      <c r="CB27" s="75" t="inlineStr">
        <is>
          <t>minimo_estrutural_ausente</t>
        </is>
      </c>
    </row>
    <row r="28" ht="31.5" customHeight="1">
      <c r="A28" s="74" t="n">
        <v>13</v>
      </c>
      <c r="B28" s="138" t="n">
        <v>54979779000168</v>
      </c>
      <c r="C28" s="74" t="inlineStr">
        <is>
          <t>54.979.779/0001-68</t>
        </is>
      </c>
      <c r="D28" s="74" t="inlineStr">
        <is>
          <t>FIDC ACR BEM BANCOS EMISSORES DE CARTÃO DE CRÉDITO - RESPONSABILIDADE LIMITADA</t>
        </is>
      </c>
      <c r="E28" s="74" t="inlineStr">
        <is>
          <t>ACR BEM, ACR I e ACR IV</t>
        </is>
      </c>
      <c r="F28" s="74" t="inlineStr">
        <is>
          <t>Flagships</t>
        </is>
      </c>
      <c r="G28" s="74" t="inlineStr">
        <is>
          <t>2026-06</t>
        </is>
      </c>
      <c r="H28" s="74" t="inlineStr">
        <is>
          <t>localizado</t>
        </is>
      </c>
      <c r="I28" s="139" t="n">
        <v>3677016076.94</v>
      </c>
      <c r="J28" s="139" t="n">
        <v>3677016076.8526</v>
      </c>
      <c r="K28" s="139" t="n">
        <v>110934471.0526</v>
      </c>
      <c r="L28" s="140" t="n">
        <v>0.03016969975962664</v>
      </c>
      <c r="M28" s="74" t="inlineStr">
        <is>
          <t>Calculado com classes reportadas e PL oficial reconciliado</t>
        </is>
      </c>
      <c r="N28" s="140" t="inlineStr">
        <is>
          <t>N/D</t>
        </is>
      </c>
      <c r="O28" s="140" t="inlineStr">
        <is>
          <t>N/D</t>
        </is>
      </c>
      <c r="P28" s="140" t="inlineStr">
        <is>
          <t>N/D</t>
        </is>
      </c>
      <c r="Q28" s="140" t="inlineStr">
        <is>
          <t>N/D</t>
        </is>
      </c>
      <c r="R28" s="140" t="inlineStr">
        <is>
          <t>N/D</t>
        </is>
      </c>
      <c r="S28" s="140" t="inlineStr">
        <is>
          <t>N/D</t>
        </is>
      </c>
      <c r="T28" s="74" t="inlineStr">
        <is>
          <t>N/D</t>
        </is>
      </c>
      <c r="U28" s="74" t="inlineStr">
        <is>
          <t>sem_indice</t>
        </is>
      </c>
      <c r="V28" s="74" t="inlineStr">
        <is>
          <t>N/D</t>
        </is>
      </c>
      <c r="W28" s="74" t="b">
        <v>0</v>
      </c>
      <c r="X28" s="74" t="inlineStr">
        <is>
          <t>N/D — mínimo estrutural ou subordinação atual ausente</t>
        </is>
      </c>
      <c r="Y28" s="74" t="b">
        <v>0</v>
      </c>
      <c r="Z28" s="140" t="inlineStr">
        <is>
          <t>N/D</t>
        </is>
      </c>
      <c r="AA28" s="140" t="inlineStr">
        <is>
          <t>N/D</t>
        </is>
      </c>
      <c r="AB28" s="74" t="inlineStr">
        <is>
          <t>não medido</t>
        </is>
      </c>
      <c r="AC28" s="74" t="inlineStr">
        <is>
          <t>N/D</t>
        </is>
      </c>
      <c r="AD28" s="74" t="inlineStr">
        <is>
          <t>N/D</t>
        </is>
      </c>
      <c r="AE28" s="74" t="inlineStr">
        <is>
          <t>Adquirência — banco emissor</t>
        </is>
      </c>
      <c r="AF28" s="74" t="inlineStr">
        <is>
          <t>Adquirência</t>
        </is>
      </c>
      <c r="AG28" s="74" t="inlineStr">
        <is>
          <t>N/D</t>
        </is>
      </c>
      <c r="AH28" s="74" t="inlineStr">
        <is>
          <t>N/D</t>
        </is>
      </c>
      <c r="AI28" s="74" t="inlineStr">
        <is>
          <t>N/D</t>
        </is>
      </c>
      <c r="AJ28" s="74" t="b">
        <v>0</v>
      </c>
      <c r="AK28" s="74" t="inlineStr">
        <is>
          <t>N/D</t>
        </is>
      </c>
      <c r="AL28" s="74" t="inlineStr">
        <is>
          <t>N/D</t>
        </is>
      </c>
      <c r="AM28" s="74" t="inlineStr">
        <is>
          <t>N/D</t>
        </is>
      </c>
      <c r="AN28" s="74" t="inlineStr">
        <is>
          <t>N/D</t>
        </is>
      </c>
      <c r="AO28" s="74" t="inlineStr">
        <is>
          <t>N/D</t>
        </is>
      </c>
      <c r="AP28" s="74" t="inlineStr">
        <is>
          <t>N/D</t>
        </is>
      </c>
      <c r="AQ28" s="74" t="inlineStr">
        <is>
          <t>N/D</t>
        </is>
      </c>
      <c r="AR28" s="74" t="inlineStr">
        <is>
          <t>N/D</t>
        </is>
      </c>
      <c r="AS28" s="74" t="inlineStr">
        <is>
          <t>N/D</t>
        </is>
      </c>
      <c r="AT28" s="74" t="inlineStr">
        <is>
          <t>N/D</t>
        </is>
      </c>
      <c r="AU28" s="74" t="inlineStr">
        <is>
          <t>N/D</t>
        </is>
      </c>
      <c r="AV28" s="74" t="inlineStr">
        <is>
          <t>N/D</t>
        </is>
      </c>
      <c r="AW28" s="74" t="b">
        <v>0</v>
      </c>
      <c r="AX28" s="74" t="inlineStr">
        <is>
          <t>N/D</t>
        </is>
      </c>
      <c r="AY28" s="74" t="inlineStr">
        <is>
          <t>N/D</t>
        </is>
      </c>
      <c r="AZ28" s="140" t="inlineStr">
        <is>
          <t>N/D</t>
        </is>
      </c>
      <c r="BA28" s="74" t="inlineStr">
        <is>
          <t>N/D</t>
        </is>
      </c>
      <c r="BB28" s="141" t="inlineStr">
        <is>
          <t>N/D</t>
        </is>
      </c>
      <c r="BC28" s="139" t="inlineStr">
        <is>
          <t>N/D</t>
        </is>
      </c>
      <c r="BD28" s="74" t="inlineStr">
        <is>
          <t>N/D</t>
        </is>
      </c>
      <c r="BE28" s="74" t="inlineStr">
        <is>
          <t>N/D</t>
        </is>
      </c>
      <c r="BF28" s="74" t="inlineStr">
        <is>
          <t>N/D</t>
        </is>
      </c>
      <c r="BG28" s="74" t="inlineStr">
        <is>
          <t>N/D</t>
        </is>
      </c>
      <c r="BH28" s="74" t="inlineStr">
        <is>
          <t>N/D</t>
        </is>
      </c>
      <c r="BI28" s="74" t="inlineStr">
        <is>
          <t>N/D</t>
        </is>
      </c>
      <c r="BJ28" s="74" t="inlineStr">
        <is>
          <t>não localizado</t>
        </is>
      </c>
      <c r="BK28" s="74" t="b">
        <v>0</v>
      </c>
      <c r="BL28" s="74" t="inlineStr">
        <is>
          <t>Stone</t>
        </is>
      </c>
      <c r="BM28" s="74" t="inlineStr">
        <is>
          <t>originador</t>
        </is>
      </c>
      <c r="BN28" s="74" t="inlineStr">
        <is>
          <t>Stone</t>
        </is>
      </c>
      <c r="BO28" s="74" t="inlineStr">
        <is>
          <t>N/D</t>
        </is>
      </c>
      <c r="BP28" s="74" t="inlineStr">
        <is>
          <t>N/D</t>
        </is>
      </c>
      <c r="BQ28" s="74" t="inlineStr">
        <is>
          <t>N/D</t>
        </is>
      </c>
      <c r="BR28" s="74" t="inlineStr">
        <is>
          <t>IMG_8698.jpg</t>
        </is>
      </c>
      <c r="BS28" s="74" t="inlineStr">
        <is>
          <t>manual_aplicado</t>
        </is>
      </c>
      <c r="BT28" s="74" t="inlineStr">
        <is>
          <t>Originador transcrito da coluna da foto; complemento manual marcado com asterisco no slide.</t>
        </is>
      </c>
      <c r="BU28" s="74" t="inlineStr">
        <is>
          <t>N/D</t>
        </is>
      </c>
      <c r="BV28" s="74" t="inlineStr">
        <is>
          <t>N/D</t>
        </is>
      </c>
      <c r="BW28" s="74" t="inlineStr">
        <is>
          <t>N/D</t>
        </is>
      </c>
      <c r="BX28" s="74" t="inlineStr">
        <is>
          <t>lacuna — regulamento integral não disponível nas fontes locais</t>
        </is>
      </c>
      <c r="BY28" s="74" t="inlineStr">
        <is>
          <t>N/D</t>
        </is>
      </c>
      <c r="BZ28" s="74" t="inlineStr">
        <is>
          <t>N/D</t>
        </is>
      </c>
      <c r="CA28" s="74" t="inlineStr">
        <is>
          <t>mínimo estrutural comparável; preço unitário da cota; cedente; sacado/devedor; tipo de recebível</t>
        </is>
      </c>
      <c r="CB28" s="74" t="inlineStr">
        <is>
          <t>minimo_estrutural_ausente</t>
        </is>
      </c>
    </row>
    <row r="29" ht="31.5" customHeight="1">
      <c r="A29" s="75" t="n">
        <v>13</v>
      </c>
      <c r="B29" s="142" t="n">
        <v>52256912000122</v>
      </c>
      <c r="C29" s="75" t="inlineStr">
        <is>
          <t>52.256.912/0001-22</t>
        </is>
      </c>
      <c r="D29" s="75" t="inlineStr">
        <is>
          <t>FUNDO DE INVESTIMENTO EM DIREITOS CREDITÓRIOS ACR I BANCOS EMISSORES DE CARTÃO DE CRÉDITO RESP LIMI</t>
        </is>
      </c>
      <c r="E29" s="75" t="inlineStr">
        <is>
          <t>ACR BEM, ACR I e ACR IV</t>
        </is>
      </c>
      <c r="F29" s="75" t="inlineStr">
        <is>
          <t>Flagships</t>
        </is>
      </c>
      <c r="G29" s="75" t="inlineStr">
        <is>
          <t>2026-06</t>
        </is>
      </c>
      <c r="H29" s="75" t="inlineStr">
        <is>
          <t>localizado</t>
        </is>
      </c>
      <c r="I29" s="143" t="n">
        <v>2661592324.9</v>
      </c>
      <c r="J29" s="143" t="n">
        <v>2661592324.904519</v>
      </c>
      <c r="K29" s="143" t="n">
        <v>221001960.9902292</v>
      </c>
      <c r="L29" s="144" t="n">
        <v>0.08303373845900031</v>
      </c>
      <c r="M29" s="75" t="inlineStr">
        <is>
          <t>Calculado com classes reportadas e PL oficial reconciliado</t>
        </is>
      </c>
      <c r="N29" s="144" t="inlineStr">
        <is>
          <t>N/D</t>
        </is>
      </c>
      <c r="O29" s="144" t="inlineStr">
        <is>
          <t>N/D</t>
        </is>
      </c>
      <c r="P29" s="144" t="inlineStr">
        <is>
          <t>N/D</t>
        </is>
      </c>
      <c r="Q29" s="144" t="inlineStr">
        <is>
          <t>N/D</t>
        </is>
      </c>
      <c r="R29" s="144" t="inlineStr">
        <is>
          <t>N/D</t>
        </is>
      </c>
      <c r="S29" s="144" t="inlineStr">
        <is>
          <t>N/D</t>
        </is>
      </c>
      <c r="T29" s="75" t="inlineStr">
        <is>
          <t>N/D</t>
        </is>
      </c>
      <c r="U29" s="75" t="inlineStr">
        <is>
          <t>sem_indice</t>
        </is>
      </c>
      <c r="V29" s="75" t="inlineStr">
        <is>
          <t>N/D</t>
        </is>
      </c>
      <c r="W29" s="75" t="b">
        <v>0</v>
      </c>
      <c r="X29" s="75" t="inlineStr">
        <is>
          <t>N/D — mínimo estrutural ou subordinação atual ausente</t>
        </is>
      </c>
      <c r="Y29" s="75" t="b">
        <v>0</v>
      </c>
      <c r="Z29" s="144" t="inlineStr">
        <is>
          <t>N/D</t>
        </is>
      </c>
      <c r="AA29" s="144" t="inlineStr">
        <is>
          <t>N/D</t>
        </is>
      </c>
      <c r="AB29" s="75" t="inlineStr">
        <is>
          <t>não medido</t>
        </is>
      </c>
      <c r="AC29" s="75" t="inlineStr">
        <is>
          <t>N/D</t>
        </is>
      </c>
      <c r="AD29" s="75" t="inlineStr">
        <is>
          <t>N/D</t>
        </is>
      </c>
      <c r="AE29" s="75" t="inlineStr">
        <is>
          <t>Adquirência — banco emissor</t>
        </is>
      </c>
      <c r="AF29" s="75" t="inlineStr">
        <is>
          <t>Adquirência</t>
        </is>
      </c>
      <c r="AG29" s="75" t="inlineStr">
        <is>
          <t>N/D</t>
        </is>
      </c>
      <c r="AH29" s="75" t="inlineStr">
        <is>
          <t>N/D</t>
        </is>
      </c>
      <c r="AI29" s="75" t="inlineStr">
        <is>
          <t>N/D</t>
        </is>
      </c>
      <c r="AJ29" s="75" t="b">
        <v>0</v>
      </c>
      <c r="AK29" s="75" t="inlineStr">
        <is>
          <t>N/D</t>
        </is>
      </c>
      <c r="AL29" s="75" t="inlineStr">
        <is>
          <t>N/D</t>
        </is>
      </c>
      <c r="AM29" s="75" t="inlineStr">
        <is>
          <t>N/D</t>
        </is>
      </c>
      <c r="AN29" s="75" t="inlineStr">
        <is>
          <t>N/D</t>
        </is>
      </c>
      <c r="AO29" s="75" t="inlineStr">
        <is>
          <t>N/D</t>
        </is>
      </c>
      <c r="AP29" s="75" t="inlineStr">
        <is>
          <t>N/D</t>
        </is>
      </c>
      <c r="AQ29" s="75" t="inlineStr">
        <is>
          <t>N/D</t>
        </is>
      </c>
      <c r="AR29" s="75" t="inlineStr">
        <is>
          <t>N/D</t>
        </is>
      </c>
      <c r="AS29" s="75" t="inlineStr">
        <is>
          <t>N/D</t>
        </is>
      </c>
      <c r="AT29" s="75" t="inlineStr">
        <is>
          <t>N/D</t>
        </is>
      </c>
      <c r="AU29" s="75" t="inlineStr">
        <is>
          <t>N/D</t>
        </is>
      </c>
      <c r="AV29" s="75" t="inlineStr">
        <is>
          <t>N/D</t>
        </is>
      </c>
      <c r="AW29" s="75" t="b">
        <v>0</v>
      </c>
      <c r="AX29" s="75" t="inlineStr">
        <is>
          <t>N/D</t>
        </is>
      </c>
      <c r="AY29" s="75" t="inlineStr">
        <is>
          <t>N/D</t>
        </is>
      </c>
      <c r="AZ29" s="144" t="inlineStr">
        <is>
          <t>N/D</t>
        </is>
      </c>
      <c r="BA29" s="75" t="inlineStr">
        <is>
          <t>N/D</t>
        </is>
      </c>
      <c r="BB29" s="145" t="inlineStr">
        <is>
          <t>N/D</t>
        </is>
      </c>
      <c r="BC29" s="143" t="inlineStr">
        <is>
          <t>N/D</t>
        </is>
      </c>
      <c r="BD29" s="75" t="inlineStr">
        <is>
          <t>N/D</t>
        </is>
      </c>
      <c r="BE29" s="75" t="inlineStr">
        <is>
          <t>N/D</t>
        </is>
      </c>
      <c r="BF29" s="75" t="inlineStr">
        <is>
          <t>N/D</t>
        </is>
      </c>
      <c r="BG29" s="75" t="inlineStr">
        <is>
          <t>N/D</t>
        </is>
      </c>
      <c r="BH29" s="75" t="inlineStr">
        <is>
          <t>N/D</t>
        </is>
      </c>
      <c r="BI29" s="75" t="inlineStr">
        <is>
          <t>N/D</t>
        </is>
      </c>
      <c r="BJ29" s="75" t="inlineStr">
        <is>
          <t>não localizado</t>
        </is>
      </c>
      <c r="BK29" s="75" t="b">
        <v>0</v>
      </c>
      <c r="BL29" s="75" t="inlineStr">
        <is>
          <t>N/D</t>
        </is>
      </c>
      <c r="BM29" s="75" t="inlineStr">
        <is>
          <t>N/D</t>
        </is>
      </c>
      <c r="BN29" s="75" t="inlineStr">
        <is>
          <t>N/D</t>
        </is>
      </c>
      <c r="BO29" s="75" t="inlineStr">
        <is>
          <t>N/D</t>
        </is>
      </c>
      <c r="BP29" s="75" t="inlineStr">
        <is>
          <t>N/D</t>
        </is>
      </c>
      <c r="BQ29" s="75" t="inlineStr">
        <is>
          <t>N/D</t>
        </is>
      </c>
      <c r="BR29" s="75" t="inlineStr">
        <is>
          <t>N/D</t>
        </is>
      </c>
      <c r="BS29" s="75" t="inlineStr">
        <is>
          <t>sem_overlay</t>
        </is>
      </c>
      <c r="BT29" s="75" t="inlineStr">
        <is>
          <t>N/D</t>
        </is>
      </c>
      <c r="BU29" s="75" t="inlineStr">
        <is>
          <t>N/D</t>
        </is>
      </c>
      <c r="BV29" s="75" t="inlineStr">
        <is>
          <t>N/D</t>
        </is>
      </c>
      <c r="BW29" s="75" t="inlineStr">
        <is>
          <t>N/D</t>
        </is>
      </c>
      <c r="BX29" s="75" t="inlineStr">
        <is>
          <t>lacuna — regulamento integral não disponível nas fontes locais</t>
        </is>
      </c>
      <c r="BY29" s="75" t="inlineStr">
        <is>
          <t>N/D</t>
        </is>
      </c>
      <c r="BZ29" s="75" t="inlineStr">
        <is>
          <t>N/D</t>
        </is>
      </c>
      <c r="CA29" s="75" t="inlineStr">
        <is>
          <t>mínimo estrutural comparável; preço unitário da cota; originador; cedente; sacado/devedor; tipo de recebível</t>
        </is>
      </c>
      <c r="CB29" s="75" t="inlineStr">
        <is>
          <t>minimo_estrutural_ausente</t>
        </is>
      </c>
    </row>
    <row r="30" ht="31.5" customHeight="1">
      <c r="A30" s="74" t="n">
        <v>13</v>
      </c>
      <c r="B30" s="138" t="n">
        <v>51983832000106</v>
      </c>
      <c r="C30" s="74" t="inlineStr">
        <is>
          <t>51.983.832/0001-06</t>
        </is>
      </c>
      <c r="D30" s="74" t="inlineStr">
        <is>
          <t>FUNDO DE INVESTIMENTO EM DIREITOS CREDITÓRIOS - ACR IV</t>
        </is>
      </c>
      <c r="E30" s="74" t="inlineStr">
        <is>
          <t>ACR BEM, ACR I e ACR IV</t>
        </is>
      </c>
      <c r="F30" s="74" t="inlineStr">
        <is>
          <t>Flagships</t>
        </is>
      </c>
      <c r="G30" s="74" t="inlineStr">
        <is>
          <t>2026-06</t>
        </is>
      </c>
      <c r="H30" s="74" t="inlineStr">
        <is>
          <t>localizado</t>
        </is>
      </c>
      <c r="I30" s="139" t="n">
        <v>527467198.34</v>
      </c>
      <c r="J30" s="139" t="n">
        <v>527467198.3400203</v>
      </c>
      <c r="K30" s="139" t="n">
        <v>16982962.2100203</v>
      </c>
      <c r="L30" s="140" t="n">
        <v>0.03219719114945467</v>
      </c>
      <c r="M30" s="74" t="inlineStr">
        <is>
          <t>Calculado com classes reportadas e PL oficial reconciliado</t>
        </is>
      </c>
      <c r="N30" s="140" t="inlineStr">
        <is>
          <t>N/D</t>
        </is>
      </c>
      <c r="O30" s="140" t="inlineStr">
        <is>
          <t>N/D</t>
        </is>
      </c>
      <c r="P30" s="140" t="inlineStr">
        <is>
          <t>N/D</t>
        </is>
      </c>
      <c r="Q30" s="140" t="inlineStr">
        <is>
          <t>N/D</t>
        </is>
      </c>
      <c r="R30" s="140" t="inlineStr">
        <is>
          <t>N/D</t>
        </is>
      </c>
      <c r="S30" s="140" t="inlineStr">
        <is>
          <t>N/D</t>
        </is>
      </c>
      <c r="T30" s="74" t="inlineStr">
        <is>
          <t>N/D</t>
        </is>
      </c>
      <c r="U30" s="74" t="inlineStr">
        <is>
          <t>sem_indice</t>
        </is>
      </c>
      <c r="V30" s="74" t="inlineStr">
        <is>
          <t>N/D</t>
        </is>
      </c>
      <c r="W30" s="74" t="b">
        <v>0</v>
      </c>
      <c r="X30" s="74" t="inlineStr">
        <is>
          <t>N/D — mínimo estrutural ou subordinação atual ausente</t>
        </is>
      </c>
      <c r="Y30" s="74" t="b">
        <v>0</v>
      </c>
      <c r="Z30" s="140" t="inlineStr">
        <is>
          <t>N/D</t>
        </is>
      </c>
      <c r="AA30" s="140" t="inlineStr">
        <is>
          <t>N/D</t>
        </is>
      </c>
      <c r="AB30" s="74" t="inlineStr">
        <is>
          <t>não medido</t>
        </is>
      </c>
      <c r="AC30" s="74" t="inlineStr">
        <is>
          <t>N/D</t>
        </is>
      </c>
      <c r="AD30" s="74" t="inlineStr">
        <is>
          <t>N/D</t>
        </is>
      </c>
      <c r="AE30" s="74" t="inlineStr">
        <is>
          <t>Adquirência — banco emissor</t>
        </is>
      </c>
      <c r="AF30" s="74" t="inlineStr">
        <is>
          <t>Adquirência</t>
        </is>
      </c>
      <c r="AG30" s="74" t="inlineStr">
        <is>
          <t>N/D</t>
        </is>
      </c>
      <c r="AH30" s="74" t="inlineStr">
        <is>
          <t>N/D</t>
        </is>
      </c>
      <c r="AI30" s="74" t="inlineStr">
        <is>
          <t>N/D</t>
        </is>
      </c>
      <c r="AJ30" s="74" t="b">
        <v>0</v>
      </c>
      <c r="AK30" s="74" t="inlineStr">
        <is>
          <t>N/D</t>
        </is>
      </c>
      <c r="AL30" s="74" t="inlineStr">
        <is>
          <t>N/D</t>
        </is>
      </c>
      <c r="AM30" s="74" t="inlineStr">
        <is>
          <t>N/D</t>
        </is>
      </c>
      <c r="AN30" s="74" t="inlineStr">
        <is>
          <t>N/D</t>
        </is>
      </c>
      <c r="AO30" s="74" t="inlineStr">
        <is>
          <t>N/D</t>
        </is>
      </c>
      <c r="AP30" s="74" t="inlineStr">
        <is>
          <t>N/D</t>
        </is>
      </c>
      <c r="AQ30" s="74" t="inlineStr">
        <is>
          <t>N/D</t>
        </is>
      </c>
      <c r="AR30" s="74" t="inlineStr">
        <is>
          <t>N/D</t>
        </is>
      </c>
      <c r="AS30" s="74" t="inlineStr">
        <is>
          <t>N/D</t>
        </is>
      </c>
      <c r="AT30" s="74" t="inlineStr">
        <is>
          <t>N/D</t>
        </is>
      </c>
      <c r="AU30" s="74" t="inlineStr">
        <is>
          <t>N/D</t>
        </is>
      </c>
      <c r="AV30" s="74" t="inlineStr">
        <is>
          <t>N/D</t>
        </is>
      </c>
      <c r="AW30" s="74" t="b">
        <v>0</v>
      </c>
      <c r="AX30" s="74" t="inlineStr">
        <is>
          <t>N/D</t>
        </is>
      </c>
      <c r="AY30" s="74" t="inlineStr">
        <is>
          <t>N/D</t>
        </is>
      </c>
      <c r="AZ30" s="140" t="inlineStr">
        <is>
          <t>N/D</t>
        </is>
      </c>
      <c r="BA30" s="74" t="inlineStr">
        <is>
          <t>N/D</t>
        </is>
      </c>
      <c r="BB30" s="141" t="inlineStr">
        <is>
          <t>N/D</t>
        </is>
      </c>
      <c r="BC30" s="139" t="inlineStr">
        <is>
          <t>N/D</t>
        </is>
      </c>
      <c r="BD30" s="74" t="inlineStr">
        <is>
          <t>N/D</t>
        </is>
      </c>
      <c r="BE30" s="74" t="inlineStr">
        <is>
          <t>N/D</t>
        </is>
      </c>
      <c r="BF30" s="74" t="inlineStr">
        <is>
          <t>N/D</t>
        </is>
      </c>
      <c r="BG30" s="74" t="inlineStr">
        <is>
          <t>N/D</t>
        </is>
      </c>
      <c r="BH30" s="74" t="inlineStr">
        <is>
          <t>N/D</t>
        </is>
      </c>
      <c r="BI30" s="74" t="inlineStr">
        <is>
          <t>N/D</t>
        </is>
      </c>
      <c r="BJ30" s="74" t="inlineStr">
        <is>
          <t>não localizado</t>
        </is>
      </c>
      <c r="BK30" s="74" t="b">
        <v>0</v>
      </c>
      <c r="BL30" s="74" t="inlineStr">
        <is>
          <t>N/D</t>
        </is>
      </c>
      <c r="BM30" s="74" t="inlineStr">
        <is>
          <t>N/D</t>
        </is>
      </c>
      <c r="BN30" s="74" t="inlineStr">
        <is>
          <t>N/D</t>
        </is>
      </c>
      <c r="BO30" s="74" t="inlineStr">
        <is>
          <t>N/D</t>
        </is>
      </c>
      <c r="BP30" s="74" t="inlineStr">
        <is>
          <t>N/D</t>
        </is>
      </c>
      <c r="BQ30" s="74" t="inlineStr">
        <is>
          <t>N/D</t>
        </is>
      </c>
      <c r="BR30" s="74" t="inlineStr">
        <is>
          <t>N/D</t>
        </is>
      </c>
      <c r="BS30" s="74" t="inlineStr">
        <is>
          <t>sem_overlay</t>
        </is>
      </c>
      <c r="BT30" s="74" t="inlineStr">
        <is>
          <t>N/D</t>
        </is>
      </c>
      <c r="BU30" s="74" t="inlineStr">
        <is>
          <t>N/D</t>
        </is>
      </c>
      <c r="BV30" s="74" t="inlineStr">
        <is>
          <t>N/D</t>
        </is>
      </c>
      <c r="BW30" s="74" t="inlineStr">
        <is>
          <t>N/D</t>
        </is>
      </c>
      <c r="BX30" s="74" t="inlineStr">
        <is>
          <t>lacuna — regulamento integral não disponível nas fontes locais</t>
        </is>
      </c>
      <c r="BY30" s="74" t="inlineStr">
        <is>
          <t>N/D</t>
        </is>
      </c>
      <c r="BZ30" s="74" t="inlineStr">
        <is>
          <t>N/D</t>
        </is>
      </c>
      <c r="CA30" s="74" t="inlineStr">
        <is>
          <t>mínimo estrutural comparável; preço unitário da cota; originador; cedente; sacado/devedor; tipo de recebível</t>
        </is>
      </c>
      <c r="CB30" s="74" t="inlineStr">
        <is>
          <t>minimo_estrutural_ausente</t>
        </is>
      </c>
    </row>
    <row r="31" ht="31.5" customHeight="1">
      <c r="A31" s="75" t="n">
        <v>14</v>
      </c>
      <c r="B31" s="142" t="n">
        <v>26287464000114</v>
      </c>
      <c r="C31" s="75" t="inlineStr">
        <is>
          <t>26.287.464/0001-14</t>
        </is>
      </c>
      <c r="D31" s="75" t="inlineStr">
        <is>
          <t>TAPSO FUNDO DE INVESTIMENTO EM DIREITOS CREDITÓRIOS RESPONSABILIDADE LIMITADA</t>
        </is>
      </c>
      <c r="E31" s="75" t="inlineStr">
        <is>
          <t>Tapso</t>
        </is>
      </c>
      <c r="F31" s="75" t="inlineStr">
        <is>
          <t>Flagships</t>
        </is>
      </c>
      <c r="G31" s="75" t="inlineStr">
        <is>
          <t>2026-06</t>
        </is>
      </c>
      <c r="H31" s="75" t="inlineStr">
        <is>
          <t>localizado</t>
        </is>
      </c>
      <c r="I31" s="143" t="n">
        <v>41496046291.59</v>
      </c>
      <c r="J31" s="143" t="n">
        <v>41496046291.58866</v>
      </c>
      <c r="K31" s="143" t="n">
        <v>41496046291.58866</v>
      </c>
      <c r="L31" s="144" t="n">
        <v>0.9999999999999678</v>
      </c>
      <c r="M31" s="75" t="inlineStr">
        <is>
          <t>Calculado com classes reportadas e PL oficial reconciliado</t>
        </is>
      </c>
      <c r="N31" s="144" t="inlineStr">
        <is>
          <t>N/D</t>
        </is>
      </c>
      <c r="O31" s="144" t="inlineStr">
        <is>
          <t>N/D</t>
        </is>
      </c>
      <c r="P31" s="144" t="inlineStr">
        <is>
          <t>N/D</t>
        </is>
      </c>
      <c r="Q31" s="144" t="inlineStr">
        <is>
          <t>N/D</t>
        </is>
      </c>
      <c r="R31" s="144" t="inlineStr">
        <is>
          <t>N/D</t>
        </is>
      </c>
      <c r="S31" s="144" t="inlineStr">
        <is>
          <t>N/D</t>
        </is>
      </c>
      <c r="T31" s="75" t="inlineStr">
        <is>
          <t>N/D</t>
        </is>
      </c>
      <c r="U31" s="75" t="inlineStr">
        <is>
          <t>sem_indice</t>
        </is>
      </c>
      <c r="V31" s="75" t="inlineStr">
        <is>
          <t>N/D</t>
        </is>
      </c>
      <c r="W31" s="75" t="b">
        <v>0</v>
      </c>
      <c r="X31" s="75" t="inlineStr">
        <is>
          <t>N/D — mínimo estrutural ou subordinação atual ausente</t>
        </is>
      </c>
      <c r="Y31" s="75" t="b">
        <v>0</v>
      </c>
      <c r="Z31" s="144" t="inlineStr">
        <is>
          <t>N/D</t>
        </is>
      </c>
      <c r="AA31" s="144" t="inlineStr">
        <is>
          <t>N/D</t>
        </is>
      </c>
      <c r="AB31" s="75" t="inlineStr">
        <is>
          <t>não medido</t>
        </is>
      </c>
      <c r="AC31" s="75" t="inlineStr">
        <is>
          <t>N/D</t>
        </is>
      </c>
      <c r="AD31" s="75" t="inlineStr">
        <is>
          <t>N/D</t>
        </is>
      </c>
      <c r="AE31" s="75" t="inlineStr">
        <is>
          <t>Adquirência — risco adquirente</t>
        </is>
      </c>
      <c r="AF31" s="75" t="inlineStr">
        <is>
          <t>Adquirência</t>
        </is>
      </c>
      <c r="AG31" s="75" t="inlineStr">
        <is>
          <t>N/D</t>
        </is>
      </c>
      <c r="AH31" s="75" t="inlineStr">
        <is>
          <t>N/D</t>
        </is>
      </c>
      <c r="AI31" s="75" t="inlineStr">
        <is>
          <t>N/D</t>
        </is>
      </c>
      <c r="AJ31" s="75" t="b">
        <v>0</v>
      </c>
      <c r="AK31" s="75" t="inlineStr">
        <is>
          <t>N/D</t>
        </is>
      </c>
      <c r="AL31" s="75" t="inlineStr">
        <is>
          <t>N/D</t>
        </is>
      </c>
      <c r="AM31" s="75" t="inlineStr">
        <is>
          <t>N/D</t>
        </is>
      </c>
      <c r="AN31" s="75" t="inlineStr">
        <is>
          <t>N/D</t>
        </is>
      </c>
      <c r="AO31" s="75" t="inlineStr">
        <is>
          <t>N/D</t>
        </is>
      </c>
      <c r="AP31" s="75" t="inlineStr">
        <is>
          <t>N/D</t>
        </is>
      </c>
      <c r="AQ31" s="75" t="inlineStr">
        <is>
          <t>N/D</t>
        </is>
      </c>
      <c r="AR31" s="75" t="inlineStr">
        <is>
          <t>N/D</t>
        </is>
      </c>
      <c r="AS31" s="75" t="inlineStr">
        <is>
          <t>N/D</t>
        </is>
      </c>
      <c r="AT31" s="75" t="inlineStr">
        <is>
          <t>N/D</t>
        </is>
      </c>
      <c r="AU31" s="75" t="inlineStr">
        <is>
          <t>N/D</t>
        </is>
      </c>
      <c r="AV31" s="75" t="inlineStr">
        <is>
          <t>N/D</t>
        </is>
      </c>
      <c r="AW31" s="75" t="b">
        <v>0</v>
      </c>
      <c r="AX31" s="75" t="inlineStr">
        <is>
          <t>N/D</t>
        </is>
      </c>
      <c r="AY31" s="75" t="inlineStr">
        <is>
          <t>N/D</t>
        </is>
      </c>
      <c r="AZ31" s="144" t="inlineStr">
        <is>
          <t>N/D</t>
        </is>
      </c>
      <c r="BA31" s="75" t="inlineStr">
        <is>
          <t>N/D</t>
        </is>
      </c>
      <c r="BB31" s="145" t="inlineStr">
        <is>
          <t>N/D</t>
        </is>
      </c>
      <c r="BC31" s="143" t="inlineStr">
        <is>
          <t>N/D</t>
        </is>
      </c>
      <c r="BD31" s="75" t="inlineStr">
        <is>
          <t>N/D</t>
        </is>
      </c>
      <c r="BE31" s="75" t="inlineStr">
        <is>
          <t>N/D</t>
        </is>
      </c>
      <c r="BF31" s="75" t="inlineStr">
        <is>
          <t>N/D</t>
        </is>
      </c>
      <c r="BG31" s="75" t="inlineStr">
        <is>
          <t>N/D</t>
        </is>
      </c>
      <c r="BH31" s="75" t="inlineStr">
        <is>
          <t>N/D</t>
        </is>
      </c>
      <c r="BI31" s="75" t="inlineStr">
        <is>
          <t>N/D</t>
        </is>
      </c>
      <c r="BJ31" s="75" t="inlineStr">
        <is>
          <t>não localizado</t>
        </is>
      </c>
      <c r="BK31" s="75" t="b">
        <v>0</v>
      </c>
      <c r="BL31" s="75" t="inlineStr">
        <is>
          <t>Stone</t>
        </is>
      </c>
      <c r="BM31" s="75" t="inlineStr">
        <is>
          <t>originador</t>
        </is>
      </c>
      <c r="BN31" s="75" t="inlineStr">
        <is>
          <t>Stone</t>
        </is>
      </c>
      <c r="BO31" s="75" t="inlineStr">
        <is>
          <t>N/D</t>
        </is>
      </c>
      <c r="BP31" s="75" t="inlineStr">
        <is>
          <t>N/D</t>
        </is>
      </c>
      <c r="BQ31" s="75" t="inlineStr">
        <is>
          <t>N/D</t>
        </is>
      </c>
      <c r="BR31" s="75" t="inlineStr">
        <is>
          <t>IMG_8698.jpg</t>
        </is>
      </c>
      <c r="BS31" s="75" t="inlineStr">
        <is>
          <t>manual_aplicado</t>
        </is>
      </c>
      <c r="BT31" s="75" t="inlineStr">
        <is>
          <t>Originador transcrito da coluna da foto; complemento manual marcado com asterisco no slide.</t>
        </is>
      </c>
      <c r="BU31" s="75" t="inlineStr">
        <is>
          <t>N/D</t>
        </is>
      </c>
      <c r="BV31" s="75" t="inlineStr">
        <is>
          <t>N/D</t>
        </is>
      </c>
      <c r="BW31" s="75" t="inlineStr">
        <is>
          <t>N/D</t>
        </is>
      </c>
      <c r="BX31" s="75" t="inlineStr">
        <is>
          <t>lacuna — regulamento integral não disponível nas fontes locais</t>
        </is>
      </c>
      <c r="BY31" s="75" t="inlineStr">
        <is>
          <t>N/D</t>
        </is>
      </c>
      <c r="BZ31" s="75" t="inlineStr">
        <is>
          <t>N/D</t>
        </is>
      </c>
      <c r="CA31" s="75" t="inlineStr">
        <is>
          <t>mínimo estrutural comparável; preço unitário da cota; cedente; sacado/devedor; tipo de recebível</t>
        </is>
      </c>
      <c r="CB31" s="75" t="inlineStr">
        <is>
          <t>minimo_estrutural_ausente</t>
        </is>
      </c>
    </row>
    <row r="32" ht="31.5" customHeight="1">
      <c r="A32" s="74" t="n">
        <v>15</v>
      </c>
      <c r="B32" s="138" t="n">
        <v>63572282000111</v>
      </c>
      <c r="C32" s="74" t="inlineStr">
        <is>
          <t>63.572.282/0001-11</t>
        </is>
      </c>
      <c r="D32" s="74" t="inlineStr">
        <is>
          <t>SELLER 3 FUNDO DE INVESTIMENTO EM DIREITOS CREDITÓRIOS SEGMENTO MEIOS DE PAGAMENTO DE RESP LIMITADA</t>
        </is>
      </c>
      <c r="E32" s="74" t="inlineStr">
        <is>
          <t>Seller I, II e III</t>
        </is>
      </c>
      <c r="F32" s="74" t="inlineStr">
        <is>
          <t>Flagships</t>
        </is>
      </c>
      <c r="G32" s="74" t="inlineStr">
        <is>
          <t>2026-06</t>
        </is>
      </c>
      <c r="H32" s="74" t="inlineStr">
        <is>
          <t>localizado</t>
        </is>
      </c>
      <c r="I32" s="139" t="n">
        <v>1876075238.87</v>
      </c>
      <c r="J32" s="139" t="n">
        <v>1876075238.875768</v>
      </c>
      <c r="K32" s="139" t="n">
        <v>291366900.5507678</v>
      </c>
      <c r="L32" s="140" t="n">
        <v>0.1553066180470802</v>
      </c>
      <c r="M32" s="74" t="inlineStr">
        <is>
          <t>Calculado com classes reportadas e PL oficial reconciliado</t>
        </is>
      </c>
      <c r="N32" s="140" t="n">
        <v>0.1</v>
      </c>
      <c r="O32" s="140" t="inlineStr">
        <is>
          <t>N/D</t>
        </is>
      </c>
      <c r="P32" s="140" t="inlineStr">
        <is>
          <t>N/D</t>
        </is>
      </c>
      <c r="Q32" s="140" t="inlineStr">
        <is>
          <t>N/D</t>
        </is>
      </c>
      <c r="R32" s="140" t="inlineStr">
        <is>
          <t>N/D</t>
        </is>
      </c>
      <c r="S32" s="140" t="inlineStr">
        <is>
          <t>N/D</t>
        </is>
      </c>
      <c r="T32" s="74" t="inlineStr">
        <is>
          <t>10,0%</t>
        </is>
      </c>
      <c r="U32" s="74" t="inlineStr">
        <is>
          <t>junior_pl</t>
        </is>
      </c>
      <c r="V32" s="74" t="inlineStr">
        <is>
          <t>direto no regulamento</t>
        </is>
      </c>
      <c r="W32" s="74" t="b">
        <v>0</v>
      </c>
      <c r="X32" s="74" t="inlineStr">
        <is>
          <t>N/D — equivalência entre mínimo júnior e subordinação total não comprovada</t>
        </is>
      </c>
      <c r="Y32" s="74" t="b">
        <v>1</v>
      </c>
      <c r="Z32" s="140" t="inlineStr">
        <is>
          <t>N/D</t>
        </is>
      </c>
      <c r="AA32" s="140" t="inlineStr">
        <is>
          <t>N/D</t>
        </is>
      </c>
      <c r="AB32" s="74" t="inlineStr">
        <is>
          <t>não medido</t>
        </is>
      </c>
      <c r="AC32" s="74" t="inlineStr">
        <is>
          <t>N/D</t>
        </is>
      </c>
      <c r="AD32" s="74" t="inlineStr">
        <is>
          <t>N/D</t>
        </is>
      </c>
      <c r="AE32" s="74" t="inlineStr">
        <is>
          <t>Adquirência — risco adquirente</t>
        </is>
      </c>
      <c r="AF32" s="74" t="inlineStr">
        <is>
          <t>Adquirência</t>
        </is>
      </c>
      <c r="AG32" s="74" t="inlineStr">
        <is>
          <t>N/D</t>
        </is>
      </c>
      <c r="AH32" s="74" t="inlineStr">
        <is>
          <t>N/D</t>
        </is>
      </c>
      <c r="AI32" s="74" t="inlineStr">
        <is>
          <t>N/D</t>
        </is>
      </c>
      <c r="AJ32" s="74" t="b">
        <v>0</v>
      </c>
      <c r="AK32" s="74" t="inlineStr">
        <is>
          <t>N/D</t>
        </is>
      </c>
      <c r="AL32" s="74" t="inlineStr">
        <is>
          <t>N/D</t>
        </is>
      </c>
      <c r="AM32" s="74" t="inlineStr">
        <is>
          <t>N/D</t>
        </is>
      </c>
      <c r="AN32" s="74" t="inlineStr">
        <is>
          <t>N/D</t>
        </is>
      </c>
      <c r="AO32" s="74" t="inlineStr">
        <is>
          <t>N/D</t>
        </is>
      </c>
      <c r="AP32" s="74" t="inlineStr">
        <is>
          <t>N/D</t>
        </is>
      </c>
      <c r="AQ32" s="74" t="inlineStr">
        <is>
          <t>N/D</t>
        </is>
      </c>
      <c r="AR32" s="74" t="inlineStr">
        <is>
          <t>N/D</t>
        </is>
      </c>
      <c r="AS32" s="74" t="inlineStr">
        <is>
          <t>N/D</t>
        </is>
      </c>
      <c r="AT32" s="74" t="inlineStr">
        <is>
          <t>N/D</t>
        </is>
      </c>
      <c r="AU32" s="74" t="inlineStr">
        <is>
          <t>N/D</t>
        </is>
      </c>
      <c r="AV32" s="74" t="inlineStr">
        <is>
          <t>N/D</t>
        </is>
      </c>
      <c r="AW32" s="74" t="b">
        <v>0</v>
      </c>
      <c r="AX32" s="74" t="inlineStr">
        <is>
          <t>N/D</t>
        </is>
      </c>
      <c r="AY32" s="74" t="inlineStr">
        <is>
          <t>N/D</t>
        </is>
      </c>
      <c r="AZ32" s="140" t="inlineStr">
        <is>
          <t>N/D</t>
        </is>
      </c>
      <c r="BA32" s="74" t="inlineStr">
        <is>
          <t>N/D</t>
        </is>
      </c>
      <c r="BB32" s="141" t="inlineStr">
        <is>
          <t>N/D</t>
        </is>
      </c>
      <c r="BC32" s="139" t="n">
        <v>1000</v>
      </c>
      <c r="BD32" s="74" t="inlineStr">
        <is>
          <t>R$ 1.000</t>
        </is>
      </c>
      <c r="BE32" s="74" t="inlineStr">
        <is>
          <t>preço/VNU conforme fonte</t>
        </is>
      </c>
      <c r="BF32" s="74" t="inlineStr">
        <is>
          <t>Sênior 1ª série</t>
        </is>
      </c>
      <c r="BG32" s="74" t="inlineStr">
        <is>
          <t>05/02/2026</t>
        </is>
      </c>
      <c r="BH32" s="74" t="inlineStr">
        <is>
          <t>1089840 | 1089845 | 1101975 | 1104314</t>
        </is>
      </c>
      <c r="BI32" s="74" t="inlineStr">
        <is>
          <t>1089840 pp.1-2; 1089845 pp.151-153; 1101975 p.2; 1104314 pp.1-2</t>
        </is>
      </c>
      <c r="BJ32" s="74" t="inlineStr">
        <is>
          <t>localizado documentalmente</t>
        </is>
      </c>
      <c r="BK32" s="74" t="b">
        <v>1</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1089845</t>
        </is>
      </c>
      <c r="BV32" s="74" t="inlineStr">
        <is>
          <t>2026-01-21</t>
        </is>
      </c>
      <c r="BW32" s="74" t="inlineStr">
        <is>
          <t>p. 99; item 8.8</t>
        </is>
      </c>
      <c r="BX32" s="74" t="inlineStr">
        <is>
          <t>revisto — mínimo júnior localizado</t>
        </is>
      </c>
      <c r="BY32" s="74" t="inlineStr">
        <is>
          <t>FundosNet/B3; documento 1089845; referência 2026-01-21; p. 99; item 8.8</t>
        </is>
      </c>
      <c r="BZ32" s="74" t="inlineStr">
        <is>
          <t>Totalidade das cotas subordinadas júnior / PL, mínimo de 10,0%.</t>
        </is>
      </c>
      <c r="CA32" s="74" t="inlineStr">
        <is>
          <t>mínimo estrutural comparável; originador; cedente; sacado/devedor; tipo de recebível</t>
        </is>
      </c>
      <c r="CB32" s="74" t="inlineStr">
        <is>
          <t>estrutura_incomparavel</t>
        </is>
      </c>
    </row>
    <row r="33" ht="31.5" customHeight="1">
      <c r="A33" s="75" t="n">
        <v>15</v>
      </c>
      <c r="B33" s="142" t="n">
        <v>50473039000102</v>
      </c>
      <c r="C33" s="75" t="inlineStr">
        <is>
          <t>50.473.039/0001-02</t>
        </is>
      </c>
      <c r="D33" s="75" t="inlineStr">
        <is>
          <t>SELLER FIDC SEGMENTO MEIOS DE PAGAMENTO DE RESPONSABILIDADE LIMITADA</t>
        </is>
      </c>
      <c r="E33" s="75" t="inlineStr">
        <is>
          <t>Seller I, II e III</t>
        </is>
      </c>
      <c r="F33" s="75" t="inlineStr">
        <is>
          <t>Flagships</t>
        </is>
      </c>
      <c r="G33" s="75" t="inlineStr">
        <is>
          <t>2026-06</t>
        </is>
      </c>
      <c r="H33" s="75" t="inlineStr">
        <is>
          <t>localizado</t>
        </is>
      </c>
      <c r="I33" s="143" t="n">
        <v>3656448188.16</v>
      </c>
      <c r="J33" s="143" t="n">
        <v>3656448188.156041</v>
      </c>
      <c r="K33" s="143" t="n">
        <v>1877109875.658749</v>
      </c>
      <c r="L33" s="144" t="n">
        <v>0.513369745464204</v>
      </c>
      <c r="M33" s="75" t="inlineStr">
        <is>
          <t>Calculado com classes reportadas e PL oficial reconciliado</t>
        </is>
      </c>
      <c r="N33" s="144" t="n">
        <v>0.1</v>
      </c>
      <c r="O33" s="144" t="inlineStr">
        <is>
          <t>N/D</t>
        </is>
      </c>
      <c r="P33" s="144" t="inlineStr">
        <is>
          <t>N/D</t>
        </is>
      </c>
      <c r="Q33" s="144" t="inlineStr">
        <is>
          <t>N/D</t>
        </is>
      </c>
      <c r="R33" s="144" t="inlineStr">
        <is>
          <t>N/D</t>
        </is>
      </c>
      <c r="S33" s="144" t="inlineStr">
        <is>
          <t>N/D</t>
        </is>
      </c>
      <c r="T33" s="75" t="inlineStr">
        <is>
          <t>10,0%</t>
        </is>
      </c>
      <c r="U33" s="75" t="inlineStr">
        <is>
          <t>junior_pl</t>
        </is>
      </c>
      <c r="V33" s="75" t="inlineStr">
        <is>
          <t>direto no regulamento</t>
        </is>
      </c>
      <c r="W33" s="75" t="b">
        <v>0</v>
      </c>
      <c r="X33" s="75" t="inlineStr">
        <is>
          <t>N/D — equivalência entre mínimo júnior e subordinação total não comprovada</t>
        </is>
      </c>
      <c r="Y33" s="75" t="b">
        <v>1</v>
      </c>
      <c r="Z33" s="144" t="inlineStr">
        <is>
          <t>N/D</t>
        </is>
      </c>
      <c r="AA33" s="144" t="inlineStr">
        <is>
          <t>N/D</t>
        </is>
      </c>
      <c r="AB33" s="75" t="inlineStr">
        <is>
          <t>não medido</t>
        </is>
      </c>
      <c r="AC33" s="75" t="inlineStr">
        <is>
          <t>N/D</t>
        </is>
      </c>
      <c r="AD33" s="75" t="inlineStr">
        <is>
          <t>N/D</t>
        </is>
      </c>
      <c r="AE33" s="75" t="inlineStr">
        <is>
          <t>Adquirência — risco adquirente</t>
        </is>
      </c>
      <c r="AF33" s="75" t="inlineStr">
        <is>
          <t>Adquirência</t>
        </is>
      </c>
      <c r="AG33" s="75" t="inlineStr">
        <is>
          <t>N/D</t>
        </is>
      </c>
      <c r="AH33" s="75" t="inlineStr">
        <is>
          <t>N/D</t>
        </is>
      </c>
      <c r="AI33" s="75" t="inlineStr">
        <is>
          <t>N/D</t>
        </is>
      </c>
      <c r="AJ33" s="75" t="b">
        <v>0</v>
      </c>
      <c r="AK33" s="75" t="inlineStr">
        <is>
          <t>N/D</t>
        </is>
      </c>
      <c r="AL33" s="75" t="inlineStr">
        <is>
          <t>N/D</t>
        </is>
      </c>
      <c r="AM33" s="75" t="inlineStr">
        <is>
          <t>N/D</t>
        </is>
      </c>
      <c r="AN33" s="75" t="inlineStr">
        <is>
          <t>N/D</t>
        </is>
      </c>
      <c r="AO33" s="75" t="inlineStr">
        <is>
          <t>N/D</t>
        </is>
      </c>
      <c r="AP33" s="75" t="inlineStr">
        <is>
          <t>N/D</t>
        </is>
      </c>
      <c r="AQ33" s="75" t="inlineStr">
        <is>
          <t>N/D</t>
        </is>
      </c>
      <c r="AR33" s="75" t="inlineStr">
        <is>
          <t>N/D</t>
        </is>
      </c>
      <c r="AS33" s="75" t="inlineStr">
        <is>
          <t>N/D</t>
        </is>
      </c>
      <c r="AT33" s="75" t="inlineStr">
        <is>
          <t>N/D</t>
        </is>
      </c>
      <c r="AU33" s="75" t="inlineStr">
        <is>
          <t>N/D</t>
        </is>
      </c>
      <c r="AV33" s="75" t="inlineStr">
        <is>
          <t>N/D</t>
        </is>
      </c>
      <c r="AW33" s="75" t="b">
        <v>0</v>
      </c>
      <c r="AX33" s="75" t="inlineStr">
        <is>
          <t>N/D</t>
        </is>
      </c>
      <c r="AY33" s="75" t="inlineStr">
        <is>
          <t>N/D</t>
        </is>
      </c>
      <c r="AZ33" s="144" t="inlineStr">
        <is>
          <t>N/D</t>
        </is>
      </c>
      <c r="BA33" s="75" t="inlineStr">
        <is>
          <t>N/D</t>
        </is>
      </c>
      <c r="BB33" s="145" t="inlineStr">
        <is>
          <t>N/D</t>
        </is>
      </c>
      <c r="BC33" s="143" t="n">
        <v>1000</v>
      </c>
      <c r="BD33" s="75" t="inlineStr">
        <is>
          <t>R$ 1.000</t>
        </is>
      </c>
      <c r="BE33" s="75" t="inlineStr">
        <is>
          <t>preço/VNU conforme fonte</t>
        </is>
      </c>
      <c r="BF33" s="75" t="inlineStr">
        <is>
          <t>Sênior 5ª série</t>
        </is>
      </c>
      <c r="BG33" s="75" t="inlineStr">
        <is>
          <t>29/05/2025</t>
        </is>
      </c>
      <c r="BH33" s="75" t="inlineStr">
        <is>
          <t>909546 | 912093 | 912172 | 932137</t>
        </is>
      </c>
      <c r="BI33" s="75" t="inlineStr">
        <is>
          <t>909546 p.9; 912093 pp.3-5; 912172 p.2; 932137 p.2</t>
        </is>
      </c>
      <c r="BJ33" s="75" t="inlineStr">
        <is>
          <t>localizado documentalmente</t>
        </is>
      </c>
      <c r="BK33" s="75" t="b">
        <v>1</v>
      </c>
      <c r="BL33" s="75" t="inlineStr">
        <is>
          <t>Mercado Pago (originador) | Mercado Livre (cedente)</t>
        </is>
      </c>
      <c r="BM33" s="75" t="inlineStr">
        <is>
          <t>originador | cedente</t>
        </is>
      </c>
      <c r="BN33" s="75" t="inlineStr">
        <is>
          <t>Mercado Pago</t>
        </is>
      </c>
      <c r="BO33" s="75" t="inlineStr">
        <is>
          <t>Mercado Livre</t>
        </is>
      </c>
      <c r="BP33" s="75" t="inlineStr">
        <is>
          <t>N/D</t>
        </is>
      </c>
      <c r="BQ33" s="75" t="inlineStr">
        <is>
          <t>recebíveis com risco Grupo Mercado Livre</t>
        </is>
      </c>
      <c r="BR33" s="75" t="inlineStr">
        <is>
          <t>IMG_8698.jpg + IMG_8706.JPG</t>
        </is>
      </c>
      <c r="BS33" s="75" t="inlineStr">
        <is>
          <t>manual_aplicado</t>
        </is>
      </c>
      <c r="BT33" s="75" t="inlineStr">
        <is>
          <t>Os rótulos manuais são complementares; a entidade documental e o papel legal prevalecem no export.</t>
        </is>
      </c>
      <c r="BU33" s="75" t="inlineStr">
        <is>
          <t>909547</t>
        </is>
      </c>
      <c r="BV33" s="75" t="inlineStr">
        <is>
          <t>2025-05-19</t>
        </is>
      </c>
      <c r="BW33" s="75" t="inlineStr">
        <is>
          <t>p. 99; item 8.8</t>
        </is>
      </c>
      <c r="BX33" s="75" t="inlineStr">
        <is>
          <t>revisto — mínimo júnior localizado</t>
        </is>
      </c>
      <c r="BY33" s="75" t="inlineStr">
        <is>
          <t>FundosNet/B3; documento 909547; referência 2025-05-19; p. 99; item 8.8</t>
        </is>
      </c>
      <c r="BZ33" s="75" t="inlineStr">
        <is>
          <t>Totalidade das cotas subordinadas júnior / PL, mínimo de 10,0%.</t>
        </is>
      </c>
      <c r="CA33" s="75" t="inlineStr">
        <is>
          <t>mínimo estrutural comparável; sacado/devedor</t>
        </is>
      </c>
      <c r="CB33" s="75" t="inlineStr">
        <is>
          <t>estrutura_incomparavel</t>
        </is>
      </c>
    </row>
    <row r="34" ht="31.5" customHeight="1">
      <c r="A34" s="74" t="n">
        <v>15</v>
      </c>
      <c r="B34" s="138" t="n">
        <v>55471753000177</v>
      </c>
      <c r="C34" s="74" t="inlineStr">
        <is>
          <t>55.471.753/0001-77</t>
        </is>
      </c>
      <c r="D34" s="74" t="inlineStr">
        <is>
          <t>SELLER II FUNDO DE INVESTIMENTO EM DIREITOS CREDITÓRIOS SEGMENTO MEIOS DE PAGAMENTO RESP LTDA</t>
        </is>
      </c>
      <c r="E34" s="74" t="inlineStr">
        <is>
          <t>Seller I, II e III</t>
        </is>
      </c>
      <c r="F34" s="74" t="inlineStr">
        <is>
          <t>Flagships</t>
        </is>
      </c>
      <c r="G34" s="74" t="inlineStr">
        <is>
          <t>2026-06</t>
        </is>
      </c>
      <c r="H34" s="74" t="inlineStr">
        <is>
          <t>localizado</t>
        </is>
      </c>
      <c r="I34" s="139" t="n">
        <v>2879663753.83</v>
      </c>
      <c r="J34" s="139" t="n">
        <v>2879663753.828124</v>
      </c>
      <c r="K34" s="139" t="n">
        <v>1873472272.348125</v>
      </c>
      <c r="L34" s="140" t="n">
        <v>0.6505871631215192</v>
      </c>
      <c r="M34" s="74" t="inlineStr">
        <is>
          <t>Calculado com classes reportadas e PL oficial reconciliado</t>
        </is>
      </c>
      <c r="N34" s="140" t="n">
        <v>0.333</v>
      </c>
      <c r="O34" s="140" t="inlineStr">
        <is>
          <t>N/D</t>
        </is>
      </c>
      <c r="P34" s="140" t="inlineStr">
        <is>
          <t>N/D</t>
        </is>
      </c>
      <c r="Q34" s="140" t="inlineStr">
        <is>
          <t>N/D</t>
        </is>
      </c>
      <c r="R34" s="140" t="inlineStr">
        <is>
          <t>N/D</t>
        </is>
      </c>
      <c r="S34" s="140" t="inlineStr">
        <is>
          <t>N/D</t>
        </is>
      </c>
      <c r="T34" s="74" t="inlineStr">
        <is>
          <t>33,3%</t>
        </is>
      </c>
      <c r="U34" s="74" t="inlineStr">
        <is>
          <t>junior_pl</t>
        </is>
      </c>
      <c r="V34" s="74" t="inlineStr">
        <is>
          <t>direto no regulamento</t>
        </is>
      </c>
      <c r="W34" s="74" t="b">
        <v>0</v>
      </c>
      <c r="X34" s="74" t="inlineStr">
        <is>
          <t>N/D — equivalência entre mínimo júnior e subordinação total não comprovada</t>
        </is>
      </c>
      <c r="Y34" s="74" t="b">
        <v>1</v>
      </c>
      <c r="Z34" s="140" t="inlineStr">
        <is>
          <t>N/D</t>
        </is>
      </c>
      <c r="AA34" s="140" t="inlineStr">
        <is>
          <t>N/D</t>
        </is>
      </c>
      <c r="AB34" s="74" t="inlineStr">
        <is>
          <t>não medido</t>
        </is>
      </c>
      <c r="AC34" s="74" t="inlineStr">
        <is>
          <t>N/D</t>
        </is>
      </c>
      <c r="AD34" s="74" t="inlineStr">
        <is>
          <t>N/D</t>
        </is>
      </c>
      <c r="AE34" s="74" t="inlineStr">
        <is>
          <t>Adquirência — risco adquirente</t>
        </is>
      </c>
      <c r="AF34" s="74" t="inlineStr">
        <is>
          <t>Adquirência</t>
        </is>
      </c>
      <c r="AG34" s="74" t="inlineStr">
        <is>
          <t>N/D</t>
        </is>
      </c>
      <c r="AH34" s="74" t="inlineStr">
        <is>
          <t>N/D</t>
        </is>
      </c>
      <c r="AI34" s="74" t="inlineStr">
        <is>
          <t>N/D</t>
        </is>
      </c>
      <c r="AJ34" s="74" t="b">
        <v>0</v>
      </c>
      <c r="AK34" s="74" t="inlineStr">
        <is>
          <t>N/D</t>
        </is>
      </c>
      <c r="AL34" s="74" t="inlineStr">
        <is>
          <t>N/D</t>
        </is>
      </c>
      <c r="AM34" s="74" t="inlineStr">
        <is>
          <t>N/D</t>
        </is>
      </c>
      <c r="AN34" s="74" t="inlineStr">
        <is>
          <t>N/D</t>
        </is>
      </c>
      <c r="AO34" s="74" t="inlineStr">
        <is>
          <t>N/D</t>
        </is>
      </c>
      <c r="AP34" s="74" t="inlineStr">
        <is>
          <t>N/D</t>
        </is>
      </c>
      <c r="AQ34" s="74" t="inlineStr">
        <is>
          <t>N/D</t>
        </is>
      </c>
      <c r="AR34" s="74" t="inlineStr">
        <is>
          <t>N/D</t>
        </is>
      </c>
      <c r="AS34" s="74" t="inlineStr">
        <is>
          <t>N/D</t>
        </is>
      </c>
      <c r="AT34" s="74" t="inlineStr">
        <is>
          <t>N/D</t>
        </is>
      </c>
      <c r="AU34" s="74" t="inlineStr">
        <is>
          <t>N/D</t>
        </is>
      </c>
      <c r="AV34" s="74" t="inlineStr">
        <is>
          <t>N/D</t>
        </is>
      </c>
      <c r="AW34" s="74" t="b">
        <v>0</v>
      </c>
      <c r="AX34" s="74" t="inlineStr">
        <is>
          <t>N/D</t>
        </is>
      </c>
      <c r="AY34" s="74" t="inlineStr">
        <is>
          <t>N/D</t>
        </is>
      </c>
      <c r="AZ34" s="140" t="inlineStr">
        <is>
          <t>N/D</t>
        </is>
      </c>
      <c r="BA34" s="74" t="inlineStr">
        <is>
          <t>N/D</t>
        </is>
      </c>
      <c r="BB34" s="141" t="inlineStr">
        <is>
          <t>N/D</t>
        </is>
      </c>
      <c r="BC34" s="139" t="n">
        <v>1000</v>
      </c>
      <c r="BD34" s="74" t="inlineStr">
        <is>
          <t>R$ 1.000</t>
        </is>
      </c>
      <c r="BE34" s="74" t="inlineStr">
        <is>
          <t>preço/VNU conforme fonte</t>
        </is>
      </c>
      <c r="BF34" s="74" t="inlineStr">
        <is>
          <t>Sênior 1ª série</t>
        </is>
      </c>
      <c r="BG34" s="74" t="inlineStr">
        <is>
          <t>—</t>
        </is>
      </c>
      <c r="BH34" s="74" t="inlineStr">
        <is>
          <t>705139 | 705145 | 706203 | 714216</t>
        </is>
      </c>
      <c r="BI34" s="74" t="inlineStr">
        <is>
          <t>705139 pp.3-5; 705145; 706203; 714216 pp.1-2</t>
        </is>
      </c>
      <c r="BJ34" s="74" t="inlineStr">
        <is>
          <t>localizado documentalmente</t>
        </is>
      </c>
      <c r="BK34" s="74" t="b">
        <v>1</v>
      </c>
      <c r="BL34" s="74" t="inlineStr">
        <is>
          <t>N/D</t>
        </is>
      </c>
      <c r="BM34" s="74" t="inlineStr">
        <is>
          <t>N/D</t>
        </is>
      </c>
      <c r="BN34" s="74" t="inlineStr">
        <is>
          <t>N/D</t>
        </is>
      </c>
      <c r="BO34" s="74" t="inlineStr">
        <is>
          <t>N/D</t>
        </is>
      </c>
      <c r="BP34" s="74" t="inlineStr">
        <is>
          <t>N/D</t>
        </is>
      </c>
      <c r="BQ34" s="74" t="inlineStr">
        <is>
          <t>N/D</t>
        </is>
      </c>
      <c r="BR34" s="74" t="inlineStr">
        <is>
          <t>N/D</t>
        </is>
      </c>
      <c r="BS34" s="74" t="inlineStr">
        <is>
          <t>sem_overlay</t>
        </is>
      </c>
      <c r="BT34" s="74" t="inlineStr">
        <is>
          <t>N/D</t>
        </is>
      </c>
      <c r="BU34" s="74" t="inlineStr">
        <is>
          <t>704724</t>
        </is>
      </c>
      <c r="BV34" s="74" t="inlineStr">
        <is>
          <t>2024-07-25</t>
        </is>
      </c>
      <c r="BW34" s="74" t="inlineStr">
        <is>
          <t>p. 106–107</t>
        </is>
      </c>
      <c r="BX34" s="74" t="inlineStr">
        <is>
          <t>revisto — mínimo júnior localizado</t>
        </is>
      </c>
      <c r="BY34" s="74" t="inlineStr">
        <is>
          <t>FundosNet/B3; documento 704724; referência 2024-07-25; p. 106–107</t>
        </is>
      </c>
      <c r="BZ34" s="74" t="inlineStr">
        <is>
          <t>Cotas subordinadas júnior / PL, mínimo de 33,3%.</t>
        </is>
      </c>
      <c r="CA34" s="74" t="inlineStr">
        <is>
          <t>mínimo estrutural comparável; originador; cedente; sacado/devedor; tipo de recebível</t>
        </is>
      </c>
      <c r="CB34" s="74" t="inlineStr">
        <is>
          <t>estrutura_incomparavel</t>
        </is>
      </c>
    </row>
    <row r="35" ht="31.5" customHeight="1">
      <c r="A35" s="75" t="n">
        <v>16</v>
      </c>
      <c r="B35" s="142" t="n">
        <v>28169275000172</v>
      </c>
      <c r="C35" s="75" t="inlineStr">
        <is>
          <t>28.169.275/0001-72</t>
        </is>
      </c>
      <c r="D35" s="75" t="inlineStr">
        <is>
          <t>FUNDO DE INVESTIMENTO EM DIREITOS CREDITÓRIOS PAGSEGURO I</t>
        </is>
      </c>
      <c r="E35" s="75" t="inlineStr">
        <is>
          <t>PagSeguro I</t>
        </is>
      </c>
      <c r="F35" s="75" t="inlineStr">
        <is>
          <t>Flagships</t>
        </is>
      </c>
      <c r="G35" s="75" t="inlineStr">
        <is>
          <t>2026-06</t>
        </is>
      </c>
      <c r="H35" s="75" t="inlineStr">
        <is>
          <t>localizado</t>
        </is>
      </c>
      <c r="I35" s="143" t="n">
        <v>6234652185.61</v>
      </c>
      <c r="J35" s="143" t="n">
        <v>6233925629.525884</v>
      </c>
      <c r="K35" s="143" t="n">
        <v>3942647146.695884</v>
      </c>
      <c r="L35" s="144" t="n">
        <v>0.6323764388646702</v>
      </c>
      <c r="M35" s="75" t="inlineStr">
        <is>
          <t>Calculado com classes reportadas e PL oficial reconciliado</t>
        </is>
      </c>
      <c r="N35" s="144" t="inlineStr">
        <is>
          <t>N/D</t>
        </is>
      </c>
      <c r="O35" s="144" t="inlineStr">
        <is>
          <t>N/D</t>
        </is>
      </c>
      <c r="P35" s="144" t="inlineStr">
        <is>
          <t>N/D</t>
        </is>
      </c>
      <c r="Q35" s="144" t="inlineStr">
        <is>
          <t>N/D</t>
        </is>
      </c>
      <c r="R35" s="144" t="inlineStr">
        <is>
          <t>N/D</t>
        </is>
      </c>
      <c r="S35" s="144" t="inlineStr">
        <is>
          <t>N/D</t>
        </is>
      </c>
      <c r="T35" s="75" t="inlineStr">
        <is>
          <t>N/D</t>
        </is>
      </c>
      <c r="U35" s="75" t="inlineStr">
        <is>
          <t>sem_indice</t>
        </is>
      </c>
      <c r="V35" s="75" t="inlineStr">
        <is>
          <t>N/D</t>
        </is>
      </c>
      <c r="W35" s="75" t="b">
        <v>0</v>
      </c>
      <c r="X35" s="75" t="inlineStr">
        <is>
          <t>N/D — mínimo estrutural ou subordinação atual ausente</t>
        </is>
      </c>
      <c r="Y35" s="75" t="b">
        <v>0</v>
      </c>
      <c r="Z35" s="144" t="inlineStr">
        <is>
          <t>N/D</t>
        </is>
      </c>
      <c r="AA35" s="144" t="inlineStr">
        <is>
          <t>N/D</t>
        </is>
      </c>
      <c r="AB35" s="75" t="inlineStr">
        <is>
          <t>não medido</t>
        </is>
      </c>
      <c r="AC35" s="75" t="inlineStr">
        <is>
          <t>N/D</t>
        </is>
      </c>
      <c r="AD35" s="75" t="inlineStr">
        <is>
          <t>N/D</t>
        </is>
      </c>
      <c r="AE35" s="75" t="inlineStr">
        <is>
          <t>Adquirência — risco adquirente</t>
        </is>
      </c>
      <c r="AF35" s="75" t="inlineStr">
        <is>
          <t>Adquirência</t>
        </is>
      </c>
      <c r="AG35" s="75" t="inlineStr">
        <is>
          <t>N/D</t>
        </is>
      </c>
      <c r="AH35" s="75" t="inlineStr">
        <is>
          <t>N/D</t>
        </is>
      </c>
      <c r="AI35" s="75" t="inlineStr">
        <is>
          <t>N/D</t>
        </is>
      </c>
      <c r="AJ35" s="75" t="b">
        <v>0</v>
      </c>
      <c r="AK35" s="75" t="inlineStr">
        <is>
          <t>N/D</t>
        </is>
      </c>
      <c r="AL35" s="75" t="inlineStr">
        <is>
          <t>N/D</t>
        </is>
      </c>
      <c r="AM35" s="75" t="inlineStr">
        <is>
          <t>N/D</t>
        </is>
      </c>
      <c r="AN35" s="75" t="inlineStr">
        <is>
          <t>N/D</t>
        </is>
      </c>
      <c r="AO35" s="75" t="inlineStr">
        <is>
          <t>N/D</t>
        </is>
      </c>
      <c r="AP35" s="75" t="inlineStr">
        <is>
          <t>N/D</t>
        </is>
      </c>
      <c r="AQ35" s="75" t="inlineStr">
        <is>
          <t>N/D</t>
        </is>
      </c>
      <c r="AR35" s="75" t="inlineStr">
        <is>
          <t>N/D</t>
        </is>
      </c>
      <c r="AS35" s="75" t="inlineStr">
        <is>
          <t>N/D</t>
        </is>
      </c>
      <c r="AT35" s="75" t="inlineStr">
        <is>
          <t>N/D</t>
        </is>
      </c>
      <c r="AU35" s="75" t="inlineStr">
        <is>
          <t>N/D</t>
        </is>
      </c>
      <c r="AV35" s="75" t="inlineStr">
        <is>
          <t>N/D</t>
        </is>
      </c>
      <c r="AW35" s="75" t="b">
        <v>0</v>
      </c>
      <c r="AX35" s="75" t="inlineStr">
        <is>
          <t>N/D</t>
        </is>
      </c>
      <c r="AY35" s="75" t="inlineStr">
        <is>
          <t>N/D</t>
        </is>
      </c>
      <c r="AZ35" s="144" t="inlineStr">
        <is>
          <t>N/D</t>
        </is>
      </c>
      <c r="BA35" s="75" t="inlineStr">
        <is>
          <t>N/D</t>
        </is>
      </c>
      <c r="BB35" s="145" t="inlineStr">
        <is>
          <t>N/D</t>
        </is>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PagBank (originador) | PagSeguro (cedente)</t>
        </is>
      </c>
      <c r="BM35" s="75" t="inlineStr">
        <is>
          <t>originador | cedente</t>
        </is>
      </c>
      <c r="BN35" s="75" t="inlineStr">
        <is>
          <t>PagBank</t>
        </is>
      </c>
      <c r="BO35" s="75" t="inlineStr">
        <is>
          <t>PagSeguro</t>
        </is>
      </c>
      <c r="BP35" s="75" t="inlineStr">
        <is>
          <t>N/D</t>
        </is>
      </c>
      <c r="BQ35" s="75" t="inlineStr">
        <is>
          <t>recebíveis dos ECs</t>
        </is>
      </c>
      <c r="BR35" s="75" t="inlineStr">
        <is>
          <t>IMG_8698.jpg + IMG_8705.JPG</t>
        </is>
      </c>
      <c r="BS35" s="75" t="inlineStr">
        <is>
          <t>manual_aplicado</t>
        </is>
      </c>
      <c r="BT35" s="75" t="inlineStr">
        <is>
          <t>IMG_8698 identifica PagBank como originador; IMG_8705 identifica PagSeguro como cedente e recebíveis dos ECs.</t>
        </is>
      </c>
      <c r="BU35" s="75" t="inlineStr">
        <is>
          <t>1149521</t>
        </is>
      </c>
      <c r="BV35" s="75" t="inlineStr">
        <is>
          <t>2026-03-25</t>
        </is>
      </c>
      <c r="BW35" s="75" t="inlineStr">
        <is>
          <t>cláusulas de subordinação e definições revisadas</t>
        </is>
      </c>
      <c r="BX35" s="75" t="inlineStr">
        <is>
          <t>revisto — mínimo júnior não isolado</t>
        </is>
      </c>
      <c r="BY35" s="75" t="inlineStr">
        <is>
          <t>FundosNet/B3; documento 1149521; referência 2026-03-25; cláusulas candidatas revisadas</t>
        </is>
      </c>
      <c r="BZ35" s="75" t="inlineStr">
        <is>
          <t>N/D</t>
        </is>
      </c>
      <c r="CA35" s="75" t="inlineStr">
        <is>
          <t>mínimo estrutural comparável; preço unitário da cota; sacado/devedor</t>
        </is>
      </c>
      <c r="CB35" s="75" t="inlineStr">
        <is>
          <t>minimo_estrutural_ausente</t>
        </is>
      </c>
    </row>
    <row r="36" ht="31.5" customHeight="1">
      <c r="A36" s="74" t="n">
        <v>17</v>
      </c>
      <c r="B36" s="138" t="n">
        <v>66929956000180</v>
      </c>
      <c r="C36" s="74" t="inlineStr">
        <is>
          <t>66.929.956/0001-80</t>
        </is>
      </c>
      <c r="D36" s="74" t="inlineStr">
        <is>
          <t>BV AUTO III SEGMENTO FINANCEIRO FIDC RESPONSABILIDADE LIMITADA</t>
        </is>
      </c>
      <c r="E36" s="74" t="inlineStr">
        <is>
          <t>BV Auto I, II e III</t>
        </is>
      </c>
      <c r="F36" s="74" t="inlineStr">
        <is>
          <t>Flagships</t>
        </is>
      </c>
      <c r="G36" s="74" t="inlineStr">
        <is>
          <t>2026-06</t>
        </is>
      </c>
      <c r="H36" s="74" t="inlineStr">
        <is>
          <t>localizado</t>
        </is>
      </c>
      <c r="I36" s="139" t="n">
        <v>1461910524.62</v>
      </c>
      <c r="J36" s="139" t="n">
        <v>1461731133.557297</v>
      </c>
      <c r="K36" s="139" t="n">
        <v>219348408.3044361</v>
      </c>
      <c r="L36" s="140" t="n">
        <v>0.1500422937042964</v>
      </c>
      <c r="M36" s="74" t="inlineStr">
        <is>
          <t>Calculado com classes reportadas e PL oficial reconciliado</t>
        </is>
      </c>
      <c r="N36" s="140" t="inlineStr">
        <is>
          <t>N/D</t>
        </is>
      </c>
      <c r="O36" s="140" t="inlineStr">
        <is>
          <t>N/D</t>
        </is>
      </c>
      <c r="P36" s="140" t="inlineStr">
        <is>
          <t>N/D</t>
        </is>
      </c>
      <c r="Q36" s="140" t="inlineStr">
        <is>
          <t>N/D</t>
        </is>
      </c>
      <c r="R36" s="140" t="inlineStr">
        <is>
          <t>N/D</t>
        </is>
      </c>
      <c r="S36" s="140" t="inlineStr">
        <is>
          <t>N/D</t>
        </is>
      </c>
      <c r="T36" s="74" t="inlineStr">
        <is>
          <t>N/D</t>
        </is>
      </c>
      <c r="U36" s="74" t="inlineStr">
        <is>
          <t>sem_indice</t>
        </is>
      </c>
      <c r="V36" s="74" t="inlineStr">
        <is>
          <t>N/D</t>
        </is>
      </c>
      <c r="W36" s="74" t="b">
        <v>0</v>
      </c>
      <c r="X36" s="74" t="inlineStr">
        <is>
          <t>N/D — mínimo estrutural ou subordinação atual ausente</t>
        </is>
      </c>
      <c r="Y36" s="74" t="b">
        <v>0</v>
      </c>
      <c r="Z36" s="140" t="inlineStr">
        <is>
          <t>N/D</t>
        </is>
      </c>
      <c r="AA36" s="140" t="inlineStr">
        <is>
          <t>N/D</t>
        </is>
      </c>
      <c r="AB36" s="74" t="inlineStr">
        <is>
          <t>não medido</t>
        </is>
      </c>
      <c r="AC36" s="74" t="inlineStr">
        <is>
          <t>N/D</t>
        </is>
      </c>
      <c r="AD36" s="74" t="inlineStr">
        <is>
          <t>N/D</t>
        </is>
      </c>
      <c r="AE36" s="74" t="inlineStr">
        <is>
          <t>Veículos</t>
        </is>
      </c>
      <c r="AF36" s="74" t="inlineStr">
        <is>
          <t>Veículos</t>
        </is>
      </c>
      <c r="AG36" s="74" t="inlineStr">
        <is>
          <t>N/D</t>
        </is>
      </c>
      <c r="AH36" s="74" t="inlineStr">
        <is>
          <t>N/D</t>
        </is>
      </c>
      <c r="AI36" s="74" t="inlineStr">
        <is>
          <t>N/D</t>
        </is>
      </c>
      <c r="AJ36" s="74" t="b">
        <v>0</v>
      </c>
      <c r="AK36" s="74" t="inlineStr">
        <is>
          <t>N/D</t>
        </is>
      </c>
      <c r="AL36" s="74" t="inlineStr">
        <is>
          <t>N/D</t>
        </is>
      </c>
      <c r="AM36" s="74" t="inlineStr">
        <is>
          <t>N/D</t>
        </is>
      </c>
      <c r="AN36" s="74" t="inlineStr">
        <is>
          <t>N/D</t>
        </is>
      </c>
      <c r="AO36" s="74" t="inlineStr">
        <is>
          <t>N/D</t>
        </is>
      </c>
      <c r="AP36" s="74" t="inlineStr">
        <is>
          <t>N/D</t>
        </is>
      </c>
      <c r="AQ36" s="74" t="inlineStr">
        <is>
          <t>N/D</t>
        </is>
      </c>
      <c r="AR36" s="74" t="inlineStr">
        <is>
          <t>N/D</t>
        </is>
      </c>
      <c r="AS36" s="74" t="inlineStr">
        <is>
          <t>N/D</t>
        </is>
      </c>
      <c r="AT36" s="74" t="inlineStr">
        <is>
          <t>N/D</t>
        </is>
      </c>
      <c r="AU36" s="74" t="inlineStr">
        <is>
          <t>N/D</t>
        </is>
      </c>
      <c r="AV36" s="74" t="inlineStr">
        <is>
          <t>N/D</t>
        </is>
      </c>
      <c r="AW36" s="74" t="b">
        <v>0</v>
      </c>
      <c r="AX36" s="74" t="inlineStr">
        <is>
          <t>N/D</t>
        </is>
      </c>
      <c r="AY36" s="74" t="inlineStr">
        <is>
          <t>N/D</t>
        </is>
      </c>
      <c r="AZ36" s="140" t="inlineStr">
        <is>
          <t>N/D</t>
        </is>
      </c>
      <c r="BA36" s="74" t="inlineStr">
        <is>
          <t>N/D</t>
        </is>
      </c>
      <c r="BB36" s="141" t="inlineStr">
        <is>
          <t>N/D</t>
        </is>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N/D</t>
        </is>
      </c>
      <c r="BM36" s="74" t="inlineStr">
        <is>
          <t>N/D</t>
        </is>
      </c>
      <c r="BN36" s="74" t="inlineStr">
        <is>
          <t>N/D</t>
        </is>
      </c>
      <c r="BO36" s="74" t="inlineStr">
        <is>
          <t>N/D</t>
        </is>
      </c>
      <c r="BP36" s="74" t="inlineStr">
        <is>
          <t>N/D</t>
        </is>
      </c>
      <c r="BQ36" s="74" t="inlineStr">
        <is>
          <t>N/D</t>
        </is>
      </c>
      <c r="BR36" s="74" t="inlineStr">
        <is>
          <t>N/D</t>
        </is>
      </c>
      <c r="BS36" s="74" t="inlineStr">
        <is>
          <t>sem_overlay</t>
        </is>
      </c>
      <c r="BT36" s="74" t="inlineStr">
        <is>
          <t>N/D</t>
        </is>
      </c>
      <c r="BU36" s="74" t="inlineStr">
        <is>
          <t>N/D</t>
        </is>
      </c>
      <c r="BV36" s="74" t="inlineStr">
        <is>
          <t>N/D</t>
        </is>
      </c>
      <c r="BW36" s="74" t="inlineStr">
        <is>
          <t>N/D</t>
        </is>
      </c>
      <c r="BX36" s="74" t="inlineStr">
        <is>
          <t>lacuna — regulamento integral não disponível nas fontes locais</t>
        </is>
      </c>
      <c r="BY36" s="74" t="inlineStr">
        <is>
          <t>N/D</t>
        </is>
      </c>
      <c r="BZ36" s="74" t="inlineStr">
        <is>
          <t>N/D</t>
        </is>
      </c>
      <c r="CA36" s="74" t="inlineStr">
        <is>
          <t>mínimo estrutural comparável; preço unitário da cota; originador; cedente; sacado/devedor; tipo de recebível</t>
        </is>
      </c>
      <c r="CB36" s="74" t="inlineStr">
        <is>
          <t>minimo_estrutural_ausente</t>
        </is>
      </c>
    </row>
    <row r="37" ht="31.5" customHeight="1">
      <c r="A37" s="75" t="n">
        <v>17</v>
      </c>
      <c r="B37" s="142" t="n">
        <v>57532556000146</v>
      </c>
      <c r="C37" s="75" t="inlineStr">
        <is>
          <t>57.532.556/0001-46</t>
        </is>
      </c>
      <c r="D37" s="75" t="inlineStr">
        <is>
          <t>FIDC BV AUTO I SEGMENTO FINANCEIRO - RESPONSABILIDADE LIMITADA</t>
        </is>
      </c>
      <c r="E37" s="75" t="inlineStr">
        <is>
          <t>BV Auto I, II e III</t>
        </is>
      </c>
      <c r="F37" s="75" t="inlineStr">
        <is>
          <t>Flagships</t>
        </is>
      </c>
      <c r="G37" s="75" t="inlineStr">
        <is>
          <t>2026-06</t>
        </is>
      </c>
      <c r="H37" s="75" t="inlineStr">
        <is>
          <t>localizado</t>
        </is>
      </c>
      <c r="I37" s="143" t="n">
        <v>1246401933.83</v>
      </c>
      <c r="J37" s="143" t="n">
        <v>1246401933.8335</v>
      </c>
      <c r="K37" s="143" t="n">
        <v>193453533.31025</v>
      </c>
      <c r="L37" s="144" t="n">
        <v>0.1552095901486588</v>
      </c>
      <c r="M37" s="75" t="inlineStr">
        <is>
          <t>Calculado com classes reportadas e PL oficial reconciliado</t>
        </is>
      </c>
      <c r="N37" s="144" t="inlineStr">
        <is>
          <t>N/D</t>
        </is>
      </c>
      <c r="O37" s="144" t="inlineStr">
        <is>
          <t>N/D</t>
        </is>
      </c>
      <c r="P37" s="144" t="inlineStr">
        <is>
          <t>N/D</t>
        </is>
      </c>
      <c r="Q37" s="144" t="inlineStr">
        <is>
          <t>N/D</t>
        </is>
      </c>
      <c r="R37" s="144" t="inlineStr">
        <is>
          <t>N/D</t>
        </is>
      </c>
      <c r="S37" s="144" t="inlineStr">
        <is>
          <t>N/D</t>
        </is>
      </c>
      <c r="T37" s="75" t="inlineStr">
        <is>
          <t>N/D</t>
        </is>
      </c>
      <c r="U37" s="75" t="inlineStr">
        <is>
          <t>sem_indice</t>
        </is>
      </c>
      <c r="V37" s="75" t="inlineStr">
        <is>
          <t>N/D</t>
        </is>
      </c>
      <c r="W37" s="75" t="b">
        <v>0</v>
      </c>
      <c r="X37" s="75" t="inlineStr">
        <is>
          <t>N/D — mínimo estrutural ou subordinação atual ausente</t>
        </is>
      </c>
      <c r="Y37" s="75" t="b">
        <v>0</v>
      </c>
      <c r="Z37" s="144" t="inlineStr">
        <is>
          <t>N/D</t>
        </is>
      </c>
      <c r="AA37" s="144" t="inlineStr">
        <is>
          <t>N/D</t>
        </is>
      </c>
      <c r="AB37" s="75" t="inlineStr">
        <is>
          <t>não medido</t>
        </is>
      </c>
      <c r="AC37" s="75" t="inlineStr">
        <is>
          <t>N/D</t>
        </is>
      </c>
      <c r="AD37" s="75" t="inlineStr">
        <is>
          <t>N/D</t>
        </is>
      </c>
      <c r="AE37" s="75" t="inlineStr">
        <is>
          <t>Veículos</t>
        </is>
      </c>
      <c r="AF37" s="75" t="inlineStr">
        <is>
          <t>Veículos</t>
        </is>
      </c>
      <c r="AG37" s="75" t="inlineStr">
        <is>
          <t>N/D</t>
        </is>
      </c>
      <c r="AH37" s="75" t="inlineStr">
        <is>
          <t>N/D</t>
        </is>
      </c>
      <c r="AI37" s="75" t="inlineStr">
        <is>
          <t>N/D</t>
        </is>
      </c>
      <c r="AJ37" s="75" t="b">
        <v>0</v>
      </c>
      <c r="AK37" s="75" t="inlineStr">
        <is>
          <t>N/D</t>
        </is>
      </c>
      <c r="AL37" s="75" t="inlineStr">
        <is>
          <t>N/D</t>
        </is>
      </c>
      <c r="AM37" s="75" t="inlineStr">
        <is>
          <t>N/D</t>
        </is>
      </c>
      <c r="AN37" s="75" t="inlineStr">
        <is>
          <t>N/D</t>
        </is>
      </c>
      <c r="AO37" s="75" t="inlineStr">
        <is>
          <t>N/D</t>
        </is>
      </c>
      <c r="AP37" s="75" t="inlineStr">
        <is>
          <t>N/D</t>
        </is>
      </c>
      <c r="AQ37" s="75" t="inlineStr">
        <is>
          <t>N/D</t>
        </is>
      </c>
      <c r="AR37" s="75" t="inlineStr">
        <is>
          <t>N/D</t>
        </is>
      </c>
      <c r="AS37" s="75" t="inlineStr">
        <is>
          <t>N/D</t>
        </is>
      </c>
      <c r="AT37" s="75" t="inlineStr">
        <is>
          <t>N/D</t>
        </is>
      </c>
      <c r="AU37" s="75" t="inlineStr">
        <is>
          <t>N/D</t>
        </is>
      </c>
      <c r="AV37" s="75" t="inlineStr">
        <is>
          <t>N/D</t>
        </is>
      </c>
      <c r="AW37" s="75" t="b">
        <v>0</v>
      </c>
      <c r="AX37" s="75" t="inlineStr">
        <is>
          <t>N/D</t>
        </is>
      </c>
      <c r="AY37" s="75" t="inlineStr">
        <is>
          <t>N/D</t>
        </is>
      </c>
      <c r="AZ37" s="144" t="inlineStr">
        <is>
          <t>N/D</t>
        </is>
      </c>
      <c r="BA37" s="75" t="inlineStr">
        <is>
          <t>N/D</t>
        </is>
      </c>
      <c r="BB37" s="145" t="inlineStr">
        <is>
          <t>N/D</t>
        </is>
      </c>
      <c r="BC37" s="143" t="inlineStr">
        <is>
          <t>N/D</t>
        </is>
      </c>
      <c r="BD37" s="75" t="inlineStr">
        <is>
          <t>N/D</t>
        </is>
      </c>
      <c r="BE37" s="75" t="inlineStr">
        <is>
          <t>N/D</t>
        </is>
      </c>
      <c r="BF37" s="75" t="inlineStr">
        <is>
          <t>N/D</t>
        </is>
      </c>
      <c r="BG37" s="75" t="inlineStr">
        <is>
          <t>N/D</t>
        </is>
      </c>
      <c r="BH37" s="75" t="inlineStr">
        <is>
          <t>N/D</t>
        </is>
      </c>
      <c r="BI37" s="75" t="inlineStr">
        <is>
          <t>N/D</t>
        </is>
      </c>
      <c r="BJ37" s="75" t="inlineStr">
        <is>
          <t>não localizado</t>
        </is>
      </c>
      <c r="BK37" s="75" t="b">
        <v>0</v>
      </c>
      <c r="BL37" s="75" t="inlineStr">
        <is>
          <t>N/D</t>
        </is>
      </c>
      <c r="BM37" s="75" t="inlineStr">
        <is>
          <t>N/D</t>
        </is>
      </c>
      <c r="BN37" s="75" t="inlineStr">
        <is>
          <t>N/D</t>
        </is>
      </c>
      <c r="BO37" s="75" t="inlineStr">
        <is>
          <t>N/D</t>
        </is>
      </c>
      <c r="BP37" s="75" t="inlineStr">
        <is>
          <t>N/D</t>
        </is>
      </c>
      <c r="BQ37" s="75" t="inlineStr">
        <is>
          <t>N/D</t>
        </is>
      </c>
      <c r="BR37" s="75" t="inlineStr">
        <is>
          <t>N/D</t>
        </is>
      </c>
      <c r="BS37" s="75" t="inlineStr">
        <is>
          <t>sem_overlay</t>
        </is>
      </c>
      <c r="BT37" s="75" t="inlineStr">
        <is>
          <t>N/D</t>
        </is>
      </c>
      <c r="BU37" s="75" t="inlineStr">
        <is>
          <t>N/D</t>
        </is>
      </c>
      <c r="BV37" s="75" t="inlineStr">
        <is>
          <t>N/D</t>
        </is>
      </c>
      <c r="BW37" s="75" t="inlineStr">
        <is>
          <t>N/D</t>
        </is>
      </c>
      <c r="BX37" s="75" t="inlineStr">
        <is>
          <t>lacuna — regulamento integral não disponível nas fontes locais</t>
        </is>
      </c>
      <c r="BY37" s="75" t="inlineStr">
        <is>
          <t>N/D</t>
        </is>
      </c>
      <c r="BZ37" s="75" t="inlineStr">
        <is>
          <t>N/D</t>
        </is>
      </c>
      <c r="CA37" s="75" t="inlineStr">
        <is>
          <t>mínimo estrutural comparável; preço unitário da cota; originador; cedente; sacado/devedor; tipo de recebível</t>
        </is>
      </c>
      <c r="CB37" s="75" t="inlineStr">
        <is>
          <t>minimo_estrutural_ausente</t>
        </is>
      </c>
    </row>
    <row r="38" ht="31.5" customHeight="1">
      <c r="A38" s="74" t="n">
        <v>17</v>
      </c>
      <c r="B38" s="138" t="n">
        <v>60598366000136</v>
      </c>
      <c r="C38" s="74" t="inlineStr">
        <is>
          <t>60.598.366/0001-36</t>
        </is>
      </c>
      <c r="D38" s="74" t="inlineStr">
        <is>
          <t>FIDC BV AUTO II SEGMENTO FINANCEIRO - RESPONSABILIDADE LIMITADA</t>
        </is>
      </c>
      <c r="E38" s="74" t="inlineStr">
        <is>
          <t>BV Auto I, II e III</t>
        </is>
      </c>
      <c r="F38" s="74" t="inlineStr">
        <is>
          <t>Flagships</t>
        </is>
      </c>
      <c r="G38" s="74" t="inlineStr">
        <is>
          <t>2026-06</t>
        </is>
      </c>
      <c r="H38" s="74" t="inlineStr">
        <is>
          <t>localizado</t>
        </is>
      </c>
      <c r="I38" s="139" t="n">
        <v>1013813788.76</v>
      </c>
      <c r="J38" s="139" t="n">
        <v>1013813788.7625</v>
      </c>
      <c r="K38" s="139" t="n">
        <v>157769309.37975</v>
      </c>
      <c r="L38" s="140" t="n">
        <v>0.1556196129199607</v>
      </c>
      <c r="M38" s="74" t="inlineStr">
        <is>
          <t>Calculado com classes reportadas e PL oficial reconciliado</t>
        </is>
      </c>
      <c r="N38" s="140" t="inlineStr">
        <is>
          <t>N/D</t>
        </is>
      </c>
      <c r="O38" s="140" t="inlineStr">
        <is>
          <t>N/D</t>
        </is>
      </c>
      <c r="P38" s="140" t="inlineStr">
        <is>
          <t>N/D</t>
        </is>
      </c>
      <c r="Q38" s="140" t="inlineStr">
        <is>
          <t>N/D</t>
        </is>
      </c>
      <c r="R38" s="140" t="inlineStr">
        <is>
          <t>N/D</t>
        </is>
      </c>
      <c r="S38" s="140" t="inlineStr">
        <is>
          <t>N/D</t>
        </is>
      </c>
      <c r="T38" s="74" t="inlineStr">
        <is>
          <t>N/D</t>
        </is>
      </c>
      <c r="U38" s="74" t="inlineStr">
        <is>
          <t>sem_indice</t>
        </is>
      </c>
      <c r="V38" s="74" t="inlineStr">
        <is>
          <t>N/D</t>
        </is>
      </c>
      <c r="W38" s="74" t="b">
        <v>0</v>
      </c>
      <c r="X38" s="74" t="inlineStr">
        <is>
          <t>N/D — mínimo estrutural ou subordinação atual ausente</t>
        </is>
      </c>
      <c r="Y38" s="74" t="b">
        <v>0</v>
      </c>
      <c r="Z38" s="140" t="inlineStr">
        <is>
          <t>N/D</t>
        </is>
      </c>
      <c r="AA38" s="140" t="inlineStr">
        <is>
          <t>N/D</t>
        </is>
      </c>
      <c r="AB38" s="74" t="inlineStr">
        <is>
          <t>não medido</t>
        </is>
      </c>
      <c r="AC38" s="74" t="inlineStr">
        <is>
          <t>N/D</t>
        </is>
      </c>
      <c r="AD38" s="74" t="inlineStr">
        <is>
          <t>N/D</t>
        </is>
      </c>
      <c r="AE38" s="74" t="inlineStr">
        <is>
          <t>Veículos</t>
        </is>
      </c>
      <c r="AF38" s="74" t="inlineStr">
        <is>
          <t>Veículos</t>
        </is>
      </c>
      <c r="AG38" s="74" t="inlineStr">
        <is>
          <t>N/D</t>
        </is>
      </c>
      <c r="AH38" s="74" t="inlineStr">
        <is>
          <t>N/D</t>
        </is>
      </c>
      <c r="AI38" s="74" t="inlineStr">
        <is>
          <t>N/D</t>
        </is>
      </c>
      <c r="AJ38" s="74" t="b">
        <v>0</v>
      </c>
      <c r="AK38" s="74" t="inlineStr">
        <is>
          <t>N/D</t>
        </is>
      </c>
      <c r="AL38" s="74" t="inlineStr">
        <is>
          <t>N/D</t>
        </is>
      </c>
      <c r="AM38" s="74" t="inlineStr">
        <is>
          <t>N/D</t>
        </is>
      </c>
      <c r="AN38" s="74" t="inlineStr">
        <is>
          <t>N/D</t>
        </is>
      </c>
      <c r="AO38" s="74" t="inlineStr">
        <is>
          <t>N/D</t>
        </is>
      </c>
      <c r="AP38" s="74" t="inlineStr">
        <is>
          <t>N/D</t>
        </is>
      </c>
      <c r="AQ38" s="74" t="inlineStr">
        <is>
          <t>N/D</t>
        </is>
      </c>
      <c r="AR38" s="74" t="inlineStr">
        <is>
          <t>N/D</t>
        </is>
      </c>
      <c r="AS38" s="74" t="inlineStr">
        <is>
          <t>N/D</t>
        </is>
      </c>
      <c r="AT38" s="74" t="inlineStr">
        <is>
          <t>N/D</t>
        </is>
      </c>
      <c r="AU38" s="74" t="inlineStr">
        <is>
          <t>N/D</t>
        </is>
      </c>
      <c r="AV38" s="74" t="inlineStr">
        <is>
          <t>N/D</t>
        </is>
      </c>
      <c r="AW38" s="74" t="b">
        <v>0</v>
      </c>
      <c r="AX38" s="74" t="inlineStr">
        <is>
          <t>N/D</t>
        </is>
      </c>
      <c r="AY38" s="74" t="inlineStr">
        <is>
          <t>N/D</t>
        </is>
      </c>
      <c r="AZ38" s="140" t="inlineStr">
        <is>
          <t>N/D</t>
        </is>
      </c>
      <c r="BA38" s="74" t="inlineStr">
        <is>
          <t>N/D</t>
        </is>
      </c>
      <c r="BB38" s="141" t="inlineStr">
        <is>
          <t>N/D</t>
        </is>
      </c>
      <c r="BC38" s="139" t="inlineStr">
        <is>
          <t>N/D</t>
        </is>
      </c>
      <c r="BD38" s="74" t="inlineStr">
        <is>
          <t>N/D</t>
        </is>
      </c>
      <c r="BE38" s="74" t="inlineStr">
        <is>
          <t>N/D</t>
        </is>
      </c>
      <c r="BF38" s="74" t="inlineStr">
        <is>
          <t>N/D</t>
        </is>
      </c>
      <c r="BG38" s="74" t="inlineStr">
        <is>
          <t>N/D</t>
        </is>
      </c>
      <c r="BH38" s="74" t="inlineStr">
        <is>
          <t>N/D</t>
        </is>
      </c>
      <c r="BI38" s="74" t="inlineStr">
        <is>
          <t>N/D</t>
        </is>
      </c>
      <c r="BJ38" s="74" t="inlineStr">
        <is>
          <t>não localizado</t>
        </is>
      </c>
      <c r="BK38" s="74" t="b">
        <v>0</v>
      </c>
      <c r="BL38" s="74" t="inlineStr">
        <is>
          <t>N/D</t>
        </is>
      </c>
      <c r="BM38" s="74" t="inlineStr">
        <is>
          <t>N/D</t>
        </is>
      </c>
      <c r="BN38" s="74" t="inlineStr">
        <is>
          <t>N/D</t>
        </is>
      </c>
      <c r="BO38" s="74" t="inlineStr">
        <is>
          <t>N/D</t>
        </is>
      </c>
      <c r="BP38" s="74" t="inlineStr">
        <is>
          <t>N/D</t>
        </is>
      </c>
      <c r="BQ38" s="74" t="inlineStr">
        <is>
          <t>N/D</t>
        </is>
      </c>
      <c r="BR38" s="74" t="inlineStr">
        <is>
          <t>N/D</t>
        </is>
      </c>
      <c r="BS38" s="74" t="inlineStr">
        <is>
          <t>sem_overlay</t>
        </is>
      </c>
      <c r="BT38" s="74" t="inlineStr">
        <is>
          <t>N/D</t>
        </is>
      </c>
      <c r="BU38" s="74" t="inlineStr">
        <is>
          <t>928235</t>
        </is>
      </c>
      <c r="BV38" s="74" t="inlineStr">
        <is>
          <t>2025-06-11</t>
        </is>
      </c>
      <c r="BW38" s="74" t="inlineStr">
        <is>
          <t>cláusulas de subordinação e definições revisadas</t>
        </is>
      </c>
      <c r="BX38" s="74" t="inlineStr">
        <is>
          <t>revisto — mínimo júnior não isolado</t>
        </is>
      </c>
      <c r="BY38" s="74" t="inlineStr">
        <is>
          <t>FundosNet/B3; documento 928235; referência 2025-06-11; cláusulas candidatas revisadas</t>
        </is>
      </c>
      <c r="BZ38" s="74" t="inlineStr">
        <is>
          <t>N/D</t>
        </is>
      </c>
      <c r="CA38" s="74" t="inlineStr">
        <is>
          <t>mínimo estrutural comparável; preço unitário da cota; originador; cedente; sacado/devedor; tipo de recebível</t>
        </is>
      </c>
      <c r="CB38" s="74" t="inlineStr">
        <is>
          <t>minimo_estrutural_ausente</t>
        </is>
      </c>
    </row>
    <row r="39" ht="31.5" customHeight="1">
      <c r="A39" s="75" t="n">
        <v>18</v>
      </c>
      <c r="B39" s="142" t="n">
        <v>59929098000109</v>
      </c>
      <c r="C39" s="75" t="inlineStr">
        <is>
          <t>59.929.098/0001-09</t>
        </is>
      </c>
      <c r="D39" s="75" t="inlineStr">
        <is>
          <t>FUNDO DE INVESTIMENTO EM DIREITOS CREDITÓRIOS CREDITAS AUTO XII</t>
        </is>
      </c>
      <c r="E39" s="75" t="inlineStr">
        <is>
          <t>Creditas Auto X, XI e XII</t>
        </is>
      </c>
      <c r="F39" s="75" t="inlineStr">
        <is>
          <t>Flagships</t>
        </is>
      </c>
      <c r="G39" s="75" t="inlineStr">
        <is>
          <t>2026-06</t>
        </is>
      </c>
      <c r="H39" s="75" t="inlineStr">
        <is>
          <t>localizado</t>
        </is>
      </c>
      <c r="I39" s="143" t="n">
        <v>2207591119.67</v>
      </c>
      <c r="J39" s="143" t="n">
        <v>2207591119.663099</v>
      </c>
      <c r="K39" s="143" t="n">
        <v>547661524.260283</v>
      </c>
      <c r="L39" s="144" t="n">
        <v>0.2480810505987856</v>
      </c>
      <c r="M39" s="75" t="inlineStr">
        <is>
          <t>Calculado com classes reportadas e PL oficial reconciliado</t>
        </is>
      </c>
      <c r="N39" s="144" t="inlineStr">
        <is>
          <t>N/D</t>
        </is>
      </c>
      <c r="O39" s="144" t="inlineStr">
        <is>
          <t>N/D</t>
        </is>
      </c>
      <c r="P39" s="144" t="inlineStr">
        <is>
          <t>N/D</t>
        </is>
      </c>
      <c r="Q39" s="144" t="inlineStr">
        <is>
          <t>N/D</t>
        </is>
      </c>
      <c r="R39" s="144" t="inlineStr">
        <is>
          <t>N/D</t>
        </is>
      </c>
      <c r="S39" s="144" t="inlineStr">
        <is>
          <t>N/D</t>
        </is>
      </c>
      <c r="T39" s="75" t="inlineStr">
        <is>
          <t>N/D</t>
        </is>
      </c>
      <c r="U39" s="75" t="inlineStr">
        <is>
          <t>sem_indice</t>
        </is>
      </c>
      <c r="V39" s="75" t="inlineStr">
        <is>
          <t>N/D</t>
        </is>
      </c>
      <c r="W39" s="75" t="b">
        <v>0</v>
      </c>
      <c r="X39" s="75" t="inlineStr">
        <is>
          <t>N/D — mínimo estrutural ou subordinação atual ausente</t>
        </is>
      </c>
      <c r="Y39" s="75" t="b">
        <v>0</v>
      </c>
      <c r="Z39" s="144" t="inlineStr">
        <is>
          <t>N/D</t>
        </is>
      </c>
      <c r="AA39" s="144" t="inlineStr">
        <is>
          <t>N/D</t>
        </is>
      </c>
      <c r="AB39" s="75" t="inlineStr">
        <is>
          <t>não medido</t>
        </is>
      </c>
      <c r="AC39" s="75" t="inlineStr">
        <is>
          <t>N/D</t>
        </is>
      </c>
      <c r="AD39" s="75" t="inlineStr">
        <is>
          <t>N/D</t>
        </is>
      </c>
      <c r="AE39" s="75" t="inlineStr">
        <is>
          <t>Veículos</t>
        </is>
      </c>
      <c r="AF39" s="75" t="inlineStr">
        <is>
          <t>Veículos</t>
        </is>
      </c>
      <c r="AG39" s="75" t="inlineStr">
        <is>
          <t>N/D</t>
        </is>
      </c>
      <c r="AH39" s="75" t="inlineStr">
        <is>
          <t>N/D</t>
        </is>
      </c>
      <c r="AI39" s="75" t="inlineStr">
        <is>
          <t>N/D</t>
        </is>
      </c>
      <c r="AJ39" s="75" t="b">
        <v>0</v>
      </c>
      <c r="AK39" s="75" t="inlineStr">
        <is>
          <t>N/D</t>
        </is>
      </c>
      <c r="AL39" s="75" t="inlineStr">
        <is>
          <t>N/D</t>
        </is>
      </c>
      <c r="AM39" s="75" t="inlineStr">
        <is>
          <t>N/D</t>
        </is>
      </c>
      <c r="AN39" s="75" t="inlineStr">
        <is>
          <t>N/D</t>
        </is>
      </c>
      <c r="AO39" s="75" t="inlineStr">
        <is>
          <t>N/D</t>
        </is>
      </c>
      <c r="AP39" s="75" t="inlineStr">
        <is>
          <t>N/D</t>
        </is>
      </c>
      <c r="AQ39" s="75" t="inlineStr">
        <is>
          <t>N/D</t>
        </is>
      </c>
      <c r="AR39" s="75" t="inlineStr">
        <is>
          <t>N/D</t>
        </is>
      </c>
      <c r="AS39" s="75" t="inlineStr">
        <is>
          <t>N/D</t>
        </is>
      </c>
      <c r="AT39" s="75" t="inlineStr">
        <is>
          <t>N/D</t>
        </is>
      </c>
      <c r="AU39" s="75" t="inlineStr">
        <is>
          <t>N/D</t>
        </is>
      </c>
      <c r="AV39" s="75" t="inlineStr">
        <is>
          <t>N/D</t>
        </is>
      </c>
      <c r="AW39" s="75" t="b">
        <v>0</v>
      </c>
      <c r="AX39" s="75" t="inlineStr">
        <is>
          <t>N/D</t>
        </is>
      </c>
      <c r="AY39" s="75" t="inlineStr">
        <is>
          <t>N/D</t>
        </is>
      </c>
      <c r="AZ39" s="144" t="inlineStr">
        <is>
          <t>N/D</t>
        </is>
      </c>
      <c r="BA39" s="75" t="inlineStr">
        <is>
          <t>N/D</t>
        </is>
      </c>
      <c r="BB39" s="145" t="inlineStr">
        <is>
          <t>N/D</t>
        </is>
      </c>
      <c r="BC39" s="143" t="inlineStr">
        <is>
          <t>N/D</t>
        </is>
      </c>
      <c r="BD39" s="75" t="inlineStr">
        <is>
          <t>N/D</t>
        </is>
      </c>
      <c r="BE39" s="75" t="inlineStr">
        <is>
          <t>N/D</t>
        </is>
      </c>
      <c r="BF39" s="75" t="inlineStr">
        <is>
          <t>N/D</t>
        </is>
      </c>
      <c r="BG39" s="75" t="inlineStr">
        <is>
          <t>N/D</t>
        </is>
      </c>
      <c r="BH39" s="75" t="inlineStr">
        <is>
          <t>N/D</t>
        </is>
      </c>
      <c r="BI39" s="75" t="inlineStr">
        <is>
          <t>N/D</t>
        </is>
      </c>
      <c r="BJ39" s="75" t="inlineStr">
        <is>
          <t>não localizado</t>
        </is>
      </c>
      <c r="BK39" s="75" t="b">
        <v>0</v>
      </c>
      <c r="BL39" s="75" t="inlineStr">
        <is>
          <t>N/D</t>
        </is>
      </c>
      <c r="BM39" s="75" t="inlineStr">
        <is>
          <t>N/D</t>
        </is>
      </c>
      <c r="BN39" s="75" t="inlineStr">
        <is>
          <t>N/D</t>
        </is>
      </c>
      <c r="BO39" s="75" t="inlineStr">
        <is>
          <t>N/D</t>
        </is>
      </c>
      <c r="BP39" s="75" t="inlineStr">
        <is>
          <t>N/D</t>
        </is>
      </c>
      <c r="BQ39" s="75" t="inlineStr">
        <is>
          <t>N/D</t>
        </is>
      </c>
      <c r="BR39" s="75" t="inlineStr">
        <is>
          <t>N/D</t>
        </is>
      </c>
      <c r="BS39" s="75" t="inlineStr">
        <is>
          <t>sem_overlay</t>
        </is>
      </c>
      <c r="BT39" s="75" t="inlineStr">
        <is>
          <t>N/D</t>
        </is>
      </c>
      <c r="BU39" s="75" t="inlineStr">
        <is>
          <t>N/D</t>
        </is>
      </c>
      <c r="BV39" s="75" t="inlineStr">
        <is>
          <t>N/D</t>
        </is>
      </c>
      <c r="BW39" s="75" t="inlineStr">
        <is>
          <t>N/D</t>
        </is>
      </c>
      <c r="BX39" s="75" t="inlineStr">
        <is>
          <t>lacuna — regulamento integral não disponível nas fontes locais</t>
        </is>
      </c>
      <c r="BY39" s="75" t="inlineStr">
        <is>
          <t>N/D</t>
        </is>
      </c>
      <c r="BZ39" s="75" t="inlineStr">
        <is>
          <t>N/D</t>
        </is>
      </c>
      <c r="CA39" s="75" t="inlineStr">
        <is>
          <t>mínimo estrutural comparável; preço unitário da cota; originador; cedente; sacado/devedor; tipo de recebível</t>
        </is>
      </c>
      <c r="CB39" s="75" t="inlineStr">
        <is>
          <t>minimo_estrutural_ausente</t>
        </is>
      </c>
    </row>
    <row r="40" ht="31.5" customHeight="1">
      <c r="A40" s="74" t="n">
        <v>18</v>
      </c>
      <c r="B40" s="138" t="n">
        <v>53095241000128</v>
      </c>
      <c r="C40" s="74" t="inlineStr">
        <is>
          <t>53.095.241/0001-28</t>
        </is>
      </c>
      <c r="D40" s="74" t="inlineStr">
        <is>
          <t>FUNDO DE INVESTIMENTO EM DIREITOS CREDITÓRIOS CREDITAS AUTO X - RESPONSABILIDADE LIMITADA</t>
        </is>
      </c>
      <c r="E40" s="74" t="inlineStr">
        <is>
          <t>Creditas Auto X, XI e XII</t>
        </is>
      </c>
      <c r="F40" s="74" t="inlineStr">
        <is>
          <t>Flagships</t>
        </is>
      </c>
      <c r="G40" s="74" t="inlineStr">
        <is>
          <t>2026-06</t>
        </is>
      </c>
      <c r="H40" s="74" t="inlineStr">
        <is>
          <t>localizado</t>
        </is>
      </c>
      <c r="I40" s="139" t="n">
        <v>384997010.3</v>
      </c>
      <c r="J40" s="139" t="n">
        <v>384997010.3015494</v>
      </c>
      <c r="K40" s="139" t="n">
        <v>96078938.55016547</v>
      </c>
      <c r="L40" s="140" t="n">
        <v>0.2495576224742581</v>
      </c>
      <c r="M40" s="74" t="inlineStr">
        <is>
          <t>Calculado com classes reportadas e PL oficial reconciliado</t>
        </is>
      </c>
      <c r="N40" s="140" t="inlineStr">
        <is>
          <t>N/D</t>
        </is>
      </c>
      <c r="O40" s="140" t="inlineStr">
        <is>
          <t>N/D</t>
        </is>
      </c>
      <c r="P40" s="140" t="inlineStr">
        <is>
          <t>N/D</t>
        </is>
      </c>
      <c r="Q40" s="140" t="inlineStr">
        <is>
          <t>N/D</t>
        </is>
      </c>
      <c r="R40" s="140" t="inlineStr">
        <is>
          <t>N/D</t>
        </is>
      </c>
      <c r="S40" s="140" t="inlineStr">
        <is>
          <t>N/D</t>
        </is>
      </c>
      <c r="T40" s="74" t="inlineStr">
        <is>
          <t>N/D</t>
        </is>
      </c>
      <c r="U40" s="74" t="inlineStr">
        <is>
          <t>sem_indice</t>
        </is>
      </c>
      <c r="V40" s="74" t="inlineStr">
        <is>
          <t>N/D</t>
        </is>
      </c>
      <c r="W40" s="74" t="b">
        <v>0</v>
      </c>
      <c r="X40" s="74" t="inlineStr">
        <is>
          <t>N/D — mínimo estrutural ou subordinação atual ausente</t>
        </is>
      </c>
      <c r="Y40" s="74" t="b">
        <v>0</v>
      </c>
      <c r="Z40" s="140" t="inlineStr">
        <is>
          <t>N/D</t>
        </is>
      </c>
      <c r="AA40" s="140" t="inlineStr">
        <is>
          <t>N/D</t>
        </is>
      </c>
      <c r="AB40" s="74" t="inlineStr">
        <is>
          <t>não medido</t>
        </is>
      </c>
      <c r="AC40" s="74" t="inlineStr">
        <is>
          <t>N/D</t>
        </is>
      </c>
      <c r="AD40" s="74" t="inlineStr">
        <is>
          <t>N/D</t>
        </is>
      </c>
      <c r="AE40" s="74" t="inlineStr">
        <is>
          <t>Veículos</t>
        </is>
      </c>
      <c r="AF40" s="74" t="inlineStr">
        <is>
          <t>Veículos</t>
        </is>
      </c>
      <c r="AG40" s="74" t="inlineStr">
        <is>
          <t>N/D</t>
        </is>
      </c>
      <c r="AH40" s="74" t="inlineStr">
        <is>
          <t>N/D</t>
        </is>
      </c>
      <c r="AI40" s="74" t="inlineStr">
        <is>
          <t>N/D</t>
        </is>
      </c>
      <c r="AJ40" s="74" t="b">
        <v>0</v>
      </c>
      <c r="AK40" s="74" t="inlineStr">
        <is>
          <t>N/D</t>
        </is>
      </c>
      <c r="AL40" s="74" t="inlineStr">
        <is>
          <t>N/D</t>
        </is>
      </c>
      <c r="AM40" s="74" t="inlineStr">
        <is>
          <t>N/D</t>
        </is>
      </c>
      <c r="AN40" s="74" t="inlineStr">
        <is>
          <t>N/D</t>
        </is>
      </c>
      <c r="AO40" s="74" t="inlineStr">
        <is>
          <t>N/D</t>
        </is>
      </c>
      <c r="AP40" s="74" t="inlineStr">
        <is>
          <t>N/D</t>
        </is>
      </c>
      <c r="AQ40" s="74" t="inlineStr">
        <is>
          <t>N/D</t>
        </is>
      </c>
      <c r="AR40" s="74" t="inlineStr">
        <is>
          <t>N/D</t>
        </is>
      </c>
      <c r="AS40" s="74" t="inlineStr">
        <is>
          <t>N/D</t>
        </is>
      </c>
      <c r="AT40" s="74" t="inlineStr">
        <is>
          <t>N/D</t>
        </is>
      </c>
      <c r="AU40" s="74" t="inlineStr">
        <is>
          <t>N/D</t>
        </is>
      </c>
      <c r="AV40" s="74" t="inlineStr">
        <is>
          <t>N/D</t>
        </is>
      </c>
      <c r="AW40" s="74" t="b">
        <v>0</v>
      </c>
      <c r="AX40" s="74" t="inlineStr">
        <is>
          <t>N/D</t>
        </is>
      </c>
      <c r="AY40" s="74" t="inlineStr">
        <is>
          <t>N/D</t>
        </is>
      </c>
      <c r="AZ40" s="140" t="inlineStr">
        <is>
          <t>N/D</t>
        </is>
      </c>
      <c r="BA40" s="74" t="inlineStr">
        <is>
          <t>N/D</t>
        </is>
      </c>
      <c r="BB40" s="141" t="inlineStr">
        <is>
          <t>N/D</t>
        </is>
      </c>
      <c r="BC40" s="139" t="inlineStr">
        <is>
          <t>N/D</t>
        </is>
      </c>
      <c r="BD40" s="74" t="inlineStr">
        <is>
          <t>N/D</t>
        </is>
      </c>
      <c r="BE40" s="74" t="inlineStr">
        <is>
          <t>N/D</t>
        </is>
      </c>
      <c r="BF40" s="74" t="inlineStr">
        <is>
          <t>N/D</t>
        </is>
      </c>
      <c r="BG40" s="74" t="inlineStr">
        <is>
          <t>N/D</t>
        </is>
      </c>
      <c r="BH40" s="74" t="inlineStr">
        <is>
          <t>N/D</t>
        </is>
      </c>
      <c r="BI40" s="74" t="inlineStr">
        <is>
          <t>N/D</t>
        </is>
      </c>
      <c r="BJ40" s="74" t="inlineStr">
        <is>
          <t>não localizado</t>
        </is>
      </c>
      <c r="BK40" s="74" t="b">
        <v>0</v>
      </c>
      <c r="BL40" s="74" t="inlineStr">
        <is>
          <t>N/D</t>
        </is>
      </c>
      <c r="BM40" s="74" t="inlineStr">
        <is>
          <t>N/D</t>
        </is>
      </c>
      <c r="BN40" s="74" t="inlineStr">
        <is>
          <t>N/D</t>
        </is>
      </c>
      <c r="BO40" s="74" t="inlineStr">
        <is>
          <t>N/D</t>
        </is>
      </c>
      <c r="BP40" s="74" t="inlineStr">
        <is>
          <t>N/D</t>
        </is>
      </c>
      <c r="BQ40" s="74" t="inlineStr">
        <is>
          <t>N/D</t>
        </is>
      </c>
      <c r="BR40" s="74" t="inlineStr">
        <is>
          <t>N/D</t>
        </is>
      </c>
      <c r="BS40" s="74" t="inlineStr">
        <is>
          <t>sem_overlay</t>
        </is>
      </c>
      <c r="BT40" s="74" t="inlineStr">
        <is>
          <t>N/D</t>
        </is>
      </c>
      <c r="BU40" s="74" t="inlineStr">
        <is>
          <t>N/D</t>
        </is>
      </c>
      <c r="BV40" s="74" t="inlineStr">
        <is>
          <t>N/D</t>
        </is>
      </c>
      <c r="BW40" s="74" t="inlineStr">
        <is>
          <t>N/D</t>
        </is>
      </c>
      <c r="BX40" s="74" t="inlineStr">
        <is>
          <t>lacuna — regulamento integral não disponível nas fontes locais</t>
        </is>
      </c>
      <c r="BY40" s="74" t="inlineStr">
        <is>
          <t>N/D</t>
        </is>
      </c>
      <c r="BZ40" s="74" t="inlineStr">
        <is>
          <t>N/D</t>
        </is>
      </c>
      <c r="CA40" s="74" t="inlineStr">
        <is>
          <t>mínimo estrutural comparável; preço unitário da cota; originador; cedente; sacado/devedor; tipo de recebível</t>
        </is>
      </c>
      <c r="CB40" s="74" t="inlineStr">
        <is>
          <t>minimo_estrutural_ausente</t>
        </is>
      </c>
    </row>
    <row r="41" ht="31.5" customHeight="1">
      <c r="A41" s="75" t="n">
        <v>18</v>
      </c>
      <c r="B41" s="142" t="n">
        <v>58035124000192</v>
      </c>
      <c r="C41" s="75" t="inlineStr">
        <is>
          <t>58.035.124/0001-92</t>
        </is>
      </c>
      <c r="D41" s="75" t="inlineStr">
        <is>
          <t>FUNDO DE INVESTIMENTO EM DIREITOS CREDITÓRIOS CREDITAS AUTO XI</t>
        </is>
      </c>
      <c r="E41" s="75" t="inlineStr">
        <is>
          <t>Creditas Auto X, XI e XII</t>
        </is>
      </c>
      <c r="F41" s="75" t="inlineStr">
        <is>
          <t>Flagships</t>
        </is>
      </c>
      <c r="G41" s="75" t="inlineStr">
        <is>
          <t>2026-06</t>
        </is>
      </c>
      <c r="H41" s="75" t="inlineStr">
        <is>
          <t>localizado</t>
        </is>
      </c>
      <c r="I41" s="143" t="n">
        <v>294240334.75</v>
      </c>
      <c r="J41" s="143" t="n">
        <v>294240334.749625</v>
      </c>
      <c r="K41" s="143" t="n">
        <v>74894840.74002503</v>
      </c>
      <c r="L41" s="144" t="n">
        <v>0.2545362817224195</v>
      </c>
      <c r="M41" s="75" t="inlineStr">
        <is>
          <t>Calculado com classes reportadas e PL oficial reconciliado</t>
        </is>
      </c>
      <c r="N41" s="144" t="inlineStr">
        <is>
          <t>N/D</t>
        </is>
      </c>
      <c r="O41" s="144" t="inlineStr">
        <is>
          <t>N/D</t>
        </is>
      </c>
      <c r="P41" s="144" t="inlineStr">
        <is>
          <t>N/D</t>
        </is>
      </c>
      <c r="Q41" s="144" t="inlineStr">
        <is>
          <t>N/D</t>
        </is>
      </c>
      <c r="R41" s="144" t="inlineStr">
        <is>
          <t>N/D</t>
        </is>
      </c>
      <c r="S41" s="144" t="inlineStr">
        <is>
          <t>N/D</t>
        </is>
      </c>
      <c r="T41" s="75" t="inlineStr">
        <is>
          <t>N/D</t>
        </is>
      </c>
      <c r="U41" s="75" t="inlineStr">
        <is>
          <t>sem_indice</t>
        </is>
      </c>
      <c r="V41" s="75" t="inlineStr">
        <is>
          <t>N/D</t>
        </is>
      </c>
      <c r="W41" s="75" t="b">
        <v>0</v>
      </c>
      <c r="X41" s="75" t="inlineStr">
        <is>
          <t>N/D — mínimo estrutural ou subordinação atual ausente</t>
        </is>
      </c>
      <c r="Y41" s="75" t="b">
        <v>0</v>
      </c>
      <c r="Z41" s="144" t="inlineStr">
        <is>
          <t>N/D</t>
        </is>
      </c>
      <c r="AA41" s="144" t="inlineStr">
        <is>
          <t>N/D</t>
        </is>
      </c>
      <c r="AB41" s="75" t="inlineStr">
        <is>
          <t>não medido</t>
        </is>
      </c>
      <c r="AC41" s="75" t="inlineStr">
        <is>
          <t>N/D</t>
        </is>
      </c>
      <c r="AD41" s="75" t="inlineStr">
        <is>
          <t>N/D</t>
        </is>
      </c>
      <c r="AE41" s="75" t="inlineStr">
        <is>
          <t>Veículos</t>
        </is>
      </c>
      <c r="AF41" s="75" t="inlineStr">
        <is>
          <t>Veículos</t>
        </is>
      </c>
      <c r="AG41" s="75" t="inlineStr">
        <is>
          <t>N/D</t>
        </is>
      </c>
      <c r="AH41" s="75" t="inlineStr">
        <is>
          <t>N/D</t>
        </is>
      </c>
      <c r="AI41" s="75" t="inlineStr">
        <is>
          <t>N/D</t>
        </is>
      </c>
      <c r="AJ41" s="75" t="b">
        <v>0</v>
      </c>
      <c r="AK41" s="75" t="inlineStr">
        <is>
          <t>N/D</t>
        </is>
      </c>
      <c r="AL41" s="75" t="inlineStr">
        <is>
          <t>N/D</t>
        </is>
      </c>
      <c r="AM41" s="75" t="inlineStr">
        <is>
          <t>N/D</t>
        </is>
      </c>
      <c r="AN41" s="75" t="inlineStr">
        <is>
          <t>N/D</t>
        </is>
      </c>
      <c r="AO41" s="75" t="inlineStr">
        <is>
          <t>N/D</t>
        </is>
      </c>
      <c r="AP41" s="75" t="inlineStr">
        <is>
          <t>N/D</t>
        </is>
      </c>
      <c r="AQ41" s="75" t="inlineStr">
        <is>
          <t>N/D</t>
        </is>
      </c>
      <c r="AR41" s="75" t="inlineStr">
        <is>
          <t>N/D</t>
        </is>
      </c>
      <c r="AS41" s="75" t="inlineStr">
        <is>
          <t>N/D</t>
        </is>
      </c>
      <c r="AT41" s="75" t="inlineStr">
        <is>
          <t>N/D</t>
        </is>
      </c>
      <c r="AU41" s="75" t="inlineStr">
        <is>
          <t>N/D</t>
        </is>
      </c>
      <c r="AV41" s="75" t="inlineStr">
        <is>
          <t>N/D</t>
        </is>
      </c>
      <c r="AW41" s="75" t="b">
        <v>0</v>
      </c>
      <c r="AX41" s="75" t="inlineStr">
        <is>
          <t>N/D</t>
        </is>
      </c>
      <c r="AY41" s="75" t="inlineStr">
        <is>
          <t>N/D</t>
        </is>
      </c>
      <c r="AZ41" s="144" t="inlineStr">
        <is>
          <t>N/D</t>
        </is>
      </c>
      <c r="BA41" s="75" t="inlineStr">
        <is>
          <t>N/D</t>
        </is>
      </c>
      <c r="BB41" s="145" t="inlineStr">
        <is>
          <t>N/D</t>
        </is>
      </c>
      <c r="BC41" s="143" t="inlineStr">
        <is>
          <t>N/D</t>
        </is>
      </c>
      <c r="BD41" s="75" t="inlineStr">
        <is>
          <t>N/D</t>
        </is>
      </c>
      <c r="BE41" s="75" t="inlineStr">
        <is>
          <t>N/D</t>
        </is>
      </c>
      <c r="BF41" s="75" t="inlineStr">
        <is>
          <t>N/D</t>
        </is>
      </c>
      <c r="BG41" s="75" t="inlineStr">
        <is>
          <t>N/D</t>
        </is>
      </c>
      <c r="BH41" s="75" t="inlineStr">
        <is>
          <t>N/D</t>
        </is>
      </c>
      <c r="BI41" s="75" t="inlineStr">
        <is>
          <t>N/D</t>
        </is>
      </c>
      <c r="BJ41" s="75" t="inlineStr">
        <is>
          <t>não localizado</t>
        </is>
      </c>
      <c r="BK41" s="75" t="b">
        <v>0</v>
      </c>
      <c r="BL41" s="75" t="inlineStr">
        <is>
          <t>N/D</t>
        </is>
      </c>
      <c r="BM41" s="75" t="inlineStr">
        <is>
          <t>N/D</t>
        </is>
      </c>
      <c r="BN41" s="75" t="inlineStr">
        <is>
          <t>N/D</t>
        </is>
      </c>
      <c r="BO41" s="75" t="inlineStr">
        <is>
          <t>N/D</t>
        </is>
      </c>
      <c r="BP41" s="75" t="inlineStr">
        <is>
          <t>N/D</t>
        </is>
      </c>
      <c r="BQ41" s="75" t="inlineStr">
        <is>
          <t>N/D</t>
        </is>
      </c>
      <c r="BR41" s="75" t="inlineStr">
        <is>
          <t>N/D</t>
        </is>
      </c>
      <c r="BS41" s="75" t="inlineStr">
        <is>
          <t>sem_overlay</t>
        </is>
      </c>
      <c r="BT41" s="75" t="inlineStr">
        <is>
          <t>N/D</t>
        </is>
      </c>
      <c r="BU41" s="75" t="inlineStr">
        <is>
          <t>N/D</t>
        </is>
      </c>
      <c r="BV41" s="75" t="inlineStr">
        <is>
          <t>N/D</t>
        </is>
      </c>
      <c r="BW41" s="75" t="inlineStr">
        <is>
          <t>N/D</t>
        </is>
      </c>
      <c r="BX41" s="75" t="inlineStr">
        <is>
          <t>lacuna — regulamento integral não disponível nas fontes locais</t>
        </is>
      </c>
      <c r="BY41" s="75" t="inlineStr">
        <is>
          <t>N/D</t>
        </is>
      </c>
      <c r="BZ41" s="75" t="inlineStr">
        <is>
          <t>N/D</t>
        </is>
      </c>
      <c r="CA41" s="75" t="inlineStr">
        <is>
          <t>mínimo estrutural comparável; preço unitário da cota; originador; cedente; sacado/devedor; tipo de recebível</t>
        </is>
      </c>
      <c r="CB41" s="75" t="inlineStr">
        <is>
          <t>minimo_estrutural_ausente</t>
        </is>
      </c>
    </row>
    <row r="42" ht="31.5" customHeight="1">
      <c r="A42" s="74" t="n">
        <v>19</v>
      </c>
      <c r="B42" s="138" t="n">
        <v>63662224000189</v>
      </c>
      <c r="C42" s="74" t="inlineStr">
        <is>
          <t>63.662.224/0001-89</t>
        </is>
      </c>
      <c r="D42" s="74" t="inlineStr">
        <is>
          <t>FIDC SANTANDER AUTO LOANS I SEGMENTO FINANCEIRO - RESPONSABILIDADE LIMITADA</t>
        </is>
      </c>
      <c r="E42" s="74" t="inlineStr">
        <is>
          <t>Santander Auto Loans I</t>
        </is>
      </c>
      <c r="F42" s="74" t="inlineStr">
        <is>
          <t>Flagships</t>
        </is>
      </c>
      <c r="G42" s="74" t="inlineStr">
        <is>
          <t>2026-06</t>
        </is>
      </c>
      <c r="H42" s="74" t="inlineStr">
        <is>
          <t>localizado</t>
        </is>
      </c>
      <c r="I42" s="139" t="n">
        <v>2430490971.94</v>
      </c>
      <c r="J42" s="139" t="n">
        <v>2430490971.931145</v>
      </c>
      <c r="K42" s="139" t="n">
        <v>323786564.1846</v>
      </c>
      <c r="L42" s="140" t="n">
        <v>0.1332185833737765</v>
      </c>
      <c r="M42" s="74" t="inlineStr">
        <is>
          <t>Calculado com classes reportadas e PL oficial reconciliado</t>
        </is>
      </c>
      <c r="N42" s="140" t="inlineStr">
        <is>
          <t>N/D</t>
        </is>
      </c>
      <c r="O42" s="140" t="inlineStr">
        <is>
          <t>N/D</t>
        </is>
      </c>
      <c r="P42" s="140" t="inlineStr">
        <is>
          <t>N/D</t>
        </is>
      </c>
      <c r="Q42" s="140" t="inlineStr">
        <is>
          <t>N/D</t>
        </is>
      </c>
      <c r="R42" s="140" t="inlineStr">
        <is>
          <t>N/D</t>
        </is>
      </c>
      <c r="S42" s="140" t="inlineStr">
        <is>
          <t>N/D</t>
        </is>
      </c>
      <c r="T42" s="74" t="inlineStr">
        <is>
          <t>N/D</t>
        </is>
      </c>
      <c r="U42" s="74" t="inlineStr">
        <is>
          <t>sem_indice</t>
        </is>
      </c>
      <c r="V42" s="74" t="inlineStr">
        <is>
          <t>N/D</t>
        </is>
      </c>
      <c r="W42" s="74" t="b">
        <v>0</v>
      </c>
      <c r="X42" s="74" t="inlineStr">
        <is>
          <t>N/D — mínimo estrutural ou subordinação atual ausente</t>
        </is>
      </c>
      <c r="Y42" s="74" t="b">
        <v>0</v>
      </c>
      <c r="Z42" s="140" t="inlineStr">
        <is>
          <t>N/D</t>
        </is>
      </c>
      <c r="AA42" s="140" t="inlineStr">
        <is>
          <t>N/D</t>
        </is>
      </c>
      <c r="AB42" s="74" t="inlineStr">
        <is>
          <t>não medido</t>
        </is>
      </c>
      <c r="AC42" s="74" t="inlineStr">
        <is>
          <t>N/D</t>
        </is>
      </c>
      <c r="AD42" s="74" t="inlineStr">
        <is>
          <t>N/D</t>
        </is>
      </c>
      <c r="AE42" s="74" t="inlineStr">
        <is>
          <t>Veículos</t>
        </is>
      </c>
      <c r="AF42" s="74" t="inlineStr">
        <is>
          <t>Veículos</t>
        </is>
      </c>
      <c r="AG42" s="74" t="inlineStr">
        <is>
          <t>N/D</t>
        </is>
      </c>
      <c r="AH42" s="74" t="inlineStr">
        <is>
          <t>N/D</t>
        </is>
      </c>
      <c r="AI42" s="74" t="inlineStr">
        <is>
          <t>N/D</t>
        </is>
      </c>
      <c r="AJ42" s="74" t="b">
        <v>0</v>
      </c>
      <c r="AK42" s="74" t="inlineStr">
        <is>
          <t>N/D</t>
        </is>
      </c>
      <c r="AL42" s="74" t="inlineStr">
        <is>
          <t>N/D</t>
        </is>
      </c>
      <c r="AM42" s="74" t="inlineStr">
        <is>
          <t>N/D</t>
        </is>
      </c>
      <c r="AN42" s="74" t="inlineStr">
        <is>
          <t>N/D</t>
        </is>
      </c>
      <c r="AO42" s="74" t="inlineStr">
        <is>
          <t>N/D</t>
        </is>
      </c>
      <c r="AP42" s="74" t="inlineStr">
        <is>
          <t>N/D</t>
        </is>
      </c>
      <c r="AQ42" s="74" t="inlineStr">
        <is>
          <t>N/D</t>
        </is>
      </c>
      <c r="AR42" s="74" t="inlineStr">
        <is>
          <t>N/D</t>
        </is>
      </c>
      <c r="AS42" s="74" t="inlineStr">
        <is>
          <t>N/D</t>
        </is>
      </c>
      <c r="AT42" s="74" t="inlineStr">
        <is>
          <t>N/D</t>
        </is>
      </c>
      <c r="AU42" s="74" t="inlineStr">
        <is>
          <t>N/D</t>
        </is>
      </c>
      <c r="AV42" s="74" t="inlineStr">
        <is>
          <t>N/D</t>
        </is>
      </c>
      <c r="AW42" s="74" t="b">
        <v>0</v>
      </c>
      <c r="AX42" s="74" t="inlineStr">
        <is>
          <t>N/D</t>
        </is>
      </c>
      <c r="AY42" s="74" t="inlineStr">
        <is>
          <t>N/D</t>
        </is>
      </c>
      <c r="AZ42" s="140" t="inlineStr">
        <is>
          <t>N/D</t>
        </is>
      </c>
      <c r="BA42" s="74" t="inlineStr">
        <is>
          <t>N/D</t>
        </is>
      </c>
      <c r="BB42" s="141" t="inlineStr">
        <is>
          <t>N/D</t>
        </is>
      </c>
      <c r="BC42" s="139" t="inlineStr">
        <is>
          <t>N/D</t>
        </is>
      </c>
      <c r="BD42" s="74" t="inlineStr">
        <is>
          <t>N/D</t>
        </is>
      </c>
      <c r="BE42" s="74" t="inlineStr">
        <is>
          <t>N/D</t>
        </is>
      </c>
      <c r="BF42" s="74" t="inlineStr">
        <is>
          <t>N/D</t>
        </is>
      </c>
      <c r="BG42" s="74" t="inlineStr">
        <is>
          <t>N/D</t>
        </is>
      </c>
      <c r="BH42" s="74" t="inlineStr">
        <is>
          <t>N/D</t>
        </is>
      </c>
      <c r="BI42" s="74" t="inlineStr">
        <is>
          <t>N/D</t>
        </is>
      </c>
      <c r="BJ42" s="74" t="inlineStr">
        <is>
          <t>não localizado</t>
        </is>
      </c>
      <c r="BK42" s="74" t="b">
        <v>0</v>
      </c>
      <c r="BL42" s="74" t="inlineStr">
        <is>
          <t>N/D</t>
        </is>
      </c>
      <c r="BM42" s="74" t="inlineStr">
        <is>
          <t>N/D</t>
        </is>
      </c>
      <c r="BN42" s="74" t="inlineStr">
        <is>
          <t>N/D</t>
        </is>
      </c>
      <c r="BO42" s="74" t="inlineStr">
        <is>
          <t>N/D</t>
        </is>
      </c>
      <c r="BP42" s="74" t="inlineStr">
        <is>
          <t>N/D</t>
        </is>
      </c>
      <c r="BQ42" s="74" t="inlineStr">
        <is>
          <t>N/D</t>
        </is>
      </c>
      <c r="BR42" s="74" t="inlineStr">
        <is>
          <t>N/D</t>
        </is>
      </c>
      <c r="BS42" s="74" t="inlineStr">
        <is>
          <t>sem_overlay</t>
        </is>
      </c>
      <c r="BT42" s="74" t="inlineStr">
        <is>
          <t>N/D</t>
        </is>
      </c>
      <c r="BU42" s="74" t="inlineStr">
        <is>
          <t>1059307</t>
        </is>
      </c>
      <c r="BV42" s="74" t="inlineStr">
        <is>
          <t>2025-12-10</t>
        </is>
      </c>
      <c r="BW42" s="74" t="inlineStr">
        <is>
          <t>cláusulas de subordinação e definições revisadas</t>
        </is>
      </c>
      <c r="BX42" s="74" t="inlineStr">
        <is>
          <t>revisto — mínimo júnior não isolado</t>
        </is>
      </c>
      <c r="BY42" s="74" t="inlineStr">
        <is>
          <t>FundosNet/B3; documento 1059307; referência 2025-12-10; cláusulas candidatas revisadas</t>
        </is>
      </c>
      <c r="BZ42" s="74" t="inlineStr">
        <is>
          <t>N/D</t>
        </is>
      </c>
      <c r="CA42" s="74" t="inlineStr">
        <is>
          <t>mínimo estrutural comparável; preço unitário da cota; originador; cedente; sacado/devedor; tipo de recebível</t>
        </is>
      </c>
      <c r="CB42" s="74" t="inlineStr">
        <is>
          <t>minimo_estrutural_ausente</t>
        </is>
      </c>
    </row>
    <row r="43" ht="31.5" customHeight="1">
      <c r="A43" s="75" t="n">
        <v>20</v>
      </c>
      <c r="B43" s="142" t="n">
        <v>50114948000146</v>
      </c>
      <c r="C43" s="75" t="inlineStr">
        <is>
          <t>50.114.948/0001-46</t>
        </is>
      </c>
      <c r="D43" s="75" t="inlineStr">
        <is>
          <t>DRIVER BRASIL SIX BANCO VOLKSWAGEN FIDC FINANCIAMENTO DE VEÍCULOS - RESPONSABILIDADE LIMITADA</t>
        </is>
      </c>
      <c r="E43" s="75" t="inlineStr">
        <is>
          <t>Driver Brasil Six Banco Volkswagen</t>
        </is>
      </c>
      <c r="F43" s="75" t="inlineStr">
        <is>
          <t>Flagships</t>
        </is>
      </c>
      <c r="G43" s="75" t="inlineStr">
        <is>
          <t>2026-06</t>
        </is>
      </c>
      <c r="H43" s="75" t="inlineStr">
        <is>
          <t>localizado</t>
        </is>
      </c>
      <c r="I43" s="143" t="n">
        <v>1934784988.69</v>
      </c>
      <c r="J43" s="143" t="n">
        <v>1934784988.674225</v>
      </c>
      <c r="K43" s="143" t="n">
        <v>259350084.2942248</v>
      </c>
      <c r="L43" s="144" t="n">
        <v>0.1340459460923485</v>
      </c>
      <c r="M43" s="75" t="inlineStr">
        <is>
          <t>Calculado com classes reportadas e PL oficial reconciliado</t>
        </is>
      </c>
      <c r="N43" s="144" t="inlineStr">
        <is>
          <t>N/D</t>
        </is>
      </c>
      <c r="O43" s="144" t="inlineStr">
        <is>
          <t>N/D</t>
        </is>
      </c>
      <c r="P43" s="144" t="inlineStr">
        <is>
          <t>N/D</t>
        </is>
      </c>
      <c r="Q43" s="144" t="inlineStr">
        <is>
          <t>N/D</t>
        </is>
      </c>
      <c r="R43" s="144" t="inlineStr">
        <is>
          <t>N/D</t>
        </is>
      </c>
      <c r="S43" s="144" t="inlineStr">
        <is>
          <t>N/D</t>
        </is>
      </c>
      <c r="T43" s="75" t="inlineStr">
        <is>
          <t>N/D</t>
        </is>
      </c>
      <c r="U43" s="75" t="inlineStr">
        <is>
          <t>sem_indice</t>
        </is>
      </c>
      <c r="V43" s="75" t="inlineStr">
        <is>
          <t>N/D</t>
        </is>
      </c>
      <c r="W43" s="75" t="b">
        <v>0</v>
      </c>
      <c r="X43" s="75" t="inlineStr">
        <is>
          <t>N/D — mínimo estrutural ou subordinação atual ausente</t>
        </is>
      </c>
      <c r="Y43" s="75" t="b">
        <v>0</v>
      </c>
      <c r="Z43" s="144" t="inlineStr">
        <is>
          <t>N/D</t>
        </is>
      </c>
      <c r="AA43" s="144" t="inlineStr">
        <is>
          <t>N/D</t>
        </is>
      </c>
      <c r="AB43" s="75" t="inlineStr">
        <is>
          <t>não medido</t>
        </is>
      </c>
      <c r="AC43" s="75" t="inlineStr">
        <is>
          <t>N/D</t>
        </is>
      </c>
      <c r="AD43" s="75" t="inlineStr">
        <is>
          <t>N/D</t>
        </is>
      </c>
      <c r="AE43" s="75" t="inlineStr">
        <is>
          <t>Veículos</t>
        </is>
      </c>
      <c r="AF43" s="75" t="inlineStr">
        <is>
          <t>Veículos</t>
        </is>
      </c>
      <c r="AG43" s="75" t="inlineStr">
        <is>
          <t>N/D</t>
        </is>
      </c>
      <c r="AH43" s="75" t="inlineStr">
        <is>
          <t>N/D</t>
        </is>
      </c>
      <c r="AI43" s="75" t="inlineStr">
        <is>
          <t>N/D</t>
        </is>
      </c>
      <c r="AJ43" s="75" t="b">
        <v>0</v>
      </c>
      <c r="AK43" s="75" t="inlineStr">
        <is>
          <t>N/D</t>
        </is>
      </c>
      <c r="AL43" s="75" t="inlineStr">
        <is>
          <t>N/D</t>
        </is>
      </c>
      <c r="AM43" s="75" t="inlineStr">
        <is>
          <t>N/D</t>
        </is>
      </c>
      <c r="AN43" s="75" t="inlineStr">
        <is>
          <t>N/D</t>
        </is>
      </c>
      <c r="AO43" s="75" t="inlineStr">
        <is>
          <t>N/D</t>
        </is>
      </c>
      <c r="AP43" s="75" t="inlineStr">
        <is>
          <t>N/D</t>
        </is>
      </c>
      <c r="AQ43" s="75" t="inlineStr">
        <is>
          <t>N/D</t>
        </is>
      </c>
      <c r="AR43" s="75" t="inlineStr">
        <is>
          <t>N/D</t>
        </is>
      </c>
      <c r="AS43" s="75" t="inlineStr">
        <is>
          <t>N/D</t>
        </is>
      </c>
      <c r="AT43" s="75" t="inlineStr">
        <is>
          <t>N/D</t>
        </is>
      </c>
      <c r="AU43" s="75" t="inlineStr">
        <is>
          <t>N/D</t>
        </is>
      </c>
      <c r="AV43" s="75" t="inlineStr">
        <is>
          <t>N/D</t>
        </is>
      </c>
      <c r="AW43" s="75" t="b">
        <v>0</v>
      </c>
      <c r="AX43" s="75" t="inlineStr">
        <is>
          <t>N/D</t>
        </is>
      </c>
      <c r="AY43" s="75" t="inlineStr">
        <is>
          <t>N/D</t>
        </is>
      </c>
      <c r="AZ43" s="144" t="inlineStr">
        <is>
          <t>N/D</t>
        </is>
      </c>
      <c r="BA43" s="75" t="inlineStr">
        <is>
          <t>N/D</t>
        </is>
      </c>
      <c r="BB43" s="145" t="inlineStr">
        <is>
          <t>N/D</t>
        </is>
      </c>
      <c r="BC43" s="143" t="inlineStr">
        <is>
          <t>N/D</t>
        </is>
      </c>
      <c r="BD43" s="75" t="inlineStr">
        <is>
          <t>N/D</t>
        </is>
      </c>
      <c r="BE43" s="75" t="inlineStr">
        <is>
          <t>N/D</t>
        </is>
      </c>
      <c r="BF43" s="75" t="inlineStr">
        <is>
          <t>N/D</t>
        </is>
      </c>
      <c r="BG43" s="75" t="inlineStr">
        <is>
          <t>N/D</t>
        </is>
      </c>
      <c r="BH43" s="75" t="inlineStr">
        <is>
          <t>N/D</t>
        </is>
      </c>
      <c r="BI43" s="75" t="inlineStr">
        <is>
          <t>N/D</t>
        </is>
      </c>
      <c r="BJ43" s="75" t="inlineStr">
        <is>
          <t>não localizado</t>
        </is>
      </c>
      <c r="BK43" s="75" t="b">
        <v>0</v>
      </c>
      <c r="BL43" s="75" t="inlineStr">
        <is>
          <t>N/D</t>
        </is>
      </c>
      <c r="BM43" s="75" t="inlineStr">
        <is>
          <t>N/D</t>
        </is>
      </c>
      <c r="BN43" s="75" t="inlineStr">
        <is>
          <t>N/D</t>
        </is>
      </c>
      <c r="BO43" s="75" t="inlineStr">
        <is>
          <t>N/D</t>
        </is>
      </c>
      <c r="BP43" s="75" t="inlineStr">
        <is>
          <t>N/D</t>
        </is>
      </c>
      <c r="BQ43" s="75" t="inlineStr">
        <is>
          <t>N/D</t>
        </is>
      </c>
      <c r="BR43" s="75" t="inlineStr">
        <is>
          <t>N/D</t>
        </is>
      </c>
      <c r="BS43" s="75" t="inlineStr">
        <is>
          <t>sem_overlay</t>
        </is>
      </c>
      <c r="BT43" s="75" t="inlineStr">
        <is>
          <t>N/D</t>
        </is>
      </c>
      <c r="BU43" s="75" t="inlineStr">
        <is>
          <t>N/D</t>
        </is>
      </c>
      <c r="BV43" s="75" t="inlineStr">
        <is>
          <t>N/D</t>
        </is>
      </c>
      <c r="BW43" s="75" t="inlineStr">
        <is>
          <t>N/D</t>
        </is>
      </c>
      <c r="BX43" s="75" t="inlineStr">
        <is>
          <t>lacuna — regulamento integral não disponível nas fontes locais</t>
        </is>
      </c>
      <c r="BY43" s="75" t="inlineStr">
        <is>
          <t>N/D</t>
        </is>
      </c>
      <c r="BZ43" s="75" t="inlineStr">
        <is>
          <t>N/D</t>
        </is>
      </c>
      <c r="CA43" s="75" t="inlineStr">
        <is>
          <t>mínimo estrutural comparável; preço unitário da cota; originador; cedente; sacado/devedor; tipo de recebível</t>
        </is>
      </c>
      <c r="CB43" s="75" t="inlineStr">
        <is>
          <t>minimo_estrutural_ausente</t>
        </is>
      </c>
    </row>
    <row r="44" ht="31.5" customHeight="1">
      <c r="A44" s="74" t="n">
        <v>21</v>
      </c>
      <c r="B44" s="138" t="n">
        <v>62543802000103</v>
      </c>
      <c r="C44" s="74" t="inlineStr">
        <is>
          <t>62.543.802/0001-03</t>
        </is>
      </c>
      <c r="D44" s="74" t="inlineStr">
        <is>
          <t>PINE LIFT I CARTÃO INSS FIDC - RESP LIMITADA</t>
        </is>
      </c>
      <c r="E44" s="74" t="inlineStr">
        <is>
          <t>Pine Lift I Cartão INSS</t>
        </is>
      </c>
      <c r="F44" s="74" t="inlineStr">
        <is>
          <t>Flagships</t>
        </is>
      </c>
      <c r="G44" s="74" t="inlineStr">
        <is>
          <t>2026-06</t>
        </is>
      </c>
      <c r="H44" s="74" t="inlineStr">
        <is>
          <t>localizado</t>
        </is>
      </c>
      <c r="I44" s="139" t="n">
        <v>160667845.39</v>
      </c>
      <c r="J44" s="139" t="n">
        <v>160667845.3903731</v>
      </c>
      <c r="K44" s="139" t="n">
        <v>27595396.60003236</v>
      </c>
      <c r="L44" s="140" t="n">
        <v>0.1717543204307507</v>
      </c>
      <c r="M44" s="74" t="inlineStr">
        <is>
          <t>Calculado com classes reportadas e PL oficial reconciliado</t>
        </is>
      </c>
      <c r="N44" s="140" t="inlineStr">
        <is>
          <t>N/D</t>
        </is>
      </c>
      <c r="O44" s="140" t="inlineStr">
        <is>
          <t>N/D</t>
        </is>
      </c>
      <c r="P44" s="140" t="inlineStr">
        <is>
          <t>N/D</t>
        </is>
      </c>
      <c r="Q44" s="140" t="inlineStr">
        <is>
          <t>N/D</t>
        </is>
      </c>
      <c r="R44" s="140" t="inlineStr">
        <is>
          <t>N/D</t>
        </is>
      </c>
      <c r="S44" s="140" t="inlineStr">
        <is>
          <t>N/D</t>
        </is>
      </c>
      <c r="T44" s="74" t="inlineStr">
        <is>
          <t>N/D</t>
        </is>
      </c>
      <c r="U44" s="74" t="inlineStr">
        <is>
          <t>sem_indice</t>
        </is>
      </c>
      <c r="V44" s="74" t="inlineStr">
        <is>
          <t>N/D</t>
        </is>
      </c>
      <c r="W44" s="74" t="b">
        <v>0</v>
      </c>
      <c r="X44" s="74" t="inlineStr">
        <is>
          <t>N/D — mínimo estrutural ou subordinação atual ausente</t>
        </is>
      </c>
      <c r="Y44" s="74" t="b">
        <v>0</v>
      </c>
      <c r="Z44" s="140" t="inlineStr">
        <is>
          <t>N/D</t>
        </is>
      </c>
      <c r="AA44" s="140" t="inlineStr">
        <is>
          <t>N/D</t>
        </is>
      </c>
      <c r="AB44" s="74" t="inlineStr">
        <is>
          <t>não medido</t>
        </is>
      </c>
      <c r="AC44" s="74" t="inlineStr">
        <is>
          <t>N/D</t>
        </is>
      </c>
      <c r="AD44" s="74" t="inlineStr">
        <is>
          <t>N/D</t>
        </is>
      </c>
      <c r="AE44" s="74" t="inlineStr">
        <is>
          <t>Cartão consignado</t>
        </is>
      </c>
      <c r="AF44" s="74" t="inlineStr">
        <is>
          <t>Financeiro</t>
        </is>
      </c>
      <c r="AG44" s="74" t="inlineStr">
        <is>
          <t>N/D</t>
        </is>
      </c>
      <c r="AH44" s="74" t="inlineStr">
        <is>
          <t>N/D</t>
        </is>
      </c>
      <c r="AI44" s="74" t="inlineStr">
        <is>
          <t>N/D</t>
        </is>
      </c>
      <c r="AJ44" s="74" t="b">
        <v>0</v>
      </c>
      <c r="AK44" s="74" t="inlineStr">
        <is>
          <t>N/D</t>
        </is>
      </c>
      <c r="AL44" s="74" t="inlineStr">
        <is>
          <t>N/D</t>
        </is>
      </c>
      <c r="AM44" s="74" t="inlineStr">
        <is>
          <t>N/D</t>
        </is>
      </c>
      <c r="AN44" s="74" t="inlineStr">
        <is>
          <t>N/D</t>
        </is>
      </c>
      <c r="AO44" s="74" t="inlineStr">
        <is>
          <t>N/D</t>
        </is>
      </c>
      <c r="AP44" s="74" t="inlineStr">
        <is>
          <t>N/D</t>
        </is>
      </c>
      <c r="AQ44" s="74" t="inlineStr">
        <is>
          <t>N/D</t>
        </is>
      </c>
      <c r="AR44" s="74" t="inlineStr">
        <is>
          <t>N/D</t>
        </is>
      </c>
      <c r="AS44" s="74" t="inlineStr">
        <is>
          <t>N/D</t>
        </is>
      </c>
      <c r="AT44" s="74" t="inlineStr">
        <is>
          <t>N/D</t>
        </is>
      </c>
      <c r="AU44" s="74" t="inlineStr">
        <is>
          <t>N/D</t>
        </is>
      </c>
      <c r="AV44" s="74" t="inlineStr">
        <is>
          <t>N/D</t>
        </is>
      </c>
      <c r="AW44" s="74" t="b">
        <v>0</v>
      </c>
      <c r="AX44" s="74" t="inlineStr">
        <is>
          <t>N/D</t>
        </is>
      </c>
      <c r="AY44" s="74" t="inlineStr">
        <is>
          <t>N/D</t>
        </is>
      </c>
      <c r="AZ44" s="140" t="inlineStr">
        <is>
          <t>N/D</t>
        </is>
      </c>
      <c r="BA44" s="74" t="inlineStr">
        <is>
          <t>N/D</t>
        </is>
      </c>
      <c r="BB44" s="141" t="inlineStr">
        <is>
          <t>N/D</t>
        </is>
      </c>
      <c r="BC44" s="139" t="inlineStr">
        <is>
          <t>N/D</t>
        </is>
      </c>
      <c r="BD44" s="74" t="inlineStr">
        <is>
          <t>N/D</t>
        </is>
      </c>
      <c r="BE44" s="74" t="inlineStr">
        <is>
          <t>N/D</t>
        </is>
      </c>
      <c r="BF44" s="74" t="inlineStr">
        <is>
          <t>N/D</t>
        </is>
      </c>
      <c r="BG44" s="74" t="inlineStr">
        <is>
          <t>N/D</t>
        </is>
      </c>
      <c r="BH44" s="74" t="inlineStr">
        <is>
          <t>N/D</t>
        </is>
      </c>
      <c r="BI44" s="74" t="inlineStr">
        <is>
          <t>N/D</t>
        </is>
      </c>
      <c r="BJ44" s="74" t="inlineStr">
        <is>
          <t>não localizado</t>
        </is>
      </c>
      <c r="BK44" s="74" t="b">
        <v>0</v>
      </c>
      <c r="BL44" s="74" t="inlineStr">
        <is>
          <t>N/D</t>
        </is>
      </c>
      <c r="BM44" s="74" t="inlineStr">
        <is>
          <t>N/D</t>
        </is>
      </c>
      <c r="BN44" s="74" t="inlineStr">
        <is>
          <t>N/D</t>
        </is>
      </c>
      <c r="BO44" s="74" t="inlineStr">
        <is>
          <t>N/D</t>
        </is>
      </c>
      <c r="BP44" s="74" t="inlineStr">
        <is>
          <t>N/D</t>
        </is>
      </c>
      <c r="BQ44" s="74" t="inlineStr">
        <is>
          <t>N/D</t>
        </is>
      </c>
      <c r="BR44" s="74" t="inlineStr">
        <is>
          <t>N/D</t>
        </is>
      </c>
      <c r="BS44" s="74" t="inlineStr">
        <is>
          <t>sem_overlay</t>
        </is>
      </c>
      <c r="BT44" s="74" t="inlineStr">
        <is>
          <t>N/D</t>
        </is>
      </c>
      <c r="BU44" s="74" t="inlineStr">
        <is>
          <t>N/D</t>
        </is>
      </c>
      <c r="BV44" s="74" t="inlineStr">
        <is>
          <t>N/D</t>
        </is>
      </c>
      <c r="BW44" s="74" t="inlineStr">
        <is>
          <t>N/D</t>
        </is>
      </c>
      <c r="BX44" s="74" t="inlineStr">
        <is>
          <t>lacuna — regulamento integral não disponível nas fontes locais</t>
        </is>
      </c>
      <c r="BY44" s="74" t="inlineStr">
        <is>
          <t>N/D</t>
        </is>
      </c>
      <c r="BZ44" s="74" t="inlineStr">
        <is>
          <t>N/D</t>
        </is>
      </c>
      <c r="CA44" s="74" t="inlineStr">
        <is>
          <t>mínimo estrutural comparável; preço unitário da cota; originador; cedente; sacado/devedor; tipo de recebível</t>
        </is>
      </c>
      <c r="CB44" s="74" t="inlineStr">
        <is>
          <t>minimo_estrutural_ausente</t>
        </is>
      </c>
    </row>
    <row r="45" ht="31.5" customHeight="1">
      <c r="A45" s="75" t="n">
        <v>22</v>
      </c>
      <c r="B45" s="142" t="n">
        <v>55316469000126</v>
      </c>
      <c r="C45" s="75" t="inlineStr">
        <is>
          <t>55.316.469/0001-26</t>
        </is>
      </c>
      <c r="D45" s="75" t="inlineStr">
        <is>
          <t>SOMAPAY CARTÃO CONSIGNADO PÚBLICO FUNDO DE INVESTIMENTO EM DIREITOS CREDITÓRIOS RESP LIMITADA</t>
        </is>
      </c>
      <c r="E45" s="75" t="inlineStr">
        <is>
          <t>Somapay Cartão Consignado Público</t>
        </is>
      </c>
      <c r="F45" s="75" t="inlineStr">
        <is>
          <t>Flagships</t>
        </is>
      </c>
      <c r="G45" s="75" t="inlineStr">
        <is>
          <t>2026-06</t>
        </is>
      </c>
      <c r="H45" s="75" t="inlineStr">
        <is>
          <t>localizado</t>
        </is>
      </c>
      <c r="I45" s="143" t="n">
        <v>159189935.48</v>
      </c>
      <c r="J45" s="143" t="n">
        <v>159189935.4801534</v>
      </c>
      <c r="K45" s="143" t="n">
        <v>68565695.32986915</v>
      </c>
      <c r="L45" s="144" t="n">
        <v>0.4307162706180221</v>
      </c>
      <c r="M45" s="75" t="inlineStr">
        <is>
          <t>Calculado com classes reportadas e PL oficial reconciliado</t>
        </is>
      </c>
      <c r="N45" s="144" t="inlineStr">
        <is>
          <t>N/D</t>
        </is>
      </c>
      <c r="O45" s="144" t="inlineStr">
        <is>
          <t>N/D</t>
        </is>
      </c>
      <c r="P45" s="144" t="inlineStr">
        <is>
          <t>N/D</t>
        </is>
      </c>
      <c r="Q45" s="144" t="inlineStr">
        <is>
          <t>N/D</t>
        </is>
      </c>
      <c r="R45" s="144" t="inlineStr">
        <is>
          <t>N/D</t>
        </is>
      </c>
      <c r="S45" s="144" t="inlineStr">
        <is>
          <t>N/D</t>
        </is>
      </c>
      <c r="T45" s="75" t="inlineStr">
        <is>
          <t>N/D</t>
        </is>
      </c>
      <c r="U45" s="75" t="inlineStr">
        <is>
          <t>sem_indice</t>
        </is>
      </c>
      <c r="V45" s="75" t="inlineStr">
        <is>
          <t>N/D</t>
        </is>
      </c>
      <c r="W45" s="75" t="b">
        <v>0</v>
      </c>
      <c r="X45" s="75" t="inlineStr">
        <is>
          <t>N/D — mínimo estrutural ou subordinação atual ausente</t>
        </is>
      </c>
      <c r="Y45" s="75" t="b">
        <v>0</v>
      </c>
      <c r="Z45" s="144" t="inlineStr">
        <is>
          <t>N/D</t>
        </is>
      </c>
      <c r="AA45" s="144" t="inlineStr">
        <is>
          <t>N/D</t>
        </is>
      </c>
      <c r="AB45" s="75" t="inlineStr">
        <is>
          <t>não medido</t>
        </is>
      </c>
      <c r="AC45" s="75" t="inlineStr">
        <is>
          <t>N/D</t>
        </is>
      </c>
      <c r="AD45" s="75" t="inlineStr">
        <is>
          <t>N/D</t>
        </is>
      </c>
      <c r="AE45" s="75" t="inlineStr">
        <is>
          <t>Cartão consignado</t>
        </is>
      </c>
      <c r="AF45" s="75" t="inlineStr">
        <is>
          <t>Financeiro</t>
        </is>
      </c>
      <c r="AG45" s="75" t="inlineStr">
        <is>
          <t>N/D</t>
        </is>
      </c>
      <c r="AH45" s="75" t="inlineStr">
        <is>
          <t>N/D</t>
        </is>
      </c>
      <c r="AI45" s="75" t="inlineStr">
        <is>
          <t>N/D</t>
        </is>
      </c>
      <c r="AJ45" s="75" t="b">
        <v>0</v>
      </c>
      <c r="AK45" s="75" t="inlineStr">
        <is>
          <t>N/D</t>
        </is>
      </c>
      <c r="AL45" s="75" t="inlineStr">
        <is>
          <t>N/D</t>
        </is>
      </c>
      <c r="AM45" s="75" t="inlineStr">
        <is>
          <t>N/D</t>
        </is>
      </c>
      <c r="AN45" s="75" t="inlineStr">
        <is>
          <t>N/D</t>
        </is>
      </c>
      <c r="AO45" s="75" t="inlineStr">
        <is>
          <t>N/D</t>
        </is>
      </c>
      <c r="AP45" s="75" t="inlineStr">
        <is>
          <t>N/D</t>
        </is>
      </c>
      <c r="AQ45" s="75" t="inlineStr">
        <is>
          <t>N/D</t>
        </is>
      </c>
      <c r="AR45" s="75" t="inlineStr">
        <is>
          <t>N/D</t>
        </is>
      </c>
      <c r="AS45" s="75" t="inlineStr">
        <is>
          <t>N/D</t>
        </is>
      </c>
      <c r="AT45" s="75" t="inlineStr">
        <is>
          <t>N/D</t>
        </is>
      </c>
      <c r="AU45" s="75" t="inlineStr">
        <is>
          <t>N/D</t>
        </is>
      </c>
      <c r="AV45" s="75" t="inlineStr">
        <is>
          <t>N/D</t>
        </is>
      </c>
      <c r="AW45" s="75" t="b">
        <v>0</v>
      </c>
      <c r="AX45" s="75" t="inlineStr">
        <is>
          <t>N/D</t>
        </is>
      </c>
      <c r="AY45" s="75" t="inlineStr">
        <is>
          <t>N/D</t>
        </is>
      </c>
      <c r="AZ45" s="144" t="inlineStr">
        <is>
          <t>N/D</t>
        </is>
      </c>
      <c r="BA45" s="75" t="inlineStr">
        <is>
          <t>N/D</t>
        </is>
      </c>
      <c r="BB45" s="145" t="inlineStr">
        <is>
          <t>N/D</t>
        </is>
      </c>
      <c r="BC45" s="143" t="inlineStr">
        <is>
          <t>N/D</t>
        </is>
      </c>
      <c r="BD45" s="75" t="inlineStr">
        <is>
          <t>N/D</t>
        </is>
      </c>
      <c r="BE45" s="75" t="inlineStr">
        <is>
          <t>N/D</t>
        </is>
      </c>
      <c r="BF45" s="75" t="inlineStr">
        <is>
          <t>N/D</t>
        </is>
      </c>
      <c r="BG45" s="75" t="inlineStr">
        <is>
          <t>N/D</t>
        </is>
      </c>
      <c r="BH45" s="75" t="inlineStr">
        <is>
          <t>N/D</t>
        </is>
      </c>
      <c r="BI45" s="75" t="inlineStr">
        <is>
          <t>N/D</t>
        </is>
      </c>
      <c r="BJ45" s="75" t="inlineStr">
        <is>
          <t>não localizado</t>
        </is>
      </c>
      <c r="BK45" s="75" t="b">
        <v>0</v>
      </c>
      <c r="BL45" s="75" t="inlineStr">
        <is>
          <t>N/D</t>
        </is>
      </c>
      <c r="BM45" s="75" t="inlineStr">
        <is>
          <t>N/D</t>
        </is>
      </c>
      <c r="BN45" s="75" t="inlineStr">
        <is>
          <t>N/D</t>
        </is>
      </c>
      <c r="BO45" s="75" t="inlineStr">
        <is>
          <t>N/D</t>
        </is>
      </c>
      <c r="BP45" s="75" t="inlineStr">
        <is>
          <t>N/D</t>
        </is>
      </c>
      <c r="BQ45" s="75" t="inlineStr">
        <is>
          <t>N/D</t>
        </is>
      </c>
      <c r="BR45" s="75" t="inlineStr">
        <is>
          <t>N/D</t>
        </is>
      </c>
      <c r="BS45" s="75" t="inlineStr">
        <is>
          <t>sem_overlay</t>
        </is>
      </c>
      <c r="BT45" s="75" t="inlineStr">
        <is>
          <t>N/D</t>
        </is>
      </c>
      <c r="BU45" s="75" t="inlineStr">
        <is>
          <t>N/D</t>
        </is>
      </c>
      <c r="BV45" s="75" t="inlineStr">
        <is>
          <t>N/D</t>
        </is>
      </c>
      <c r="BW45" s="75" t="inlineStr">
        <is>
          <t>N/D</t>
        </is>
      </c>
      <c r="BX45" s="75" t="inlineStr">
        <is>
          <t>lacuna — regulamento integral não disponível nas fontes locais</t>
        </is>
      </c>
      <c r="BY45" s="75" t="inlineStr">
        <is>
          <t>N/D</t>
        </is>
      </c>
      <c r="BZ45" s="75" t="inlineStr">
        <is>
          <t>N/D</t>
        </is>
      </c>
      <c r="CA45" s="75" t="inlineStr">
        <is>
          <t>mínimo estrutural comparável; preço unitário da cota; originador; cedente; sacado/devedor; tipo de recebível</t>
        </is>
      </c>
      <c r="CB45" s="75" t="inlineStr">
        <is>
          <t>minimo_estrutural_ausente</t>
        </is>
      </c>
    </row>
    <row r="46" ht="31.5" customHeight="1">
      <c r="A46" s="74" t="n">
        <v>23</v>
      </c>
      <c r="B46" s="138" t="n">
        <v>58188881000104</v>
      </c>
      <c r="C46" s="74" t="inlineStr">
        <is>
          <t>58.188.881/0001-04</t>
        </is>
      </c>
      <c r="D46" s="74" t="inlineStr">
        <is>
          <t>FUNDO DE INVESTIMENTO EM DIREITOS CREDITÓRIOS MT CARTÃO CONSIGNADO I</t>
        </is>
      </c>
      <c r="E46" s="74" t="inlineStr">
        <is>
          <t>MT Cartão Consignado I</t>
        </is>
      </c>
      <c r="F46" s="74" t="inlineStr">
        <is>
          <t>Flagships</t>
        </is>
      </c>
      <c r="G46" s="74" t="inlineStr">
        <is>
          <t>2026-06</t>
        </is>
      </c>
      <c r="H46" s="74" t="inlineStr">
        <is>
          <t>localizado</t>
        </is>
      </c>
      <c r="I46" s="139" t="n">
        <v>68107152.92</v>
      </c>
      <c r="J46" s="139" t="n">
        <v>68107152.92015834</v>
      </c>
      <c r="K46" s="139" t="n">
        <v>1686167.326386738</v>
      </c>
      <c r="L46" s="140" t="n">
        <v>0.0247575658957194</v>
      </c>
      <c r="M46" s="74" t="inlineStr">
        <is>
          <t>Calculado com classes reportadas e PL oficial reconciliado</t>
        </is>
      </c>
      <c r="N46" s="140" t="inlineStr">
        <is>
          <t>N/D</t>
        </is>
      </c>
      <c r="O46" s="140" t="inlineStr">
        <is>
          <t>N/D</t>
        </is>
      </c>
      <c r="P46" s="140" t="inlineStr">
        <is>
          <t>N/D</t>
        </is>
      </c>
      <c r="Q46" s="140" t="inlineStr">
        <is>
          <t>N/D</t>
        </is>
      </c>
      <c r="R46" s="140" t="inlineStr">
        <is>
          <t>N/D</t>
        </is>
      </c>
      <c r="S46" s="140" t="inlineStr">
        <is>
          <t>N/D</t>
        </is>
      </c>
      <c r="T46" s="74" t="inlineStr">
        <is>
          <t>N/D</t>
        </is>
      </c>
      <c r="U46" s="74" t="inlineStr">
        <is>
          <t>sem_indice</t>
        </is>
      </c>
      <c r="V46" s="74" t="inlineStr">
        <is>
          <t>N/D</t>
        </is>
      </c>
      <c r="W46" s="74" t="b">
        <v>0</v>
      </c>
      <c r="X46" s="74" t="inlineStr">
        <is>
          <t>N/D — mínimo estrutural ou subordinação atual ausente</t>
        </is>
      </c>
      <c r="Y46" s="74" t="b">
        <v>0</v>
      </c>
      <c r="Z46" s="140" t="inlineStr">
        <is>
          <t>N/D</t>
        </is>
      </c>
      <c r="AA46" s="140" t="inlineStr">
        <is>
          <t>N/D</t>
        </is>
      </c>
      <c r="AB46" s="74" t="inlineStr">
        <is>
          <t>não medido</t>
        </is>
      </c>
      <c r="AC46" s="74" t="inlineStr">
        <is>
          <t>N/D</t>
        </is>
      </c>
      <c r="AD46" s="74" t="inlineStr">
        <is>
          <t>N/D</t>
        </is>
      </c>
      <c r="AE46" s="74" t="inlineStr">
        <is>
          <t>Cartão consignado</t>
        </is>
      </c>
      <c r="AF46" s="74" t="inlineStr">
        <is>
          <t>Financeiro</t>
        </is>
      </c>
      <c r="AG46" s="74" t="inlineStr">
        <is>
          <t>N/D</t>
        </is>
      </c>
      <c r="AH46" s="74" t="inlineStr">
        <is>
          <t>N/D</t>
        </is>
      </c>
      <c r="AI46" s="74" t="inlineStr">
        <is>
          <t>N/D</t>
        </is>
      </c>
      <c r="AJ46" s="74" t="b">
        <v>0</v>
      </c>
      <c r="AK46" s="74" t="inlineStr">
        <is>
          <t>N/D</t>
        </is>
      </c>
      <c r="AL46" s="74" t="inlineStr">
        <is>
          <t>N/D</t>
        </is>
      </c>
      <c r="AM46" s="74" t="inlineStr">
        <is>
          <t>N/D</t>
        </is>
      </c>
      <c r="AN46" s="74" t="inlineStr">
        <is>
          <t>N/D</t>
        </is>
      </c>
      <c r="AO46" s="74" t="inlineStr">
        <is>
          <t>N/D</t>
        </is>
      </c>
      <c r="AP46" s="74" t="inlineStr">
        <is>
          <t>N/D</t>
        </is>
      </c>
      <c r="AQ46" s="74" t="inlineStr">
        <is>
          <t>N/D</t>
        </is>
      </c>
      <c r="AR46" s="74" t="inlineStr">
        <is>
          <t>N/D</t>
        </is>
      </c>
      <c r="AS46" s="74" t="inlineStr">
        <is>
          <t>N/D</t>
        </is>
      </c>
      <c r="AT46" s="74" t="inlineStr">
        <is>
          <t>N/D</t>
        </is>
      </c>
      <c r="AU46" s="74" t="inlineStr">
        <is>
          <t>N/D</t>
        </is>
      </c>
      <c r="AV46" s="74" t="inlineStr">
        <is>
          <t>N/D</t>
        </is>
      </c>
      <c r="AW46" s="74" t="b">
        <v>0</v>
      </c>
      <c r="AX46" s="74" t="inlineStr">
        <is>
          <t>N/D</t>
        </is>
      </c>
      <c r="AY46" s="74" t="inlineStr">
        <is>
          <t>N/D</t>
        </is>
      </c>
      <c r="AZ46" s="140" t="inlineStr">
        <is>
          <t>N/D</t>
        </is>
      </c>
      <c r="BA46" s="74" t="inlineStr">
        <is>
          <t>N/D</t>
        </is>
      </c>
      <c r="BB46" s="141" t="inlineStr">
        <is>
          <t>N/D</t>
        </is>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N/D</t>
        </is>
      </c>
      <c r="BM46" s="74" t="inlineStr">
        <is>
          <t>N/D</t>
        </is>
      </c>
      <c r="BN46" s="74" t="inlineStr">
        <is>
          <t>N/D</t>
        </is>
      </c>
      <c r="BO46" s="74" t="inlineStr">
        <is>
          <t>N/D</t>
        </is>
      </c>
      <c r="BP46" s="74" t="inlineStr">
        <is>
          <t>N/D</t>
        </is>
      </c>
      <c r="BQ46" s="74" t="inlineStr">
        <is>
          <t>N/D</t>
        </is>
      </c>
      <c r="BR46" s="74" t="inlineStr">
        <is>
          <t>N/D</t>
        </is>
      </c>
      <c r="BS46" s="74" t="inlineStr">
        <is>
          <t>sem_overlay</t>
        </is>
      </c>
      <c r="BT46" s="74" t="inlineStr">
        <is>
          <t>N/D</t>
        </is>
      </c>
      <c r="BU46" s="74" t="inlineStr">
        <is>
          <t>N/D</t>
        </is>
      </c>
      <c r="BV46" s="74" t="inlineStr">
        <is>
          <t>N/D</t>
        </is>
      </c>
      <c r="BW46" s="74" t="inlineStr">
        <is>
          <t>N/D</t>
        </is>
      </c>
      <c r="BX46" s="74" t="inlineStr">
        <is>
          <t>lacuna — regulamento integral não disponível nas fontes locais</t>
        </is>
      </c>
      <c r="BY46" s="74" t="inlineStr">
        <is>
          <t>N/D</t>
        </is>
      </c>
      <c r="BZ46" s="74" t="inlineStr">
        <is>
          <t>N/D</t>
        </is>
      </c>
      <c r="CA46" s="74" t="inlineStr">
        <is>
          <t>mínimo estrutural comparável; preço unitário da cota; originador; cedente; sacado/devedor; tipo de recebível</t>
        </is>
      </c>
      <c r="CB46" s="74" t="inlineStr">
        <is>
          <t>minimo_estrutural_ausente</t>
        </is>
      </c>
    </row>
    <row r="47" ht="31.5" customHeight="1">
      <c r="A47" s="75" t="n">
        <v>24</v>
      </c>
      <c r="B47" s="142" t="n">
        <v>12803721000119</v>
      </c>
      <c r="C47" s="75" t="inlineStr">
        <is>
          <t>12.803.721/0001-19</t>
        </is>
      </c>
      <c r="D47" s="75" t="inlineStr">
        <is>
          <t>FUNDO DE INVESTIMENTO EM DIREITOS CREDITÓRIOS FRATTO</t>
        </is>
      </c>
      <c r="E47" s="75" t="inlineStr">
        <is>
          <t>Fratto</t>
        </is>
      </c>
      <c r="F47" s="75" t="inlineStr">
        <is>
          <t>Flagships</t>
        </is>
      </c>
      <c r="G47" s="75" t="inlineStr">
        <is>
          <t>2026-06</t>
        </is>
      </c>
      <c r="H47" s="75" t="inlineStr">
        <is>
          <t>localizado</t>
        </is>
      </c>
      <c r="I47" s="143" t="n">
        <v>103640698.41</v>
      </c>
      <c r="J47" s="143" t="n">
        <v>103640698.410112</v>
      </c>
      <c r="K47" s="143" t="n">
        <v>93613927.21010137</v>
      </c>
      <c r="L47" s="144" t="n">
        <v>0.9032544998854314</v>
      </c>
      <c r="M47" s="75" t="inlineStr">
        <is>
          <t>Calculado com classes reportadas e PL oficial reconciliado</t>
        </is>
      </c>
      <c r="N47" s="144" t="inlineStr">
        <is>
          <t>N/D</t>
        </is>
      </c>
      <c r="O47" s="144" t="inlineStr">
        <is>
          <t>N/D</t>
        </is>
      </c>
      <c r="P47" s="144" t="inlineStr">
        <is>
          <t>N/D</t>
        </is>
      </c>
      <c r="Q47" s="144" t="inlineStr">
        <is>
          <t>N/D</t>
        </is>
      </c>
      <c r="R47" s="144" t="inlineStr">
        <is>
          <t>N/D</t>
        </is>
      </c>
      <c r="S47" s="144" t="inlineStr">
        <is>
          <t>N/D</t>
        </is>
      </c>
      <c r="T47" s="75" t="inlineStr">
        <is>
          <t>N/D</t>
        </is>
      </c>
      <c r="U47" s="75" t="inlineStr">
        <is>
          <t>sem_indice</t>
        </is>
      </c>
      <c r="V47" s="75" t="inlineStr">
        <is>
          <t>N/D</t>
        </is>
      </c>
      <c r="W47" s="75" t="b">
        <v>0</v>
      </c>
      <c r="X47" s="75" t="inlineStr">
        <is>
          <t>N/D — mínimo estrutural ou subordinação atual ausente</t>
        </is>
      </c>
      <c r="Y47" s="75" t="b">
        <v>0</v>
      </c>
      <c r="Z47" s="144" t="inlineStr">
        <is>
          <t>N/D</t>
        </is>
      </c>
      <c r="AA47" s="144" t="inlineStr">
        <is>
          <t>N/D</t>
        </is>
      </c>
      <c r="AB47" s="75" t="inlineStr">
        <is>
          <t>não medido</t>
        </is>
      </c>
      <c r="AC47" s="75" t="inlineStr">
        <is>
          <t>N/D</t>
        </is>
      </c>
      <c r="AD47" s="75" t="inlineStr">
        <is>
          <t>N/D</t>
        </is>
      </c>
      <c r="AE47" s="75" t="inlineStr">
        <is>
          <t>Factoring</t>
        </is>
      </c>
      <c r="AF47" s="75" t="inlineStr">
        <is>
          <t>Factoring</t>
        </is>
      </c>
      <c r="AG47" s="75" t="inlineStr">
        <is>
          <t>N/D</t>
        </is>
      </c>
      <c r="AH47" s="75" t="inlineStr">
        <is>
          <t>N/D</t>
        </is>
      </c>
      <c r="AI47" s="75" t="inlineStr">
        <is>
          <t>N/D</t>
        </is>
      </c>
      <c r="AJ47" s="75" t="b">
        <v>0</v>
      </c>
      <c r="AK47" s="75" t="inlineStr">
        <is>
          <t>N/D</t>
        </is>
      </c>
      <c r="AL47" s="75" t="inlineStr">
        <is>
          <t>N/D</t>
        </is>
      </c>
      <c r="AM47" s="75" t="inlineStr">
        <is>
          <t>N/D</t>
        </is>
      </c>
      <c r="AN47" s="75" t="inlineStr">
        <is>
          <t>N/D</t>
        </is>
      </c>
      <c r="AO47" s="75" t="inlineStr">
        <is>
          <t>N/D</t>
        </is>
      </c>
      <c r="AP47" s="75" t="inlineStr">
        <is>
          <t>N/D</t>
        </is>
      </c>
      <c r="AQ47" s="75" t="inlineStr">
        <is>
          <t>N/D</t>
        </is>
      </c>
      <c r="AR47" s="75" t="inlineStr">
        <is>
          <t>N/D</t>
        </is>
      </c>
      <c r="AS47" s="75" t="inlineStr">
        <is>
          <t>N/D</t>
        </is>
      </c>
      <c r="AT47" s="75" t="inlineStr">
        <is>
          <t>N/D</t>
        </is>
      </c>
      <c r="AU47" s="75" t="inlineStr">
        <is>
          <t>N/D</t>
        </is>
      </c>
      <c r="AV47" s="75" t="inlineStr">
        <is>
          <t>N/D</t>
        </is>
      </c>
      <c r="AW47" s="75" t="b">
        <v>0</v>
      </c>
      <c r="AX47" s="75" t="inlineStr">
        <is>
          <t>N/D</t>
        </is>
      </c>
      <c r="AY47" s="75" t="inlineStr">
        <is>
          <t>N/D</t>
        </is>
      </c>
      <c r="AZ47" s="144" t="inlineStr">
        <is>
          <t>N/D</t>
        </is>
      </c>
      <c r="BA47" s="75" t="inlineStr">
        <is>
          <t>N/D</t>
        </is>
      </c>
      <c r="BB47" s="145" t="inlineStr">
        <is>
          <t>N/D</t>
        </is>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N/D</t>
        </is>
      </c>
      <c r="BM47" s="75" t="inlineStr">
        <is>
          <t>N/D</t>
        </is>
      </c>
      <c r="BN47" s="75" t="inlineStr">
        <is>
          <t>N/D</t>
        </is>
      </c>
      <c r="BO47" s="75" t="inlineStr">
        <is>
          <t>N/D</t>
        </is>
      </c>
      <c r="BP47" s="75" t="inlineStr">
        <is>
          <t>N/D</t>
        </is>
      </c>
      <c r="BQ47" s="75" t="inlineStr">
        <is>
          <t>N/D</t>
        </is>
      </c>
      <c r="BR47" s="75" t="inlineStr">
        <is>
          <t>N/D</t>
        </is>
      </c>
      <c r="BS47" s="75" t="inlineStr">
        <is>
          <t>sem_overlay</t>
        </is>
      </c>
      <c r="BT47" s="75" t="inlineStr">
        <is>
          <t>N/D</t>
        </is>
      </c>
      <c r="BU47" s="75" t="inlineStr">
        <is>
          <t>N/D</t>
        </is>
      </c>
      <c r="BV47" s="75" t="inlineStr">
        <is>
          <t>N/D</t>
        </is>
      </c>
      <c r="BW47" s="75" t="inlineStr">
        <is>
          <t>N/D</t>
        </is>
      </c>
      <c r="BX47" s="75" t="inlineStr">
        <is>
          <t>lacuna — regulamento integral não disponível nas fontes locais</t>
        </is>
      </c>
      <c r="BY47" s="75" t="inlineStr">
        <is>
          <t>N/D</t>
        </is>
      </c>
      <c r="BZ47" s="75" t="inlineStr">
        <is>
          <t>N/D</t>
        </is>
      </c>
      <c r="CA47" s="75" t="inlineStr">
        <is>
          <t>mínimo estrutural comparável; preço unitário da cota; originador; cedente; sacado/devedor; tipo de recebível</t>
        </is>
      </c>
      <c r="CB47" s="75" t="inlineStr">
        <is>
          <t>minimo_estrutural_ausente</t>
        </is>
      </c>
    </row>
    <row r="48" ht="31.5" customHeight="1">
      <c r="A48" s="74" t="n">
        <v>25</v>
      </c>
      <c r="B48" s="138" t="n">
        <v>12778706000168</v>
      </c>
      <c r="C48" s="74" t="inlineStr">
        <is>
          <t>12.778.706/0001-68</t>
        </is>
      </c>
      <c r="D48" s="74" t="inlineStr">
        <is>
          <t>FUNDO DE INVESTIMENTO EM DIREITOS CREDITÓRIOS - BRASILFACTORS CRÉDITO CORPORATIVO</t>
        </is>
      </c>
      <c r="E48" s="74" t="inlineStr">
        <is>
          <t>Brasilfactors Crédito Corporativo</t>
        </is>
      </c>
      <c r="F48" s="74" t="inlineStr">
        <is>
          <t>Flagships</t>
        </is>
      </c>
      <c r="G48" s="74" t="inlineStr">
        <is>
          <t>2026-06</t>
        </is>
      </c>
      <c r="H48" s="74" t="inlineStr">
        <is>
          <t>localizado</t>
        </is>
      </c>
      <c r="I48" s="139" t="n">
        <v>110933332.06</v>
      </c>
      <c r="J48" s="139" t="n">
        <v>110933332.0562384</v>
      </c>
      <c r="K48" s="139" t="n">
        <v>2297997.439768207</v>
      </c>
      <c r="L48" s="140" t="n">
        <v>0.0207151213895324</v>
      </c>
      <c r="M48" s="74" t="inlineStr">
        <is>
          <t>Calculado com classes reportadas e PL oficial reconciliado</t>
        </is>
      </c>
      <c r="N48" s="140" t="inlineStr">
        <is>
          <t>N/D</t>
        </is>
      </c>
      <c r="O48" s="140" t="inlineStr">
        <is>
          <t>N/D</t>
        </is>
      </c>
      <c r="P48" s="140" t="inlineStr">
        <is>
          <t>N/D</t>
        </is>
      </c>
      <c r="Q48" s="140" t="inlineStr">
        <is>
          <t>N/D</t>
        </is>
      </c>
      <c r="R48" s="140" t="inlineStr">
        <is>
          <t>N/D</t>
        </is>
      </c>
      <c r="S48" s="140" t="inlineStr">
        <is>
          <t>N/D</t>
        </is>
      </c>
      <c r="T48" s="74" t="inlineStr">
        <is>
          <t>N/D</t>
        </is>
      </c>
      <c r="U48" s="74" t="inlineStr">
        <is>
          <t>sem_indice</t>
        </is>
      </c>
      <c r="V48" s="74" t="inlineStr">
        <is>
          <t>N/D</t>
        </is>
      </c>
      <c r="W48" s="74" t="b">
        <v>0</v>
      </c>
      <c r="X48" s="74" t="inlineStr">
        <is>
          <t>N/D — mínimo estrutural ou subordinação atual ausente</t>
        </is>
      </c>
      <c r="Y48" s="74" t="b">
        <v>0</v>
      </c>
      <c r="Z48" s="140" t="inlineStr">
        <is>
          <t>N/D</t>
        </is>
      </c>
      <c r="AA48" s="140" t="inlineStr">
        <is>
          <t>N/D</t>
        </is>
      </c>
      <c r="AB48" s="74" t="inlineStr">
        <is>
          <t>não medido</t>
        </is>
      </c>
      <c r="AC48" s="74" t="inlineStr">
        <is>
          <t>N/D</t>
        </is>
      </c>
      <c r="AD48" s="74" t="inlineStr">
        <is>
          <t>N/D</t>
        </is>
      </c>
      <c r="AE48" s="74" t="inlineStr">
        <is>
          <t>Factoring</t>
        </is>
      </c>
      <c r="AF48" s="74" t="inlineStr">
        <is>
          <t>Factoring</t>
        </is>
      </c>
      <c r="AG48" s="74" t="inlineStr">
        <is>
          <t>N/D</t>
        </is>
      </c>
      <c r="AH48" s="74" t="inlineStr">
        <is>
          <t>N/D</t>
        </is>
      </c>
      <c r="AI48" s="74" t="inlineStr">
        <is>
          <t>N/D</t>
        </is>
      </c>
      <c r="AJ48" s="74" t="b">
        <v>0</v>
      </c>
      <c r="AK48" s="74" t="inlineStr">
        <is>
          <t>N/D</t>
        </is>
      </c>
      <c r="AL48" s="74" t="inlineStr">
        <is>
          <t>N/D</t>
        </is>
      </c>
      <c r="AM48" s="74" t="inlineStr">
        <is>
          <t>N/D</t>
        </is>
      </c>
      <c r="AN48" s="74" t="inlineStr">
        <is>
          <t>N/D</t>
        </is>
      </c>
      <c r="AO48" s="74" t="inlineStr">
        <is>
          <t>N/D</t>
        </is>
      </c>
      <c r="AP48" s="74" t="inlineStr">
        <is>
          <t>N/D</t>
        </is>
      </c>
      <c r="AQ48" s="74" t="inlineStr">
        <is>
          <t>N/D</t>
        </is>
      </c>
      <c r="AR48" s="74" t="inlineStr">
        <is>
          <t>N/D</t>
        </is>
      </c>
      <c r="AS48" s="74" t="inlineStr">
        <is>
          <t>N/D</t>
        </is>
      </c>
      <c r="AT48" s="74" t="inlineStr">
        <is>
          <t>N/D</t>
        </is>
      </c>
      <c r="AU48" s="74" t="inlineStr">
        <is>
          <t>N/D</t>
        </is>
      </c>
      <c r="AV48" s="74" t="inlineStr">
        <is>
          <t>N/D</t>
        </is>
      </c>
      <c r="AW48" s="74" t="b">
        <v>0</v>
      </c>
      <c r="AX48" s="74" t="inlineStr">
        <is>
          <t>N/D</t>
        </is>
      </c>
      <c r="AY48" s="74" t="inlineStr">
        <is>
          <t>N/D</t>
        </is>
      </c>
      <c r="AZ48" s="140" t="inlineStr">
        <is>
          <t>N/D</t>
        </is>
      </c>
      <c r="BA48" s="74" t="inlineStr">
        <is>
          <t>N/D</t>
        </is>
      </c>
      <c r="BB48" s="141" t="inlineStr">
        <is>
          <t>N/D</t>
        </is>
      </c>
      <c r="BC48" s="139" t="inlineStr">
        <is>
          <t>N/D</t>
        </is>
      </c>
      <c r="BD48" s="74" t="inlineStr">
        <is>
          <t>N/D</t>
        </is>
      </c>
      <c r="BE48" s="74" t="inlineStr">
        <is>
          <t>N/D</t>
        </is>
      </c>
      <c r="BF48" s="74" t="inlineStr">
        <is>
          <t>N/D</t>
        </is>
      </c>
      <c r="BG48" s="74" t="inlineStr">
        <is>
          <t>N/D</t>
        </is>
      </c>
      <c r="BH48" s="74" t="inlineStr">
        <is>
          <t>N/D</t>
        </is>
      </c>
      <c r="BI48" s="74" t="inlineStr">
        <is>
          <t>N/D</t>
        </is>
      </c>
      <c r="BJ48" s="74" t="inlineStr">
        <is>
          <t>não localizado</t>
        </is>
      </c>
      <c r="BK48" s="74" t="b">
        <v>0</v>
      </c>
      <c r="BL48" s="74" t="inlineStr">
        <is>
          <t>N/D</t>
        </is>
      </c>
      <c r="BM48" s="74" t="inlineStr">
        <is>
          <t>N/D</t>
        </is>
      </c>
      <c r="BN48" s="74" t="inlineStr">
        <is>
          <t>N/D</t>
        </is>
      </c>
      <c r="BO48" s="74" t="inlineStr">
        <is>
          <t>N/D</t>
        </is>
      </c>
      <c r="BP48" s="74" t="inlineStr">
        <is>
          <t>N/D</t>
        </is>
      </c>
      <c r="BQ48" s="74" t="inlineStr">
        <is>
          <t>N/D</t>
        </is>
      </c>
      <c r="BR48" s="74" t="inlineStr">
        <is>
          <t>N/D</t>
        </is>
      </c>
      <c r="BS48" s="74" t="inlineStr">
        <is>
          <t>sem_overlay</t>
        </is>
      </c>
      <c r="BT48" s="74" t="inlineStr">
        <is>
          <t>N/D</t>
        </is>
      </c>
      <c r="BU48" s="74" t="inlineStr">
        <is>
          <t>N/D</t>
        </is>
      </c>
      <c r="BV48" s="74" t="inlineStr">
        <is>
          <t>N/D</t>
        </is>
      </c>
      <c r="BW48" s="74" t="inlineStr">
        <is>
          <t>N/D</t>
        </is>
      </c>
      <c r="BX48" s="74" t="inlineStr">
        <is>
          <t>lacuna — regulamento integral não disponível nas fontes locais</t>
        </is>
      </c>
      <c r="BY48" s="74" t="inlineStr">
        <is>
          <t>N/D</t>
        </is>
      </c>
      <c r="BZ48" s="74" t="inlineStr">
        <is>
          <t>N/D</t>
        </is>
      </c>
      <c r="CA48" s="74" t="inlineStr">
        <is>
          <t>mínimo estrutural comparável; preço unitário da cota; originador; cedente; sacado/devedor; tipo de recebível</t>
        </is>
      </c>
      <c r="CB48" s="74" t="inlineStr">
        <is>
          <t>minimo_estrutural_ausente</t>
        </is>
      </c>
    </row>
    <row r="49" ht="31.5" customHeight="1">
      <c r="A49" s="75" t="n">
        <v>26</v>
      </c>
      <c r="B49" s="142" t="n">
        <v>41970012000126</v>
      </c>
      <c r="C49" s="75" t="inlineStr">
        <is>
          <t>41.970.012/0001-26</t>
        </is>
      </c>
      <c r="D49" s="75" t="inlineStr">
        <is>
          <t>MERCADO CRÉDITO II BRASIL FUNDO DE INVESTIMENTO EM DIREITOS CREDITÓRIOS DE RESPONSABILIDADE LIMITADA</t>
        </is>
      </c>
      <c r="E49" s="75" t="inlineStr">
        <is>
          <t>Mercado Crédito, Mercado Crédito I e II</t>
        </is>
      </c>
      <c r="F49" s="75" t="inlineStr">
        <is>
          <t>Flagships</t>
        </is>
      </c>
      <c r="G49" s="75" t="inlineStr">
        <is>
          <t>2026-06</t>
        </is>
      </c>
      <c r="H49" s="75" t="inlineStr">
        <is>
          <t>localizado</t>
        </is>
      </c>
      <c r="I49" s="143" t="n">
        <v>1761615997.81</v>
      </c>
      <c r="J49" s="143" t="n">
        <v>1761615997.788163</v>
      </c>
      <c r="K49" s="143" t="n">
        <v>553707443.8909049</v>
      </c>
      <c r="L49" s="144" t="n">
        <v>0.3143179016194569</v>
      </c>
      <c r="M49" s="75" t="inlineStr">
        <is>
          <t>Calculado com classes reportadas e PL oficial reconciliado</t>
        </is>
      </c>
      <c r="N49" s="144" t="n">
        <v>0.1</v>
      </c>
      <c r="O49" s="144" t="inlineStr">
        <is>
          <t>N/D</t>
        </is>
      </c>
      <c r="P49" s="144" t="inlineStr">
        <is>
          <t>N/D</t>
        </is>
      </c>
      <c r="Q49" s="144" t="inlineStr">
        <is>
          <t>N/D</t>
        </is>
      </c>
      <c r="R49" s="144" t="inlineStr">
        <is>
          <t>N/D</t>
        </is>
      </c>
      <c r="S49" s="144" t="inlineStr">
        <is>
          <t>N/D</t>
        </is>
      </c>
      <c r="T49" s="75" t="inlineStr">
        <is>
          <t>10,0%</t>
        </is>
      </c>
      <c r="U49" s="75" t="inlineStr">
        <is>
          <t>junior_pl</t>
        </is>
      </c>
      <c r="V49" s="75" t="inlineStr">
        <is>
          <t>direto no regulamento</t>
        </is>
      </c>
      <c r="W49" s="75" t="b">
        <v>0</v>
      </c>
      <c r="X49" s="75" t="inlineStr">
        <is>
          <t>N/D — equivalência entre mínimo júnior e subordinação total não comprovada</t>
        </is>
      </c>
      <c r="Y49" s="75" t="b">
        <v>1</v>
      </c>
      <c r="Z49" s="144" t="inlineStr">
        <is>
          <t>N/D</t>
        </is>
      </c>
      <c r="AA49" s="144" t="inlineStr">
        <is>
          <t>N/D</t>
        </is>
      </c>
      <c r="AB49" s="75" t="inlineStr">
        <is>
          <t>não medido</t>
        </is>
      </c>
      <c r="AC49" s="75" t="inlineStr">
        <is>
          <t>N/D</t>
        </is>
      </c>
      <c r="AD49" s="75" t="inlineStr">
        <is>
          <t>N/D</t>
        </is>
      </c>
      <c r="AE49" s="75" t="inlineStr">
        <is>
          <t>Crédito PJ</t>
        </is>
      </c>
      <c r="AF49" s="75" t="inlineStr">
        <is>
          <t>Financeiro</t>
        </is>
      </c>
      <c r="AG49" s="75" t="inlineStr">
        <is>
          <t>N/D</t>
        </is>
      </c>
      <c r="AH49" s="75" t="inlineStr">
        <is>
          <t>N/D</t>
        </is>
      </c>
      <c r="AI49" s="75" t="inlineStr">
        <is>
          <t>N/D</t>
        </is>
      </c>
      <c r="AJ49" s="75" t="b">
        <v>0</v>
      </c>
      <c r="AK49" s="75" t="inlineStr">
        <is>
          <t>N/D</t>
        </is>
      </c>
      <c r="AL49" s="75" t="inlineStr">
        <is>
          <t>N/D</t>
        </is>
      </c>
      <c r="AM49" s="75" t="inlineStr">
        <is>
          <t>N/D</t>
        </is>
      </c>
      <c r="AN49" s="75" t="inlineStr">
        <is>
          <t>N/D</t>
        </is>
      </c>
      <c r="AO49" s="75" t="inlineStr">
        <is>
          <t>N/D</t>
        </is>
      </c>
      <c r="AP49" s="75" t="inlineStr">
        <is>
          <t>N/D</t>
        </is>
      </c>
      <c r="AQ49" s="75" t="inlineStr">
        <is>
          <t>N/D</t>
        </is>
      </c>
      <c r="AR49" s="75" t="inlineStr">
        <is>
          <t>N/D</t>
        </is>
      </c>
      <c r="AS49" s="75" t="inlineStr">
        <is>
          <t>N/D</t>
        </is>
      </c>
      <c r="AT49" s="75" t="inlineStr">
        <is>
          <t>N/D</t>
        </is>
      </c>
      <c r="AU49" s="75" t="inlineStr">
        <is>
          <t>N/D</t>
        </is>
      </c>
      <c r="AV49" s="75" t="inlineStr">
        <is>
          <t>N/D</t>
        </is>
      </c>
      <c r="AW49" s="75" t="b">
        <v>0</v>
      </c>
      <c r="AX49" s="75" t="inlineStr">
        <is>
          <t>N/D</t>
        </is>
      </c>
      <c r="AY49" s="75" t="inlineStr">
        <is>
          <t>N/D</t>
        </is>
      </c>
      <c r="AZ49" s="144" t="inlineStr">
        <is>
          <t>N/D</t>
        </is>
      </c>
      <c r="BA49" s="75" t="inlineStr">
        <is>
          <t>N/D</t>
        </is>
      </c>
      <c r="BB49" s="145" t="inlineStr">
        <is>
          <t>N/D</t>
        </is>
      </c>
      <c r="BC49" s="143" t="n">
        <v>1000</v>
      </c>
      <c r="BD49" s="75" t="inlineStr">
        <is>
          <t>R$ 1.000,00</t>
        </is>
      </c>
      <c r="BE49" s="75" t="inlineStr">
        <is>
          <t>preço/VNU conforme fonte</t>
        </is>
      </c>
      <c r="BF49" s="75" t="inlineStr">
        <is>
          <t>1ª emissão sênior / 1ª emissão mezanino</t>
        </is>
      </c>
      <c r="BG49" s="75" t="inlineStr">
        <is>
          <t>19/12/2025</t>
        </is>
      </c>
      <c r="BH49" s="75" t="inlineStr">
        <is>
          <t>1077334</t>
        </is>
      </c>
      <c r="BI49" s="75" t="inlineStr">
        <is>
          <t>1077334_regulamento_regulamento_1077334_2025-12-19.pdf · p.162-166 · ID 1077334 | 1077334_regulamento_regulamento_1077334_2025-12-19.pdf · p.172-176 · ID 1077334</t>
        </is>
      </c>
      <c r="BJ49" s="75" t="inlineStr">
        <is>
          <t>localizado documentalmente</t>
        </is>
      </c>
      <c r="BK49" s="75" t="b">
        <v>1</v>
      </c>
      <c r="BL49" s="75" t="inlineStr">
        <is>
          <t>N/D</t>
        </is>
      </c>
      <c r="BM49" s="75" t="inlineStr">
        <is>
          <t>N/D</t>
        </is>
      </c>
      <c r="BN49" s="75" t="inlineStr">
        <is>
          <t>N/D</t>
        </is>
      </c>
      <c r="BO49" s="75" t="inlineStr">
        <is>
          <t>N/D</t>
        </is>
      </c>
      <c r="BP49" s="75" t="inlineStr">
        <is>
          <t>N/D</t>
        </is>
      </c>
      <c r="BQ49" s="75" t="inlineStr">
        <is>
          <t>N/D</t>
        </is>
      </c>
      <c r="BR49" s="75" t="inlineStr">
        <is>
          <t>N/D</t>
        </is>
      </c>
      <c r="BS49" s="75" t="inlineStr">
        <is>
          <t>sem_overlay</t>
        </is>
      </c>
      <c r="BT49" s="75" t="inlineStr">
        <is>
          <t>N/D</t>
        </is>
      </c>
      <c r="BU49" s="75" t="inlineStr">
        <is>
          <t>1077334</t>
        </is>
      </c>
      <c r="BV49" s="75" t="inlineStr">
        <is>
          <t>2025-12-19</t>
        </is>
      </c>
      <c r="BW49" s="75" t="inlineStr">
        <is>
          <t>cláusula 7.29.2</t>
        </is>
      </c>
      <c r="BX49" s="75" t="inlineStr">
        <is>
          <t>revisto — mínimo júnior localizado</t>
        </is>
      </c>
      <c r="BY49" s="75" t="inlineStr">
        <is>
          <t>FundosNet/B3; documento 1077334; referência 2025-12-19; cláusula 7.29.2</t>
        </is>
      </c>
      <c r="BZ49" s="75" t="inlineStr">
        <is>
          <t>Razão de subordinação júnior na primeira integralização: mínimo de 10,0%.</t>
        </is>
      </c>
      <c r="CA49" s="75" t="inlineStr">
        <is>
          <t>mínimo estrutural comparável; originador; cedente; sacado/devedor; tipo de recebível</t>
        </is>
      </c>
      <c r="CB49" s="75" t="inlineStr">
        <is>
          <t>estrutura_incomparavel</t>
        </is>
      </c>
    </row>
    <row r="50" ht="31.5" customHeight="1">
      <c r="A50" s="74" t="n">
        <v>26</v>
      </c>
      <c r="B50" s="138" t="n">
        <v>33254370000104</v>
      </c>
      <c r="C50" s="74" t="inlineStr">
        <is>
          <t>33.254.370/0001-04</t>
        </is>
      </c>
      <c r="D50" s="74" t="inlineStr">
        <is>
          <t>MERCADO CRÉDITO FUNDO DE INVESTIMENTO EM DIREITOS CREDITÓRIOS RESPONSABILIDADE LIMITADA</t>
        </is>
      </c>
      <c r="E50" s="74" t="inlineStr">
        <is>
          <t>Mercado Crédito, Mercado Crédito I e II</t>
        </is>
      </c>
      <c r="F50" s="74" t="inlineStr">
        <is>
          <t>Flagships</t>
        </is>
      </c>
      <c r="G50" s="74" t="inlineStr">
        <is>
          <t>2026-06</t>
        </is>
      </c>
      <c r="H50" s="74" t="inlineStr">
        <is>
          <t>localizado</t>
        </is>
      </c>
      <c r="I50" s="139" t="n">
        <v>3017886933.33</v>
      </c>
      <c r="J50" s="139" t="n">
        <v>3017886933.278073</v>
      </c>
      <c r="K50" s="139" t="n">
        <v>2094655705.29373</v>
      </c>
      <c r="L50" s="140" t="n">
        <v>0.6940802460688752</v>
      </c>
      <c r="M50" s="74" t="inlineStr">
        <is>
          <t>Calculado com classes reportadas e PL oficial reconciliado</t>
        </is>
      </c>
      <c r="N50" s="140" t="inlineStr">
        <is>
          <t>N/D</t>
        </is>
      </c>
      <c r="O50" s="140" t="inlineStr">
        <is>
          <t>N/D</t>
        </is>
      </c>
      <c r="P50" s="140" t="inlineStr">
        <is>
          <t>N/D</t>
        </is>
      </c>
      <c r="Q50" s="140" t="inlineStr">
        <is>
          <t>N/D</t>
        </is>
      </c>
      <c r="R50" s="140" t="inlineStr">
        <is>
          <t>N/D</t>
        </is>
      </c>
      <c r="S50" s="140" t="inlineStr">
        <is>
          <t>N/D</t>
        </is>
      </c>
      <c r="T50" s="74" t="inlineStr">
        <is>
          <t>N/D</t>
        </is>
      </c>
      <c r="U50" s="74" t="inlineStr">
        <is>
          <t>sem_indice</t>
        </is>
      </c>
      <c r="V50" s="74" t="inlineStr">
        <is>
          <t>N/D</t>
        </is>
      </c>
      <c r="W50" s="74" t="b">
        <v>0</v>
      </c>
      <c r="X50" s="74" t="inlineStr">
        <is>
          <t>N/D — mínimo estrutural ou subordinação atual ausente</t>
        </is>
      </c>
      <c r="Y50" s="74" t="b">
        <v>0</v>
      </c>
      <c r="Z50" s="140" t="inlineStr">
        <is>
          <t>N/D</t>
        </is>
      </c>
      <c r="AA50" s="140" t="inlineStr">
        <is>
          <t>N/D</t>
        </is>
      </c>
      <c r="AB50" s="74" t="inlineStr">
        <is>
          <t>não medido</t>
        </is>
      </c>
      <c r="AC50" s="74" t="inlineStr">
        <is>
          <t>N/D</t>
        </is>
      </c>
      <c r="AD50" s="74" t="inlineStr">
        <is>
          <t>N/D</t>
        </is>
      </c>
      <c r="AE50" s="74" t="inlineStr">
        <is>
          <t>Crédito PJ</t>
        </is>
      </c>
      <c r="AF50" s="74" t="inlineStr">
        <is>
          <t>Financeiro</t>
        </is>
      </c>
      <c r="AG50" s="74" t="inlineStr">
        <is>
          <t>N/D</t>
        </is>
      </c>
      <c r="AH50" s="74" t="inlineStr">
        <is>
          <t>N/D</t>
        </is>
      </c>
      <c r="AI50" s="74" t="inlineStr">
        <is>
          <t>N/D</t>
        </is>
      </c>
      <c r="AJ50" s="74" t="b">
        <v>0</v>
      </c>
      <c r="AK50" s="74" t="inlineStr">
        <is>
          <t>N/D</t>
        </is>
      </c>
      <c r="AL50" s="74" t="inlineStr">
        <is>
          <t>N/D</t>
        </is>
      </c>
      <c r="AM50" s="74" t="inlineStr">
        <is>
          <t>N/D</t>
        </is>
      </c>
      <c r="AN50" s="74" t="inlineStr">
        <is>
          <t>N/D</t>
        </is>
      </c>
      <c r="AO50" s="74" t="inlineStr">
        <is>
          <t>N/D</t>
        </is>
      </c>
      <c r="AP50" s="74" t="inlineStr">
        <is>
          <t>N/D</t>
        </is>
      </c>
      <c r="AQ50" s="74" t="inlineStr">
        <is>
          <t>N/D</t>
        </is>
      </c>
      <c r="AR50" s="74" t="inlineStr">
        <is>
          <t>N/D</t>
        </is>
      </c>
      <c r="AS50" s="74" t="inlineStr">
        <is>
          <t>N/D</t>
        </is>
      </c>
      <c r="AT50" s="74" t="inlineStr">
        <is>
          <t>N/D</t>
        </is>
      </c>
      <c r="AU50" s="74" t="inlineStr">
        <is>
          <t>N/D</t>
        </is>
      </c>
      <c r="AV50" s="74" t="inlineStr">
        <is>
          <t>N/D</t>
        </is>
      </c>
      <c r="AW50" s="74" t="b">
        <v>0</v>
      </c>
      <c r="AX50" s="74" t="inlineStr">
        <is>
          <t>N/D</t>
        </is>
      </c>
      <c r="AY50" s="74" t="inlineStr">
        <is>
          <t>N/D</t>
        </is>
      </c>
      <c r="AZ50" s="140" t="inlineStr">
        <is>
          <t>N/D</t>
        </is>
      </c>
      <c r="BA50" s="74" t="inlineStr">
        <is>
          <t>N/D</t>
        </is>
      </c>
      <c r="BB50" s="141" t="inlineStr">
        <is>
          <t>N/D</t>
        </is>
      </c>
      <c r="BC50" s="139" t="n">
        <v>1000</v>
      </c>
      <c r="BD50" s="74" t="inlineStr">
        <is>
          <t>R$ 1.000,00</t>
        </is>
      </c>
      <c r="BE50" s="74" t="inlineStr">
        <is>
          <t>preço/VNU conforme fonte</t>
        </is>
      </c>
      <c r="BF50" s="74" t="inlineStr">
        <is>
          <t>4ª série sênior</t>
        </is>
      </c>
      <c r="BG50" s="74" t="inlineStr">
        <is>
          <t>03/03/2026</t>
        </is>
      </c>
      <c r="BH50" s="74" t="inlineStr">
        <is>
          <t>1128337</t>
        </is>
      </c>
      <c r="BI50" s="74" t="inlineStr">
        <is>
          <t>1128337_assembleia_assembleia_1128337_2026-03-03.pdf · p.2 e p.5-7 · ID 1128337</t>
        </is>
      </c>
      <c r="BJ50" s="74" t="inlineStr">
        <is>
          <t>localizado documentalmente</t>
        </is>
      </c>
      <c r="BK50" s="74" t="b">
        <v>1</v>
      </c>
      <c r="BL50" s="74" t="inlineStr">
        <is>
          <t>N/D</t>
        </is>
      </c>
      <c r="BM50" s="74" t="inlineStr">
        <is>
          <t>N/D</t>
        </is>
      </c>
      <c r="BN50" s="74" t="inlineStr">
        <is>
          <t>N/D</t>
        </is>
      </c>
      <c r="BO50" s="74" t="inlineStr">
        <is>
          <t>N/D</t>
        </is>
      </c>
      <c r="BP50" s="74" t="inlineStr">
        <is>
          <t>N/D</t>
        </is>
      </c>
      <c r="BQ50" s="74" t="inlineStr">
        <is>
          <t>N/D</t>
        </is>
      </c>
      <c r="BR50" s="74" t="inlineStr">
        <is>
          <t>N/D</t>
        </is>
      </c>
      <c r="BS50" s="74" t="inlineStr">
        <is>
          <t>sem_overlay</t>
        </is>
      </c>
      <c r="BT50" s="74" t="inlineStr">
        <is>
          <t>N/D</t>
        </is>
      </c>
      <c r="BU50" s="74" t="inlineStr">
        <is>
          <t>1128340</t>
        </is>
      </c>
      <c r="BV50" s="74" t="inlineStr">
        <is>
          <t>2026-03-03</t>
        </is>
      </c>
      <c r="BW50" s="74" t="inlineStr">
        <is>
          <t>cláusulas de subordinação e definições revisadas</t>
        </is>
      </c>
      <c r="BX50" s="74" t="inlineStr">
        <is>
          <t>revisto — mínimo júnior não isolado</t>
        </is>
      </c>
      <c r="BY50" s="74" t="inlineStr">
        <is>
          <t>FundosNet/B3; documento 1128340; referência 2026-03-03; cláusulas candidatas revisadas</t>
        </is>
      </c>
      <c r="BZ50" s="74" t="inlineStr">
        <is>
          <t>N/D</t>
        </is>
      </c>
      <c r="CA50" s="74" t="inlineStr">
        <is>
          <t>mínimo estrutural comparável; originador; cedente; sacado/devedor; tipo de recebível</t>
        </is>
      </c>
      <c r="CB50" s="74" t="inlineStr">
        <is>
          <t>minimo_estrutural_ausente</t>
        </is>
      </c>
    </row>
    <row r="51" ht="31.5" customHeight="1">
      <c r="A51" s="75" t="n">
        <v>26</v>
      </c>
      <c r="B51" s="142" t="n">
        <v>37511828000114</v>
      </c>
      <c r="C51" s="75" t="inlineStr">
        <is>
          <t>37.511.828/0001-14</t>
        </is>
      </c>
      <c r="D51" s="75" t="inlineStr">
        <is>
          <t>MERCADO CRÉDITO I BRASIL FIDC SEGMENTO FINANCEIRO DE RESPONSABILIDADE LIMITADA</t>
        </is>
      </c>
      <c r="E51" s="75" t="inlineStr">
        <is>
          <t>Mercado Crédito, Mercado Crédito I e II</t>
        </is>
      </c>
      <c r="F51" s="75" t="inlineStr">
        <is>
          <t>Flagships</t>
        </is>
      </c>
      <c r="G51" s="75" t="inlineStr">
        <is>
          <t>2026-06</t>
        </is>
      </c>
      <c r="H51" s="75" t="inlineStr">
        <is>
          <t>localizado</t>
        </is>
      </c>
      <c r="I51" s="143" t="n">
        <v>754432811.09</v>
      </c>
      <c r="J51" s="143" t="n">
        <v>754432812.5793618</v>
      </c>
      <c r="K51" s="143" t="n">
        <v>243724037.2329124</v>
      </c>
      <c r="L51" s="144" t="n">
        <v>0.3230559880882982</v>
      </c>
      <c r="M51" s="75" t="inlineStr">
        <is>
          <t>Calculado com classes reportadas e PL oficial reconciliado</t>
        </is>
      </c>
      <c r="N51" s="144" t="n">
        <v>0.1</v>
      </c>
      <c r="O51" s="144" t="inlineStr">
        <is>
          <t>N/D</t>
        </is>
      </c>
      <c r="P51" s="144" t="inlineStr">
        <is>
          <t>N/D</t>
        </is>
      </c>
      <c r="Q51" s="144" t="inlineStr">
        <is>
          <t>N/D</t>
        </is>
      </c>
      <c r="R51" s="144" t="inlineStr">
        <is>
          <t>N/D</t>
        </is>
      </c>
      <c r="S51" s="144" t="inlineStr">
        <is>
          <t>N/D</t>
        </is>
      </c>
      <c r="T51" s="75" t="inlineStr">
        <is>
          <t>10,0% base; aumentos condicionais</t>
        </is>
      </c>
      <c r="U51" s="75" t="inlineStr">
        <is>
          <t>junior_pl</t>
        </is>
      </c>
      <c r="V51" s="75" t="inlineStr">
        <is>
          <t>direto no regulamento</t>
        </is>
      </c>
      <c r="W51" s="75" t="b">
        <v>0</v>
      </c>
      <c r="X51" s="75" t="inlineStr">
        <is>
          <t>N/D — equivalência entre mínimo júnior e subordinação total não comprovada</t>
        </is>
      </c>
      <c r="Y51" s="75" t="b">
        <v>1</v>
      </c>
      <c r="Z51" s="144" t="inlineStr">
        <is>
          <t>N/D</t>
        </is>
      </c>
      <c r="AA51" s="144" t="inlineStr">
        <is>
          <t>N/D</t>
        </is>
      </c>
      <c r="AB51" s="75" t="inlineStr">
        <is>
          <t>não medido</t>
        </is>
      </c>
      <c r="AC51" s="75" t="inlineStr">
        <is>
          <t>N/D</t>
        </is>
      </c>
      <c r="AD51" s="75" t="inlineStr">
        <is>
          <t>N/D</t>
        </is>
      </c>
      <c r="AE51" s="75" t="inlineStr">
        <is>
          <t>Crédito PJ</t>
        </is>
      </c>
      <c r="AF51" s="75" t="inlineStr">
        <is>
          <t>Financeiro</t>
        </is>
      </c>
      <c r="AG51" s="75" t="inlineStr">
        <is>
          <t>N/D</t>
        </is>
      </c>
      <c r="AH51" s="75" t="inlineStr">
        <is>
          <t>N/D</t>
        </is>
      </c>
      <c r="AI51" s="75" t="inlineStr">
        <is>
          <t>N/D</t>
        </is>
      </c>
      <c r="AJ51" s="75" t="b">
        <v>0</v>
      </c>
      <c r="AK51" s="75" t="inlineStr">
        <is>
          <t>N/D</t>
        </is>
      </c>
      <c r="AL51" s="75" t="inlineStr">
        <is>
          <t>N/D</t>
        </is>
      </c>
      <c r="AM51" s="75" t="inlineStr">
        <is>
          <t>N/D</t>
        </is>
      </c>
      <c r="AN51" s="75" t="inlineStr">
        <is>
          <t>N/D</t>
        </is>
      </c>
      <c r="AO51" s="75" t="inlineStr">
        <is>
          <t>N/D</t>
        </is>
      </c>
      <c r="AP51" s="75" t="inlineStr">
        <is>
          <t>N/D</t>
        </is>
      </c>
      <c r="AQ51" s="75" t="inlineStr">
        <is>
          <t>N/D</t>
        </is>
      </c>
      <c r="AR51" s="75" t="inlineStr">
        <is>
          <t>N/D</t>
        </is>
      </c>
      <c r="AS51" s="75" t="inlineStr">
        <is>
          <t>N/D</t>
        </is>
      </c>
      <c r="AT51" s="75" t="inlineStr">
        <is>
          <t>N/D</t>
        </is>
      </c>
      <c r="AU51" s="75" t="inlineStr">
        <is>
          <t>N/D</t>
        </is>
      </c>
      <c r="AV51" s="75" t="inlineStr">
        <is>
          <t>N/D</t>
        </is>
      </c>
      <c r="AW51" s="75" t="b">
        <v>0</v>
      </c>
      <c r="AX51" s="75" t="inlineStr">
        <is>
          <t>N/D</t>
        </is>
      </c>
      <c r="AY51" s="75" t="inlineStr">
        <is>
          <t>N/D</t>
        </is>
      </c>
      <c r="AZ51" s="144" t="inlineStr">
        <is>
          <t>N/D</t>
        </is>
      </c>
      <c r="BA51" s="75" t="inlineStr">
        <is>
          <t>N/D</t>
        </is>
      </c>
      <c r="BB51" s="145" t="inlineStr">
        <is>
          <t>N/D</t>
        </is>
      </c>
      <c r="BC51" s="143" t="n">
        <v>1000</v>
      </c>
      <c r="BD51" s="75" t="inlineStr">
        <is>
          <t>R$ 1.000,00</t>
        </is>
      </c>
      <c r="BE51" s="75" t="inlineStr">
        <is>
          <t>preço/VNU conforme fonte</t>
        </is>
      </c>
      <c r="BF51" s="75" t="inlineStr">
        <is>
          <t>1ª emissão mezanino</t>
        </is>
      </c>
      <c r="BG51" s="75" t="inlineStr">
        <is>
          <t>13/06/2025</t>
        </is>
      </c>
      <c r="BH51" s="75" t="inlineStr">
        <is>
          <t>939685</t>
        </is>
      </c>
      <c r="BI51" s="75" t="inlineStr">
        <is>
          <t>939685_regulamento_regulamento_939685_2025-06-13.pdf · p.153-160 · ID 939685</t>
        </is>
      </c>
      <c r="BJ51" s="75" t="inlineStr">
        <is>
          <t>localizado documentalmente</t>
        </is>
      </c>
      <c r="BK51" s="75" t="b">
        <v>1</v>
      </c>
      <c r="BL51" s="75" t="inlineStr">
        <is>
          <t>N/D</t>
        </is>
      </c>
      <c r="BM51" s="75" t="inlineStr">
        <is>
          <t>N/D</t>
        </is>
      </c>
      <c r="BN51" s="75" t="inlineStr">
        <is>
          <t>N/D</t>
        </is>
      </c>
      <c r="BO51" s="75" t="inlineStr">
        <is>
          <t>N/D</t>
        </is>
      </c>
      <c r="BP51" s="75" t="inlineStr">
        <is>
          <t>N/D</t>
        </is>
      </c>
      <c r="BQ51" s="75" t="inlineStr">
        <is>
          <t>N/D</t>
        </is>
      </c>
      <c r="BR51" s="75" t="inlineStr">
        <is>
          <t>N/D</t>
        </is>
      </c>
      <c r="BS51" s="75" t="inlineStr">
        <is>
          <t>sem_overlay</t>
        </is>
      </c>
      <c r="BT51" s="75" t="inlineStr">
        <is>
          <t>N/D</t>
        </is>
      </c>
      <c r="BU51" s="75" t="inlineStr">
        <is>
          <t>1200490</t>
        </is>
      </c>
      <c r="BV51" s="75" t="inlineStr">
        <is>
          <t>2026-03-27</t>
        </is>
      </c>
      <c r="BW51" s="75" t="inlineStr">
        <is>
          <t>p. 41–42; definição “Minimum Junior Ratio”</t>
        </is>
      </c>
      <c r="BX51" s="75" t="inlineStr">
        <is>
          <t>revisto — mínimo júnior localizado</t>
        </is>
      </c>
      <c r="BY51" s="75" t="inlineStr">
        <is>
          <t>FundosNet/B3; documento 1200490; referência 2026-03-27; p. 41–42; definição “Minimum Junior Ratio”</t>
        </is>
      </c>
      <c r="BZ51" s="75" t="inlineStr">
        <is>
          <t>Cotas subordinadas júnior / PL, mínimo-base de 10,0%, com aumentos condicionados a juros excedentes e inadimplência.</t>
        </is>
      </c>
      <c r="CA51" s="75" t="inlineStr">
        <is>
          <t>mínimo estrutural comparável; originador; cedente; sacado/devedor; tipo de recebível</t>
        </is>
      </c>
      <c r="CB51"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51">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51">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51">
    <cfRule type="containsText" priority="17" operator="containsText" dxfId="1" text="manual_aplicado"/>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99"/>
  <sheetViews>
    <sheetView workbookViewId="0">
      <selection activeCell="A1" sqref="A1"/>
    </sheetView>
  </sheetViews>
  <sheetFormatPr baseColWidth="8" defaultRowHeight="15"/>
  <cols>
    <col width="15" customWidth="1" min="1" max="1"/>
    <col width="26.25" customWidth="1" min="2" max="2"/>
    <col width="13.13000011444092" customWidth="1" min="3" max="3"/>
    <col width="11.88000011444092" customWidth="1" min="4" max="4"/>
    <col width="18.1299991607666" customWidth="1" min="5" max="5"/>
    <col width="16.8799991607666" customWidth="1" min="6" max="6"/>
    <col width="16.8799991607666" customWidth="1" min="7" max="7"/>
    <col width="15.63000011444092" customWidth="1" min="8" max="8"/>
  </cols>
  <sheetData>
    <row r="1" ht="25.5" customHeight="1">
      <c r="A1" s="26" t="inlineStr">
        <is>
          <t>Cobertura e lacunas · Carteira 101 + Flagships</t>
        </is>
      </c>
    </row>
    <row r="2" ht="22.5" customHeight="1">
      <c r="A2" s="29" t="inlineStr">
        <is>
          <t>Cobertura por quantidade e PL. O denominador de cada percentual permanece explícito.</t>
        </is>
      </c>
    </row>
    <row r="4" ht="25.5" customHeight="1">
      <c r="A4" s="32" t="inlineStr">
        <is>
          <t>Coorte</t>
        </is>
      </c>
      <c r="B4" s="32" t="inlineStr">
        <is>
          <t>Campo</t>
        </is>
      </c>
      <c r="C4" s="32" t="inlineStr">
        <is>
          <t>Linhas com dado</t>
        </is>
      </c>
      <c r="D4" s="32" t="inlineStr">
        <is>
          <t>Linhas totais</t>
        </is>
      </c>
      <c r="E4" s="32" t="inlineStr">
        <is>
          <t>Cobertura por quantidade</t>
        </is>
      </c>
      <c r="F4" s="32" t="inlineStr">
        <is>
          <t>PL com dado</t>
        </is>
      </c>
      <c r="G4" s="32" t="inlineStr">
        <is>
          <t>PL total</t>
        </is>
      </c>
      <c r="H4" s="32" t="inlineStr">
        <is>
          <t>Cobertura por PL</t>
        </is>
      </c>
    </row>
    <row r="5">
      <c r="A5" s="104" t="inlineStr">
        <is>
          <t>Carteira 101</t>
        </is>
      </c>
      <c r="B5" s="104" t="inlineStr">
        <is>
          <t>nome_oficial_cvm</t>
        </is>
      </c>
      <c r="C5" s="104" t="n">
        <v>100</v>
      </c>
      <c r="D5" s="104" t="n">
        <v>101</v>
      </c>
      <c r="E5" s="149" t="n">
        <v>0.9900990099009901</v>
      </c>
      <c r="F5" s="150" t="n">
        <v>55280316935.75</v>
      </c>
      <c r="G5" s="150" t="n">
        <v>55280316935.75</v>
      </c>
      <c r="H5" s="149" t="n">
        <v>1</v>
      </c>
    </row>
    <row r="6">
      <c r="A6" s="106" t="inlineStr">
        <is>
          <t>Carteira 101</t>
        </is>
      </c>
      <c r="B6" s="106" t="inlineStr">
        <is>
          <t>pl_atual_brl</t>
        </is>
      </c>
      <c r="C6" s="106" t="n">
        <v>78</v>
      </c>
      <c r="D6" s="106" t="n">
        <v>101</v>
      </c>
      <c r="E6" s="151" t="n">
        <v>0.7722772277227723</v>
      </c>
      <c r="F6" s="152" t="n">
        <v>55280316935.75</v>
      </c>
      <c r="G6" s="152" t="n">
        <v>55280316935.75</v>
      </c>
      <c r="H6" s="151" t="n">
        <v>1</v>
      </c>
    </row>
    <row r="7">
      <c r="A7" s="105" t="inlineStr">
        <is>
          <t>Carteira 101</t>
        </is>
      </c>
      <c r="B7" s="105" t="inlineStr">
        <is>
          <t>sub_pl_atual</t>
        </is>
      </c>
      <c r="C7" s="105" t="n">
        <v>68</v>
      </c>
      <c r="D7" s="105" t="n">
        <v>101</v>
      </c>
      <c r="E7" s="153" t="n">
        <v>0.6732673267326733</v>
      </c>
      <c r="F7" s="154" t="n">
        <v>49430794942.99</v>
      </c>
      <c r="G7" s="154" t="n">
        <v>55280316935.75</v>
      </c>
      <c r="H7" s="153" t="n">
        <v>0.8941843622286273</v>
      </c>
    </row>
    <row r="8">
      <c r="A8" s="106" t="inlineStr">
        <is>
          <t>Carteira 101</t>
        </is>
      </c>
      <c r="B8" s="106" t="inlineStr">
        <is>
          <t>indice_minimo_junior</t>
        </is>
      </c>
      <c r="C8" s="106" t="n">
        <v>83</v>
      </c>
      <c r="D8" s="106" t="n">
        <v>101</v>
      </c>
      <c r="E8" s="151" t="n">
        <v>0.8217821782178217</v>
      </c>
      <c r="F8" s="152" t="n">
        <v>53459615195.97001</v>
      </c>
      <c r="G8" s="152" t="n">
        <v>55280316935.75</v>
      </c>
      <c r="H8" s="151" t="n">
        <v>0.9670641949846974</v>
      </c>
    </row>
    <row r="9">
      <c r="A9" s="105" t="inlineStr">
        <is>
          <t>Carteira 101</t>
        </is>
      </c>
      <c r="B9" s="105" t="inlineStr">
        <is>
          <t>indice_minimo_estrutural</t>
        </is>
      </c>
      <c r="C9" s="105" t="n">
        <v>99</v>
      </c>
      <c r="D9" s="105" t="n">
        <v>101</v>
      </c>
      <c r="E9" s="153" t="n">
        <v>0.9801980198019802</v>
      </c>
      <c r="F9" s="154" t="n">
        <v>55279707906.53</v>
      </c>
      <c r="G9" s="154" t="n">
        <v>55280316935.75</v>
      </c>
      <c r="H9" s="153" t="n">
        <v>0.9999889828920353</v>
      </c>
    </row>
    <row r="10">
      <c r="A10" s="106" t="inlineStr">
        <is>
          <t>Carteira 101</t>
        </is>
      </c>
      <c r="B10" s="106" t="inlineStr">
        <is>
          <t>folga_pp</t>
        </is>
      </c>
      <c r="C10" s="106" t="n">
        <v>23</v>
      </c>
      <c r="D10" s="106" t="n">
        <v>101</v>
      </c>
      <c r="E10" s="151" t="n">
        <v>0.2277227722772277</v>
      </c>
      <c r="F10" s="152" t="n">
        <v>12352315458.92</v>
      </c>
      <c r="G10" s="152" t="n">
        <v>55280316935.75</v>
      </c>
      <c r="H10" s="151" t="n">
        <v>0.2234487091178688</v>
      </c>
    </row>
    <row r="11">
      <c r="A11" s="105" t="inlineStr">
        <is>
          <t>Carteira 101</t>
        </is>
      </c>
      <c r="B11" s="105" t="inlineStr">
        <is>
          <t>grupo_comparacao</t>
        </is>
      </c>
      <c r="C11" s="105" t="n">
        <v>100</v>
      </c>
      <c r="D11" s="105" t="n">
        <v>101</v>
      </c>
      <c r="E11" s="153" t="n">
        <v>0.9900990099009901</v>
      </c>
      <c r="F11" s="154" t="n">
        <v>55280316935.75</v>
      </c>
      <c r="G11" s="154" t="n">
        <v>55280316935.75</v>
      </c>
      <c r="H11" s="153" t="n">
        <v>1</v>
      </c>
    </row>
    <row r="12">
      <c r="A12" s="106" t="inlineStr">
        <is>
          <t>Carteira 101</t>
        </is>
      </c>
      <c r="B12" s="106" t="inlineStr">
        <is>
          <t>preco_cota_unitario</t>
        </is>
      </c>
      <c r="C12" s="106" t="n">
        <v>85</v>
      </c>
      <c r="D12" s="106" t="n">
        <v>101</v>
      </c>
      <c r="E12" s="151" t="n">
        <v>0.8415841584158416</v>
      </c>
      <c r="F12" s="152" t="n">
        <v>49633589476.04</v>
      </c>
      <c r="G12" s="152" t="n">
        <v>55280316935.75</v>
      </c>
      <c r="H12" s="151" t="n">
        <v>0.8978528385379383</v>
      </c>
    </row>
    <row r="13">
      <c r="A13" s="105" t="inlineStr">
        <is>
          <t>Carteira 101</t>
        </is>
      </c>
      <c r="B13" s="105" t="inlineStr">
        <is>
          <t>preco_cota_classe_serie</t>
        </is>
      </c>
      <c r="C13" s="105" t="n">
        <v>69</v>
      </c>
      <c r="D13" s="105" t="n">
        <v>101</v>
      </c>
      <c r="E13" s="153" t="n">
        <v>0.6831683168316832</v>
      </c>
      <c r="F13" s="154" t="n">
        <v>37915761909.04</v>
      </c>
      <c r="G13" s="154" t="n">
        <v>55280316935.75</v>
      </c>
      <c r="H13" s="153" t="n">
        <v>0.6858817751191243</v>
      </c>
    </row>
    <row r="14">
      <c r="A14" s="106" t="inlineStr">
        <is>
          <t>Carteira 101</t>
        </is>
      </c>
      <c r="B14" s="106" t="inlineStr">
        <is>
          <t>preco_cota_natureza</t>
        </is>
      </c>
      <c r="C14" s="106" t="n">
        <v>85</v>
      </c>
      <c r="D14" s="106" t="n">
        <v>101</v>
      </c>
      <c r="E14" s="151" t="n">
        <v>0.8415841584158416</v>
      </c>
      <c r="F14" s="152" t="n">
        <v>49633589476.04</v>
      </c>
      <c r="G14" s="152" t="n">
        <v>55280316935.75</v>
      </c>
      <c r="H14" s="151" t="n">
        <v>0.8978528385379383</v>
      </c>
    </row>
    <row r="15">
      <c r="A15" s="105" t="inlineStr">
        <is>
          <t>Carteira 101</t>
        </is>
      </c>
      <c r="B15" s="105" t="inlineStr">
        <is>
          <t>preco_cota_documento_data</t>
        </is>
      </c>
      <c r="C15" s="105" t="n">
        <v>85</v>
      </c>
      <c r="D15" s="105" t="n">
        <v>101</v>
      </c>
      <c r="E15" s="153" t="n">
        <v>0.8415841584158416</v>
      </c>
      <c r="F15" s="154" t="n">
        <v>49633589476.04</v>
      </c>
      <c r="G15" s="154" t="n">
        <v>55280316935.75</v>
      </c>
      <c r="H15" s="153" t="n">
        <v>0.8978528385379383</v>
      </c>
    </row>
    <row r="16">
      <c r="A16" s="106" t="inlineStr">
        <is>
          <t>Carteira 101</t>
        </is>
      </c>
      <c r="B16" s="106" t="inlineStr">
        <is>
          <t>preco_cota_documento_id</t>
        </is>
      </c>
      <c r="C16" s="106" t="n">
        <v>85</v>
      </c>
      <c r="D16" s="106" t="n">
        <v>101</v>
      </c>
      <c r="E16" s="151" t="n">
        <v>0.8415841584158416</v>
      </c>
      <c r="F16" s="152" t="n">
        <v>49633589476.04</v>
      </c>
      <c r="G16" s="152" t="n">
        <v>55280316935.75</v>
      </c>
      <c r="H16" s="151" t="n">
        <v>0.8978528385379383</v>
      </c>
    </row>
    <row r="17">
      <c r="A17" s="105" t="inlineStr">
        <is>
          <t>Carteira 101</t>
        </is>
      </c>
      <c r="B17" s="105" t="inlineStr">
        <is>
          <t>preco_cota_fonte</t>
        </is>
      </c>
      <c r="C17" s="105" t="n">
        <v>85</v>
      </c>
      <c r="D17" s="105" t="n">
        <v>101</v>
      </c>
      <c r="E17" s="153" t="n">
        <v>0.8415841584158416</v>
      </c>
      <c r="F17" s="154" t="n">
        <v>49633589476.04</v>
      </c>
      <c r="G17" s="154" t="n">
        <v>55280316935.75</v>
      </c>
      <c r="H17" s="153" t="n">
        <v>0.8978528385379383</v>
      </c>
    </row>
    <row r="18">
      <c r="A18" s="106" t="inlineStr">
        <is>
          <t>Carteira 101</t>
        </is>
      </c>
      <c r="B18" s="106" t="inlineStr">
        <is>
          <t>posicao_mercado</t>
        </is>
      </c>
      <c r="C18" s="106" t="n">
        <v>101</v>
      </c>
      <c r="D18" s="106" t="n">
        <v>101</v>
      </c>
      <c r="E18" s="151" t="n">
        <v>1</v>
      </c>
      <c r="F18" s="152" t="n">
        <v>55280316935.75</v>
      </c>
      <c r="G18" s="152" t="n">
        <v>55280316935.75</v>
      </c>
      <c r="H18" s="151" t="n">
        <v>1</v>
      </c>
    </row>
    <row r="19">
      <c r="A19" s="105" t="inlineStr">
        <is>
          <t>Carteira 101</t>
        </is>
      </c>
      <c r="B19" s="105" t="inlineStr">
        <is>
          <t>excesso_vs_mercado</t>
        </is>
      </c>
      <c r="C19" s="105" t="n">
        <v>30</v>
      </c>
      <c r="D19" s="105" t="n">
        <v>101</v>
      </c>
      <c r="E19" s="153" t="n">
        <v>0.297029702970297</v>
      </c>
      <c r="F19" s="154" t="n">
        <v>30326078442.3</v>
      </c>
      <c r="G19" s="154" t="n">
        <v>55280316935.75</v>
      </c>
      <c r="H19" s="153" t="n">
        <v>0.5485872752420493</v>
      </c>
    </row>
    <row r="20">
      <c r="A20" s="106" t="inlineStr">
        <is>
          <t>Carteira 101</t>
        </is>
      </c>
      <c r="B20" s="106" t="inlineStr">
        <is>
          <t>n_comparaveis_categoria</t>
        </is>
      </c>
      <c r="C20" s="106" t="n">
        <v>100</v>
      </c>
      <c r="D20" s="106" t="n">
        <v>101</v>
      </c>
      <c r="E20" s="151" t="n">
        <v>0.9900990099009901</v>
      </c>
      <c r="F20" s="152" t="n">
        <v>55280316935.75</v>
      </c>
      <c r="G20" s="152" t="n">
        <v>55280316935.75</v>
      </c>
      <c r="H20" s="151" t="n">
        <v>1</v>
      </c>
    </row>
    <row r="21">
      <c r="A21" s="105" t="inlineStr">
        <is>
          <t>Carteira 101</t>
        </is>
      </c>
      <c r="B21" s="105" t="inlineStr">
        <is>
          <t>benchmark_confiavel</t>
        </is>
      </c>
      <c r="C21" s="105" t="n">
        <v>101</v>
      </c>
      <c r="D21" s="105" t="n">
        <v>101</v>
      </c>
      <c r="E21" s="153" t="n">
        <v>1</v>
      </c>
      <c r="F21" s="154" t="n">
        <v>55280316935.75</v>
      </c>
      <c r="G21" s="154" t="n">
        <v>55280316935.75</v>
      </c>
      <c r="H21" s="153" t="n">
        <v>1</v>
      </c>
    </row>
    <row r="22">
      <c r="A22" s="106" t="inlineStr">
        <is>
          <t>Carteira 101</t>
        </is>
      </c>
      <c r="B22" s="106" t="inlineStr">
        <is>
          <t>cedente_originador_literal</t>
        </is>
      </c>
      <c r="C22" s="106" t="n">
        <v>85</v>
      </c>
      <c r="D22" s="106" t="n">
        <v>101</v>
      </c>
      <c r="E22" s="151" t="n">
        <v>0.8415841584158416</v>
      </c>
      <c r="F22" s="152" t="n">
        <v>44136859363.67</v>
      </c>
      <c r="G22" s="152" t="n">
        <v>55280316935.75</v>
      </c>
      <c r="H22" s="151" t="n">
        <v>0.7984190722887574</v>
      </c>
    </row>
    <row r="23">
      <c r="A23" s="105" t="inlineStr">
        <is>
          <t>Carteira 101</t>
        </is>
      </c>
      <c r="B23" s="105" t="inlineStr">
        <is>
          <t>originador</t>
        </is>
      </c>
      <c r="C23" s="105" t="n">
        <v>14</v>
      </c>
      <c r="D23" s="105" t="n">
        <v>101</v>
      </c>
      <c r="E23" s="153" t="n">
        <v>0.1386138613861386</v>
      </c>
      <c r="F23" s="154" t="n">
        <v>13280247379.78</v>
      </c>
      <c r="G23" s="154" t="n">
        <v>55280316935.75</v>
      </c>
      <c r="H23" s="153" t="n">
        <v>0.2402346461800332</v>
      </c>
    </row>
    <row r="24">
      <c r="A24" s="106" t="inlineStr">
        <is>
          <t>Carteira 101</t>
        </is>
      </c>
      <c r="B24" s="106" t="inlineStr">
        <is>
          <t>cedente</t>
        </is>
      </c>
      <c r="C24" s="106" t="n">
        <v>93</v>
      </c>
      <c r="D24" s="106" t="n">
        <v>101</v>
      </c>
      <c r="E24" s="151" t="n">
        <v>0.9207920792079208</v>
      </c>
      <c r="F24" s="152" t="n">
        <v>49435126163.12</v>
      </c>
      <c r="G24" s="152" t="n">
        <v>55280316935.75</v>
      </c>
      <c r="H24" s="151" t="n">
        <v>0.8942627123606468</v>
      </c>
    </row>
    <row r="25">
      <c r="A25" s="105" t="inlineStr">
        <is>
          <t>Carteira 101</t>
        </is>
      </c>
      <c r="B25" s="105" t="inlineStr">
        <is>
          <t>sacado_devedor</t>
        </is>
      </c>
      <c r="C25" s="105" t="n">
        <v>37</v>
      </c>
      <c r="D25" s="105" t="n">
        <v>101</v>
      </c>
      <c r="E25" s="153" t="n">
        <v>0.3663366336633663</v>
      </c>
      <c r="F25" s="154" t="n">
        <v>18807778421.96</v>
      </c>
      <c r="G25" s="154" t="n">
        <v>55280316935.75</v>
      </c>
      <c r="H25" s="153" t="n">
        <v>0.3402255895858827</v>
      </c>
    </row>
    <row r="26">
      <c r="A26" s="106" t="inlineStr">
        <is>
          <t>Carteira 101</t>
        </is>
      </c>
      <c r="B26" s="106" t="inlineStr">
        <is>
          <t>tipo_recebivel_literal</t>
        </is>
      </c>
      <c r="C26" s="106" t="n">
        <v>67</v>
      </c>
      <c r="D26" s="106" t="n">
        <v>101</v>
      </c>
      <c r="E26" s="151" t="n">
        <v>0.6633663366336634</v>
      </c>
      <c r="F26" s="152" t="n">
        <v>40160199825.11</v>
      </c>
      <c r="G26" s="152" t="n">
        <v>55280316935.75</v>
      </c>
      <c r="H26" s="151" t="n">
        <v>0.7264828071044983</v>
      </c>
    </row>
    <row r="27">
      <c r="A27" s="105" t="inlineStr">
        <is>
          <t>Carteira 101</t>
        </is>
      </c>
      <c r="B27" s="105" t="inlineStr">
        <is>
          <t>fonte_partes_recebivel</t>
        </is>
      </c>
      <c r="C27" s="105" t="n">
        <v>95</v>
      </c>
      <c r="D27" s="105" t="n">
        <v>101</v>
      </c>
      <c r="E27" s="153" t="n">
        <v>0.9405940594059405</v>
      </c>
      <c r="F27" s="154" t="n">
        <v>49574205785.73</v>
      </c>
      <c r="G27" s="154" t="n">
        <v>55280316935.75</v>
      </c>
      <c r="H27" s="153" t="n">
        <v>0.8967786100674499</v>
      </c>
    </row>
    <row r="28">
      <c r="A28" s="106" t="inlineStr">
        <is>
          <t>Flagships</t>
        </is>
      </c>
      <c r="B28" s="106" t="inlineStr">
        <is>
          <t>nome_oficial_cvm</t>
        </is>
      </c>
      <c r="C28" s="106" t="n">
        <v>47</v>
      </c>
      <c r="D28" s="106" t="n">
        <v>47</v>
      </c>
      <c r="E28" s="151" t="n">
        <v>1</v>
      </c>
      <c r="F28" s="152" t="n">
        <v>116961399364.24</v>
      </c>
      <c r="G28" s="152" t="n">
        <v>116961399364.24</v>
      </c>
      <c r="H28" s="151" t="n">
        <v>1</v>
      </c>
    </row>
    <row r="29">
      <c r="A29" s="105" t="inlineStr">
        <is>
          <t>Flagships</t>
        </is>
      </c>
      <c r="B29" s="105" t="inlineStr">
        <is>
          <t>pl_atual_brl</t>
        </is>
      </c>
      <c r="C29" s="105" t="n">
        <v>47</v>
      </c>
      <c r="D29" s="105" t="n">
        <v>47</v>
      </c>
      <c r="E29" s="153" t="n">
        <v>1</v>
      </c>
      <c r="F29" s="154" t="n">
        <v>116961399364.24</v>
      </c>
      <c r="G29" s="154" t="n">
        <v>116961399364.24</v>
      </c>
      <c r="H29" s="153" t="n">
        <v>1</v>
      </c>
    </row>
    <row r="30">
      <c r="A30" s="106" t="inlineStr">
        <is>
          <t>Flagships</t>
        </is>
      </c>
      <c r="B30" s="106" t="inlineStr">
        <is>
          <t>sub_pl_atual</t>
        </is>
      </c>
      <c r="C30" s="106" t="n">
        <v>47</v>
      </c>
      <c r="D30" s="106" t="n">
        <v>47</v>
      </c>
      <c r="E30" s="151" t="n">
        <v>1</v>
      </c>
      <c r="F30" s="152" t="n">
        <v>116961399364.24</v>
      </c>
      <c r="G30" s="152" t="n">
        <v>116961399364.24</v>
      </c>
      <c r="H30" s="151" t="n">
        <v>1</v>
      </c>
    </row>
    <row r="31">
      <c r="A31" s="105" t="inlineStr">
        <is>
          <t>Flagships</t>
        </is>
      </c>
      <c r="B31" s="105" t="inlineStr">
        <is>
          <t>indice_minimo_junior</t>
        </is>
      </c>
      <c r="C31" s="105" t="n">
        <v>11</v>
      </c>
      <c r="D31" s="105" t="n">
        <v>47</v>
      </c>
      <c r="E31" s="153" t="n">
        <v>0.2340425531914894</v>
      </c>
      <c r="F31" s="154" t="n">
        <v>19925214353.5</v>
      </c>
      <c r="G31" s="154" t="n">
        <v>116961399364.24</v>
      </c>
      <c r="H31" s="153" t="n">
        <v>0.1703571816155269</v>
      </c>
    </row>
    <row r="32">
      <c r="A32" s="106" t="inlineStr">
        <is>
          <t>Flagships</t>
        </is>
      </c>
      <c r="B32" s="106" t="inlineStr">
        <is>
          <t>indice_minimo_estrutural</t>
        </is>
      </c>
      <c r="C32" s="106" t="n">
        <v>11</v>
      </c>
      <c r="D32" s="106" t="n">
        <v>47</v>
      </c>
      <c r="E32" s="151" t="n">
        <v>0.2340425531914894</v>
      </c>
      <c r="F32" s="152" t="n">
        <v>19925214353.5</v>
      </c>
      <c r="G32" s="152" t="n">
        <v>116961399364.24</v>
      </c>
      <c r="H32" s="151" t="n">
        <v>0.1703571816155269</v>
      </c>
    </row>
    <row r="33">
      <c r="A33" s="105" t="inlineStr">
        <is>
          <t>Flagships</t>
        </is>
      </c>
      <c r="B33" s="105" t="inlineStr">
        <is>
          <t>folga_pp</t>
        </is>
      </c>
      <c r="C33" s="105" t="n">
        <v>4</v>
      </c>
      <c r="D33" s="105" t="n">
        <v>47</v>
      </c>
      <c r="E33" s="153" t="n">
        <v>0.0851063829787234</v>
      </c>
      <c r="F33" s="154" t="n">
        <v>4588677783.34</v>
      </c>
      <c r="G33" s="154" t="n">
        <v>116961399364.24</v>
      </c>
      <c r="H33" s="153" t="n">
        <v>0.03923241178955108</v>
      </c>
    </row>
    <row r="34">
      <c r="A34" s="106" t="inlineStr">
        <is>
          <t>Flagships</t>
        </is>
      </c>
      <c r="B34" s="106" t="inlineStr">
        <is>
          <t>grupo_comparacao</t>
        </is>
      </c>
      <c r="C34" s="106" t="n">
        <v>47</v>
      </c>
      <c r="D34" s="106" t="n">
        <v>47</v>
      </c>
      <c r="E34" s="151" t="n">
        <v>1</v>
      </c>
      <c r="F34" s="152" t="n">
        <v>116961399364.24</v>
      </c>
      <c r="G34" s="152" t="n">
        <v>116961399364.24</v>
      </c>
      <c r="H34" s="151" t="n">
        <v>1</v>
      </c>
    </row>
    <row r="35">
      <c r="A35" s="105" t="inlineStr">
        <is>
          <t>Flagships</t>
        </is>
      </c>
      <c r="B35" s="105" t="inlineStr">
        <is>
          <t>preco_cota_unitario</t>
        </is>
      </c>
      <c r="C35" s="105" t="n">
        <v>13</v>
      </c>
      <c r="D35" s="105" t="n">
        <v>47</v>
      </c>
      <c r="E35" s="153" t="n">
        <v>0.2765957446808511</v>
      </c>
      <c r="F35" s="154" t="n">
        <v>31952185724.25</v>
      </c>
      <c r="G35" s="154" t="n">
        <v>116961399364.24</v>
      </c>
      <c r="H35" s="153" t="n">
        <v>0.2731857339082002</v>
      </c>
    </row>
    <row r="36">
      <c r="A36" s="106" t="inlineStr">
        <is>
          <t>Flagships</t>
        </is>
      </c>
      <c r="B36" s="106" t="inlineStr">
        <is>
          <t>preco_cota_classe_serie</t>
        </is>
      </c>
      <c r="C36" s="106" t="n">
        <v>13</v>
      </c>
      <c r="D36" s="106" t="n">
        <v>47</v>
      </c>
      <c r="E36" s="151" t="n">
        <v>0.2765957446808511</v>
      </c>
      <c r="F36" s="152" t="n">
        <v>31952185724.25</v>
      </c>
      <c r="G36" s="152" t="n">
        <v>116961399364.24</v>
      </c>
      <c r="H36" s="151" t="n">
        <v>0.2731857339082002</v>
      </c>
    </row>
    <row r="37">
      <c r="A37" s="105" t="inlineStr">
        <is>
          <t>Flagships</t>
        </is>
      </c>
      <c r="B37" s="105" t="inlineStr">
        <is>
          <t>preco_cota_natureza</t>
        </is>
      </c>
      <c r="C37" s="105" t="n">
        <v>13</v>
      </c>
      <c r="D37" s="105" t="n">
        <v>47</v>
      </c>
      <c r="E37" s="153" t="n">
        <v>0.2765957446808511</v>
      </c>
      <c r="F37" s="154" t="n">
        <v>31952185724.25</v>
      </c>
      <c r="G37" s="154" t="n">
        <v>116961399364.24</v>
      </c>
      <c r="H37" s="153" t="n">
        <v>0.2731857339082002</v>
      </c>
    </row>
    <row r="38">
      <c r="A38" s="106" t="inlineStr">
        <is>
          <t>Flagships</t>
        </is>
      </c>
      <c r="B38" s="106" t="inlineStr">
        <is>
          <t>preco_cota_documento_data</t>
        </is>
      </c>
      <c r="C38" s="106" t="n">
        <v>13</v>
      </c>
      <c r="D38" s="106" t="n">
        <v>47</v>
      </c>
      <c r="E38" s="151" t="n">
        <v>0.2765957446808511</v>
      </c>
      <c r="F38" s="152" t="n">
        <v>31952185724.25</v>
      </c>
      <c r="G38" s="152" t="n">
        <v>116961399364.24</v>
      </c>
      <c r="H38" s="151" t="n">
        <v>0.2731857339082002</v>
      </c>
    </row>
    <row r="39">
      <c r="A39" s="105" t="inlineStr">
        <is>
          <t>Flagships</t>
        </is>
      </c>
      <c r="B39" s="105" t="inlineStr">
        <is>
          <t>preco_cota_documento_id</t>
        </is>
      </c>
      <c r="C39" s="105" t="n">
        <v>13</v>
      </c>
      <c r="D39" s="105" t="n">
        <v>47</v>
      </c>
      <c r="E39" s="153" t="n">
        <v>0.2765957446808511</v>
      </c>
      <c r="F39" s="154" t="n">
        <v>31952185724.25</v>
      </c>
      <c r="G39" s="154" t="n">
        <v>116961399364.24</v>
      </c>
      <c r="H39" s="153" t="n">
        <v>0.2731857339082002</v>
      </c>
    </row>
    <row r="40">
      <c r="A40" s="106" t="inlineStr">
        <is>
          <t>Flagships</t>
        </is>
      </c>
      <c r="B40" s="106" t="inlineStr">
        <is>
          <t>preco_cota_fonte</t>
        </is>
      </c>
      <c r="C40" s="106" t="n">
        <v>13</v>
      </c>
      <c r="D40" s="106" t="n">
        <v>47</v>
      </c>
      <c r="E40" s="151" t="n">
        <v>0.2765957446808511</v>
      </c>
      <c r="F40" s="152" t="n">
        <v>31952185724.25</v>
      </c>
      <c r="G40" s="152" t="n">
        <v>116961399364.24</v>
      </c>
      <c r="H40" s="151" t="n">
        <v>0.2731857339082002</v>
      </c>
    </row>
    <row r="41">
      <c r="A41" s="105" t="inlineStr">
        <is>
          <t>Flagships</t>
        </is>
      </c>
      <c r="B41" s="105" t="inlineStr">
        <is>
          <t>posicao_mercado</t>
        </is>
      </c>
      <c r="C41" s="105" t="n">
        <v>0</v>
      </c>
      <c r="D41" s="105" t="n">
        <v>47</v>
      </c>
      <c r="E41" s="153" t="n">
        <v>0</v>
      </c>
      <c r="F41" s="154" t="n">
        <v>0</v>
      </c>
      <c r="G41" s="154" t="n">
        <v>116961399364.24</v>
      </c>
      <c r="H41" s="153" t="n">
        <v>0</v>
      </c>
    </row>
    <row r="42">
      <c r="A42" s="106" t="inlineStr">
        <is>
          <t>Flagships</t>
        </is>
      </c>
      <c r="B42" s="106" t="inlineStr">
        <is>
          <t>excesso_vs_mercado</t>
        </is>
      </c>
      <c r="C42" s="106" t="n">
        <v>0</v>
      </c>
      <c r="D42" s="106" t="n">
        <v>47</v>
      </c>
      <c r="E42" s="151" t="n">
        <v>0</v>
      </c>
      <c r="F42" s="152" t="n">
        <v>0</v>
      </c>
      <c r="G42" s="152" t="n">
        <v>116961399364.24</v>
      </c>
      <c r="H42" s="151" t="n">
        <v>0</v>
      </c>
    </row>
    <row r="43">
      <c r="A43" s="105" t="inlineStr">
        <is>
          <t>Flagships</t>
        </is>
      </c>
      <c r="B43" s="105" t="inlineStr">
        <is>
          <t>n_comparaveis_categoria</t>
        </is>
      </c>
      <c r="C43" s="105" t="n">
        <v>0</v>
      </c>
      <c r="D43" s="105" t="n">
        <v>47</v>
      </c>
      <c r="E43" s="153" t="n">
        <v>0</v>
      </c>
      <c r="F43" s="154" t="n">
        <v>0</v>
      </c>
      <c r="G43" s="154" t="n">
        <v>116961399364.24</v>
      </c>
      <c r="H43" s="153" t="n">
        <v>0</v>
      </c>
    </row>
    <row r="44">
      <c r="A44" s="106" t="inlineStr">
        <is>
          <t>Flagships</t>
        </is>
      </c>
      <c r="B44" s="106" t="inlineStr">
        <is>
          <t>benchmark_confiavel</t>
        </is>
      </c>
      <c r="C44" s="106" t="n">
        <v>0</v>
      </c>
      <c r="D44" s="106" t="n">
        <v>47</v>
      </c>
      <c r="E44" s="151" t="n">
        <v>0</v>
      </c>
      <c r="F44" s="152" t="n">
        <v>0</v>
      </c>
      <c r="G44" s="152" t="n">
        <v>116961399364.24</v>
      </c>
      <c r="H44" s="151" t="n">
        <v>0</v>
      </c>
    </row>
    <row r="45">
      <c r="A45" s="105" t="inlineStr">
        <is>
          <t>Flagships</t>
        </is>
      </c>
      <c r="B45" s="105" t="inlineStr">
        <is>
          <t>cedente_originador_literal</t>
        </is>
      </c>
      <c r="C45" s="105" t="n">
        <v>8</v>
      </c>
      <c r="D45" s="105" t="n">
        <v>47</v>
      </c>
      <c r="E45" s="153" t="n">
        <v>0.1702127659574468</v>
      </c>
      <c r="F45" s="154" t="n">
        <v>75507101469.54999</v>
      </c>
      <c r="G45" s="154" t="n">
        <v>116961399364.24</v>
      </c>
      <c r="H45" s="153" t="n">
        <v>0.6455728289844289</v>
      </c>
    </row>
    <row r="46">
      <c r="A46" s="106" t="inlineStr">
        <is>
          <t>Flagships</t>
        </is>
      </c>
      <c r="B46" s="106" t="inlineStr">
        <is>
          <t>originador</t>
        </is>
      </c>
      <c r="C46" s="106" t="n">
        <v>7</v>
      </c>
      <c r="D46" s="106" t="n">
        <v>47</v>
      </c>
      <c r="E46" s="151" t="n">
        <v>0.148936170212766</v>
      </c>
      <c r="F46" s="152" t="n">
        <v>74809607710.57999</v>
      </c>
      <c r="G46" s="152" t="n">
        <v>116961399364.24</v>
      </c>
      <c r="H46" s="151" t="n">
        <v>0.6396093764029677</v>
      </c>
    </row>
    <row r="47">
      <c r="A47" s="105" t="inlineStr">
        <is>
          <t>Flagships</t>
        </is>
      </c>
      <c r="B47" s="105" t="inlineStr">
        <is>
          <t>cedente</t>
        </is>
      </c>
      <c r="C47" s="105" t="n">
        <v>3</v>
      </c>
      <c r="D47" s="105" t="n">
        <v>47</v>
      </c>
      <c r="E47" s="153" t="n">
        <v>0.06382978723404255</v>
      </c>
      <c r="F47" s="154" t="n">
        <v>10588594132.74</v>
      </c>
      <c r="G47" s="154" t="n">
        <v>116961399364.24</v>
      </c>
      <c r="H47" s="153" t="n">
        <v>0.09053067242950052</v>
      </c>
    </row>
    <row r="48">
      <c r="A48" s="106" t="inlineStr">
        <is>
          <t>Flagships</t>
        </is>
      </c>
      <c r="B48" s="106" t="inlineStr">
        <is>
          <t>sacado_devedor</t>
        </is>
      </c>
      <c r="C48" s="106" t="n">
        <v>0</v>
      </c>
      <c r="D48" s="106" t="n">
        <v>47</v>
      </c>
      <c r="E48" s="151" t="n">
        <v>0</v>
      </c>
      <c r="F48" s="152" t="n">
        <v>0</v>
      </c>
      <c r="G48" s="152" t="n">
        <v>116961399364.24</v>
      </c>
      <c r="H48" s="151" t="n">
        <v>0</v>
      </c>
    </row>
    <row r="49">
      <c r="A49" s="105" t="inlineStr">
        <is>
          <t>Flagships</t>
        </is>
      </c>
      <c r="B49" s="105" t="inlineStr">
        <is>
          <t>tipo_recebivel_literal</t>
        </is>
      </c>
      <c r="C49" s="105" t="n">
        <v>2</v>
      </c>
      <c r="D49" s="105" t="n">
        <v>47</v>
      </c>
      <c r="E49" s="153" t="n">
        <v>0.0425531914893617</v>
      </c>
      <c r="F49" s="154" t="n">
        <v>9891100373.77</v>
      </c>
      <c r="G49" s="154" t="n">
        <v>116961399364.24</v>
      </c>
      <c r="H49" s="153" t="n">
        <v>0.08456721984803925</v>
      </c>
    </row>
    <row r="50">
      <c r="A50" s="106" t="inlineStr">
        <is>
          <t>Flagships</t>
        </is>
      </c>
      <c r="B50" s="106" t="inlineStr">
        <is>
          <t>fonte_partes_recebivel</t>
        </is>
      </c>
      <c r="C50" s="106" t="n">
        <v>8</v>
      </c>
      <c r="D50" s="106" t="n">
        <v>47</v>
      </c>
      <c r="E50" s="151" t="n">
        <v>0.1702127659574468</v>
      </c>
      <c r="F50" s="152" t="n">
        <v>75507101469.54999</v>
      </c>
      <c r="G50" s="152" t="n">
        <v>116961399364.24</v>
      </c>
      <c r="H50" s="151" t="n">
        <v>0.6455728289844289</v>
      </c>
    </row>
    <row r="53">
      <c r="A53" s="119" t="inlineStr">
        <is>
          <t>LACUNAS POR CNPJ</t>
        </is>
      </c>
    </row>
    <row r="54">
      <c r="A54" s="120" t="inlineStr">
        <is>
          <t>Coorte</t>
        </is>
      </c>
      <c r="B54" s="120" t="inlineStr">
        <is>
          <t>CNPJ</t>
        </is>
      </c>
      <c r="C54" s="120" t="inlineStr">
        <is>
          <t>Nome de referência</t>
        </is>
      </c>
      <c r="D54" s="120" t="inlineStr">
        <is>
          <t>Status do preenchimento</t>
        </is>
      </c>
      <c r="E54" s="120" t="inlineStr">
        <is>
          <t>Campos não preenchidos</t>
        </is>
      </c>
      <c r="F54" s="120" t="inlineStr">
        <is>
          <t>Motivo da comparabilidade</t>
        </is>
      </c>
      <c r="G54" s="120" t="inlineStr">
        <is>
          <t>Status da curadoria</t>
        </is>
      </c>
    </row>
    <row r="55" ht="34.5" customHeight="1">
      <c r="A55" s="121" t="inlineStr">
        <is>
          <t>Carteira 101</t>
        </is>
      </c>
      <c r="B55" s="155" t="inlineStr">
        <is>
          <t>42462306000100</t>
        </is>
      </c>
      <c r="C55" s="121" t="inlineStr">
        <is>
          <t>IS GREEN SOLFACIL II FIDC</t>
        </is>
      </c>
      <c r="D55" s="121" t="inlineStr">
        <is>
          <t>estrutura_incomparavel</t>
        </is>
      </c>
      <c r="E55" s="121" t="inlineStr">
        <is>
          <t>preço unitário da cota; sacado/devedor</t>
        </is>
      </c>
      <c r="F55" s="121" t="inlineStr">
        <is>
          <t>Mínimo júnior isolado; a subordinação atual disponível agrega todas as classes subordinadas.</t>
        </is>
      </c>
      <c r="G55" s="121" t="inlineStr">
        <is>
          <t>revisto — mínimo júnior localizado</t>
        </is>
      </c>
    </row>
    <row r="56" ht="34.5" customHeight="1">
      <c r="A56" s="121" t="inlineStr">
        <is>
          <t>Carteira 101</t>
        </is>
      </c>
      <c r="B56" s="155" t="inlineStr">
        <is>
          <t>54810968000102</t>
        </is>
      </c>
      <c r="C56" s="121" t="inlineStr">
        <is>
          <t>ANGA FGTS III FUNDO DE INVESTIMENTO EM DIREITOS CR</t>
        </is>
      </c>
      <c r="D56" s="121" t="inlineStr">
        <is>
          <t>estrutura_incomparavel</t>
        </is>
      </c>
      <c r="E56" s="121" t="inlineStr">
        <is>
          <t>originador; sacado/devedor</t>
        </is>
      </c>
      <c r="F56" s="121" t="inlineStr">
        <is>
          <t>Mínimo júnior isolado; a subordinação atual disponível agrega todas as classes subordinadas.</t>
        </is>
      </c>
      <c r="G56" s="121" t="inlineStr">
        <is>
          <t>revisto — mínimo júnior localizado</t>
        </is>
      </c>
    </row>
    <row r="57" ht="34.5" customHeight="1">
      <c r="A57" s="121" t="inlineStr">
        <is>
          <t>Carteira 101</t>
        </is>
      </c>
      <c r="B57" s="155" t="inlineStr">
        <is>
          <t>53270983000142</t>
        </is>
      </c>
      <c r="C57" s="121" t="inlineStr">
        <is>
          <t>ANGA FGTS MAIS AG FIDC RESPONSABILIDADE LIMITADA</t>
        </is>
      </c>
      <c r="D57" s="121" t="inlineStr">
        <is>
          <t>estrutura_incomparavel</t>
        </is>
      </c>
      <c r="E57" s="121" t="inlineStr">
        <is>
          <t>originador; sacado/devedor; tipo de recebível</t>
        </is>
      </c>
      <c r="F57" s="121" t="inlineStr">
        <is>
          <t>Mínimo júnior isolado; a subordinação atual disponível agrega todas as classes subordinadas.</t>
        </is>
      </c>
      <c r="G57" s="121" t="inlineStr">
        <is>
          <t>revisto — mínimo júnior localizado</t>
        </is>
      </c>
    </row>
    <row r="58" ht="34.5" customHeight="1">
      <c r="A58" s="121" t="inlineStr">
        <is>
          <t>Carteira 101</t>
        </is>
      </c>
      <c r="B58" s="155" t="inlineStr">
        <is>
          <t>52968533000165</t>
        </is>
      </c>
      <c r="C58" s="121" t="inlineStr">
        <is>
          <t>MCPO FUNDO DE INVESTIMENTO EM DIREITOS CREDITORIO</t>
        </is>
      </c>
      <c r="D58" s="121" t="inlineStr">
        <is>
          <t>completo_para_folga</t>
        </is>
      </c>
      <c r="E58" s="121" t="inlineStr">
        <is>
          <t>originador</t>
        </is>
      </c>
      <c r="F58" s="121" t="inlineStr">
        <is>
          <t>Suporte total ou combinado; não representa mínimo júnior isolado.</t>
        </is>
      </c>
      <c r="G58" s="121" t="inlineStr">
        <is>
          <t>revisto — suporte estrutural total localizado</t>
        </is>
      </c>
    </row>
    <row r="59" ht="34.5" customHeight="1">
      <c r="A59" s="121" t="inlineStr">
        <is>
          <t>Carteira 101</t>
        </is>
      </c>
      <c r="B59" s="155" t="inlineStr">
        <is>
          <t>52100879000147</t>
        </is>
      </c>
      <c r="C59" s="121" t="inlineStr">
        <is>
          <t>SOTREQ FUNDO DE INVESTIMENTO EM DIREITOS CREDITORIOS</t>
        </is>
      </c>
      <c r="D59" s="121" t="inlineStr">
        <is>
          <t>completo_para_folga</t>
        </is>
      </c>
      <c r="E59" s="121" t="inlineStr">
        <is>
          <t>originador; sacado/devedor; tipo de recebível</t>
        </is>
      </c>
      <c r="F59" s="121" t="inlineStr">
        <is>
          <t>Suporte total ou combinado; não representa mínimo júnior isolado.</t>
        </is>
      </c>
      <c r="G59" s="121" t="inlineStr">
        <is>
          <t>revisto — suporte estrutural total localizado</t>
        </is>
      </c>
    </row>
    <row r="60" ht="34.5" customHeight="1">
      <c r="A60" s="121" t="inlineStr">
        <is>
          <t>Carteira 101</t>
        </is>
      </c>
      <c r="B60" s="155" t="inlineStr">
        <is>
          <t>53662209000187</t>
        </is>
      </c>
      <c r="C60" s="121" t="inlineStr">
        <is>
          <t>PNEUCASH FUNDO DE INVESTIMENTO EM DIREITOS CREDITORIOS</t>
        </is>
      </c>
      <c r="D60" s="121" t="inlineStr">
        <is>
          <t>sub_pl_atual_ausente</t>
        </is>
      </c>
      <c r="E60" s="121" t="inlineStr">
        <is>
          <t>Sub/PL atual; originador; tipo de recebível</t>
        </is>
      </c>
      <c r="F60" s="121" t="inlineStr">
        <is>
          <t>Suporte total ou combinado; não representa mínimo júnior isolado.</t>
        </is>
      </c>
      <c r="G60" s="121" t="inlineStr">
        <is>
          <t>revisto — suporte estrutural total localizado</t>
        </is>
      </c>
    </row>
    <row r="61" ht="34.5" customHeight="1">
      <c r="A61" s="121" t="inlineStr">
        <is>
          <t>Carteira 101</t>
        </is>
      </c>
      <c r="B61" s="155" t="inlineStr">
        <is>
          <t>53577135000180</t>
        </is>
      </c>
      <c r="C61" s="121" t="inlineStr">
        <is>
          <t>ANGA FGTS II FUNDO DE INVESTIMENTO EM DIREITOS CR</t>
        </is>
      </c>
      <c r="D61" s="121" t="inlineStr">
        <is>
          <t>estrutura_incomparavel</t>
        </is>
      </c>
      <c r="E61" s="121" t="inlineStr">
        <is>
          <t>originador; sacado/devedor</t>
        </is>
      </c>
      <c r="F61" s="121" t="inlineStr">
        <is>
          <t>Mínimo júnior isolado; a subordinação atual disponível agrega todas as classes subordinadas.</t>
        </is>
      </c>
      <c r="G61" s="121" t="inlineStr">
        <is>
          <t>revisto — mínimo júnior localizado</t>
        </is>
      </c>
    </row>
    <row r="62" ht="34.5" customHeight="1">
      <c r="A62" s="121" t="inlineStr">
        <is>
          <t>Carteira 101</t>
        </is>
      </c>
      <c r="B62" s="155" t="inlineStr">
        <is>
          <t>62626887000185</t>
        </is>
      </c>
      <c r="C62" s="121" t="inlineStr">
        <is>
          <t>TOP 2025 C FIDC RESP LTDA</t>
        </is>
      </c>
      <c r="D62" s="121" t="inlineStr">
        <is>
          <t>estrutura_incomparavel</t>
        </is>
      </c>
      <c r="E62" s="121" t="inlineStr">
        <is>
          <t>originador</t>
        </is>
      </c>
      <c r="F62" s="121" t="inlineStr">
        <is>
          <t>Mínimo júnior isolado; a subordinação atual disponível agrega todas as classes subordinadas.</t>
        </is>
      </c>
      <c r="G62" s="121" t="inlineStr">
        <is>
          <t>revisto — mínimo júnior localizado</t>
        </is>
      </c>
    </row>
    <row r="63" ht="34.5" customHeight="1">
      <c r="A63" s="121" t="inlineStr">
        <is>
          <t>Carteira 101</t>
        </is>
      </c>
      <c r="B63" s="155" t="inlineStr">
        <is>
          <t>50098465000103</t>
        </is>
      </c>
      <c r="C63" s="121" t="inlineStr">
        <is>
          <t>CHEMICAL XIII FUNDO DE INVESTIMENTO EM DIREITOS</t>
        </is>
      </c>
      <c r="D63" s="121" t="inlineStr">
        <is>
          <t>sub_pl_atual_ausente</t>
        </is>
      </c>
      <c r="E63" s="121" t="inlineStr">
        <is>
          <t>PL atual; Sub/PL atual; sacado/devedor; tipo de recebível</t>
        </is>
      </c>
      <c r="F63" s="121" t="inlineStr">
        <is>
          <t>Suporte total ou combinado; não representa mínimo júnior isolado.</t>
        </is>
      </c>
      <c r="G63" s="121" t="inlineStr">
        <is>
          <t>revisto — suporte estrutural total localizado</t>
        </is>
      </c>
    </row>
    <row r="64" ht="34.5" customHeight="1">
      <c r="A64" s="121" t="inlineStr">
        <is>
          <t>Carteira 101</t>
        </is>
      </c>
      <c r="B64" s="155" t="inlineStr">
        <is>
          <t>48967719000122</t>
        </is>
      </c>
      <c r="C64" s="121" t="inlineStr">
        <is>
          <t>SOULPAY FIDC</t>
        </is>
      </c>
      <c r="D64" s="121" t="inlineStr">
        <is>
          <t>completo_para_folga</t>
        </is>
      </c>
      <c r="E64" s="121" t="inlineStr">
        <is>
          <t>originador; sacado/devedor; tipo de recebível</t>
        </is>
      </c>
      <c r="F64" s="121" t="inlineStr">
        <is>
          <t>Estrutura com uma única classe subordinada; métrica atual e piso usam o total subordinado sobre o PL.</t>
        </is>
      </c>
      <c r="G64" s="121" t="inlineStr">
        <is>
          <t>revisto — mínimo júnior localizado</t>
        </is>
      </c>
    </row>
    <row r="65" ht="34.5" customHeight="1">
      <c r="A65" s="121" t="inlineStr">
        <is>
          <t>Carteira 101</t>
        </is>
      </c>
      <c r="B65" s="155" t="inlineStr">
        <is>
          <t>37645417000111</t>
        </is>
      </c>
      <c r="C65" s="121" t="inlineStr">
        <is>
          <t>UBYFOL AGRO FIDC III</t>
        </is>
      </c>
      <c r="D65" s="121" t="inlineStr">
        <is>
          <t>sub_pl_atual_ausente</t>
        </is>
      </c>
      <c r="E65" s="121" t="inlineStr">
        <is>
          <t>PL atual; Sub/PL atual; preço unitário da cota; originador; sacado/devedor</t>
        </is>
      </c>
      <c r="F65" s="121" t="inlineStr">
        <is>
          <t>Mínimo júnior isolado; a subordinação atual disponível agrega todas as classes subordinadas.</t>
        </is>
      </c>
      <c r="G65" s="121" t="inlineStr">
        <is>
          <t>revisto — mínimo júnior localizado</t>
        </is>
      </c>
    </row>
    <row r="66" ht="34.5" customHeight="1">
      <c r="A66" s="121" t="inlineStr">
        <is>
          <t>Carteira 101</t>
        </is>
      </c>
      <c r="B66" s="155" t="inlineStr">
        <is>
          <t>50832746000130</t>
        </is>
      </c>
      <c r="C66" s="121" t="inlineStr">
        <is>
          <t>BOASAFRA FIDC DO AGRONEGOCIO</t>
        </is>
      </c>
      <c r="D66" s="121" t="inlineStr">
        <is>
          <t>sub_pl_atual_ausente</t>
        </is>
      </c>
      <c r="E66" s="121" t="inlineStr">
        <is>
          <t>PL atual; Sub/PL atual; originador; sacado/devedor</t>
        </is>
      </c>
      <c r="F66" s="121" t="inlineStr">
        <is>
          <t>Mínimo júnior isolado; a subordinação atual disponível agrega mais de uma classe subordinada ou usa denominador distinto.</t>
        </is>
      </c>
      <c r="G66" s="121" t="inlineStr">
        <is>
          <t>revisto — mínimo júnior localizado</t>
        </is>
      </c>
    </row>
    <row r="67" ht="34.5" customHeight="1">
      <c r="A67" s="121" t="inlineStr">
        <is>
          <t>Carteira 101</t>
        </is>
      </c>
      <c r="B67" s="155" t="inlineStr">
        <is>
          <t>33076242000118</t>
        </is>
      </c>
      <c r="C67" s="121" t="inlineStr">
        <is>
          <t>FUNDO DE INVESTIMENTO EM DIREITOS CREDITORIOS ALBA</t>
        </is>
      </c>
      <c r="D67" s="121" t="inlineStr">
        <is>
          <t>completo_para_folga</t>
        </is>
      </c>
      <c r="E67" s="121" t="inlineStr">
        <is>
          <t>preço unitário da cota; originador; sacado/devedor; tipo de recebível</t>
        </is>
      </c>
      <c r="F67" s="121" t="inlineStr">
        <is>
          <t>Estrutura com uma única classe subordinada; métrica atual e piso usam o total subordinado sobre o PL.</t>
        </is>
      </c>
      <c r="G67" s="121" t="inlineStr">
        <is>
          <t>revisto — mínimo júnior localizado</t>
        </is>
      </c>
    </row>
    <row r="68" ht="34.5" customHeight="1">
      <c r="A68" s="121" t="inlineStr">
        <is>
          <t>Carteira 101</t>
        </is>
      </c>
      <c r="B68" s="155" t="inlineStr">
        <is>
          <t>44173467000109</t>
        </is>
      </c>
      <c r="C68" s="121" t="inlineStr">
        <is>
          <t>RECEIVABLES 48 FUNDO DE INVEST INSS MEU TUDO</t>
        </is>
      </c>
      <c r="D68" s="121" t="inlineStr">
        <is>
          <t>sub_pl_atual_ausente</t>
        </is>
      </c>
      <c r="E68" s="121" t="inlineStr">
        <is>
          <t>Sub/PL atual; originador; sacado/devedor</t>
        </is>
      </c>
      <c r="F68" s="121" t="inlineStr">
        <is>
          <t>Mínimo júnior isolado; a subordinação atual disponível agrega mais de uma classe subordinada ou usa denominador distinto.</t>
        </is>
      </c>
      <c r="G68" s="121" t="inlineStr">
        <is>
          <t>revisto — mínimo júnior localizado</t>
        </is>
      </c>
    </row>
    <row r="69" ht="34.5" customHeight="1">
      <c r="A69" s="121" t="inlineStr">
        <is>
          <t>Carteira 101</t>
        </is>
      </c>
      <c r="B69" s="155" t="inlineStr">
        <is>
          <t>48313595000161</t>
        </is>
      </c>
      <c r="C69" s="121" t="inlineStr">
        <is>
          <t>IBBA AGRO BR FUNDO DE INVESTIMENTO EM DIREITOS CRE</t>
        </is>
      </c>
      <c r="D69" s="121" t="inlineStr">
        <is>
          <t>minimo_estrutural_ausente</t>
        </is>
      </c>
      <c r="E69" s="121" t="inlineStr">
        <is>
          <t>mínimo estrutural comparável; originador; sacado/devedor; tipo de recebível</t>
        </is>
      </c>
      <c r="F69" s="121" t="inlineStr">
        <is>
          <t>Regulamento revisado sem índice percentual isolável.</t>
        </is>
      </c>
      <c r="G69" s="121" t="inlineStr">
        <is>
          <t>revisto — regulamento sem índice percentual isolável</t>
        </is>
      </c>
    </row>
    <row r="70" ht="34.5" customHeight="1">
      <c r="A70" s="121" t="inlineStr">
        <is>
          <t>Carteira 101</t>
        </is>
      </c>
      <c r="B70" s="155" t="inlineStr">
        <is>
          <t>32526025000110</t>
        </is>
      </c>
      <c r="C70" s="121" t="inlineStr">
        <is>
          <t>COBUCCIO FUNDO I F D C NAO P</t>
        </is>
      </c>
      <c r="D70" s="121" t="inlineStr">
        <is>
          <t>estrutura_incomparavel</t>
        </is>
      </c>
      <c r="E70" s="121" t="inlineStr">
        <is>
          <t>originador; cedente; sacado/devedor; tipo de recebível</t>
        </is>
      </c>
      <c r="F70" s="121" t="inlineStr">
        <is>
          <t>Mínimo júnior isolado; a subordinação atual disponível agrega todas as classes subordinadas.</t>
        </is>
      </c>
      <c r="G70" s="121" t="inlineStr">
        <is>
          <t>revisto — mínimo júnior localizado</t>
        </is>
      </c>
    </row>
    <row r="71" ht="34.5" customHeight="1">
      <c r="A71" s="121" t="inlineStr">
        <is>
          <t>Carteira 101</t>
        </is>
      </c>
      <c r="B71" s="155" t="inlineStr">
        <is>
          <t>45523699000102</t>
        </is>
      </c>
      <c r="C71" s="121" t="inlineStr">
        <is>
          <t>VIXTRA FUNDO DE INVE E D C RL</t>
        </is>
      </c>
      <c r="D71" s="121" t="inlineStr">
        <is>
          <t>estrutura_incomparavel</t>
        </is>
      </c>
      <c r="E71" s="121" t="inlineStr">
        <is>
          <t>originador; sacado/devedor</t>
        </is>
      </c>
      <c r="F71" s="121" t="inlineStr">
        <is>
          <t>Mínimo júnior isolado; a subordinação atual disponível agrega todas as classes subordinadas.</t>
        </is>
      </c>
      <c r="G71" s="121" t="inlineStr">
        <is>
          <t>revisto — mínimo júnior localizado</t>
        </is>
      </c>
    </row>
    <row r="72" ht="34.5" customHeight="1">
      <c r="A72" s="121" t="inlineStr">
        <is>
          <t>Carteira 101</t>
        </is>
      </c>
      <c r="B72" s="155" t="inlineStr">
        <is>
          <t>54083697000130</t>
        </is>
      </c>
      <c r="C72" s="121" t="inlineStr">
        <is>
          <t>PERNAMBUCANAS FIDC DE RESPONSABILIDADE LIMITADA</t>
        </is>
      </c>
      <c r="D72" s="121" t="inlineStr">
        <is>
          <t>completo_para_folga</t>
        </is>
      </c>
      <c r="E72" s="121" t="inlineStr">
        <is>
          <t>preço unitário da cota; originador; sacado/devedor; tipo de recebível</t>
        </is>
      </c>
      <c r="F72" s="121" t="inlineStr">
        <is>
          <t>Estrutura com uma única classe subordinada; métrica atual e piso usam o total subordinado sobre o PL.</t>
        </is>
      </c>
      <c r="G72" s="121" t="inlineStr">
        <is>
          <t>revisto — mínimo júnior localizado</t>
        </is>
      </c>
    </row>
    <row r="73" ht="34.5" customHeight="1">
      <c r="A73" s="121" t="inlineStr">
        <is>
          <t>Carteira 101</t>
        </is>
      </c>
      <c r="B73" s="155" t="inlineStr">
        <is>
          <t>56936116000191</t>
        </is>
      </c>
      <c r="C73" s="121" t="inlineStr">
        <is>
          <t>FATOR TARKEN FUNDO DE INVESTIMENTO EM DIREITOS CRE</t>
        </is>
      </c>
      <c r="D73" s="121" t="inlineStr">
        <is>
          <t>sub_pl_atual_ausente</t>
        </is>
      </c>
      <c r="E73" s="121" t="inlineStr">
        <is>
          <t>PL atual; Sub/PL atual; originador; tipo de recebível</t>
        </is>
      </c>
      <c r="F73" s="121" t="inlineStr">
        <is>
          <t>Mínimo júnior isolado; a subordinação atual disponível agrega todas as classes subordinadas.</t>
        </is>
      </c>
      <c r="G73" s="121" t="inlineStr">
        <is>
          <t>revisto — mínimo júnior localizado</t>
        </is>
      </c>
    </row>
    <row r="74" ht="34.5" customHeight="1">
      <c r="A74" s="121" t="inlineStr">
        <is>
          <t>Carteira 101</t>
        </is>
      </c>
      <c r="B74" s="155" t="inlineStr">
        <is>
          <t>50089559000108</t>
        </is>
      </c>
      <c r="C74" s="121" t="inlineStr">
        <is>
          <t>AGRICONNECTION FIAGRO DIREITOS CREDITORIOS</t>
        </is>
      </c>
      <c r="D74" s="121" t="inlineStr">
        <is>
          <t>sub_pl_atual_ausente</t>
        </is>
      </c>
      <c r="E74" s="121" t="inlineStr">
        <is>
          <t>PL atual; Sub/PL atual; originador</t>
        </is>
      </c>
      <c r="F74" s="121" t="inlineStr">
        <is>
          <t>Mínimo júnior isolado; a subordinação atual disponível agrega todas as classes subordinadas.</t>
        </is>
      </c>
      <c r="G74" s="121" t="inlineStr">
        <is>
          <t>revisto — mínimo júnior localizado</t>
        </is>
      </c>
    </row>
    <row r="75" ht="34.5" customHeight="1">
      <c r="A75" s="121" t="inlineStr">
        <is>
          <t>Carteira 101</t>
        </is>
      </c>
      <c r="B75" s="155" t="inlineStr">
        <is>
          <t>57131490000182</t>
        </is>
      </c>
      <c r="C75" s="121" t="inlineStr">
        <is>
          <t>PONTO RURAL FIAGRO FIDC LTDA</t>
        </is>
      </c>
      <c r="D75" s="121" t="inlineStr">
        <is>
          <t>sub_pl_atual_ausente</t>
        </is>
      </c>
      <c r="E75" s="121" t="inlineStr">
        <is>
          <t>PL atual; Sub/PL atual; preço unitário da cota; originador</t>
        </is>
      </c>
      <c r="F75" s="121" t="inlineStr">
        <is>
          <t>Suporte total ou combinado; não representa mínimo júnior isolado.</t>
        </is>
      </c>
      <c r="G75" s="121" t="inlineStr">
        <is>
          <t>revisto — suporte estrutural total localizado</t>
        </is>
      </c>
    </row>
    <row r="76" ht="34.5" customHeight="1">
      <c r="A76" s="121" t="inlineStr">
        <is>
          <t>Carteira 101</t>
        </is>
      </c>
      <c r="B76" s="155" t="inlineStr">
        <is>
          <t>47151680000108</t>
        </is>
      </c>
      <c r="C76" s="121" t="inlineStr">
        <is>
          <t>FARM TECH IBBA I FUNDO DE INVESTIMENTO EM DIREITOS</t>
        </is>
      </c>
      <c r="D76" s="121" t="inlineStr">
        <is>
          <t>completo_para_folga</t>
        </is>
      </c>
      <c r="E76" s="121" t="inlineStr">
        <is>
          <t>preço unitário da cota; originador; sacado/devedor; tipo de recebível</t>
        </is>
      </c>
      <c r="F76" s="121" t="inlineStr">
        <is>
          <t>Suporte total ou combinado; não representa mínimo júnior isolado.</t>
        </is>
      </c>
      <c r="G76" s="121" t="inlineStr">
        <is>
          <t>revisto — suporte estrutural total localizado</t>
        </is>
      </c>
    </row>
    <row r="77" ht="34.5" customHeight="1">
      <c r="A77" s="121" t="inlineStr">
        <is>
          <t>Carteira 101</t>
        </is>
      </c>
      <c r="B77" s="155" t="inlineStr">
        <is>
          <t>43309233000183</t>
        </is>
      </c>
      <c r="C77" s="121" t="inlineStr">
        <is>
          <t>FUNDO DE INVESTIMENTO EM DIREITOS CREDITORIOS LIVERPOOL</t>
        </is>
      </c>
      <c r="D77" s="121" t="inlineStr">
        <is>
          <t>sub_pl_atual_ausente</t>
        </is>
      </c>
      <c r="E77" s="121" t="inlineStr">
        <is>
          <t>PL atual; Sub/PL atual</t>
        </is>
      </c>
      <c r="F77" s="121" t="inlineStr">
        <is>
          <t>Suporte total ou combinado; não representa mínimo júnior isolado.</t>
        </is>
      </c>
      <c r="G77" s="121" t="inlineStr">
        <is>
          <t>revisto — suporte estrutural total localizado</t>
        </is>
      </c>
    </row>
    <row r="78" ht="34.5" customHeight="1">
      <c r="A78" s="121" t="inlineStr">
        <is>
          <t>Carteira 101</t>
        </is>
      </c>
      <c r="B78" s="155" t="inlineStr">
        <is>
          <t>43616659000180</t>
        </is>
      </c>
      <c r="C78" s="121" t="inlineStr">
        <is>
          <t>TALO 1 FUNDO DE INVESTIMENTO EM DIREITOS CREDITORIOS</t>
        </is>
      </c>
      <c r="D78" s="121" t="inlineStr">
        <is>
          <t>completo_para_folga</t>
        </is>
      </c>
      <c r="E78" s="121" t="inlineStr">
        <is>
          <t>sacado/devedor; tipo de recebível</t>
        </is>
      </c>
      <c r="F78" s="121" t="inlineStr">
        <is>
          <t>Suporte total ou combinado; não representa mínimo júnior isolado.</t>
        </is>
      </c>
      <c r="G78" s="121" t="inlineStr">
        <is>
          <t>revisto — suporte estrutural total localizado</t>
        </is>
      </c>
    </row>
    <row r="79" ht="34.5" customHeight="1">
      <c r="A79" s="121" t="inlineStr">
        <is>
          <t>Carteira 101</t>
        </is>
      </c>
      <c r="B79" s="155" t="inlineStr">
        <is>
          <t>52343195000176</t>
        </is>
      </c>
      <c r="C79" s="121" t="inlineStr">
        <is>
          <t>FARMTECH SYNGENTA FUNDO DE INVESTIMENTO EM DIREITO</t>
        </is>
      </c>
      <c r="D79" s="121" t="inlineStr">
        <is>
          <t>sub_pl_atual_ausente</t>
        </is>
      </c>
      <c r="E79" s="121" t="inlineStr">
        <is>
          <t>PL atual; Sub/PL atual; originador; sacado/devedor; tipo de recebível</t>
        </is>
      </c>
      <c r="F79" s="121" t="inlineStr">
        <is>
          <t>Suporte total ou combinado; não representa mínimo júnior isolado.</t>
        </is>
      </c>
      <c r="G79" s="121" t="inlineStr">
        <is>
          <t>revisto — suporte estrutural total localizado</t>
        </is>
      </c>
    </row>
    <row r="80" ht="34.5" customHeight="1">
      <c r="A80" s="121" t="inlineStr">
        <is>
          <t>Carteira 101</t>
        </is>
      </c>
      <c r="B80" s="155" t="inlineStr">
        <is>
          <t>44574361000117</t>
        </is>
      </c>
      <c r="C80" s="121" t="inlineStr">
        <is>
          <t>FUNDO DE INVESTIMENTO EM DIREITOS CREDITORIOS UPL</t>
        </is>
      </c>
      <c r="D80" s="121" t="inlineStr">
        <is>
          <t>sub_pl_atual_ausente</t>
        </is>
      </c>
      <c r="E80" s="121" t="inlineStr">
        <is>
          <t>Sub/PL atual; sacado/devedor</t>
        </is>
      </c>
      <c r="F80" s="121" t="inlineStr">
        <is>
          <t>Suporte total ou combinado; não representa mínimo júnior isolado.</t>
        </is>
      </c>
      <c r="G80" s="121" t="inlineStr">
        <is>
          <t>revisto — suporte estrutural total localizado</t>
        </is>
      </c>
    </row>
    <row r="81" ht="34.5" customHeight="1">
      <c r="A81" s="121" t="inlineStr">
        <is>
          <t>Carteira 101</t>
        </is>
      </c>
      <c r="B81" s="155" t="inlineStr">
        <is>
          <t>45123558000100</t>
        </is>
      </c>
      <c r="C81" s="121" t="inlineStr">
        <is>
          <t>CLASSE I DO CANAA FUNDO DE INVESTIMENTO NAS CADEIAS USINA COCAL</t>
        </is>
      </c>
      <c r="D81" s="121" t="inlineStr">
        <is>
          <t>fora_perimetro</t>
        </is>
      </c>
      <c r="E81" s="121" t="inlineStr">
        <is>
          <t>nome oficial CVM; PL atual; Sub/PL atual; mínimo estrutural comparável; grupo de comparação; preço unitário da cota; originador; cedente; sacado/devedor; tipo de recebível</t>
        </is>
      </c>
      <c r="F81" s="121" t="inlineStr">
        <is>
          <t>Veículo fora do endpoint documental FIDC consultado.</t>
        </is>
      </c>
      <c r="G81" s="121" t="inlineStr">
        <is>
          <t>fora do perímetro FIDC — regulamento não localizado</t>
        </is>
      </c>
    </row>
    <row r="82" ht="34.5" customHeight="1">
      <c r="A82" s="121" t="inlineStr">
        <is>
          <t>Carteira 101</t>
        </is>
      </c>
      <c r="B82" s="155" t="inlineStr">
        <is>
          <t>50857998000113</t>
        </is>
      </c>
      <c r="C82" s="121" t="inlineStr">
        <is>
          <t>LEO I FUNDO INV DIR CREDITORIOS</t>
        </is>
      </c>
      <c r="D82" s="121" t="inlineStr">
        <is>
          <t>estrutura_incomparavel</t>
        </is>
      </c>
      <c r="E82" s="121" t="inlineStr">
        <is>
          <t>originador; tipo de recebível</t>
        </is>
      </c>
      <c r="F82" s="121" t="inlineStr">
        <is>
          <t>Mínimo júnior isolado; a subordinação atual disponível agrega todas as classes subordinadas.</t>
        </is>
      </c>
      <c r="G82" s="121" t="inlineStr">
        <is>
          <t>revisto — mínimo júnior localizado</t>
        </is>
      </c>
    </row>
    <row r="83" ht="34.5" customHeight="1">
      <c r="A83" s="121" t="inlineStr">
        <is>
          <t>Carteira 101</t>
        </is>
      </c>
      <c r="B83" s="155" t="inlineStr">
        <is>
          <t>38376526000143</t>
        </is>
      </c>
      <c r="C83" s="121" t="inlineStr">
        <is>
          <t>HOTFUND FIDC</t>
        </is>
      </c>
      <c r="D83" s="121" t="inlineStr">
        <is>
          <t>estrutura_incomparavel</t>
        </is>
      </c>
      <c r="E83" s="121" t="inlineStr">
        <is>
          <t>originador</t>
        </is>
      </c>
      <c r="F83" s="121" t="inlineStr">
        <is>
          <t>Mínimo júnior isolado; a subordinação atual disponível agrega todas as classes subordinadas.</t>
        </is>
      </c>
      <c r="G83" s="121" t="inlineStr">
        <is>
          <t>revisto — mínimo júnior localizado</t>
        </is>
      </c>
    </row>
    <row r="84" ht="34.5" customHeight="1">
      <c r="A84" s="121" t="inlineStr">
        <is>
          <t>Carteira 101</t>
        </is>
      </c>
      <c r="B84" s="155" t="inlineStr">
        <is>
          <t>45598747000121</t>
        </is>
      </c>
      <c r="C84" s="121" t="inlineStr">
        <is>
          <t>FIDC SUMUP</t>
        </is>
      </c>
      <c r="D84" s="121" t="inlineStr">
        <is>
          <t>completo_para_folga</t>
        </is>
      </c>
      <c r="E84" s="121" t="inlineStr">
        <is>
          <t>originador</t>
        </is>
      </c>
      <c r="F84" s="121" t="inlineStr">
        <is>
          <t>Estrutura com uma única classe subordinada; métrica atual e piso usam o total subordinado sobre o PL.</t>
        </is>
      </c>
      <c r="G84" s="121" t="inlineStr">
        <is>
          <t>revisto — mínimo júnior localizado</t>
        </is>
      </c>
    </row>
    <row r="85" ht="34.5" customHeight="1">
      <c r="A85" s="121" t="inlineStr">
        <is>
          <t>Carteira 101</t>
        </is>
      </c>
      <c r="B85" s="155" t="inlineStr">
        <is>
          <t>41197066000109</t>
        </is>
      </c>
      <c r="C85" s="121" t="inlineStr">
        <is>
          <t>MOVILEPAY CREDITO I FIDC SEGMENTO FINANCEIRO DE RE</t>
        </is>
      </c>
      <c r="D85" s="121" t="inlineStr">
        <is>
          <t>estrutura_incomparavel</t>
        </is>
      </c>
      <c r="E85" s="121" t="inlineStr">
        <is>
          <t>preço unitário da cota; originador</t>
        </is>
      </c>
      <c r="F85" s="121" t="inlineStr">
        <is>
          <t>Mínimo júnior isolado; a subordinação atual disponível agrega todas as classes subordinadas.</t>
        </is>
      </c>
      <c r="G85" s="121" t="inlineStr">
        <is>
          <t>revisto — mínimo júnior localizado</t>
        </is>
      </c>
    </row>
    <row r="86" ht="34.5" customHeight="1">
      <c r="A86" s="121" t="inlineStr">
        <is>
          <t>Carteira 101</t>
        </is>
      </c>
      <c r="B86" s="155" t="inlineStr">
        <is>
          <t>44124617000194</t>
        </is>
      </c>
      <c r="C86" s="121" t="inlineStr">
        <is>
          <t>CLOUDWALK AKIRA II FUNDO DE INVESTIMENTO EM DIREITO</t>
        </is>
      </c>
      <c r="D86" s="121" t="inlineStr">
        <is>
          <t>sub_pl_atual_ausente</t>
        </is>
      </c>
      <c r="E86" s="121" t="inlineStr">
        <is>
          <t>PL atual; Sub/PL atual; originador</t>
        </is>
      </c>
      <c r="F86" s="121" t="inlineStr">
        <is>
          <t>Estrutura com uma única classe subordinada; métrica atual e piso usam o total subordinado sobre o PL.</t>
        </is>
      </c>
      <c r="G86" s="121" t="inlineStr">
        <is>
          <t>revisto — mínimo júnior localizado</t>
        </is>
      </c>
    </row>
    <row r="87" ht="34.5" customHeight="1">
      <c r="A87" s="121" t="inlineStr">
        <is>
          <t>Carteira 101</t>
        </is>
      </c>
      <c r="B87" s="155" t="inlineStr">
        <is>
          <t>42085816000105</t>
        </is>
      </c>
      <c r="C87" s="121" t="inlineStr">
        <is>
          <t>CLOUDWALK KICK ASS I FUNDO DE INVESTIMENTO EM DIRE</t>
        </is>
      </c>
      <c r="D87" s="121" t="inlineStr">
        <is>
          <t>sub_pl_atual_ausente</t>
        </is>
      </c>
      <c r="E87" s="121" t="inlineStr">
        <is>
          <t>PL atual; Sub/PL atual; originador</t>
        </is>
      </c>
      <c r="F87" s="121" t="inlineStr">
        <is>
          <t>Estrutura com uma única classe subordinada; métrica atual e piso usam o total subordinado sobre o PL.</t>
        </is>
      </c>
      <c r="G87" s="121" t="inlineStr">
        <is>
          <t>revisto — mínimo júnior localizado</t>
        </is>
      </c>
    </row>
    <row r="88" ht="34.5" customHeight="1">
      <c r="A88" s="121" t="inlineStr">
        <is>
          <t>Carteira 101</t>
        </is>
      </c>
      <c r="B88" s="155" t="inlineStr">
        <is>
          <t>38385876000176</t>
        </is>
      </c>
      <c r="C88" s="121" t="inlineStr">
        <is>
          <t>ESTRATEGIA EDUCACIONAL FIDC</t>
        </is>
      </c>
      <c r="D88" s="121" t="inlineStr">
        <is>
          <t>sub_pl_atual_ausente</t>
        </is>
      </c>
      <c r="E88" s="121" t="inlineStr">
        <is>
          <t>PL atual; Sub/PL atual; originador; sacado/devedor</t>
        </is>
      </c>
      <c r="F88" s="121" t="inlineStr">
        <is>
          <t>Mínimo júnior isolado; a subordinação atual disponível agrega todas as classes subordinadas.</t>
        </is>
      </c>
      <c r="G88" s="121" t="inlineStr">
        <is>
          <t>revisto — mínimo júnior localizado</t>
        </is>
      </c>
    </row>
    <row r="89" ht="34.5" customHeight="1">
      <c r="A89" s="121" t="inlineStr">
        <is>
          <t>Carteira 101</t>
        </is>
      </c>
      <c r="B89" s="155" t="inlineStr">
        <is>
          <t>40919667000107</t>
        </is>
      </c>
      <c r="C89" s="121" t="inlineStr">
        <is>
          <t>RECARGAPAY I FUNDO DE INVESTIMENTO EM DIREITOS CRE</t>
        </is>
      </c>
      <c r="D89" s="121" t="inlineStr">
        <is>
          <t>completo_para_folga</t>
        </is>
      </c>
      <c r="E89" s="121" t="inlineStr">
        <is>
          <t>originador; sacado/devedor</t>
        </is>
      </c>
      <c r="F89" s="121" t="inlineStr">
        <is>
          <t>Estrutura com uma única classe subordinada; métrica atual e piso usam o total subordinado sobre o PL.</t>
        </is>
      </c>
      <c r="G89" s="121" t="inlineStr">
        <is>
          <t>revisto — mínimo júnior localizado</t>
        </is>
      </c>
    </row>
    <row r="90" ht="34.5" customHeight="1">
      <c r="A90" s="121" t="inlineStr">
        <is>
          <t>Carteira 101</t>
        </is>
      </c>
      <c r="B90" s="155" t="inlineStr">
        <is>
          <t>42102603000144</t>
        </is>
      </c>
      <c r="C90" s="121" t="inlineStr">
        <is>
          <t>CLOUDWALK KICK ASS II FUNDO DE INVESTIMENTO EM DIR</t>
        </is>
      </c>
      <c r="D90" s="121" t="inlineStr">
        <is>
          <t>sub_pl_atual_ausente</t>
        </is>
      </c>
      <c r="E90" s="121" t="inlineStr">
        <is>
          <t>PL atual; Sub/PL atual; originador</t>
        </is>
      </c>
      <c r="F90" s="121" t="inlineStr">
        <is>
          <t>Estrutura com uma única classe subordinada; métrica atual e piso usam o total subordinado sobre o PL.</t>
        </is>
      </c>
      <c r="G90" s="121" t="inlineStr">
        <is>
          <t>revisto — mínimo júnior localizado</t>
        </is>
      </c>
    </row>
    <row r="91" ht="34.5" customHeight="1">
      <c r="A91" s="121" t="inlineStr">
        <is>
          <t>Carteira 101</t>
        </is>
      </c>
      <c r="B91" s="155" t="inlineStr">
        <is>
          <t>28169275000172</t>
        </is>
      </c>
      <c r="C91" s="121" t="inlineStr">
        <is>
          <t>FUNDO DE INVESTIMENTO EM DIREITOS CREDITORIOS PAGSEGURO I</t>
        </is>
      </c>
      <c r="D91" s="121" t="inlineStr">
        <is>
          <t>estrutura_incomparavel</t>
        </is>
      </c>
      <c r="E91" s="121" t="inlineStr">
        <is>
          <t>sacado/devedor</t>
        </is>
      </c>
      <c r="F91" s="121" t="inlineStr">
        <is>
          <t>Mínimo júnior isolado; a subordinação atual disponível agrega mais de uma classe subordinada ou usa denominador distinto.</t>
        </is>
      </c>
      <c r="G91" s="121" t="inlineStr">
        <is>
          <t>revisto — mínimo júnior localizado</t>
        </is>
      </c>
    </row>
    <row r="92" ht="34.5" customHeight="1">
      <c r="A92" s="121" t="inlineStr">
        <is>
          <t>Carteira 101</t>
        </is>
      </c>
      <c r="B92" s="155" t="inlineStr">
        <is>
          <t>38658727000133</t>
        </is>
      </c>
      <c r="C92" s="121" t="inlineStr">
        <is>
          <t>FIDC FORNEC MADEIRA MADEIRA I</t>
        </is>
      </c>
      <c r="D92" s="121" t="inlineStr">
        <is>
          <t>completo_para_folga</t>
        </is>
      </c>
      <c r="E92" s="121" t="inlineStr">
        <is>
          <t>originador</t>
        </is>
      </c>
      <c r="F92" s="121" t="inlineStr">
        <is>
          <t>Estrutura com uma única classe subordinada; métrica atual e piso usam o total subordinado sobre o PL.</t>
        </is>
      </c>
      <c r="G92" s="121" t="inlineStr">
        <is>
          <t>revisto — mínimo júnior localizado</t>
        </is>
      </c>
    </row>
    <row r="93" ht="34.5" customHeight="1">
      <c r="A93" s="121" t="inlineStr">
        <is>
          <t>Carteira 101</t>
        </is>
      </c>
      <c r="B93" s="155" t="inlineStr">
        <is>
          <t>52271464000136</t>
        </is>
      </c>
      <c r="C93" s="121" t="inlineStr">
        <is>
          <t>KIWIFY FUNDO DE INVESTIMENTO E</t>
        </is>
      </c>
      <c r="D93" s="121" t="inlineStr">
        <is>
          <t>estrutura_incomparavel</t>
        </is>
      </c>
      <c r="E93" s="121" t="inlineStr">
        <is>
          <t>originador</t>
        </is>
      </c>
      <c r="F93" s="121" t="inlineStr">
        <is>
          <t>Mínimo júnior isolado; a subordinação atual disponível agrega todas as classes subordinadas.</t>
        </is>
      </c>
      <c r="G93" s="121" t="inlineStr">
        <is>
          <t>revisto — mínimo júnior localizado</t>
        </is>
      </c>
    </row>
    <row r="94" ht="34.5" customHeight="1">
      <c r="A94" s="121" t="inlineStr">
        <is>
          <t>Carteira 101</t>
        </is>
      </c>
      <c r="B94" s="155" t="inlineStr">
        <is>
          <t>29226654000110</t>
        </is>
      </c>
      <c r="C94" s="121" t="inlineStr">
        <is>
          <t>INVESTCRED FUNDO DE INVESTIMENTO EM DIREITOS CREDI</t>
        </is>
      </c>
      <c r="D94" s="121" t="inlineStr">
        <is>
          <t>completo_para_folga</t>
        </is>
      </c>
      <c r="E94" s="121" t="inlineStr">
        <is>
          <t>originador; sacado/devedor</t>
        </is>
      </c>
      <c r="F94" s="121" t="inlineStr">
        <is>
          <t>Estrutura com uma única classe subordinada; métrica atual e piso usam o total subordinado sobre o PL.</t>
        </is>
      </c>
      <c r="G94" s="121" t="inlineStr">
        <is>
          <t>revisto — mínimo júnior localizado</t>
        </is>
      </c>
    </row>
    <row r="95" ht="34.5" customHeight="1">
      <c r="A95" s="121" t="inlineStr">
        <is>
          <t>Carteira 101</t>
        </is>
      </c>
      <c r="B95" s="155" t="inlineStr">
        <is>
          <t>54857414000160</t>
        </is>
      </c>
      <c r="C95" s="121" t="inlineStr">
        <is>
          <t>INDIE MERX RAIZ I CREDITO AGRO FUNDO DE INVESTIMEN</t>
        </is>
      </c>
      <c r="D95" s="121" t="inlineStr">
        <is>
          <t>estrutura_incomparavel</t>
        </is>
      </c>
      <c r="E95" s="121" t="inlineStr">
        <is>
          <t>originador</t>
        </is>
      </c>
      <c r="F95" s="121" t="inlineStr">
        <is>
          <t>Mínimo júnior isolado; a subordinação atual disponível agrega todas as classes subordinadas.</t>
        </is>
      </c>
      <c r="G95" s="121" t="inlineStr">
        <is>
          <t>revisto — mínimo júnior localizado</t>
        </is>
      </c>
    </row>
    <row r="96" ht="34.5" customHeight="1">
      <c r="A96" s="121" t="inlineStr">
        <is>
          <t>Carteira 101</t>
        </is>
      </c>
      <c r="B96" s="155" t="inlineStr">
        <is>
          <t>44124465000120</t>
        </is>
      </c>
      <c r="C96" s="121" t="inlineStr">
        <is>
          <t>TMAQ21 FUNDO I E D CREDITORIOS</t>
        </is>
      </c>
      <c r="D96" s="121" t="inlineStr">
        <is>
          <t>sub_pl_atual_ausente</t>
        </is>
      </c>
      <c r="E96" s="121" t="inlineStr">
        <is>
          <t>PL atual; Sub/PL atual; preço unitário da cota</t>
        </is>
      </c>
      <c r="F96" s="121" t="inlineStr">
        <is>
          <t>Mínimo júnior isolado; a subordinação atual disponível agrega todas as classes subordinadas.</t>
        </is>
      </c>
      <c r="G96" s="121" t="inlineStr">
        <is>
          <t>revisto — mínimo júnior localizado</t>
        </is>
      </c>
    </row>
    <row r="97" ht="34.5" customHeight="1">
      <c r="A97" s="121" t="inlineStr">
        <is>
          <t>Carteira 101</t>
        </is>
      </c>
      <c r="B97" s="155" t="inlineStr">
        <is>
          <t>55401645000128</t>
        </is>
      </c>
      <c r="C97" s="121" t="inlineStr">
        <is>
          <t>QUATA FIDC FGTS FUNDO DE INVESTIMENTO EM DIREITOS</t>
        </is>
      </c>
      <c r="D97" s="121" t="inlineStr">
        <is>
          <t>estrutura_incomparavel</t>
        </is>
      </c>
      <c r="E97" s="121" t="inlineStr">
        <is>
          <t>sacado/devedor</t>
        </is>
      </c>
      <c r="F97" s="121" t="inlineStr">
        <is>
          <t>Mínimo júnior isolado; a subordinação atual disponível agrega todas as classes subordinadas.</t>
        </is>
      </c>
      <c r="G97" s="121" t="inlineStr">
        <is>
          <t>revisto — mínimo júnior localizado</t>
        </is>
      </c>
    </row>
    <row r="98" ht="34.5" customHeight="1">
      <c r="A98" s="121" t="inlineStr">
        <is>
          <t>Carteira 101</t>
        </is>
      </c>
      <c r="B98" s="155" t="inlineStr">
        <is>
          <t>63622842000103</t>
        </is>
      </c>
      <c r="C98" s="121" t="inlineStr">
        <is>
          <t>DESBRAVA UNO ART ESP FIDC RL</t>
        </is>
      </c>
      <c r="D98" s="121" t="inlineStr">
        <is>
          <t>completo_para_folga</t>
        </is>
      </c>
      <c r="E98" s="121" t="inlineStr">
        <is>
          <t>originador; sacado/devedor; tipo de recebível</t>
        </is>
      </c>
      <c r="F98" s="121" t="inlineStr">
        <is>
          <t>Estrutura com uma única classe subordinada; métrica atual e piso usam o total subordinado sobre o PL.</t>
        </is>
      </c>
      <c r="G98" s="121" t="inlineStr">
        <is>
          <t>revisto — mínimo júnior localizado</t>
        </is>
      </c>
    </row>
    <row r="99" ht="34.5" customHeight="1">
      <c r="A99" s="121" t="inlineStr">
        <is>
          <t>Carteira 101</t>
        </is>
      </c>
      <c r="B99" s="155" t="inlineStr">
        <is>
          <t>44272584000120</t>
        </is>
      </c>
      <c r="C99" s="121" t="inlineStr">
        <is>
          <t>LAVORO AGRO FIDC DAS CADEIAS PRODUTIVAS AGROINDUST</t>
        </is>
      </c>
      <c r="D99" s="121" t="inlineStr">
        <is>
          <t>sub_pl_atual_ausente</t>
        </is>
      </c>
      <c r="E99" s="121" t="inlineStr">
        <is>
          <t>PL atual; Sub/PL atual; originador; sacado/devedor; tipo de recebível</t>
        </is>
      </c>
      <c r="F99" s="121" t="inlineStr">
        <is>
          <t>Mínimo júnior isolado; a subordinação atual disponível agrega todas as classes subordinadas.</t>
        </is>
      </c>
      <c r="G99" s="121" t="inlineStr">
        <is>
          <t>revisto — mínimo júnior localizado</t>
        </is>
      </c>
    </row>
    <row r="100" ht="34.5" customHeight="1">
      <c r="A100" s="121" t="inlineStr">
        <is>
          <t>Carteira 101</t>
        </is>
      </c>
      <c r="B100" s="155" t="inlineStr">
        <is>
          <t>62838025000116</t>
        </is>
      </c>
      <c r="C100" s="121" t="inlineStr">
        <is>
          <t>TOP 2025 J FIDC RESP LTDA</t>
        </is>
      </c>
      <c r="D100" s="121" t="inlineStr">
        <is>
          <t>estrutura_incomparavel</t>
        </is>
      </c>
      <c r="E100" s="121" t="inlineStr">
        <is>
          <t>originador</t>
        </is>
      </c>
      <c r="F100" s="121" t="inlineStr">
        <is>
          <t>Mínimo júnior isolado; a subordinação atual disponível agrega todas as classes subordinadas.</t>
        </is>
      </c>
      <c r="G100" s="121" t="inlineStr">
        <is>
          <t>revisto — mínimo júnior localizado</t>
        </is>
      </c>
    </row>
    <row r="101" ht="34.5" customHeight="1">
      <c r="A101" s="121" t="inlineStr">
        <is>
          <t>Carteira 101</t>
        </is>
      </c>
      <c r="B101" s="155" t="inlineStr">
        <is>
          <t>47280025000150</t>
        </is>
      </c>
      <c r="C101" s="121" t="inlineStr">
        <is>
          <t>FUNDO DE INVESTIMENTO EM DIREITOS CREDITORIOS ALBA</t>
        </is>
      </c>
      <c r="D101" s="121" t="inlineStr">
        <is>
          <t>completo_para_folga</t>
        </is>
      </c>
      <c r="E101" s="121" t="inlineStr">
        <is>
          <t>originador; sacado/devedor; tipo de recebível</t>
        </is>
      </c>
      <c r="F101" s="121" t="inlineStr">
        <is>
          <t>Estrutura com uma única classe subordinada; métrica atual e piso usam o total subordinado sobre o PL.</t>
        </is>
      </c>
      <c r="G101" s="121" t="inlineStr">
        <is>
          <t>revisto — mínimo júnior localizado</t>
        </is>
      </c>
    </row>
    <row r="102" ht="34.5" customHeight="1">
      <c r="A102" s="121" t="inlineStr">
        <is>
          <t>Carteira 101</t>
        </is>
      </c>
      <c r="B102" s="155" t="inlineStr">
        <is>
          <t>57270666000187</t>
        </is>
      </c>
      <c r="C102" s="121" t="inlineStr">
        <is>
          <t>MOBILITAS FIDC RL</t>
        </is>
      </c>
      <c r="D102" s="121" t="inlineStr">
        <is>
          <t>estrutura_incomparavel</t>
        </is>
      </c>
      <c r="E102" s="121" t="inlineStr">
        <is>
          <t>originador; cedente; sacado/devedor</t>
        </is>
      </c>
      <c r="F102" s="121" t="inlineStr">
        <is>
          <t>Mínimo júnior isolado; a subordinação atual disponível agrega todas as classes subordinadas.</t>
        </is>
      </c>
      <c r="G102" s="121" t="inlineStr">
        <is>
          <t>revisto — mínimo júnior localizado</t>
        </is>
      </c>
    </row>
    <row r="103" ht="34.5" customHeight="1">
      <c r="A103" s="121" t="inlineStr">
        <is>
          <t>Carteira 101</t>
        </is>
      </c>
      <c r="B103" s="155" t="inlineStr">
        <is>
          <t>58288437000152</t>
        </is>
      </c>
      <c r="C103" s="121" t="inlineStr">
        <is>
          <t>ALTOMAX FIDC SEG RECEB COM LTD</t>
        </is>
      </c>
      <c r="D103" s="121" t="inlineStr">
        <is>
          <t>estrutura_incomparavel</t>
        </is>
      </c>
      <c r="E103" s="121" t="inlineStr">
        <is>
          <t>originador; tipo de recebível</t>
        </is>
      </c>
      <c r="F103" s="121" t="inlineStr">
        <is>
          <t>Mínimo júnior isolado; a subordinação atual disponível agrega todas as classes subordinadas.</t>
        </is>
      </c>
      <c r="G103" s="121" t="inlineStr">
        <is>
          <t>revisto — mínimo júnior localizado</t>
        </is>
      </c>
    </row>
    <row r="104" ht="34.5" customHeight="1">
      <c r="A104" s="121" t="inlineStr">
        <is>
          <t>Carteira 101</t>
        </is>
      </c>
      <c r="B104" s="155" t="inlineStr">
        <is>
          <t>55476342000174</t>
        </is>
      </c>
      <c r="C104" s="121" t="inlineStr">
        <is>
          <t>LAVORO AGRO II FUNDO DE INVESTIMENTO EM DIREITOS C</t>
        </is>
      </c>
      <c r="D104" s="121" t="inlineStr">
        <is>
          <t>sub_pl_atual_ausente</t>
        </is>
      </c>
      <c r="E104" s="121" t="inlineStr">
        <is>
          <t>PL atual; Sub/PL atual; originador; sacado/devedor; tipo de recebível</t>
        </is>
      </c>
      <c r="F104" s="121" t="inlineStr">
        <is>
          <t>Estrutura com uma única classe subordinada; métrica atual e piso usam o total subordinado sobre o PL.</t>
        </is>
      </c>
      <c r="G104" s="121" t="inlineStr">
        <is>
          <t>revisto — mínimo júnior localizado</t>
        </is>
      </c>
    </row>
    <row r="105" ht="34.5" customHeight="1">
      <c r="A105" s="121" t="inlineStr">
        <is>
          <t>Carteira 101</t>
        </is>
      </c>
      <c r="B105" s="155" t="inlineStr">
        <is>
          <t>63679792000192</t>
        </is>
      </c>
      <c r="C105" s="121" t="inlineStr">
        <is>
          <t>BLUE HEALTH FIDC RECEB LTDA</t>
        </is>
      </c>
      <c r="D105" s="121" t="inlineStr">
        <is>
          <t>estrutura_incomparavel</t>
        </is>
      </c>
      <c r="E105" s="121" t="inlineStr">
        <is>
          <t>originador; sacado/devedor</t>
        </is>
      </c>
      <c r="F105" s="121" t="inlineStr">
        <is>
          <t>Mínimo júnior isolado; a subordinação atual disponível agrega todas as classes subordinadas.</t>
        </is>
      </c>
      <c r="G105" s="121" t="inlineStr">
        <is>
          <t>revisto — mínimo júnior localizado</t>
        </is>
      </c>
    </row>
    <row r="106" ht="34.5" customHeight="1">
      <c r="A106" s="121" t="inlineStr">
        <is>
          <t>Carteira 101</t>
        </is>
      </c>
      <c r="B106" s="155" t="inlineStr">
        <is>
          <t>42154687000160</t>
        </is>
      </c>
      <c r="C106" s="121" t="inlineStr">
        <is>
          <t>MULTIPLIKE PLUS FUNDO I D CRED</t>
        </is>
      </c>
      <c r="D106" s="121" t="inlineStr">
        <is>
          <t>estrutura_incomparavel</t>
        </is>
      </c>
      <c r="E106" s="121" t="inlineStr">
        <is>
          <t>originador; sacado/devedor</t>
        </is>
      </c>
      <c r="F106" s="121" t="inlineStr">
        <is>
          <t>Mínimo júnior isolado; a subordinação atual disponível agrega todas as classes subordinadas.</t>
        </is>
      </c>
      <c r="G106" s="121" t="inlineStr">
        <is>
          <t>revisto — mínimo júnior calculado de cláusulas contratuais</t>
        </is>
      </c>
    </row>
    <row r="107" ht="34.5" customHeight="1">
      <c r="A107" s="121" t="inlineStr">
        <is>
          <t>Carteira 101</t>
        </is>
      </c>
      <c r="B107" s="155" t="inlineStr">
        <is>
          <t>48946335000123</t>
        </is>
      </c>
      <c r="C107" s="121" t="inlineStr">
        <is>
          <t>NAGRO OIKOS FIAGRO FUNDO DE INVESTIMENTO EM DIREI</t>
        </is>
      </c>
      <c r="D107" s="121" t="inlineStr">
        <is>
          <t>sub_pl_atual_ausente</t>
        </is>
      </c>
      <c r="E107" s="121" t="inlineStr">
        <is>
          <t>PL atual; Sub/PL atual; originador; sacado/devedor; tipo de recebível</t>
        </is>
      </c>
      <c r="F107" s="121" t="inlineStr">
        <is>
          <t>Mínimo júnior isolado; a subordinação atual disponível agrega todas as classes subordinadas.</t>
        </is>
      </c>
      <c r="G107" s="121" t="inlineStr">
        <is>
          <t>revisto — mínimo júnior localizado</t>
        </is>
      </c>
    </row>
    <row r="108" ht="34.5" customHeight="1">
      <c r="A108" s="121" t="inlineStr">
        <is>
          <t>Carteira 101</t>
        </is>
      </c>
      <c r="B108" s="155" t="inlineStr">
        <is>
          <t>55374251000128</t>
        </is>
      </c>
      <c r="C108" s="121" t="inlineStr">
        <is>
          <t>FUNDO DE INVESTIMENTO EM DIREITOS CREDITORIOS BLUE</t>
        </is>
      </c>
      <c r="D108" s="121" t="inlineStr">
        <is>
          <t>sub_pl_atual_ausente</t>
        </is>
      </c>
      <c r="E108" s="121" t="inlineStr">
        <is>
          <t>Sub/PL atual; originador; sacado/devedor</t>
        </is>
      </c>
      <c r="F108" s="121" t="inlineStr">
        <is>
          <t>Mínimo júnior isolado; a subordinação atual disponível agrega todas as classes subordinadas.</t>
        </is>
      </c>
      <c r="G108" s="121" t="inlineStr">
        <is>
          <t>revisto — mínimo júnior localizado</t>
        </is>
      </c>
    </row>
    <row r="109" ht="34.5" customHeight="1">
      <c r="A109" s="121" t="inlineStr">
        <is>
          <t>Carteira 101</t>
        </is>
      </c>
      <c r="B109" s="155" t="inlineStr">
        <is>
          <t>35868110000154</t>
        </is>
      </c>
      <c r="C109" s="121" t="inlineStr">
        <is>
          <t>FUNDO DE INVESTIMENTO EM DIREITOS CREDITORIOS BV</t>
        </is>
      </c>
      <c r="D109" s="121" t="inlineStr">
        <is>
          <t>sub_pl_atual_ausente</t>
        </is>
      </c>
      <c r="E109" s="121" t="inlineStr">
        <is>
          <t>PL atual; Sub/PL atual; preço unitário da cota; originador; sacado/devedor</t>
        </is>
      </c>
      <c r="F109" s="121" t="inlineStr">
        <is>
          <t>Estrutura com uma única classe subordinada; métrica atual e piso usam o total subordinado sobre o PL.</t>
        </is>
      </c>
      <c r="G109" s="121" t="inlineStr">
        <is>
          <t>revisto — mínimo júnior localizado</t>
        </is>
      </c>
    </row>
    <row r="110" ht="34.5" customHeight="1">
      <c r="A110" s="121" t="inlineStr">
        <is>
          <t>Carteira 101</t>
        </is>
      </c>
      <c r="B110" s="155" t="inlineStr">
        <is>
          <t>48953864000154</t>
        </is>
      </c>
      <c r="C110" s="121" t="inlineStr">
        <is>
          <t>FUNDO INVESTIMENTO E D C A II</t>
        </is>
      </c>
      <c r="D110" s="121" t="inlineStr">
        <is>
          <t>sub_pl_atual_ausente</t>
        </is>
      </c>
      <c r="E110" s="121" t="inlineStr">
        <is>
          <t>PL atual; Sub/PL atual; originador; sacado/devedor</t>
        </is>
      </c>
      <c r="F110" s="121" t="inlineStr">
        <is>
          <t>Estrutura com uma única classe subordinada; métrica atual e piso usam o total subordinado sobre o PL.</t>
        </is>
      </c>
      <c r="G110" s="121" t="inlineStr">
        <is>
          <t>revisto — mínimo júnior localizado</t>
        </is>
      </c>
    </row>
    <row r="111" ht="34.5" customHeight="1">
      <c r="A111" s="121" t="inlineStr">
        <is>
          <t>Carteira 101</t>
        </is>
      </c>
      <c r="B111" s="155" t="inlineStr">
        <is>
          <t>65976848000104</t>
        </is>
      </c>
      <c r="C111" s="121" t="inlineStr">
        <is>
          <t>FUNDO DE INVESTIMENTO EM DIREITOS CREDITORIOS AGIBANK II</t>
        </is>
      </c>
      <c r="D111" s="121" t="inlineStr">
        <is>
          <t>estrutura_incomparavel</t>
        </is>
      </c>
      <c r="E111" s="121" t="inlineStr">
        <is>
          <t>originador; cedente; sacado/devedor; tipo de recebível</t>
        </is>
      </c>
      <c r="F111" s="121" t="inlineStr">
        <is>
          <t>Mínimo júnior isolado; a subordinação atual disponível agrega todas as classes subordinadas.</t>
        </is>
      </c>
      <c r="G111" s="121" t="inlineStr">
        <is>
          <t>revisto — mínimo júnior localizado</t>
        </is>
      </c>
    </row>
    <row r="112" ht="34.5" customHeight="1">
      <c r="A112" s="121" t="inlineStr">
        <is>
          <t>Carteira 101</t>
        </is>
      </c>
      <c r="B112" s="155" t="inlineStr">
        <is>
          <t>50536324000117</t>
        </is>
      </c>
      <c r="C112" s="121" t="inlineStr">
        <is>
          <t>MAQNELSON FUNDO DE INVESTIMENTO EM DIREITOS CREDIT</t>
        </is>
      </c>
      <c r="D112" s="121" t="inlineStr">
        <is>
          <t>completo_para_folga</t>
        </is>
      </c>
      <c r="E112" s="121" t="inlineStr">
        <is>
          <t>originador; sacado/devedor</t>
        </is>
      </c>
      <c r="F112" s="121" t="inlineStr">
        <is>
          <t>Estrutura com uma única classe subordinada; métrica atual e piso usam o total subordinado sobre o PL.</t>
        </is>
      </c>
      <c r="G112" s="121" t="inlineStr">
        <is>
          <t>revisto — mínimo júnior localizado</t>
        </is>
      </c>
    </row>
    <row r="113" ht="34.5" customHeight="1">
      <c r="A113" s="121" t="inlineStr">
        <is>
          <t>Carteira 101</t>
        </is>
      </c>
      <c r="B113" s="155" t="inlineStr">
        <is>
          <t>57816252000100</t>
        </is>
      </c>
      <c r="C113" s="121" t="inlineStr">
        <is>
          <t>NATURA PAY FUNDO DE INVESTIMENTO EM DIREITOS CREDI</t>
        </is>
      </c>
      <c r="D113" s="121" t="inlineStr">
        <is>
          <t>completo_para_folga</t>
        </is>
      </c>
      <c r="E113" s="121" t="inlineStr">
        <is>
          <t>originador; sacado/devedor</t>
        </is>
      </c>
      <c r="F113" s="121" t="inlineStr">
        <is>
          <t>Estrutura com uma única classe subordinada; métrica atual e piso usam o total subordinado sobre o PL.</t>
        </is>
      </c>
      <c r="G113" s="121" t="inlineStr">
        <is>
          <t>revisto — mínimo júnior localizado</t>
        </is>
      </c>
    </row>
    <row r="114" ht="34.5" customHeight="1">
      <c r="A114" s="121" t="inlineStr">
        <is>
          <t>Carteira 101</t>
        </is>
      </c>
      <c r="B114" s="155" t="inlineStr">
        <is>
          <t>62588266000154</t>
        </is>
      </c>
      <c r="C114" s="121" t="inlineStr">
        <is>
          <t>VTK FIDC RESP LIMIT</t>
        </is>
      </c>
      <c r="D114" s="121" t="inlineStr">
        <is>
          <t>sub_pl_atual_ausente</t>
        </is>
      </c>
      <c r="E114" s="121" t="inlineStr">
        <is>
          <t>Sub/PL atual; originador; sacado/devedor</t>
        </is>
      </c>
      <c r="F114" s="121" t="inlineStr">
        <is>
          <t>Mínimo júnior isolado; a subordinação atual disponível agrega todas as classes subordinadas.</t>
        </is>
      </c>
      <c r="G114" s="121" t="inlineStr">
        <is>
          <t>revisto — mínimo júnior localizado</t>
        </is>
      </c>
    </row>
    <row r="115" ht="34.5" customHeight="1">
      <c r="A115" s="121" t="inlineStr">
        <is>
          <t>Carteira 101</t>
        </is>
      </c>
      <c r="B115" s="155" t="inlineStr">
        <is>
          <t>50988212000105</t>
        </is>
      </c>
      <c r="C115" s="121" t="inlineStr">
        <is>
          <t>CARTAO DE COMPRA SUPPLIER FUNDO DE INVESTIMENTO EM</t>
        </is>
      </c>
      <c r="D115" s="121" t="inlineStr">
        <is>
          <t>estrutura_incomparavel</t>
        </is>
      </c>
      <c r="E115" s="121" t="inlineStr">
        <is>
          <t>originador; sacado/devedor</t>
        </is>
      </c>
      <c r="F115" s="121" t="inlineStr">
        <is>
          <t>Mínimo júnior usa PL ajustado; não é comparável à subordinação atual sobre o PL oficial.</t>
        </is>
      </c>
      <c r="G115" s="121" t="inlineStr">
        <is>
          <t>revisto — mínimo júnior localizado</t>
        </is>
      </c>
    </row>
    <row r="116" ht="34.5" customHeight="1">
      <c r="A116" s="121" t="inlineStr">
        <is>
          <t>Carteira 101</t>
        </is>
      </c>
      <c r="B116" s="155" t="inlineStr">
        <is>
          <t>58476088000100</t>
        </is>
      </c>
      <c r="C116" s="121" t="inlineStr">
        <is>
          <t>CONSORCIO DALTEZ</t>
        </is>
      </c>
      <c r="D116" s="121" t="inlineStr">
        <is>
          <t>completo_para_folga</t>
        </is>
      </c>
      <c r="E116" s="121" t="inlineStr">
        <is>
          <t>originador; sacado/devedor</t>
        </is>
      </c>
      <c r="F116" s="121" t="inlineStr">
        <is>
          <t>Estrutura com uma única classe subordinada; métrica atual e piso usam o total subordinado sobre o PL.</t>
        </is>
      </c>
      <c r="G116" s="121" t="inlineStr">
        <is>
          <t>revisto — mínimo júnior localizado</t>
        </is>
      </c>
    </row>
    <row r="117" ht="34.5" customHeight="1">
      <c r="A117" s="121" t="inlineStr">
        <is>
          <t>Carteira 101</t>
        </is>
      </c>
      <c r="B117" s="155" t="inlineStr">
        <is>
          <t>58349979000198</t>
        </is>
      </c>
      <c r="C117" s="121" t="inlineStr">
        <is>
          <t>VOLKSWAGEN TERA FIDC SEGMENTO RECEBIVEIS COMERCIAI</t>
        </is>
      </c>
      <c r="D117" s="121" t="inlineStr">
        <is>
          <t>sub_pl_atual_ausente</t>
        </is>
      </c>
      <c r="E117" s="121" t="inlineStr">
        <is>
          <t>Sub/PL atual; originador</t>
        </is>
      </c>
      <c r="F117" s="121" t="inlineStr">
        <is>
          <t>Estrutura com uma única classe subordinada; métrica atual e piso usam o total subordinado sobre o PL.</t>
        </is>
      </c>
      <c r="G117" s="121" t="inlineStr">
        <is>
          <t>revisto — mínimo júnior localizado</t>
        </is>
      </c>
    </row>
    <row r="118" ht="34.5" customHeight="1">
      <c r="A118" s="121" t="inlineStr">
        <is>
          <t>Carteira 101</t>
        </is>
      </c>
      <c r="B118" s="155" t="inlineStr">
        <is>
          <t>54559035000194</t>
        </is>
      </c>
      <c r="C118" s="121" t="inlineStr">
        <is>
          <t>FUNDO DE INVESTIMENTO EM DIREITOS CREDITORIOS RESP</t>
        </is>
      </c>
      <c r="D118" s="121" t="inlineStr">
        <is>
          <t>sub_pl_atual_ausente</t>
        </is>
      </c>
      <c r="E118" s="121" t="inlineStr">
        <is>
          <t>Sub/PL atual; originador; sacado/devedor</t>
        </is>
      </c>
      <c r="F118" s="121" t="inlineStr">
        <is>
          <t>Estrutura com uma única classe subordinada; métrica atual e piso usam o total subordinado sobre o PL.</t>
        </is>
      </c>
      <c r="G118" s="121" t="inlineStr">
        <is>
          <t>revisto — mínimo júnior localizado</t>
        </is>
      </c>
    </row>
    <row r="119" ht="34.5" customHeight="1">
      <c r="A119" s="121" t="inlineStr">
        <is>
          <t>Carteira 101</t>
        </is>
      </c>
      <c r="B119" s="155" t="inlineStr">
        <is>
          <t>55070804000159</t>
        </is>
      </c>
      <c r="C119" s="121" t="inlineStr">
        <is>
          <t>ESTRATEGIA VINCULADA II FUNDO DE INVESTIMENTO EM D</t>
        </is>
      </c>
      <c r="D119" s="121" t="inlineStr">
        <is>
          <t>sub_pl_atual_ausente</t>
        </is>
      </c>
      <c r="E119" s="121" t="inlineStr">
        <is>
          <t>PL atual; Sub/PL atual; originador; sacado/devedor</t>
        </is>
      </c>
      <c r="F119" s="121" t="inlineStr">
        <is>
          <t>Estrutura com uma única classe subordinada; métrica atual e piso usam o total subordinado sobre o PL.</t>
        </is>
      </c>
      <c r="G119" s="121" t="inlineStr">
        <is>
          <t>revisto — mínimo júnior localizado</t>
        </is>
      </c>
    </row>
    <row r="120" ht="34.5" customHeight="1">
      <c r="A120" s="121" t="inlineStr">
        <is>
          <t>Carteira 101</t>
        </is>
      </c>
      <c r="B120" s="155" t="inlineStr">
        <is>
          <t>43866348000179</t>
        </is>
      </c>
      <c r="C120" s="121" t="inlineStr">
        <is>
          <t>FUNDO DE INVESTIMENTO EM DIREITOS CREDITORIOS OPEA</t>
        </is>
      </c>
      <c r="D120" s="121" t="inlineStr">
        <is>
          <t>estrutura_incomparavel</t>
        </is>
      </c>
      <c r="E120" s="121" t="inlineStr">
        <is>
          <t>sacado/devedor</t>
        </is>
      </c>
      <c r="F120" s="121" t="inlineStr">
        <is>
          <t>Mínimo júnior isolado; a subordinação atual disponível agrega todas as classes subordinadas.</t>
        </is>
      </c>
      <c r="G120" s="121" t="inlineStr">
        <is>
          <t>revisto — mínimo júnior localizado</t>
        </is>
      </c>
    </row>
    <row r="121" ht="34.5" customHeight="1">
      <c r="A121" s="121" t="inlineStr">
        <is>
          <t>Carteira 101</t>
        </is>
      </c>
      <c r="B121" s="155" t="inlineStr">
        <is>
          <t>47936340000192</t>
        </is>
      </c>
      <c r="C121" s="121" t="inlineStr">
        <is>
          <t>FUNDO DE INVESTIMENTO EM DIREITOS CREDITORIOS OPEA</t>
        </is>
      </c>
      <c r="D121" s="121" t="inlineStr">
        <is>
          <t>sub_pl_atual_ausente</t>
        </is>
      </c>
      <c r="E121" s="121" t="inlineStr">
        <is>
          <t>PL atual; Sub/PL atual; originador; sacado/devedor</t>
        </is>
      </c>
      <c r="F121" s="121" t="inlineStr">
        <is>
          <t>Suporte total ou combinado; não representa mínimo júnior isolado.</t>
        </is>
      </c>
      <c r="G121" s="121" t="inlineStr">
        <is>
          <t>revisto — suporte estrutural total localizado</t>
        </is>
      </c>
    </row>
    <row r="122" ht="34.5" customHeight="1">
      <c r="A122" s="121" t="inlineStr">
        <is>
          <t>Carteira 101</t>
        </is>
      </c>
      <c r="B122" s="155" t="inlineStr">
        <is>
          <t>58291962000127</t>
        </is>
      </c>
      <c r="C122" s="121" t="inlineStr">
        <is>
          <t>HELM FUNDO I E D C RESPONS</t>
        </is>
      </c>
      <c r="D122" s="121" t="inlineStr">
        <is>
          <t>sub_pl_atual_ausente</t>
        </is>
      </c>
      <c r="E122" s="121" t="inlineStr">
        <is>
          <t>PL atual; Sub/PL atual; originador</t>
        </is>
      </c>
      <c r="F122" s="121" t="inlineStr">
        <is>
          <t>Suporte total ou combinado; não representa mínimo júnior isolado.</t>
        </is>
      </c>
      <c r="G122" s="121" t="inlineStr">
        <is>
          <t>revisto — suporte estrutural total localizado</t>
        </is>
      </c>
    </row>
    <row r="123" ht="34.5" customHeight="1">
      <c r="A123" s="121" t="inlineStr">
        <is>
          <t>Carteira 101</t>
        </is>
      </c>
      <c r="B123" s="155" t="inlineStr">
        <is>
          <t>57259989000170</t>
        </is>
      </c>
      <c r="C123" s="121" t="inlineStr">
        <is>
          <t>TRES TENTOS FUNDO DE INVESTIMENTO EM DIREITOS CRE</t>
        </is>
      </c>
      <c r="D123" s="121" t="inlineStr">
        <is>
          <t>sub_pl_atual_ausente</t>
        </is>
      </c>
      <c r="E123" s="121" t="inlineStr">
        <is>
          <t>PL atual; Sub/PL atual; originador</t>
        </is>
      </c>
      <c r="F123" s="121" t="inlineStr">
        <is>
          <t>Suporte total ou combinado; não representa mínimo júnior isolado.</t>
        </is>
      </c>
      <c r="G123" s="121" t="inlineStr">
        <is>
          <t>revisto — suporte estrutural total localizado</t>
        </is>
      </c>
    </row>
    <row r="124" ht="34.5" customHeight="1">
      <c r="A124" s="121" t="inlineStr">
        <is>
          <t>Carteira 101</t>
        </is>
      </c>
      <c r="B124" s="155" t="inlineStr">
        <is>
          <t>58171340000165</t>
        </is>
      </c>
      <c r="C124" s="121" t="inlineStr">
        <is>
          <t>FRIMESA FUNDO DE INVESTIMENTO EM DIREITOS CREDITOR</t>
        </is>
      </c>
      <c r="D124" s="121" t="inlineStr">
        <is>
          <t>estrutura_incomparavel</t>
        </is>
      </c>
      <c r="E124" s="121" t="inlineStr">
        <is>
          <t>originador; sacado/devedor</t>
        </is>
      </c>
      <c r="F124" s="121" t="inlineStr">
        <is>
          <t>Mínimo júnior isolado; a subordinação atual disponível agrega todas as classes subordinadas.</t>
        </is>
      </c>
      <c r="G124" s="121" t="inlineStr">
        <is>
          <t>revisto — mínimo júnior localizado</t>
        </is>
      </c>
    </row>
    <row r="125" ht="34.5" customHeight="1">
      <c r="A125" s="121" t="inlineStr">
        <is>
          <t>Carteira 101</t>
        </is>
      </c>
      <c r="B125" s="155" t="inlineStr">
        <is>
          <t>51554551000138</t>
        </is>
      </c>
      <c r="C125" s="121" t="inlineStr">
        <is>
          <t>CLASSE UNICA DO FIDC CREDITO NITRO AGRO RESPONSA</t>
        </is>
      </c>
      <c r="D125" s="121" t="inlineStr">
        <is>
          <t>completo_para_folga</t>
        </is>
      </c>
      <c r="E125" s="121" t="inlineStr">
        <is>
          <t>originador</t>
        </is>
      </c>
      <c r="F125" s="121" t="inlineStr">
        <is>
          <t>Suporte total ou combinado; não representa mínimo júnior isolado.</t>
        </is>
      </c>
      <c r="G125" s="121" t="inlineStr">
        <is>
          <t>revisto — suporte estrutural total localizado</t>
        </is>
      </c>
    </row>
    <row r="126" ht="34.5" customHeight="1">
      <c r="A126" s="121" t="inlineStr">
        <is>
          <t>Carteira 101</t>
        </is>
      </c>
      <c r="B126" s="155" t="inlineStr">
        <is>
          <t>57752597000148</t>
        </is>
      </c>
      <c r="C126" s="121" t="inlineStr">
        <is>
          <t>AGROMERCANTIL CREDITO AGRO FUNDO DE INVESTIMENTO EM DIREITOS CREDITORIOS</t>
        </is>
      </c>
      <c r="D126" s="121" t="inlineStr">
        <is>
          <t>estrutura_incomparavel</t>
        </is>
      </c>
      <c r="E126" s="121" t="inlineStr">
        <is>
          <t>preço unitário da cota; originador; sacado/devedor</t>
        </is>
      </c>
      <c r="F126" s="121" t="inlineStr">
        <is>
          <t>Mínimo júnior isolado; a subordinação atual disponível agrega todas as classes subordinadas.</t>
        </is>
      </c>
      <c r="G126" s="121" t="inlineStr">
        <is>
          <t>revisto — mínimo júnior localizado</t>
        </is>
      </c>
    </row>
    <row r="127" ht="34.5" customHeight="1">
      <c r="A127" s="121" t="inlineStr">
        <is>
          <t>Carteira 101</t>
        </is>
      </c>
      <c r="B127" s="155" t="inlineStr">
        <is>
          <t>47425750000179</t>
        </is>
      </c>
      <c r="C127" s="121" t="inlineStr">
        <is>
          <t>FIDC CROPFIELD CEREALIS</t>
        </is>
      </c>
      <c r="D127" s="121" t="inlineStr">
        <is>
          <t>estrutura_incomparavel</t>
        </is>
      </c>
      <c r="E127" s="121" t="inlineStr">
        <is>
          <t>preço unitário da cota; originador; cedente; sacado/devedor; tipo de recebível</t>
        </is>
      </c>
      <c r="F127" s="121" t="inlineStr">
        <is>
          <t>Mínimo júnior isolado; a subordinação atual disponível agrega todas as classes subordinadas.</t>
        </is>
      </c>
      <c r="G127" s="121" t="inlineStr">
        <is>
          <t>revisto — mínimo júnior calculado de cláusulas contratuais</t>
        </is>
      </c>
    </row>
    <row r="128" ht="34.5" customHeight="1">
      <c r="A128" s="121" t="inlineStr">
        <is>
          <t>Carteira 101</t>
        </is>
      </c>
      <c r="B128" s="155" t="inlineStr">
        <is>
          <t>37035970000132</t>
        </is>
      </c>
      <c r="C128" s="121" t="inlineStr">
        <is>
          <t>CD BANCK FIDC</t>
        </is>
      </c>
      <c r="D128" s="121" t="inlineStr">
        <is>
          <t>estrutura_incomparavel</t>
        </is>
      </c>
      <c r="E128" s="121" t="inlineStr">
        <is>
          <t>preço unitário da cota; originador; sacado/devedor</t>
        </is>
      </c>
      <c r="F128" s="121" t="inlineStr">
        <is>
          <t>Mínimo júnior isolado; a subordinação atual disponível agrega todas as classes subordinadas.</t>
        </is>
      </c>
      <c r="G128" s="121" t="inlineStr">
        <is>
          <t>revisto — mínimo júnior calculado de cláusulas contratuais</t>
        </is>
      </c>
    </row>
    <row r="129" ht="34.5" customHeight="1">
      <c r="A129" s="121" t="inlineStr">
        <is>
          <t>Carteira 101</t>
        </is>
      </c>
      <c r="B129" s="155" t="inlineStr">
        <is>
          <t>17468142000180</t>
        </is>
      </c>
      <c r="C129" s="121" t="inlineStr">
        <is>
          <t>VALOREM FIDC MULTISSETORIAL</t>
        </is>
      </c>
      <c r="D129" s="121" t="inlineStr">
        <is>
          <t>estrutura_incomparavel</t>
        </is>
      </c>
      <c r="E129" s="121" t="inlineStr">
        <is>
          <t>originador</t>
        </is>
      </c>
      <c r="F129" s="121" t="inlineStr">
        <is>
          <t>Mínimo júnior isolado; a subordinação atual disponível agrega todas as classes subordinadas.</t>
        </is>
      </c>
      <c r="G129" s="121" t="inlineStr">
        <is>
          <t>revisto — mínimo júnior localizado</t>
        </is>
      </c>
    </row>
    <row r="130" ht="34.5" customHeight="1">
      <c r="A130" s="121" t="inlineStr">
        <is>
          <t>Carteira 101</t>
        </is>
      </c>
      <c r="B130" s="155" t="inlineStr">
        <is>
          <t>29492605000129</t>
        </is>
      </c>
      <c r="C130" s="121" t="inlineStr">
        <is>
          <t>GAZIN FUNDO DE INVESTIMENTO EM DIREITOS CREDITORIO</t>
        </is>
      </c>
      <c r="D130" s="121" t="inlineStr">
        <is>
          <t>completo_para_folga</t>
        </is>
      </c>
      <c r="E130" s="121" t="inlineStr">
        <is>
          <t>preço unitário da cota; originador; sacado/devedor; tipo de recebível</t>
        </is>
      </c>
      <c r="F130" s="121" t="inlineStr">
        <is>
          <t>Estrutura documental com cotas seniores e juniores; a métrica atual e o piso usam o total subordinado sobre o PL.</t>
        </is>
      </c>
      <c r="G130" s="121" t="inlineStr">
        <is>
          <t>revisto — mínimo júnior localizado</t>
        </is>
      </c>
    </row>
    <row r="131" ht="34.5" customHeight="1">
      <c r="A131" s="121" t="inlineStr">
        <is>
          <t>Carteira 101</t>
        </is>
      </c>
      <c r="B131" s="155" t="inlineStr">
        <is>
          <t>31739396000117</t>
        </is>
      </c>
      <c r="C131" s="121" t="inlineStr">
        <is>
          <t>FIDC LF III</t>
        </is>
      </c>
      <c r="D131" s="121" t="inlineStr">
        <is>
          <t>estrutura_incomparavel</t>
        </is>
      </c>
      <c r="E131" s="121" t="inlineStr">
        <is>
          <t>sacado/devedor</t>
        </is>
      </c>
      <c r="F131" s="121" t="inlineStr">
        <is>
          <t>Mínimo júnior isolado; a subordinação atual disponível agrega todas as classes subordinadas.</t>
        </is>
      </c>
      <c r="G131" s="121" t="inlineStr">
        <is>
          <t>revisto — mínimo júnior localizado</t>
        </is>
      </c>
    </row>
    <row r="132" ht="34.5" customHeight="1">
      <c r="A132" s="121" t="inlineStr">
        <is>
          <t>Carteira 101</t>
        </is>
      </c>
      <c r="B132" s="155" t="inlineStr">
        <is>
          <t>26749095000134</t>
        </is>
      </c>
      <c r="C132" s="121" t="inlineStr">
        <is>
          <t>CREDITO UNIVERSITARIO II FUNDO DE INVESTIMENTO EM</t>
        </is>
      </c>
      <c r="D132" s="121" t="inlineStr">
        <is>
          <t>sub_pl_atual_ausente</t>
        </is>
      </c>
      <c r="E132" s="121" t="inlineStr">
        <is>
          <t>Sub/PL atual; originador; sacado/devedor</t>
        </is>
      </c>
      <c r="F132" s="121" t="inlineStr">
        <is>
          <t>Mínimo júnior isolado; a subordinação atual disponível agrega mais de uma classe subordinada ou usa denominador distinto.</t>
        </is>
      </c>
      <c r="G132" s="121" t="inlineStr">
        <is>
          <t>revisto — mínimo júnior localizado</t>
        </is>
      </c>
    </row>
    <row r="133" ht="34.5" customHeight="1">
      <c r="A133" s="121" t="inlineStr">
        <is>
          <t>Carteira 101</t>
        </is>
      </c>
      <c r="B133" s="155" t="inlineStr">
        <is>
          <t>62393829000159</t>
        </is>
      </c>
      <c r="C133" s="121" t="inlineStr">
        <is>
          <t>TOP 2025 V FIDC RESP LIMITADA</t>
        </is>
      </c>
      <c r="D133" s="121" t="inlineStr">
        <is>
          <t>completo_para_folga</t>
        </is>
      </c>
      <c r="E133" s="121" t="inlineStr">
        <is>
          <t>originador</t>
        </is>
      </c>
      <c r="F133" s="121" t="inlineStr">
        <is>
          <t>Estrutura com uma única classe subordinada; métrica atual e piso usam o total subordinado sobre o PL.</t>
        </is>
      </c>
      <c r="G133" s="121" t="inlineStr">
        <is>
          <t>revisto — mínimo júnior localizado</t>
        </is>
      </c>
    </row>
    <row r="134" ht="34.5" customHeight="1">
      <c r="A134" s="121" t="inlineStr">
        <is>
          <t>Carteira 101</t>
        </is>
      </c>
      <c r="B134" s="155" t="inlineStr">
        <is>
          <t>57028406000108</t>
        </is>
      </c>
      <c r="C134" s="121" t="inlineStr">
        <is>
          <t>IS GREEN SOLFACIL VI FIDC RL</t>
        </is>
      </c>
      <c r="D134" s="121" t="inlineStr">
        <is>
          <t>estrutura_incomparavel</t>
        </is>
      </c>
      <c r="E134" s="121" t="inlineStr">
        <is>
          <t>sacado/devedor</t>
        </is>
      </c>
      <c r="F134" s="121" t="inlineStr">
        <is>
          <t>Mínimo júnior isolado; a subordinação atual disponível agrega todas as classes subordinadas.</t>
        </is>
      </c>
      <c r="G134" s="121" t="inlineStr">
        <is>
          <t>revisto — mínimo júnior localizado</t>
        </is>
      </c>
    </row>
    <row r="135" ht="34.5" customHeight="1">
      <c r="A135" s="121" t="inlineStr">
        <is>
          <t>Carteira 101</t>
        </is>
      </c>
      <c r="B135" s="155" t="inlineStr">
        <is>
          <t>31570767000180</t>
        </is>
      </c>
      <c r="C135" s="121" t="inlineStr">
        <is>
          <t>FUNDO DE INVESTIMENTO EM DIREITOS</t>
        </is>
      </c>
      <c r="D135" s="121" t="inlineStr">
        <is>
          <t>estrutura_incomparavel</t>
        </is>
      </c>
      <c r="E135" s="121" t="inlineStr">
        <is>
          <t>preço unitário da cota; originador; sacado/devedor; tipo de recebível</t>
        </is>
      </c>
      <c r="F135" s="121" t="inlineStr">
        <is>
          <t>Mínimo júnior isolado; a subordinação atual disponível agrega todas as classes subordinadas.</t>
        </is>
      </c>
      <c r="G135" s="121" t="inlineStr">
        <is>
          <t>revisto — mínimo júnior localizado</t>
        </is>
      </c>
    </row>
    <row r="136" ht="34.5" customHeight="1">
      <c r="A136" s="121" t="inlineStr">
        <is>
          <t>Carteira 101</t>
        </is>
      </c>
      <c r="B136" s="155" t="inlineStr">
        <is>
          <t>54464892000100</t>
        </is>
      </c>
      <c r="C136" s="121" t="inlineStr">
        <is>
          <t>FUNDO I E D C MF RECEIV</t>
        </is>
      </c>
      <c r="D136" s="121" t="inlineStr">
        <is>
          <t>estrutura_incomparavel</t>
        </is>
      </c>
      <c r="E136" s="121" t="inlineStr">
        <is>
          <t>originador; sacado/devedor; tipo de recebível</t>
        </is>
      </c>
      <c r="F136" s="121" t="inlineStr">
        <is>
          <t>Mínimo júnior isolado; a subordinação atual disponível agrega mais de uma classe subordinada ou usa denominador distinto.</t>
        </is>
      </c>
      <c r="G136" s="121" t="inlineStr">
        <is>
          <t>revisto — mínimo júnior localizado</t>
        </is>
      </c>
    </row>
    <row r="137" ht="34.5" customHeight="1">
      <c r="A137" s="121" t="inlineStr">
        <is>
          <t>Carteira 101</t>
        </is>
      </c>
      <c r="B137" s="155" t="inlineStr">
        <is>
          <t>11468186000124</t>
        </is>
      </c>
      <c r="C137" s="121" t="inlineStr">
        <is>
          <t>ATLANTA FIDC NAO PADRONIZADO</t>
        </is>
      </c>
      <c r="D137" s="121" t="inlineStr">
        <is>
          <t>estrutura_incomparavel</t>
        </is>
      </c>
      <c r="E137" s="121" t="inlineStr">
        <is>
          <t>originador; sacado/devedor</t>
        </is>
      </c>
      <c r="F137" s="121" t="inlineStr">
        <is>
          <t>Mínimo júnior isolado; a subordinação atual disponível agrega todas as classes subordinadas.</t>
        </is>
      </c>
      <c r="G137" s="121" t="inlineStr">
        <is>
          <t>revisto — mínimo júnior localizado</t>
        </is>
      </c>
    </row>
    <row r="138" ht="34.5" customHeight="1">
      <c r="A138" s="121" t="inlineStr">
        <is>
          <t>Carteira 101</t>
        </is>
      </c>
      <c r="B138" s="155" t="inlineStr">
        <is>
          <t>43193260000133</t>
        </is>
      </c>
      <c r="C138" s="121" t="inlineStr">
        <is>
          <t>RESIDENCE CLUB FIDC</t>
        </is>
      </c>
      <c r="D138" s="121" t="inlineStr">
        <is>
          <t>estrutura_incomparavel</t>
        </is>
      </c>
      <c r="E138" s="121" t="inlineStr">
        <is>
          <t>originador; sacado/devedor; tipo de recebível</t>
        </is>
      </c>
      <c r="F138" s="121" t="inlineStr">
        <is>
          <t>Mínimo júnior isolado; a subordinação atual disponível agrega mais de uma classe subordinada ou usa denominador distinto.</t>
        </is>
      </c>
      <c r="G138" s="121" t="inlineStr">
        <is>
          <t>revisto — mínimo júnior localizado</t>
        </is>
      </c>
    </row>
    <row r="139" ht="34.5" customHeight="1">
      <c r="A139" s="121" t="inlineStr">
        <is>
          <t>Carteira 101</t>
        </is>
      </c>
      <c r="B139" s="155" t="inlineStr">
        <is>
          <t>58152340000118</t>
        </is>
      </c>
      <c r="C139" s="121" t="inlineStr">
        <is>
          <t>MONEE II FUNDO DE INVESTIMENTO</t>
        </is>
      </c>
      <c r="D139" s="121" t="inlineStr">
        <is>
          <t>completo_para_folga</t>
        </is>
      </c>
      <c r="E139" s="121" t="inlineStr">
        <is>
          <t>preço unitário da cota; originador; sacado/devedor; tipo de recebível</t>
        </is>
      </c>
      <c r="F139" s="121" t="inlineStr">
        <is>
          <t>Estrutura com uma única classe subordinada; métrica atual e piso usam o total subordinado sobre o PL.</t>
        </is>
      </c>
      <c r="G139" s="121" t="inlineStr">
        <is>
          <t>revisto — mínimo júnior localizado</t>
        </is>
      </c>
    </row>
    <row r="140" ht="34.5" customHeight="1">
      <c r="A140" s="121" t="inlineStr">
        <is>
          <t>Carteira 101</t>
        </is>
      </c>
      <c r="B140" s="155" t="inlineStr">
        <is>
          <t>52340225000190</t>
        </is>
      </c>
      <c r="C140" s="121" t="inlineStr">
        <is>
          <t>INOVA CREDTECH III FUNDO DE INVESTIMENTO</t>
        </is>
      </c>
      <c r="D140" s="121" t="inlineStr">
        <is>
          <t>estrutura_incomparavel</t>
        </is>
      </c>
      <c r="E140" s="121" t="inlineStr">
        <is>
          <t>originador; cedente</t>
        </is>
      </c>
      <c r="F140" s="121" t="inlineStr">
        <is>
          <t>Mínimo júnior isolado; a subordinação atual disponível agrega todas as classes subordinadas.</t>
        </is>
      </c>
      <c r="G140" s="121" t="inlineStr">
        <is>
          <t>revisto — mínimo júnior localizado</t>
        </is>
      </c>
    </row>
    <row r="141" ht="34.5" customHeight="1">
      <c r="A141" s="121" t="inlineStr">
        <is>
          <t>Carteira 101</t>
        </is>
      </c>
      <c r="B141" s="155" t="inlineStr">
        <is>
          <t>63546406000194</t>
        </is>
      </c>
      <c r="C141" s="121" t="inlineStr">
        <is>
          <t>PINE INSS III FUNDO DE INVESTIMENTO EM DIREITOS CREDITORIOS RESPONSABILIDADE</t>
        </is>
      </c>
      <c r="D141" s="121" t="inlineStr">
        <is>
          <t>estrutura_incomparavel</t>
        </is>
      </c>
      <c r="E141" s="121" t="inlineStr">
        <is>
          <t>originador; tipo de recebível</t>
        </is>
      </c>
      <c r="F141" s="121" t="inlineStr">
        <is>
          <t>Mínimo júnior isolado; a subordinação atual disponível agrega todas as classes subordinadas.</t>
        </is>
      </c>
      <c r="G141" s="121" t="inlineStr">
        <is>
          <t>revisto — mínimo júnior localizado</t>
        </is>
      </c>
    </row>
    <row r="142" ht="34.5" customHeight="1">
      <c r="A142" s="121" t="inlineStr">
        <is>
          <t>Carteira 101</t>
        </is>
      </c>
      <c r="B142" s="155" t="inlineStr">
        <is>
          <t>37294759000134</t>
        </is>
      </c>
      <c r="C142" s="121" t="inlineStr">
        <is>
          <t>FUNDO I E D C GALLERIA</t>
        </is>
      </c>
      <c r="D142" s="121" t="inlineStr">
        <is>
          <t>completo_para_folga</t>
        </is>
      </c>
      <c r="E142" s="121" t="inlineStr">
        <is>
          <t>originador; sacado/devedor</t>
        </is>
      </c>
      <c r="F142" s="121" t="inlineStr">
        <is>
          <t>Suporte total ou combinado; não representa mínimo júnior isolado.</t>
        </is>
      </c>
      <c r="G142" s="121" t="inlineStr">
        <is>
          <t>revisto — suporte estrutural total localizado</t>
        </is>
      </c>
    </row>
    <row r="143" ht="34.5" customHeight="1">
      <c r="A143" s="121" t="inlineStr">
        <is>
          <t>Carteira 101</t>
        </is>
      </c>
      <c r="B143" s="155" t="inlineStr">
        <is>
          <t>42085830000109</t>
        </is>
      </c>
      <c r="C143" s="121" t="inlineStr">
        <is>
          <t>CLOUDWALK AKIRA I FUNDO DE INVESTIMENTO EM DIREITO</t>
        </is>
      </c>
      <c r="D143" s="121" t="inlineStr">
        <is>
          <t>completo_para_folga</t>
        </is>
      </c>
      <c r="E143" s="121" t="inlineStr">
        <is>
          <t>originador</t>
        </is>
      </c>
      <c r="F143" s="121" t="inlineStr">
        <is>
          <t>Estrutura com uma única classe subordinada; métrica atual e piso usam o total subordinado sobre o PL.</t>
        </is>
      </c>
      <c r="G143" s="121" t="inlineStr">
        <is>
          <t>revisto — mínimo júnior localizado</t>
        </is>
      </c>
    </row>
    <row r="144" ht="34.5" customHeight="1">
      <c r="A144" s="121" t="inlineStr">
        <is>
          <t>Carteira 101</t>
        </is>
      </c>
      <c r="B144" s="155" t="inlineStr">
        <is>
          <t>61288838000117</t>
        </is>
      </c>
      <c r="C144" s="121" t="inlineStr">
        <is>
          <t>FIDC MOVILE III</t>
        </is>
      </c>
      <c r="D144" s="121" t="inlineStr">
        <is>
          <t>estrutura_incomparavel</t>
        </is>
      </c>
      <c r="E144" s="121" t="inlineStr">
        <is>
          <t>originador</t>
        </is>
      </c>
      <c r="F144" s="121" t="inlineStr">
        <is>
          <t>Mínimo júnior isolado; a subordinação atual disponível agrega todas as classes subordinadas.</t>
        </is>
      </c>
      <c r="G144" s="121" t="inlineStr">
        <is>
          <t>revisto — mínimo júnior localizado</t>
        </is>
      </c>
    </row>
    <row r="145" ht="34.5" customHeight="1">
      <c r="A145" s="121" t="inlineStr">
        <is>
          <t>Carteira 101</t>
        </is>
      </c>
      <c r="B145" s="155" t="inlineStr">
        <is>
          <t>30035329000159</t>
        </is>
      </c>
      <c r="C145" s="121" t="inlineStr">
        <is>
          <t>VIAINVEST II FIDC MULTISSETORIAL</t>
        </is>
      </c>
      <c r="D145" s="121" t="inlineStr">
        <is>
          <t>sub_pl_atual_ausente</t>
        </is>
      </c>
      <c r="E145" s="121" t="inlineStr">
        <is>
          <t>Sub/PL atual; originador; tipo de recebível</t>
        </is>
      </c>
      <c r="F145" s="121" t="inlineStr">
        <is>
          <t>Mínimo júnior isolado; a subordinação atual disponível agrega mais de uma classe subordinada ou usa denominador distinto.</t>
        </is>
      </c>
      <c r="G145" s="121" t="inlineStr">
        <is>
          <t>revisto — mínimo júnior localizado</t>
        </is>
      </c>
    </row>
    <row r="146" ht="34.5" customHeight="1">
      <c r="A146" s="121" t="inlineStr">
        <is>
          <t>Carteira 101</t>
        </is>
      </c>
      <c r="B146" s="155" t="inlineStr">
        <is>
          <t>63657457000193</t>
        </is>
      </c>
      <c r="C146" s="121" t="inlineStr">
        <is>
          <t>MSV3 FUNDO DE INVESTIMENTO EM DIREITOS CREDITORIOS RECEBIVEIS COMERCIAIS</t>
        </is>
      </c>
      <c r="D146" s="121" t="inlineStr">
        <is>
          <t>estrutura_incomparavel</t>
        </is>
      </c>
      <c r="E146" s="121" t="inlineStr">
        <is>
          <t>originador; tipo de recebível</t>
        </is>
      </c>
      <c r="F146" s="121" t="inlineStr">
        <is>
          <t>Mínimo júnior isolado; a subordinação atual disponível agrega todas as classes subordinadas.</t>
        </is>
      </c>
      <c r="G146" s="121" t="inlineStr">
        <is>
          <t>revisto — mínimo júnior localizado</t>
        </is>
      </c>
    </row>
    <row r="147" ht="34.5" customHeight="1">
      <c r="A147" s="121" t="inlineStr">
        <is>
          <t>Carteira 101</t>
        </is>
      </c>
      <c r="B147" s="155" t="inlineStr">
        <is>
          <t>63066147000102</t>
        </is>
      </c>
      <c r="C147" s="121" t="inlineStr">
        <is>
          <t>FUNDO DE INVESTIMENTO EM DIREITOS</t>
        </is>
      </c>
      <c r="D147" s="121" t="inlineStr">
        <is>
          <t>estrutura_incomparavel</t>
        </is>
      </c>
      <c r="E147" s="121" t="inlineStr">
        <is>
          <t>originador; sacado/devedor</t>
        </is>
      </c>
      <c r="F147" s="121" t="inlineStr">
        <is>
          <t>Mínimo júnior isolado; a subordinação atual disponível agrega todas as classes subordinadas.</t>
        </is>
      </c>
      <c r="G147" s="121" t="inlineStr">
        <is>
          <t>revisto — mínimo júnior localizado</t>
        </is>
      </c>
    </row>
    <row r="148" ht="34.5" customHeight="1">
      <c r="A148" s="121" t="inlineStr">
        <is>
          <t>Carteira 101</t>
        </is>
      </c>
      <c r="B148" s="155" t="inlineStr">
        <is>
          <t>65836995000170</t>
        </is>
      </c>
      <c r="C148" s="121" t="inlineStr">
        <is>
          <t>DAYCOVAL 0410 FUNDO DE INV EM DIREITOS CREDITORIOS</t>
        </is>
      </c>
      <c r="D148" s="121" t="inlineStr">
        <is>
          <t>sub_pl_atual_ausente</t>
        </is>
      </c>
      <c r="E148" s="121" t="inlineStr">
        <is>
          <t>Sub/PL atual; originador</t>
        </is>
      </c>
      <c r="F148" s="121" t="inlineStr">
        <is>
          <t>Suporte total ou combinado; não representa mínimo júnior isolado.</t>
        </is>
      </c>
      <c r="G148" s="121" t="inlineStr">
        <is>
          <t>revisto — suporte estrutural total localizado</t>
        </is>
      </c>
    </row>
    <row r="149" ht="34.5" customHeight="1">
      <c r="A149" s="121" t="inlineStr">
        <is>
          <t>Carteira 101</t>
        </is>
      </c>
      <c r="B149" s="155" t="inlineStr">
        <is>
          <t>65873297000145</t>
        </is>
      </c>
      <c r="C149" s="121" t="inlineStr">
        <is>
          <t>ARCELORMITTAL VERTICE FUNDO DE INVESTIMENTO EM DIREITOS CRED</t>
        </is>
      </c>
      <c r="D149" s="121" t="inlineStr">
        <is>
          <t>completo_para_folga</t>
        </is>
      </c>
      <c r="E149" s="121" t="inlineStr">
        <is>
          <t>originador; sacado/devedor</t>
        </is>
      </c>
      <c r="F149" s="121" t="inlineStr">
        <is>
          <t>Estrutura com uma única classe subordinada; métrica atual e piso usam o total subordinado sobre o PL.</t>
        </is>
      </c>
      <c r="G149" s="121" t="inlineStr">
        <is>
          <t>revisto — mínimo júnior localizado</t>
        </is>
      </c>
    </row>
    <row r="150" ht="34.5" customHeight="1">
      <c r="A150" s="121" t="inlineStr">
        <is>
          <t>Carteira 101</t>
        </is>
      </c>
      <c r="B150" s="155" t="inlineStr">
        <is>
          <t>65347578000164</t>
        </is>
      </c>
      <c r="C150" s="121" t="inlineStr">
        <is>
          <t>ICRED INSS III FUNDO DE INVESTIMENTO EM DIREITOS CREDITORIOS RESPONSABILIDADE</t>
        </is>
      </c>
      <c r="D150" s="121" t="inlineStr">
        <is>
          <t>estrutura_incomparavel</t>
        </is>
      </c>
      <c r="E150" s="121" t="inlineStr">
        <is>
          <t>originador; cedente; sacado/devedor; tipo de recebível</t>
        </is>
      </c>
      <c r="F150" s="121" t="inlineStr">
        <is>
          <t>Mínimo júnior isolado; a subordinação atual disponível agrega todas as classes subordinadas.</t>
        </is>
      </c>
      <c r="G150" s="121" t="inlineStr">
        <is>
          <t>revisto — mínimo júnior localizado</t>
        </is>
      </c>
    </row>
    <row r="151" ht="34.5" customHeight="1">
      <c r="A151" s="121" t="inlineStr">
        <is>
          <t>Carteira 101</t>
        </is>
      </c>
      <c r="B151" s="155" t="inlineStr">
        <is>
          <t>18185812000114</t>
        </is>
      </c>
      <c r="C151" s="121" t="inlineStr">
        <is>
          <t>GAVEA SUL FUNDO DE INVESTIMENTO EM DIREITOS CREDITORIOS MULTISSETORIAL</t>
        </is>
      </c>
      <c r="D151" s="121" t="inlineStr">
        <is>
          <t>estrutura_incomparavel</t>
        </is>
      </c>
      <c r="E151" s="121" t="inlineStr">
        <is>
          <t>originador; tipo de recebível</t>
        </is>
      </c>
      <c r="F151" s="121" t="inlineStr">
        <is>
          <t>Mínimo júnior isolado; a subordinação atual disponível agrega todas as classes subordinadas.</t>
        </is>
      </c>
      <c r="G151" s="121" t="inlineStr">
        <is>
          <t>revisto — mínimo júnior localizado</t>
        </is>
      </c>
    </row>
    <row r="152" ht="34.5" customHeight="1">
      <c r="A152" s="121" t="inlineStr">
        <is>
          <t>Carteira 101</t>
        </is>
      </c>
      <c r="B152" s="155" t="inlineStr">
        <is>
          <t>49113994000141</t>
        </is>
      </c>
      <c r="C152" s="121" t="inlineStr">
        <is>
          <t>FUNDO DE INVESTIMENTO EM DIREITOS CREDITORIOS CAP RESPONSABILIDADE LIMITADA</t>
        </is>
      </c>
      <c r="D152" s="121" t="inlineStr">
        <is>
          <t>estrutura_incomparavel</t>
        </is>
      </c>
      <c r="E152" s="121" t="inlineStr">
        <is>
          <t>originador; cedente; sacado/devedor; tipo de recebível</t>
        </is>
      </c>
      <c r="F152" s="121" t="inlineStr">
        <is>
          <t>Mínimo júnior isolado; a subordinação atual disponível agrega todas as classes subordinadas.</t>
        </is>
      </c>
      <c r="G152" s="121" t="inlineStr">
        <is>
          <t>revisto — mínimo júnior localizado</t>
        </is>
      </c>
    </row>
    <row r="153" ht="34.5" customHeight="1">
      <c r="A153" s="121" t="inlineStr">
        <is>
          <t>Flagships</t>
        </is>
      </c>
      <c r="B153" s="155" t="inlineStr">
        <is>
          <t>58458416000138</t>
        </is>
      </c>
      <c r="C153" s="121" t="inlineStr">
        <is>
          <t>MT Consignado Privado I e II</t>
        </is>
      </c>
      <c r="D153" s="121" t="inlineStr">
        <is>
          <t>minimo_estrutural_ausente</t>
        </is>
      </c>
      <c r="E153" s="121" t="inlineStr">
        <is>
          <t>mínimo estrutural comparável; preço unitário da cota; originador; cedente; sacado/devedor; tipo de recebível</t>
        </is>
      </c>
      <c r="F153" s="121" t="inlineStr">
        <is>
          <t>N/D — mínimo estrutural ou subordinação atual ausente</t>
        </is>
      </c>
      <c r="G153" s="121" t="inlineStr">
        <is>
          <t>lacuna — regulamento integral não disponível nas fontes locais</t>
        </is>
      </c>
    </row>
    <row r="154" ht="34.5" customHeight="1">
      <c r="A154" s="121" t="inlineStr">
        <is>
          <t>Flagships</t>
        </is>
      </c>
      <c r="B154" s="155" t="inlineStr">
        <is>
          <t>60010416000112</t>
        </is>
      </c>
      <c r="C154" s="121" t="inlineStr">
        <is>
          <t>MT Consignado Privado I e II</t>
        </is>
      </c>
      <c r="D154" s="121" t="inlineStr">
        <is>
          <t>completo_para_folga</t>
        </is>
      </c>
      <c r="E154" s="121" t="inlineStr">
        <is>
          <t>originador; cedente; sacado/devedor; tipo de recebível</t>
        </is>
      </c>
      <c r="F154" s="121" t="inlineStr">
        <is>
          <t>Comparável — documento confirma ausência de mezanino</t>
        </is>
      </c>
      <c r="G154" s="121" t="inlineStr">
        <is>
          <t>revisto — mínimo júnior localizado</t>
        </is>
      </c>
    </row>
    <row r="155" ht="34.5" customHeight="1">
      <c r="A155" s="121" t="inlineStr">
        <is>
          <t>Flagships</t>
        </is>
      </c>
      <c r="B155" s="155" t="inlineStr">
        <is>
          <t>53841740000117</t>
        </is>
      </c>
      <c r="C155" s="121" t="inlineStr">
        <is>
          <t>Paketa</t>
        </is>
      </c>
      <c r="D155" s="121" t="inlineStr">
        <is>
          <t>minimo_estrutural_ausente</t>
        </is>
      </c>
      <c r="E155" s="121" t="inlineStr">
        <is>
          <t>mínimo estrutural comparável; preço unitário da cota; originador; cedente; sacado/devedor; tipo de recebível</t>
        </is>
      </c>
      <c r="F155" s="121" t="inlineStr">
        <is>
          <t>N/D — mínimo estrutural ou subordinação atual ausente</t>
        </is>
      </c>
      <c r="G155" s="121" t="inlineStr">
        <is>
          <t>lacuna — regulamento integral não disponível nas fontes locais</t>
        </is>
      </c>
    </row>
    <row r="156" ht="34.5" customHeight="1">
      <c r="A156" s="121" t="inlineStr">
        <is>
          <t>Flagships</t>
        </is>
      </c>
      <c r="B156" s="155" t="inlineStr">
        <is>
          <t>62390922000100</t>
        </is>
      </c>
      <c r="C156" s="121" t="inlineStr">
        <is>
          <t>CLT Now</t>
        </is>
      </c>
      <c r="D156" s="121" t="inlineStr">
        <is>
          <t>minimo_estrutural_ausente</t>
        </is>
      </c>
      <c r="E156" s="121" t="inlineStr">
        <is>
          <t>mínimo estrutural comparável; preço unitário da cota; originador; cedente; sacado/devedor; tipo de recebível</t>
        </is>
      </c>
      <c r="F156" s="121" t="inlineStr">
        <is>
          <t>N/D — mínimo estrutural ou subordinação atual ausente</t>
        </is>
      </c>
      <c r="G156" s="121" t="inlineStr">
        <is>
          <t>revisto — mínimo júnior não isolado</t>
        </is>
      </c>
    </row>
    <row r="157" ht="34.5" customHeight="1">
      <c r="A157" s="121" t="inlineStr">
        <is>
          <t>Flagships</t>
        </is>
      </c>
      <c r="B157" s="155" t="inlineStr">
        <is>
          <t>63546406000194</t>
        </is>
      </c>
      <c r="C157" s="121" t="inlineStr">
        <is>
          <t>Pine INSS I, II e III</t>
        </is>
      </c>
      <c r="D157" s="121" t="inlineStr">
        <is>
          <t>estrutura_incomparavel</t>
        </is>
      </c>
      <c r="E157" s="121" t="inlineStr">
        <is>
          <t>mínimo estrutural comparável; preço unitário da cota; originador; cedente; sacado/devedor; tipo de recebível</t>
        </is>
      </c>
      <c r="F157" s="121" t="inlineStr">
        <is>
          <t>N/D — equivalência entre mínimo júnior e subordinação total não comprovada</t>
        </is>
      </c>
      <c r="G157" s="121" t="inlineStr">
        <is>
          <t>revisto — mínimo júnior localizado</t>
        </is>
      </c>
    </row>
    <row r="158" ht="34.5" customHeight="1">
      <c r="A158" s="121" t="inlineStr">
        <is>
          <t>Flagships</t>
        </is>
      </c>
      <c r="B158" s="155" t="inlineStr">
        <is>
          <t>61271872000189</t>
        </is>
      </c>
      <c r="C158" s="121" t="inlineStr">
        <is>
          <t>Pine INSS I, II e III</t>
        </is>
      </c>
      <c r="D158" s="121" t="inlineStr">
        <is>
          <t>minimo_estrutural_ausente</t>
        </is>
      </c>
      <c r="E158" s="121" t="inlineStr">
        <is>
          <t>mínimo estrutural comparável; preço unitário da cota; originador; cedente; sacado/devedor; tipo de recebível</t>
        </is>
      </c>
      <c r="F158" s="121" t="inlineStr">
        <is>
          <t>N/D — mínimo estrutural ou subordinação atual ausente</t>
        </is>
      </c>
      <c r="G158" s="121" t="inlineStr">
        <is>
          <t>revisto — mínimo júnior não isolado</t>
        </is>
      </c>
    </row>
    <row r="159" ht="34.5" customHeight="1">
      <c r="A159" s="121" t="inlineStr">
        <is>
          <t>Flagships</t>
        </is>
      </c>
      <c r="B159" s="155" t="inlineStr">
        <is>
          <t>63321684000143</t>
        </is>
      </c>
      <c r="C159" s="121" t="inlineStr">
        <is>
          <t>Pine INSS I, II e III</t>
        </is>
      </c>
      <c r="D159" s="121" t="inlineStr">
        <is>
          <t>minimo_estrutural_ausente</t>
        </is>
      </c>
      <c r="E159" s="121" t="inlineStr">
        <is>
          <t>mínimo estrutural comparável; preço unitário da cota; originador; cedente; sacado/devedor; tipo de recebível</t>
        </is>
      </c>
      <c r="F159" s="121" t="inlineStr">
        <is>
          <t>N/D — mínimo estrutural ou subordinação atual ausente</t>
        </is>
      </c>
      <c r="G159" s="121" t="inlineStr">
        <is>
          <t>lacuna — regulamento integral não disponível nas fontes locais</t>
        </is>
      </c>
    </row>
    <row r="160" ht="34.5" customHeight="1">
      <c r="A160" s="121" t="inlineStr">
        <is>
          <t>Flagships</t>
        </is>
      </c>
      <c r="B160" s="155" t="inlineStr">
        <is>
          <t>62310468000130</t>
        </is>
      </c>
      <c r="C160" s="121" t="inlineStr">
        <is>
          <t>MT INSS Receivables VI</t>
        </is>
      </c>
      <c r="D160" s="121" t="inlineStr">
        <is>
          <t>minimo_estrutural_ausente</t>
        </is>
      </c>
      <c r="E160" s="121" t="inlineStr">
        <is>
          <t>mínimo estrutural comparável; preço unitário da cota; originador; cedente; sacado/devedor; tipo de recebível</t>
        </is>
      </c>
      <c r="F160" s="121" t="inlineStr">
        <is>
          <t>N/D — mínimo estrutural ou subordinação atual ausente</t>
        </is>
      </c>
      <c r="G160" s="121" t="inlineStr">
        <is>
          <t>revisto — mínimo júnior não isolado</t>
        </is>
      </c>
    </row>
    <row r="161" ht="34.5" customHeight="1">
      <c r="A161" s="121" t="inlineStr">
        <is>
          <t>Flagships</t>
        </is>
      </c>
      <c r="B161" s="155" t="inlineStr">
        <is>
          <t>63733796000101</t>
        </is>
      </c>
      <c r="C161" s="121" t="inlineStr">
        <is>
          <t>ICRED Chopin INSS</t>
        </is>
      </c>
      <c r="D161" s="121" t="inlineStr">
        <is>
          <t>minimo_estrutural_ausente</t>
        </is>
      </c>
      <c r="E161" s="121" t="inlineStr">
        <is>
          <t>mínimo estrutural comparável; preço unitário da cota; originador; cedente; sacado/devedor; tipo de recebível</t>
        </is>
      </c>
      <c r="F161" s="121" t="inlineStr">
        <is>
          <t>N/D — mínimo estrutural ou subordinação atual ausente</t>
        </is>
      </c>
      <c r="G161" s="121" t="inlineStr">
        <is>
          <t>lacuna — regulamento integral não disponível nas fontes locais</t>
        </is>
      </c>
    </row>
    <row r="162" ht="34.5" customHeight="1">
      <c r="A162" s="121" t="inlineStr">
        <is>
          <t>Flagships</t>
        </is>
      </c>
      <c r="B162" s="155" t="inlineStr">
        <is>
          <t>53337453000174</t>
        </is>
      </c>
      <c r="C162" s="121" t="inlineStr">
        <is>
          <t>CM Estadual I e II</t>
        </is>
      </c>
      <c r="D162" s="121" t="inlineStr">
        <is>
          <t>minimo_estrutural_ausente</t>
        </is>
      </c>
      <c r="E162" s="121" t="inlineStr">
        <is>
          <t>mínimo estrutural comparável; preço unitário da cota; originador; cedente; sacado/devedor; tipo de recebível</t>
        </is>
      </c>
      <c r="F162" s="121" t="inlineStr">
        <is>
          <t>N/D — mínimo estrutural ou subordinação atual ausente</t>
        </is>
      </c>
      <c r="G162" s="121" t="inlineStr">
        <is>
          <t>revisto — mínimo júnior não isolado</t>
        </is>
      </c>
    </row>
    <row r="163" ht="34.5" customHeight="1">
      <c r="A163" s="121" t="inlineStr">
        <is>
          <t>Flagships</t>
        </is>
      </c>
      <c r="B163" s="155" t="inlineStr">
        <is>
          <t>44395657000170</t>
        </is>
      </c>
      <c r="C163" s="121" t="inlineStr">
        <is>
          <t>CM Estadual I e II</t>
        </is>
      </c>
      <c r="D163" s="121" t="inlineStr">
        <is>
          <t>minimo_estrutural_ausente</t>
        </is>
      </c>
      <c r="E163" s="121" t="inlineStr">
        <is>
          <t>mínimo estrutural comparável; preço unitário da cota; originador; cedente; sacado/devedor; tipo de recebível</t>
        </is>
      </c>
      <c r="F163" s="121" t="inlineStr">
        <is>
          <t>N/D — mínimo estrutural ou subordinação atual ausente</t>
        </is>
      </c>
      <c r="G163" s="121" t="inlineStr">
        <is>
          <t>lacuna — regulamento integral não disponível nas fontes locais</t>
        </is>
      </c>
    </row>
    <row r="164" ht="34.5" customHeight="1">
      <c r="A164" s="121" t="inlineStr">
        <is>
          <t>Flagships</t>
        </is>
      </c>
      <c r="B164" s="155" t="inlineStr">
        <is>
          <t>65839682000176</t>
        </is>
      </c>
      <c r="C164" s="121" t="inlineStr">
        <is>
          <t>PicPay FGTS I e II</t>
        </is>
      </c>
      <c r="D164" s="121" t="inlineStr">
        <is>
          <t>minimo_estrutural_ausente</t>
        </is>
      </c>
      <c r="E164" s="121" t="inlineStr">
        <is>
          <t>mínimo estrutural comparável; preço unitário da cota; originador; cedente; sacado/devedor; tipo de recebível</t>
        </is>
      </c>
      <c r="F164" s="121" t="inlineStr">
        <is>
          <t>N/D — mínimo estrutural ou subordinação atual ausente</t>
        </is>
      </c>
      <c r="G164" s="121" t="inlineStr">
        <is>
          <t>revisto — mínimo júnior não isolado</t>
        </is>
      </c>
    </row>
    <row r="165" ht="34.5" customHeight="1">
      <c r="A165" s="121" t="inlineStr">
        <is>
          <t>Flagships</t>
        </is>
      </c>
      <c r="B165" s="155" t="inlineStr">
        <is>
          <t>58148845000109</t>
        </is>
      </c>
      <c r="C165" s="121" t="inlineStr">
        <is>
          <t>PicPay FGTS I e II</t>
        </is>
      </c>
      <c r="D165" s="121" t="inlineStr">
        <is>
          <t>minimo_estrutural_ausente</t>
        </is>
      </c>
      <c r="E165" s="121" t="inlineStr">
        <is>
          <t>mínimo estrutural comparável; preço unitário da cota; originador; cedente; sacado/devedor; tipo de recebível</t>
        </is>
      </c>
      <c r="F165" s="121" t="inlineStr">
        <is>
          <t>N/D — mínimo estrutural ou subordinação atual ausente</t>
        </is>
      </c>
      <c r="G165" s="121" t="inlineStr">
        <is>
          <t>revisto — mínimo júnior não isolado</t>
        </is>
      </c>
    </row>
    <row r="166" ht="34.5" customHeight="1">
      <c r="A166" s="121" t="inlineStr">
        <is>
          <t>Flagships</t>
        </is>
      </c>
      <c r="B166" s="155" t="inlineStr">
        <is>
          <t>62010175000137</t>
        </is>
      </c>
      <c r="C166" s="121" t="inlineStr">
        <is>
          <t>MT FGTS II e IV</t>
        </is>
      </c>
      <c r="D166" s="121" t="inlineStr">
        <is>
          <t>minimo_estrutural_ausente</t>
        </is>
      </c>
      <c r="E166" s="121" t="inlineStr">
        <is>
          <t>mínimo estrutural comparável; preço unitário da cota; originador; cedente; sacado/devedor; tipo de recebível</t>
        </is>
      </c>
      <c r="F166" s="121" t="inlineStr">
        <is>
          <t>N/D — mínimo estrutural ou subordinação atual ausente</t>
        </is>
      </c>
      <c r="G166" s="121" t="inlineStr">
        <is>
          <t>lacuna — regulamento integral não disponível nas fontes locais</t>
        </is>
      </c>
    </row>
    <row r="167" ht="34.5" customHeight="1">
      <c r="A167" s="121" t="inlineStr">
        <is>
          <t>Flagships</t>
        </is>
      </c>
      <c r="B167" s="155" t="inlineStr">
        <is>
          <t>54464892000100</t>
        </is>
      </c>
      <c r="C167" s="121" t="inlineStr">
        <is>
          <t>MT FGTS II e IV</t>
        </is>
      </c>
      <c r="D167" s="121" t="inlineStr">
        <is>
          <t>minimo_estrutural_ausente</t>
        </is>
      </c>
      <c r="E167" s="121" t="inlineStr">
        <is>
          <t>mínimo estrutural comparável; preço unitário da cota; originador; sacado/devedor; tipo de recebível</t>
        </is>
      </c>
      <c r="F167" s="121" t="inlineStr">
        <is>
          <t>N/D — mínimo estrutural ou subordinação atual ausente</t>
        </is>
      </c>
      <c r="G167" s="121" t="inlineStr">
        <is>
          <t>lacuna — regulamento integral não disponível nas fontes locais</t>
        </is>
      </c>
    </row>
    <row r="168" ht="34.5" customHeight="1">
      <c r="A168" s="121" t="inlineStr">
        <is>
          <t>Flagships</t>
        </is>
      </c>
      <c r="B168" s="155" t="inlineStr">
        <is>
          <t>63848380000139</t>
        </is>
      </c>
      <c r="C168" s="121" t="inlineStr">
        <is>
          <t>Daycoval FGTS I</t>
        </is>
      </c>
      <c r="D168" s="121" t="inlineStr">
        <is>
          <t>minimo_estrutural_ausente</t>
        </is>
      </c>
      <c r="E168" s="121" t="inlineStr">
        <is>
          <t>mínimo estrutural comparável; preço unitário da cota; originador; cedente; sacado/devedor; tipo de recebível</t>
        </is>
      </c>
      <c r="F168" s="121" t="inlineStr">
        <is>
          <t>N/D — mínimo estrutural ou subordinação atual ausente</t>
        </is>
      </c>
      <c r="G168" s="121" t="inlineStr">
        <is>
          <t>revisto — mínimo júnior não isolado</t>
        </is>
      </c>
    </row>
    <row r="169" ht="34.5" customHeight="1">
      <c r="A169" s="121" t="inlineStr">
        <is>
          <t>Flagships</t>
        </is>
      </c>
      <c r="B169" s="155" t="inlineStr">
        <is>
          <t>62393679000183</t>
        </is>
      </c>
      <c r="C169" s="121" t="inlineStr">
        <is>
          <t>Cloudwalk Bela Pi e Big Picture I–IV</t>
        </is>
      </c>
      <c r="D169" s="121" t="inlineStr">
        <is>
          <t>minimo_estrutural_ausente</t>
        </is>
      </c>
      <c r="E169" s="121" t="inlineStr">
        <is>
          <t>mínimo estrutural comparável; cedente; sacado/devedor; tipo de recebível</t>
        </is>
      </c>
      <c r="F169" s="121" t="inlineStr">
        <is>
          <t>N/D — mínimo estrutural ou subordinação atual ausente</t>
        </is>
      </c>
      <c r="G169" s="121" t="inlineStr">
        <is>
          <t>revisto — mínimo júnior localizado</t>
        </is>
      </c>
    </row>
    <row r="170" ht="34.5" customHeight="1">
      <c r="A170" s="121" t="inlineStr">
        <is>
          <t>Flagships</t>
        </is>
      </c>
      <c r="B170" s="155" t="inlineStr">
        <is>
          <t>60356171000180</t>
        </is>
      </c>
      <c r="C170" s="121" t="inlineStr">
        <is>
          <t>Cloudwalk Bela Pi e Big Picture I–IV</t>
        </is>
      </c>
      <c r="D170" s="121" t="inlineStr">
        <is>
          <t>estrutura_incomparavel</t>
        </is>
      </c>
      <c r="E170" s="121" t="inlineStr">
        <is>
          <t>mínimo estrutural comparável; cedente; sacado/devedor; tipo de recebível</t>
        </is>
      </c>
      <c r="F170" s="121" t="inlineStr">
        <is>
          <t>N/D — equivalência entre mínimo júnior e subordinação total não comprovada</t>
        </is>
      </c>
      <c r="G170" s="121" t="inlineStr">
        <is>
          <t>revisto — mínimo júnior localizado</t>
        </is>
      </c>
    </row>
    <row r="171" ht="34.5" customHeight="1">
      <c r="A171" s="121" t="inlineStr">
        <is>
          <t>Flagships</t>
        </is>
      </c>
      <c r="B171" s="155" t="inlineStr">
        <is>
          <t>54218673000141</t>
        </is>
      </c>
      <c r="C171" s="121" t="inlineStr">
        <is>
          <t>Cloudwalk Bela Pi e Big Picture I–IV</t>
        </is>
      </c>
      <c r="D171" s="121" t="inlineStr">
        <is>
          <t>completo_para_folga</t>
        </is>
      </c>
      <c r="E171" s="121" t="inlineStr">
        <is>
          <t>originador; cedente; sacado/devedor; tipo de recebível</t>
        </is>
      </c>
      <c r="F171" s="121" t="inlineStr">
        <is>
          <t>Comparável — documento confirma ausência de mezanino</t>
        </is>
      </c>
      <c r="G171" s="121" t="inlineStr">
        <is>
          <t>revisto — mínimo júnior localizado</t>
        </is>
      </c>
    </row>
    <row r="172" ht="34.5" customHeight="1">
      <c r="A172" s="121" t="inlineStr">
        <is>
          <t>Flagships</t>
        </is>
      </c>
      <c r="B172" s="155" t="inlineStr">
        <is>
          <t>54248022000102</t>
        </is>
      </c>
      <c r="C172" s="121" t="inlineStr">
        <is>
          <t>Cloudwalk Bela Pi e Big Picture I–IV</t>
        </is>
      </c>
      <c r="D172" s="121" t="inlineStr">
        <is>
          <t>completo_para_folga</t>
        </is>
      </c>
      <c r="E172" s="121" t="inlineStr">
        <is>
          <t>originador; cedente; sacado/devedor; tipo de recebível</t>
        </is>
      </c>
      <c r="F172" s="121" t="inlineStr">
        <is>
          <t>Comparável — documento confirma ausência de mezanino</t>
        </is>
      </c>
      <c r="G172" s="121" t="inlineStr">
        <is>
          <t>revisto — mínimo júnior localizado</t>
        </is>
      </c>
    </row>
    <row r="173" ht="34.5" customHeight="1">
      <c r="A173" s="121" t="inlineStr">
        <is>
          <t>Flagships</t>
        </is>
      </c>
      <c r="B173" s="155" t="inlineStr">
        <is>
          <t>54218941000125</t>
        </is>
      </c>
      <c r="C173" s="121" t="inlineStr">
        <is>
          <t>Cloudwalk Bela Pi e Big Picture I–IV</t>
        </is>
      </c>
      <c r="D173" s="121" t="inlineStr">
        <is>
          <t>completo_para_folga</t>
        </is>
      </c>
      <c r="E173" s="121" t="inlineStr">
        <is>
          <t>originador; cedente; sacado/devedor; tipo de recebível</t>
        </is>
      </c>
      <c r="F173" s="121" t="inlineStr">
        <is>
          <t>Comparável — documento confirma ausência de mezanino</t>
        </is>
      </c>
      <c r="G173" s="121" t="inlineStr">
        <is>
          <t>revisto — mínimo júnior localizado</t>
        </is>
      </c>
    </row>
    <row r="174" ht="34.5" customHeight="1">
      <c r="A174" s="121" t="inlineStr">
        <is>
          <t>Flagships</t>
        </is>
      </c>
      <c r="B174" s="155" t="inlineStr">
        <is>
          <t>54219179000100</t>
        </is>
      </c>
      <c r="C174" s="121" t="inlineStr">
        <is>
          <t>Cloudwalk Bela Pi e Big Picture I–IV</t>
        </is>
      </c>
      <c r="D174" s="121" t="inlineStr">
        <is>
          <t>minimo_estrutural_ausente</t>
        </is>
      </c>
      <c r="E174" s="121" t="inlineStr">
        <is>
          <t>mínimo estrutural comparável; originador; cedente; sacado/devedor; tipo de recebível</t>
        </is>
      </c>
      <c r="F174" s="121" t="inlineStr">
        <is>
          <t>N/D — mínimo estrutural ou subordinação atual ausente</t>
        </is>
      </c>
      <c r="G174" s="121" t="inlineStr">
        <is>
          <t>revisto — conflito interno do documento</t>
        </is>
      </c>
    </row>
    <row r="175" ht="34.5" customHeight="1">
      <c r="A175" s="121" t="inlineStr">
        <is>
          <t>Flagships</t>
        </is>
      </c>
      <c r="B175" s="155" t="inlineStr">
        <is>
          <t>26286939000158</t>
        </is>
      </c>
      <c r="C175" s="121" t="inlineStr">
        <is>
          <t>Cielo</t>
        </is>
      </c>
      <c r="D175" s="121" t="inlineStr">
        <is>
          <t>minimo_estrutural_ausente</t>
        </is>
      </c>
      <c r="E175" s="121" t="inlineStr">
        <is>
          <t>mínimo estrutural comparável; preço unitário da cota; cedente; sacado/devedor; tipo de recebível</t>
        </is>
      </c>
      <c r="F175" s="121" t="inlineStr">
        <is>
          <t>N/D — mínimo estrutural ou subordinação atual ausente</t>
        </is>
      </c>
      <c r="G175" s="121" t="inlineStr">
        <is>
          <t>lacuna — regulamento integral não disponível nas fontes locais</t>
        </is>
      </c>
    </row>
    <row r="176" ht="34.5" customHeight="1">
      <c r="A176" s="121" t="inlineStr">
        <is>
          <t>Flagships</t>
        </is>
      </c>
      <c r="B176" s="155" t="inlineStr">
        <is>
          <t>54979779000168</t>
        </is>
      </c>
      <c r="C176" s="121" t="inlineStr">
        <is>
          <t>ACR BEM, ACR I e ACR IV</t>
        </is>
      </c>
      <c r="D176" s="121" t="inlineStr">
        <is>
          <t>minimo_estrutural_ausente</t>
        </is>
      </c>
      <c r="E176" s="121" t="inlineStr">
        <is>
          <t>mínimo estrutural comparável; preço unitário da cota; cedente; sacado/devedor; tipo de recebível</t>
        </is>
      </c>
      <c r="F176" s="121" t="inlineStr">
        <is>
          <t>N/D — mínimo estrutural ou subordinação atual ausente</t>
        </is>
      </c>
      <c r="G176" s="121" t="inlineStr">
        <is>
          <t>lacuna — regulamento integral não disponível nas fontes locais</t>
        </is>
      </c>
    </row>
    <row r="177" ht="34.5" customHeight="1">
      <c r="A177" s="121" t="inlineStr">
        <is>
          <t>Flagships</t>
        </is>
      </c>
      <c r="B177" s="155" t="inlineStr">
        <is>
          <t>52256912000122</t>
        </is>
      </c>
      <c r="C177" s="121" t="inlineStr">
        <is>
          <t>ACR BEM, ACR I e ACR IV</t>
        </is>
      </c>
      <c r="D177" s="121" t="inlineStr">
        <is>
          <t>minimo_estrutural_ausente</t>
        </is>
      </c>
      <c r="E177" s="121" t="inlineStr">
        <is>
          <t>mínimo estrutural comparável; preço unitário da cota; originador; cedente; sacado/devedor; tipo de recebível</t>
        </is>
      </c>
      <c r="F177" s="121" t="inlineStr">
        <is>
          <t>N/D — mínimo estrutural ou subordinação atual ausente</t>
        </is>
      </c>
      <c r="G177" s="121" t="inlineStr">
        <is>
          <t>lacuna — regulamento integral não disponível nas fontes locais</t>
        </is>
      </c>
    </row>
    <row r="178" ht="34.5" customHeight="1">
      <c r="A178" s="121" t="inlineStr">
        <is>
          <t>Flagships</t>
        </is>
      </c>
      <c r="B178" s="155" t="inlineStr">
        <is>
          <t>51983832000106</t>
        </is>
      </c>
      <c r="C178" s="121" t="inlineStr">
        <is>
          <t>ACR BEM, ACR I e ACR IV</t>
        </is>
      </c>
      <c r="D178" s="121" t="inlineStr">
        <is>
          <t>minimo_estrutural_ausente</t>
        </is>
      </c>
      <c r="E178" s="121" t="inlineStr">
        <is>
          <t>mínimo estrutural comparável; preço unitário da cota; originador; cedente; sacado/devedor; tipo de recebível</t>
        </is>
      </c>
      <c r="F178" s="121" t="inlineStr">
        <is>
          <t>N/D — mínimo estrutural ou subordinação atual ausente</t>
        </is>
      </c>
      <c r="G178" s="121" t="inlineStr">
        <is>
          <t>lacuna — regulamento integral não disponível nas fontes locais</t>
        </is>
      </c>
    </row>
    <row r="179" ht="34.5" customHeight="1">
      <c r="A179" s="121" t="inlineStr">
        <is>
          <t>Flagships</t>
        </is>
      </c>
      <c r="B179" s="155" t="inlineStr">
        <is>
          <t>26287464000114</t>
        </is>
      </c>
      <c r="C179" s="121" t="inlineStr">
        <is>
          <t>Tapso</t>
        </is>
      </c>
      <c r="D179" s="121" t="inlineStr">
        <is>
          <t>minimo_estrutural_ausente</t>
        </is>
      </c>
      <c r="E179" s="121" t="inlineStr">
        <is>
          <t>mínimo estrutural comparável; preço unitário da cota; cedente; sacado/devedor; tipo de recebível</t>
        </is>
      </c>
      <c r="F179" s="121" t="inlineStr">
        <is>
          <t>N/D — mínimo estrutural ou subordinação atual ausente</t>
        </is>
      </c>
      <c r="G179" s="121" t="inlineStr">
        <is>
          <t>lacuna — regulamento integral não disponível nas fontes locais</t>
        </is>
      </c>
    </row>
    <row r="180" ht="34.5" customHeight="1">
      <c r="A180" s="121" t="inlineStr">
        <is>
          <t>Flagships</t>
        </is>
      </c>
      <c r="B180" s="155" t="inlineStr">
        <is>
          <t>63572282000111</t>
        </is>
      </c>
      <c r="C180" s="121" t="inlineStr">
        <is>
          <t>Seller I, II e III</t>
        </is>
      </c>
      <c r="D180" s="121" t="inlineStr">
        <is>
          <t>estrutura_incomparavel</t>
        </is>
      </c>
      <c r="E180" s="121" t="inlineStr">
        <is>
          <t>mínimo estrutural comparável; originador; cedente; sacado/devedor; tipo de recebível</t>
        </is>
      </c>
      <c r="F180" s="121" t="inlineStr">
        <is>
          <t>N/D — equivalência entre mínimo júnior e subordinação total não comprovada</t>
        </is>
      </c>
      <c r="G180" s="121" t="inlineStr">
        <is>
          <t>revisto — mínimo júnior localizado</t>
        </is>
      </c>
    </row>
    <row r="181" ht="34.5" customHeight="1">
      <c r="A181" s="121" t="inlineStr">
        <is>
          <t>Flagships</t>
        </is>
      </c>
      <c r="B181" s="155" t="inlineStr">
        <is>
          <t>50473039000102</t>
        </is>
      </c>
      <c r="C181" s="121" t="inlineStr">
        <is>
          <t>Seller I, II e III</t>
        </is>
      </c>
      <c r="D181" s="121" t="inlineStr">
        <is>
          <t>estrutura_incomparavel</t>
        </is>
      </c>
      <c r="E181" s="121" t="inlineStr">
        <is>
          <t>mínimo estrutural comparável; sacado/devedor</t>
        </is>
      </c>
      <c r="F181" s="121" t="inlineStr">
        <is>
          <t>N/D — equivalência entre mínimo júnior e subordinação total não comprovada</t>
        </is>
      </c>
      <c r="G181" s="121" t="inlineStr">
        <is>
          <t>revisto — mínimo júnior localizado</t>
        </is>
      </c>
    </row>
    <row r="182" ht="34.5" customHeight="1">
      <c r="A182" s="121" t="inlineStr">
        <is>
          <t>Flagships</t>
        </is>
      </c>
      <c r="B182" s="155" t="inlineStr">
        <is>
          <t>55471753000177</t>
        </is>
      </c>
      <c r="C182" s="121" t="inlineStr">
        <is>
          <t>Seller I, II e III</t>
        </is>
      </c>
      <c r="D182" s="121" t="inlineStr">
        <is>
          <t>estrutura_incomparavel</t>
        </is>
      </c>
      <c r="E182" s="121" t="inlineStr">
        <is>
          <t>mínimo estrutural comparável; originador; cedente; sacado/devedor; tipo de recebível</t>
        </is>
      </c>
      <c r="F182" s="121" t="inlineStr">
        <is>
          <t>N/D — equivalência entre mínimo júnior e subordinação total não comprovada</t>
        </is>
      </c>
      <c r="G182" s="121" t="inlineStr">
        <is>
          <t>revisto — mínimo júnior localizado</t>
        </is>
      </c>
    </row>
    <row r="183" ht="34.5" customHeight="1">
      <c r="A183" s="121" t="inlineStr">
        <is>
          <t>Flagships</t>
        </is>
      </c>
      <c r="B183" s="155" t="inlineStr">
        <is>
          <t>28169275000172</t>
        </is>
      </c>
      <c r="C183" s="121" t="inlineStr">
        <is>
          <t>PagSeguro I</t>
        </is>
      </c>
      <c r="D183" s="121" t="inlineStr">
        <is>
          <t>minimo_estrutural_ausente</t>
        </is>
      </c>
      <c r="E183" s="121" t="inlineStr">
        <is>
          <t>mínimo estrutural comparável; preço unitário da cota; sacado/devedor</t>
        </is>
      </c>
      <c r="F183" s="121" t="inlineStr">
        <is>
          <t>N/D — mínimo estrutural ou subordinação atual ausente</t>
        </is>
      </c>
      <c r="G183" s="121" t="inlineStr">
        <is>
          <t>revisto — mínimo júnior não isolado</t>
        </is>
      </c>
    </row>
    <row r="184" ht="34.5" customHeight="1">
      <c r="A184" s="121" t="inlineStr">
        <is>
          <t>Flagships</t>
        </is>
      </c>
      <c r="B184" s="155" t="inlineStr">
        <is>
          <t>66929956000180</t>
        </is>
      </c>
      <c r="C184" s="121" t="inlineStr">
        <is>
          <t>BV Auto I, II e III</t>
        </is>
      </c>
      <c r="D184" s="121" t="inlineStr">
        <is>
          <t>minimo_estrutural_ausente</t>
        </is>
      </c>
      <c r="E184" s="121" t="inlineStr">
        <is>
          <t>mínimo estrutural comparável; preço unitário da cota; originador; cedente; sacado/devedor; tipo de recebível</t>
        </is>
      </c>
      <c r="F184" s="121" t="inlineStr">
        <is>
          <t>N/D — mínimo estrutural ou subordinação atual ausente</t>
        </is>
      </c>
      <c r="G184" s="121" t="inlineStr">
        <is>
          <t>lacuna — regulamento integral não disponível nas fontes locais</t>
        </is>
      </c>
    </row>
    <row r="185" ht="34.5" customHeight="1">
      <c r="A185" s="121" t="inlineStr">
        <is>
          <t>Flagships</t>
        </is>
      </c>
      <c r="B185" s="155" t="inlineStr">
        <is>
          <t>57532556000146</t>
        </is>
      </c>
      <c r="C185" s="121" t="inlineStr">
        <is>
          <t>BV Auto I, II e III</t>
        </is>
      </c>
      <c r="D185" s="121" t="inlineStr">
        <is>
          <t>minimo_estrutural_ausente</t>
        </is>
      </c>
      <c r="E185" s="121" t="inlineStr">
        <is>
          <t>mínimo estrutural comparável; preço unitário da cota; originador; cedente; sacado/devedor; tipo de recebível</t>
        </is>
      </c>
      <c r="F185" s="121" t="inlineStr">
        <is>
          <t>N/D — mínimo estrutural ou subordinação atual ausente</t>
        </is>
      </c>
      <c r="G185" s="121" t="inlineStr">
        <is>
          <t>lacuna — regulamento integral não disponível nas fontes locais</t>
        </is>
      </c>
    </row>
    <row r="186" ht="34.5" customHeight="1">
      <c r="A186" s="121" t="inlineStr">
        <is>
          <t>Flagships</t>
        </is>
      </c>
      <c r="B186" s="155" t="inlineStr">
        <is>
          <t>60598366000136</t>
        </is>
      </c>
      <c r="C186" s="121" t="inlineStr">
        <is>
          <t>BV Auto I, II e III</t>
        </is>
      </c>
      <c r="D186" s="121" t="inlineStr">
        <is>
          <t>minimo_estrutural_ausente</t>
        </is>
      </c>
      <c r="E186" s="121" t="inlineStr">
        <is>
          <t>mínimo estrutural comparável; preço unitário da cota; originador; cedente; sacado/devedor; tipo de recebível</t>
        </is>
      </c>
      <c r="F186" s="121" t="inlineStr">
        <is>
          <t>N/D — mínimo estrutural ou subordinação atual ausente</t>
        </is>
      </c>
      <c r="G186" s="121" t="inlineStr">
        <is>
          <t>revisto — mínimo júnior não isolado</t>
        </is>
      </c>
    </row>
    <row r="187" ht="34.5" customHeight="1">
      <c r="A187" s="121" t="inlineStr">
        <is>
          <t>Flagships</t>
        </is>
      </c>
      <c r="B187" s="155" t="inlineStr">
        <is>
          <t>59929098000109</t>
        </is>
      </c>
      <c r="C187" s="121" t="inlineStr">
        <is>
          <t>Creditas Auto X, XI e XII</t>
        </is>
      </c>
      <c r="D187" s="121" t="inlineStr">
        <is>
          <t>minimo_estrutural_ausente</t>
        </is>
      </c>
      <c r="E187" s="121" t="inlineStr">
        <is>
          <t>mínimo estrutural comparável; preço unitário da cota; originador; cedente; sacado/devedor; tipo de recebível</t>
        </is>
      </c>
      <c r="F187" s="121" t="inlineStr">
        <is>
          <t>N/D — mínimo estrutural ou subordinação atual ausente</t>
        </is>
      </c>
      <c r="G187" s="121" t="inlineStr">
        <is>
          <t>lacuna — regulamento integral não disponível nas fontes locais</t>
        </is>
      </c>
    </row>
    <row r="188" ht="34.5" customHeight="1">
      <c r="A188" s="121" t="inlineStr">
        <is>
          <t>Flagships</t>
        </is>
      </c>
      <c r="B188" s="155" t="inlineStr">
        <is>
          <t>53095241000128</t>
        </is>
      </c>
      <c r="C188" s="121" t="inlineStr">
        <is>
          <t>Creditas Auto X, XI e XII</t>
        </is>
      </c>
      <c r="D188" s="121" t="inlineStr">
        <is>
          <t>minimo_estrutural_ausente</t>
        </is>
      </c>
      <c r="E188" s="121" t="inlineStr">
        <is>
          <t>mínimo estrutural comparável; preço unitário da cota; originador; cedente; sacado/devedor; tipo de recebível</t>
        </is>
      </c>
      <c r="F188" s="121" t="inlineStr">
        <is>
          <t>N/D — mínimo estrutural ou subordinação atual ausente</t>
        </is>
      </c>
      <c r="G188" s="121" t="inlineStr">
        <is>
          <t>lacuna — regulamento integral não disponível nas fontes locais</t>
        </is>
      </c>
    </row>
    <row r="189" ht="34.5" customHeight="1">
      <c r="A189" s="121" t="inlineStr">
        <is>
          <t>Flagships</t>
        </is>
      </c>
      <c r="B189" s="155" t="inlineStr">
        <is>
          <t>58035124000192</t>
        </is>
      </c>
      <c r="C189" s="121" t="inlineStr">
        <is>
          <t>Creditas Auto X, XI e XII</t>
        </is>
      </c>
      <c r="D189" s="121" t="inlineStr">
        <is>
          <t>minimo_estrutural_ausente</t>
        </is>
      </c>
      <c r="E189" s="121" t="inlineStr">
        <is>
          <t>mínimo estrutural comparável; preço unitário da cota; originador; cedente; sacado/devedor; tipo de recebível</t>
        </is>
      </c>
      <c r="F189" s="121" t="inlineStr">
        <is>
          <t>N/D — mínimo estrutural ou subordinação atual ausente</t>
        </is>
      </c>
      <c r="G189" s="121" t="inlineStr">
        <is>
          <t>lacuna — regulamento integral não disponível nas fontes locais</t>
        </is>
      </c>
    </row>
    <row r="190" ht="34.5" customHeight="1">
      <c r="A190" s="121" t="inlineStr">
        <is>
          <t>Flagships</t>
        </is>
      </c>
      <c r="B190" s="155" t="inlineStr">
        <is>
          <t>63662224000189</t>
        </is>
      </c>
      <c r="C190" s="121" t="inlineStr">
        <is>
          <t>Santander Auto Loans I</t>
        </is>
      </c>
      <c r="D190" s="121" t="inlineStr">
        <is>
          <t>minimo_estrutural_ausente</t>
        </is>
      </c>
      <c r="E190" s="121" t="inlineStr">
        <is>
          <t>mínimo estrutural comparável; preço unitário da cota; originador; cedente; sacado/devedor; tipo de recebível</t>
        </is>
      </c>
      <c r="F190" s="121" t="inlineStr">
        <is>
          <t>N/D — mínimo estrutural ou subordinação atual ausente</t>
        </is>
      </c>
      <c r="G190" s="121" t="inlineStr">
        <is>
          <t>revisto — mínimo júnior não isolado</t>
        </is>
      </c>
    </row>
    <row r="191" ht="34.5" customHeight="1">
      <c r="A191" s="121" t="inlineStr">
        <is>
          <t>Flagships</t>
        </is>
      </c>
      <c r="B191" s="155" t="inlineStr">
        <is>
          <t>50114948000146</t>
        </is>
      </c>
      <c r="C191" s="121" t="inlineStr">
        <is>
          <t>Driver Brasil Six Banco Volkswagen</t>
        </is>
      </c>
      <c r="D191" s="121" t="inlineStr">
        <is>
          <t>minimo_estrutural_ausente</t>
        </is>
      </c>
      <c r="E191" s="121" t="inlineStr">
        <is>
          <t>mínimo estrutural comparável; preço unitário da cota; originador; cedente; sacado/devedor; tipo de recebível</t>
        </is>
      </c>
      <c r="F191" s="121" t="inlineStr">
        <is>
          <t>N/D — mínimo estrutural ou subordinação atual ausente</t>
        </is>
      </c>
      <c r="G191" s="121" t="inlineStr">
        <is>
          <t>lacuna — regulamento integral não disponível nas fontes locais</t>
        </is>
      </c>
    </row>
    <row r="192" ht="34.5" customHeight="1">
      <c r="A192" s="121" t="inlineStr">
        <is>
          <t>Flagships</t>
        </is>
      </c>
      <c r="B192" s="155" t="inlineStr">
        <is>
          <t>62543802000103</t>
        </is>
      </c>
      <c r="C192" s="121" t="inlineStr">
        <is>
          <t>Pine Lift I Cartão INSS</t>
        </is>
      </c>
      <c r="D192" s="121" t="inlineStr">
        <is>
          <t>minimo_estrutural_ausente</t>
        </is>
      </c>
      <c r="E192" s="121" t="inlineStr">
        <is>
          <t>mínimo estrutural comparável; preço unitário da cota; originador; cedente; sacado/devedor; tipo de recebível</t>
        </is>
      </c>
      <c r="F192" s="121" t="inlineStr">
        <is>
          <t>N/D — mínimo estrutural ou subordinação atual ausente</t>
        </is>
      </c>
      <c r="G192" s="121" t="inlineStr">
        <is>
          <t>lacuna — regulamento integral não disponível nas fontes locais</t>
        </is>
      </c>
    </row>
    <row r="193" ht="34.5" customHeight="1">
      <c r="A193" s="121" t="inlineStr">
        <is>
          <t>Flagships</t>
        </is>
      </c>
      <c r="B193" s="155" t="inlineStr">
        <is>
          <t>55316469000126</t>
        </is>
      </c>
      <c r="C193" s="121" t="inlineStr">
        <is>
          <t>Somapay Cartão Consignado Público</t>
        </is>
      </c>
      <c r="D193" s="121" t="inlineStr">
        <is>
          <t>minimo_estrutural_ausente</t>
        </is>
      </c>
      <c r="E193" s="121" t="inlineStr">
        <is>
          <t>mínimo estrutural comparável; preço unitário da cota; originador; cedente; sacado/devedor; tipo de recebível</t>
        </is>
      </c>
      <c r="F193" s="121" t="inlineStr">
        <is>
          <t>N/D — mínimo estrutural ou subordinação atual ausente</t>
        </is>
      </c>
      <c r="G193" s="121" t="inlineStr">
        <is>
          <t>lacuna — regulamento integral não disponível nas fontes locais</t>
        </is>
      </c>
    </row>
    <row r="194" ht="34.5" customHeight="1">
      <c r="A194" s="121" t="inlineStr">
        <is>
          <t>Flagships</t>
        </is>
      </c>
      <c r="B194" s="155" t="inlineStr">
        <is>
          <t>58188881000104</t>
        </is>
      </c>
      <c r="C194" s="121" t="inlineStr">
        <is>
          <t>MT Cartão Consignado I</t>
        </is>
      </c>
      <c r="D194" s="121" t="inlineStr">
        <is>
          <t>minimo_estrutural_ausente</t>
        </is>
      </c>
      <c r="E194" s="121" t="inlineStr">
        <is>
          <t>mínimo estrutural comparável; preço unitário da cota; originador; cedente; sacado/devedor; tipo de recebível</t>
        </is>
      </c>
      <c r="F194" s="121" t="inlineStr">
        <is>
          <t>N/D — mínimo estrutural ou subordinação atual ausente</t>
        </is>
      </c>
      <c r="G194" s="121" t="inlineStr">
        <is>
          <t>lacuna — regulamento integral não disponível nas fontes locais</t>
        </is>
      </c>
    </row>
    <row r="195" ht="34.5" customHeight="1">
      <c r="A195" s="121" t="inlineStr">
        <is>
          <t>Flagships</t>
        </is>
      </c>
      <c r="B195" s="155" t="inlineStr">
        <is>
          <t>12803721000119</t>
        </is>
      </c>
      <c r="C195" s="121" t="inlineStr">
        <is>
          <t>Fratto</t>
        </is>
      </c>
      <c r="D195" s="121" t="inlineStr">
        <is>
          <t>minimo_estrutural_ausente</t>
        </is>
      </c>
      <c r="E195" s="121" t="inlineStr">
        <is>
          <t>mínimo estrutural comparável; preço unitário da cota; originador; cedente; sacado/devedor; tipo de recebível</t>
        </is>
      </c>
      <c r="F195" s="121" t="inlineStr">
        <is>
          <t>N/D — mínimo estrutural ou subordinação atual ausente</t>
        </is>
      </c>
      <c r="G195" s="121" t="inlineStr">
        <is>
          <t>lacuna — regulamento integral não disponível nas fontes locais</t>
        </is>
      </c>
    </row>
    <row r="196" ht="34.5" customHeight="1">
      <c r="A196" s="121" t="inlineStr">
        <is>
          <t>Flagships</t>
        </is>
      </c>
      <c r="B196" s="155" t="inlineStr">
        <is>
          <t>12778706000168</t>
        </is>
      </c>
      <c r="C196" s="121" t="inlineStr">
        <is>
          <t>Brasilfactors Crédito Corporativo</t>
        </is>
      </c>
      <c r="D196" s="121" t="inlineStr">
        <is>
          <t>minimo_estrutural_ausente</t>
        </is>
      </c>
      <c r="E196" s="121" t="inlineStr">
        <is>
          <t>mínimo estrutural comparável; preço unitário da cota; originador; cedente; sacado/devedor; tipo de recebível</t>
        </is>
      </c>
      <c r="F196" s="121" t="inlineStr">
        <is>
          <t>N/D — mínimo estrutural ou subordinação atual ausente</t>
        </is>
      </c>
      <c r="G196" s="121" t="inlineStr">
        <is>
          <t>lacuna — regulamento integral não disponível nas fontes locais</t>
        </is>
      </c>
    </row>
    <row r="197" ht="34.5" customHeight="1">
      <c r="A197" s="121" t="inlineStr">
        <is>
          <t>Flagships</t>
        </is>
      </c>
      <c r="B197" s="155" t="inlineStr">
        <is>
          <t>41970012000126</t>
        </is>
      </c>
      <c r="C197" s="121" t="inlineStr">
        <is>
          <t>Mercado Crédito, Mercado Crédito I e II</t>
        </is>
      </c>
      <c r="D197" s="121" t="inlineStr">
        <is>
          <t>estrutura_incomparavel</t>
        </is>
      </c>
      <c r="E197" s="121" t="inlineStr">
        <is>
          <t>mínimo estrutural comparável; originador; cedente; sacado/devedor; tipo de recebível</t>
        </is>
      </c>
      <c r="F197" s="121" t="inlineStr">
        <is>
          <t>N/D — equivalência entre mínimo júnior e subordinação total não comprovada</t>
        </is>
      </c>
      <c r="G197" s="121" t="inlineStr">
        <is>
          <t>revisto — mínimo júnior localizado</t>
        </is>
      </c>
    </row>
    <row r="198" ht="34.5" customHeight="1">
      <c r="A198" s="121" t="inlineStr">
        <is>
          <t>Flagships</t>
        </is>
      </c>
      <c r="B198" s="155" t="inlineStr">
        <is>
          <t>33254370000104</t>
        </is>
      </c>
      <c r="C198" s="121" t="inlineStr">
        <is>
          <t>Mercado Crédito, Mercado Crédito I e II</t>
        </is>
      </c>
      <c r="D198" s="121" t="inlineStr">
        <is>
          <t>minimo_estrutural_ausente</t>
        </is>
      </c>
      <c r="E198" s="121" t="inlineStr">
        <is>
          <t>mínimo estrutural comparável; originador; cedente; sacado/devedor; tipo de recebível</t>
        </is>
      </c>
      <c r="F198" s="121" t="inlineStr">
        <is>
          <t>N/D — mínimo estrutural ou subordinação atual ausente</t>
        </is>
      </c>
      <c r="G198" s="121" t="inlineStr">
        <is>
          <t>revisto — mínimo júnior não isolado</t>
        </is>
      </c>
    </row>
    <row r="199" ht="34.5" customHeight="1">
      <c r="A199" s="121" t="inlineStr">
        <is>
          <t>Flagships</t>
        </is>
      </c>
      <c r="B199" s="155" t="inlineStr">
        <is>
          <t>37511828000114</t>
        </is>
      </c>
      <c r="C199" s="121" t="inlineStr">
        <is>
          <t>Mercado Crédito, Mercado Crédito I e II</t>
        </is>
      </c>
      <c r="D199" s="121" t="inlineStr">
        <is>
          <t>estrutura_incomparavel</t>
        </is>
      </c>
      <c r="E199" s="121" t="inlineStr">
        <is>
          <t>mínimo estrutural comparável; originador; cedente; sacado/devedor; tipo de recebível</t>
        </is>
      </c>
      <c r="F199" s="121" t="inlineStr">
        <is>
          <t>N/D — equivalência entre mínimo júnior e subordinação total não comprovada</t>
        </is>
      </c>
      <c r="G199" s="121" t="inlineStr">
        <is>
          <t>revisto — mínimo júnior localizado</t>
        </is>
      </c>
    </row>
  </sheetData>
  <mergeCells count="3">
    <mergeCell ref="A2:H2"/>
    <mergeCell ref="A53:G53"/>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84"/>
  <sheetViews>
    <sheetView workbookViewId="0">
      <selection activeCell="A1" sqref="A1"/>
    </sheetView>
  </sheetViews>
  <sheetFormatPr baseColWidth="8" defaultRowHeight="15"/>
  <cols>
    <col width="29.3799991607666" customWidth="1" min="1" max="1"/>
    <col width="30.6299991607666" customWidth="1" min="2" max="2"/>
    <col width="18.1299991607666" customWidth="1" min="3" max="3"/>
    <col width="32.5" customWidth="1" min="4" max="4"/>
    <col width="77.5" customWidth="1" min="5" max="5"/>
    <col width="32.5" customWidth="1" min="6" max="6"/>
  </cols>
  <sheetData>
    <row r="1" ht="25.5" customHeight="1">
      <c r="A1" s="26" t="inlineStr">
        <is>
          <t>Dicionário da base Carteira 101 + Flagships</t>
        </is>
      </c>
    </row>
    <row r="2" ht="22.5" customHeight="1">
      <c r="A2" s="29" t="inlineStr">
        <is>
          <t>Definições, tipos, origem e tratamento de lacunas das colunas manipuláveis.</t>
        </is>
      </c>
    </row>
    <row r="4" ht="25.5" customHeight="1">
      <c r="A4" s="32" t="inlineStr">
        <is>
          <t>Campo no Excel</t>
        </is>
      </c>
      <c r="B4" s="32" t="inlineStr">
        <is>
          <t>Campo no payload</t>
        </is>
      </c>
      <c r="C4" s="32" t="inlineStr">
        <is>
          <t>Tipo</t>
        </is>
      </c>
      <c r="D4" s="32" t="inlineStr">
        <is>
          <t>Origem</t>
        </is>
      </c>
      <c r="E4" s="32" t="inlineStr">
        <is>
          <t>Definição</t>
        </is>
      </c>
      <c r="F4" s="32" t="inlineStr">
        <is>
          <t>Regra de lacuna</t>
        </is>
      </c>
    </row>
    <row r="5" ht="33" customHeight="1">
      <c r="A5" s="104" t="inlineStr">
        <is>
          <t>Ordem</t>
        </is>
      </c>
      <c r="B5" s="104" t="inlineStr">
        <is>
          <t>ordem</t>
        </is>
      </c>
      <c r="C5" s="104" t="inlineStr">
        <is>
          <t>Inteiro</t>
        </is>
      </c>
      <c r="D5" s="104" t="inlineStr">
        <is>
          <t>Normalização do export</t>
        </is>
      </c>
      <c r="E5" s="104" t="inlineStr">
        <is>
          <t>Campo ordem preservado na granularidade de um CNPJ.</t>
        </is>
      </c>
      <c r="F5" s="104" t="inlineStr">
        <is>
          <t>N/D identifica ausência; nenhum valor é imputado como zero.</t>
        </is>
      </c>
    </row>
    <row r="6" ht="33" customHeight="1">
      <c r="A6" s="106" t="inlineStr">
        <is>
          <t>CNPJ</t>
        </is>
      </c>
      <c r="B6" s="106" t="inlineStr">
        <is>
          <t>cnpj_numerico</t>
        </is>
      </c>
      <c r="C6" s="106" t="inlineStr">
        <is>
          <t>Identificador numérico</t>
        </is>
      </c>
      <c r="D6" s="106" t="inlineStr">
        <is>
          <t>CVM / Informe Mensal</t>
        </is>
      </c>
      <c r="E6" s="106" t="inlineStr">
        <is>
          <t>CNPJ com 14 dígitos, gravado como número e exibido sem separadores.</t>
        </is>
      </c>
      <c r="F6" s="106" t="inlineStr">
        <is>
          <t>N/D identifica ausência; nenhum valor é imputado como zero.</t>
        </is>
      </c>
    </row>
    <row r="7" ht="33" customHeight="1">
      <c r="A7" s="105" t="inlineStr">
        <is>
          <t>CNPJ formatado</t>
        </is>
      </c>
      <c r="B7" s="105" t="inlineStr">
        <is>
          <t>cnpj_formatado</t>
        </is>
      </c>
      <c r="C7" s="105" t="inlineStr">
        <is>
          <t>Texto</t>
        </is>
      </c>
      <c r="D7" s="105" t="inlineStr">
        <is>
          <t>CVM / Informe Mensal</t>
        </is>
      </c>
      <c r="E7" s="105" t="inlineStr">
        <is>
          <t>Campo cnpj formatado preservado na granularidade de um CNPJ.</t>
        </is>
      </c>
      <c r="F7" s="105" t="inlineStr">
        <is>
          <t>N/D identifica ausência; nenhum valor é imputado como zero.</t>
        </is>
      </c>
    </row>
    <row r="8" ht="33" customHeight="1">
      <c r="A8" s="106" t="inlineStr">
        <is>
          <t>Nome completo do fundo (CVM)</t>
        </is>
      </c>
      <c r="B8" s="106" t="inlineStr">
        <is>
          <t>nome_oficial_cvm</t>
        </is>
      </c>
      <c r="C8" s="106" t="inlineStr">
        <is>
          <t>Texto</t>
        </is>
      </c>
      <c r="D8" s="106" t="inlineStr">
        <is>
          <t>CVM / Informe Mensal</t>
        </is>
      </c>
      <c r="E8" s="106" t="inlineStr">
        <is>
          <t>Denominação completa observada no cadastro/base CVM.</t>
        </is>
      </c>
      <c r="F8" s="106" t="inlineStr">
        <is>
          <t>N/D identifica ausência; nenhum valor é imputado como zero.</t>
        </is>
      </c>
    </row>
    <row r="9" ht="33" customHeight="1">
      <c r="A9" s="105" t="inlineStr">
        <is>
          <t>Nome de referência</t>
        </is>
      </c>
      <c r="B9" s="105" t="inlineStr">
        <is>
          <t>nome_referencia</t>
        </is>
      </c>
      <c r="C9" s="105" t="inlineStr">
        <is>
          <t>Texto</t>
        </is>
      </c>
      <c r="D9" s="105" t="inlineStr">
        <is>
          <t>CVM / Informe Mensal</t>
        </is>
      </c>
      <c r="E9" s="105" t="inlineStr">
        <is>
          <t>Campo nome de referência preservado na granularidade de um CNPJ.</t>
        </is>
      </c>
      <c r="F9" s="105" t="inlineStr">
        <is>
          <t>N/D identifica ausência; nenhum valor é imputado como zero.</t>
        </is>
      </c>
    </row>
    <row r="10" ht="33" customHeight="1">
      <c r="A10" s="106" t="inlineStr">
        <is>
          <t>Coorte</t>
        </is>
      </c>
      <c r="B10" s="106" t="inlineStr">
        <is>
          <t>coorte</t>
        </is>
      </c>
      <c r="C10" s="106" t="inlineStr">
        <is>
          <t>Texto</t>
        </is>
      </c>
      <c r="D10" s="106" t="inlineStr">
        <is>
          <t>Normalização do export</t>
        </is>
      </c>
      <c r="E10" s="106" t="inlineStr">
        <is>
          <t>Campo coorte preservado na granularidade de um CNPJ.</t>
        </is>
      </c>
      <c r="F10" s="106" t="inlineStr">
        <is>
          <t>N/D identifica ausência; nenhum valor é imputado como zero.</t>
        </is>
      </c>
    </row>
    <row r="11" ht="33" customHeight="1">
      <c r="A11" s="105" t="inlineStr">
        <is>
          <t>Data de referência</t>
        </is>
      </c>
      <c r="B11" s="105" t="inlineStr">
        <is>
          <t>data_ref</t>
        </is>
      </c>
      <c r="C11" s="105" t="inlineStr">
        <is>
          <t>Texto</t>
        </is>
      </c>
      <c r="D11" s="105" t="inlineStr">
        <is>
          <t>Normalização do export</t>
        </is>
      </c>
      <c r="E11" s="105" t="inlineStr">
        <is>
          <t>Campo data de referência preservado na granularidade de um CNPJ.</t>
        </is>
      </c>
      <c r="F11" s="105" t="inlineStr">
        <is>
          <t>N/D identifica ausência; nenhum valor é imputado como zero.</t>
        </is>
      </c>
    </row>
    <row r="12" ht="33" customHeight="1">
      <c r="A12" s="106" t="inlineStr">
        <is>
          <t>Status da identidade</t>
        </is>
      </c>
      <c r="B12" s="106" t="inlineStr">
        <is>
          <t>status_identidade</t>
        </is>
      </c>
      <c r="C12" s="106" t="inlineStr">
        <is>
          <t>Texto</t>
        </is>
      </c>
      <c r="D12" s="106" t="inlineStr">
        <is>
          <t>CVM / Informe Mensal</t>
        </is>
      </c>
      <c r="E12" s="106" t="inlineStr">
        <is>
          <t>Campo status da identidade preservado na granularidade de um CNPJ.</t>
        </is>
      </c>
      <c r="F12" s="106" t="inlineStr">
        <is>
          <t>N/D identifica ausência; nenhum valor é imputado como zero.</t>
        </is>
      </c>
    </row>
    <row r="13" ht="33" customHeight="1">
      <c r="A13" s="105" t="inlineStr">
        <is>
          <t>PL atual</t>
        </is>
      </c>
      <c r="B13" s="105" t="inlineStr">
        <is>
          <t>pl_atual_brl</t>
        </is>
      </c>
      <c r="C13" s="105" t="inlineStr">
        <is>
          <t>Moeda (R$)</t>
        </is>
      </c>
      <c r="D13" s="105" t="inlineStr">
        <is>
          <t>CVM / Informe Mensal</t>
        </is>
      </c>
      <c r="E13" s="105" t="inlineStr">
        <is>
          <t>Patrimônio líquido do veículo na competência de referência.</t>
        </is>
      </c>
      <c r="F13" s="105" t="inlineStr">
        <is>
          <t>N/D identifica ausência; nenhum valor é imputado como zero.</t>
        </is>
      </c>
    </row>
    <row r="14" ht="33" customHeight="1">
      <c r="A14" s="106" t="inlineStr">
        <is>
          <t>PL das classes reportadas</t>
        </is>
      </c>
      <c r="B14" s="106" t="inlineStr">
        <is>
          <t>pl_classes_reportadas_brl</t>
        </is>
      </c>
      <c r="C14" s="106" t="inlineStr">
        <is>
          <t>Moeda (R$)</t>
        </is>
      </c>
      <c r="D14" s="106" t="inlineStr">
        <is>
          <t>CVM / Informe Mensal</t>
        </is>
      </c>
      <c r="E14" s="106" t="inlineStr">
        <is>
          <t>Soma das classes de cotas reportadas no Informe Mensal.</t>
        </is>
      </c>
      <c r="F14" s="106" t="inlineStr">
        <is>
          <t>N/D identifica ausência; nenhum valor é imputado como zero.</t>
        </is>
      </c>
    </row>
    <row r="15" ht="33" customHeight="1">
      <c r="A15" s="105" t="inlineStr">
        <is>
          <t>PL subordinado atual</t>
        </is>
      </c>
      <c r="B15" s="105" t="inlineStr">
        <is>
          <t>pl_subordinado_atual_brl</t>
        </is>
      </c>
      <c r="C15" s="105" t="inlineStr">
        <is>
          <t>Moeda (R$)</t>
        </is>
      </c>
      <c r="D15" s="105" t="inlineStr">
        <is>
          <t>CVM / Informe Mensal</t>
        </is>
      </c>
      <c r="E15" s="105" t="inlineStr">
        <is>
          <t>Soma das classes subordinadas reportadas.</t>
        </is>
      </c>
      <c r="F15" s="105" t="inlineStr">
        <is>
          <t>N/D identifica ausência; nenhum valor é imputado como zero.</t>
        </is>
      </c>
    </row>
    <row r="16" ht="33" customHeight="1">
      <c r="A16" s="106" t="inlineStr">
        <is>
          <t>Sub / PL atual</t>
        </is>
      </c>
      <c r="B16" s="106" t="inlineStr">
        <is>
          <t>sub_pl_atual</t>
        </is>
      </c>
      <c r="C16" s="106" t="inlineStr">
        <is>
          <t>Percentual</t>
        </is>
      </c>
      <c r="D16" s="106" t="inlineStr">
        <is>
          <t>CVM / Informe Mensal</t>
        </is>
      </c>
      <c r="E16" s="106" t="inlineStr">
        <is>
          <t>PL subordinado atual dividido pelo PL oficial reconciliado.</t>
        </is>
      </c>
      <c r="F16" s="106" t="inlineStr">
        <is>
          <t>N/D identifica ausência; nenhum valor é imputado como zero.</t>
        </is>
      </c>
    </row>
    <row r="17" ht="33" customHeight="1">
      <c r="A17" s="105" t="inlineStr">
        <is>
          <t>Status do Sub / PL</t>
        </is>
      </c>
      <c r="B17" s="105" t="inlineStr">
        <is>
          <t>status_sub_pl_atual</t>
        </is>
      </c>
      <c r="C17" s="105" t="inlineStr">
        <is>
          <t>Texto</t>
        </is>
      </c>
      <c r="D17" s="105" t="inlineStr">
        <is>
          <t>CVM / Informe Mensal</t>
        </is>
      </c>
      <c r="E17" s="105" t="inlineStr">
        <is>
          <t>Campo status do sub / pl preservado na granularidade de um CNPJ.</t>
        </is>
      </c>
      <c r="F17" s="105" t="inlineStr">
        <is>
          <t>N/D identifica ausência; nenhum valor é imputado como zero.</t>
        </is>
      </c>
    </row>
    <row r="18" ht="33" customHeight="1">
      <c r="A18" s="106" t="inlineStr">
        <is>
          <t>Mínimo Jr literal</t>
        </is>
      </c>
      <c r="B18" s="106" t="inlineStr">
        <is>
          <t>minimo_junior_literal</t>
        </is>
      </c>
      <c r="C18" s="106" t="inlineStr">
        <is>
          <t>Percentual</t>
        </is>
      </c>
      <c r="D18" s="106" t="inlineStr">
        <is>
          <t>Curadoria documental</t>
        </is>
      </c>
      <c r="E18" s="106" t="inlineStr">
        <is>
          <t>Mínimo júnior lido diretamente no documento, sobre PL.</t>
        </is>
      </c>
      <c r="F18" s="106" t="inlineStr">
        <is>
          <t>N/D identifica ausência; nenhum valor é imputado como zero.</t>
        </is>
      </c>
    </row>
    <row r="19" ht="33" customHeight="1">
      <c r="A19" s="105" t="inlineStr">
        <is>
          <t>Mínimo Jr calculado*</t>
        </is>
      </c>
      <c r="B19" s="105" t="inlineStr">
        <is>
          <t>minimo_junior_calculado</t>
        </is>
      </c>
      <c r="C19" s="105" t="inlineStr">
        <is>
          <t>Percentual</t>
        </is>
      </c>
      <c r="D19" s="105" t="inlineStr">
        <is>
          <t>Curadoria documental</t>
        </is>
      </c>
      <c r="E19" s="105" t="inlineStr">
        <is>
          <t>Mínimo júnior convertido de razão/fator documental; linha marcada com *.</t>
        </is>
      </c>
      <c r="F19" s="105" t="inlineStr">
        <is>
          <t>N/D identifica ausência; nenhum valor é imputado como zero.</t>
        </is>
      </c>
    </row>
    <row r="20" ht="33" customHeight="1">
      <c r="A20" s="106" t="inlineStr">
        <is>
          <t>Mínimo Jr ajustado*</t>
        </is>
      </c>
      <c r="B20" s="106" t="inlineStr">
        <is>
          <t>minimo_junior_ajustado</t>
        </is>
      </c>
      <c r="C20" s="106" t="inlineStr">
        <is>
          <t>Percentual</t>
        </is>
      </c>
      <c r="D20" s="106" t="inlineStr">
        <is>
          <t>Curadoria documental</t>
        </is>
      </c>
      <c r="E20" s="106" t="inlineStr">
        <is>
          <t>Mínimo júnior sobre denominador ajustado; linha marcada com *.</t>
        </is>
      </c>
      <c r="F20" s="106" t="inlineStr">
        <is>
          <t>N/D identifica ausência; nenhum valor é imputado como zero.</t>
        </is>
      </c>
    </row>
    <row r="21" ht="33" customHeight="1">
      <c r="A21" s="105" t="inlineStr">
        <is>
          <t>Suporte total*</t>
        </is>
      </c>
      <c r="B21" s="105" t="inlineStr">
        <is>
          <t>suporte_total</t>
        </is>
      </c>
      <c r="C21" s="105" t="inlineStr">
        <is>
          <t>Percentual</t>
        </is>
      </c>
      <c r="D21" s="105" t="inlineStr">
        <is>
          <t>Curadoria documental</t>
        </is>
      </c>
      <c r="E21" s="105" t="inlineStr">
        <is>
          <t>Piso de suporte subordinado total; métrica distinta do júnior isolado.</t>
        </is>
      </c>
      <c r="F21" s="105" t="inlineStr">
        <is>
          <t>N/D identifica ausência; nenhum valor é imputado como zero.</t>
        </is>
      </c>
    </row>
    <row r="22" ht="33" customHeight="1">
      <c r="A22" s="106" t="inlineStr">
        <is>
          <t>Suporte Jr + Mezanino*</t>
        </is>
      </c>
      <c r="B22" s="106" t="inlineStr">
        <is>
          <t>suporte_combinado_junior_mezanino</t>
        </is>
      </c>
      <c r="C22" s="106" t="inlineStr">
        <is>
          <t>Percentual</t>
        </is>
      </c>
      <c r="D22" s="106" t="inlineStr">
        <is>
          <t>Curadoria documental</t>
        </is>
      </c>
      <c r="E22" s="106" t="inlineStr">
        <is>
          <t>Piso combinado de cotas júnior e mezanino.</t>
        </is>
      </c>
      <c r="F22" s="106" t="inlineStr">
        <is>
          <t>N/D identifica ausência; nenhum valor é imputado como zero.</t>
        </is>
      </c>
    </row>
    <row r="23" ht="33" customHeight="1">
      <c r="A23" s="105" t="inlineStr">
        <is>
          <t>Índice estrutural usado</t>
        </is>
      </c>
      <c r="B23" s="105" t="inlineStr">
        <is>
          <t>minimo_estrutural_usado</t>
        </is>
      </c>
      <c r="C23" s="105" t="inlineStr">
        <is>
          <t>Percentual</t>
        </is>
      </c>
      <c r="D23" s="105" t="inlineStr">
        <is>
          <t>Curadoria documental</t>
        </is>
      </c>
      <c r="E23" s="105" t="inlineStr">
        <is>
          <t>Piso usado no cálculo somente quando comparável ao Sub/PL atual.</t>
        </is>
      </c>
      <c r="F23" s="105" t="inlineStr">
        <is>
          <t>N/D identifica ausência; nenhum valor é imputado como zero.</t>
        </is>
      </c>
    </row>
    <row r="24" ht="33" customHeight="1">
      <c r="A24" s="106" t="inlineStr">
        <is>
          <t>Índice estrutural exibido</t>
        </is>
      </c>
      <c r="B24" s="106" t="inlineStr">
        <is>
          <t>minimo_estrutural_display</t>
        </is>
      </c>
      <c r="C24" s="106" t="inlineStr">
        <is>
          <t>Texto</t>
        </is>
      </c>
      <c r="D24" s="106" t="inlineStr">
        <is>
          <t>Curadoria documental</t>
        </is>
      </c>
      <c r="E24" s="106" t="inlineStr">
        <is>
          <t>Campo índice estrutural exibido preservado na granularidade de um CNPJ.</t>
        </is>
      </c>
      <c r="F24" s="106" t="inlineStr">
        <is>
          <t>N/D identifica ausência; nenhum valor é imputado como zero.</t>
        </is>
      </c>
    </row>
    <row r="25" ht="33" customHeight="1">
      <c r="A25" s="105" t="inlineStr">
        <is>
          <t>Natureza do índice</t>
        </is>
      </c>
      <c r="B25" s="105" t="inlineStr">
        <is>
          <t>minimo_estrutural_natureza</t>
        </is>
      </c>
      <c r="C25" s="105" t="inlineStr">
        <is>
          <t>Texto</t>
        </is>
      </c>
      <c r="D25" s="105" t="inlineStr">
        <is>
          <t>Curadoria documental</t>
        </is>
      </c>
      <c r="E25" s="105" t="inlineStr">
        <is>
          <t>Campo natureza do índice preservado na granularidade de um CNPJ.</t>
        </is>
      </c>
      <c r="F25" s="105" t="inlineStr">
        <is>
          <t>N/D identifica ausência; nenhum valor é imputado como zero.</t>
        </is>
      </c>
    </row>
    <row r="26" ht="33" customHeight="1">
      <c r="A26" s="106" t="inlineStr">
        <is>
          <t>Fórmula / regra</t>
        </is>
      </c>
      <c r="B26" s="106" t="inlineStr">
        <is>
          <t>minimo_estrutural_formula</t>
        </is>
      </c>
      <c r="C26" s="106" t="inlineStr">
        <is>
          <t>Texto</t>
        </is>
      </c>
      <c r="D26" s="106" t="inlineStr">
        <is>
          <t>Curadoria documental</t>
        </is>
      </c>
      <c r="E26" s="106" t="inlineStr">
        <is>
          <t>Campo fórmula / regra preservado na granularidade de um CNPJ.</t>
        </is>
      </c>
      <c r="F26" s="106" t="inlineStr">
        <is>
          <t>N/D identifica ausência; nenhum valor é imputado como zero.</t>
        </is>
      </c>
    </row>
    <row r="27" ht="33" customHeight="1">
      <c r="A27" s="105" t="inlineStr">
        <is>
          <t>Comparável?</t>
        </is>
      </c>
      <c r="B27" s="105" t="inlineStr">
        <is>
          <t>comparavel_flag</t>
        </is>
      </c>
      <c r="C27" s="105" t="inlineStr">
        <is>
          <t>Booleano</t>
        </is>
      </c>
      <c r="D27" s="105" t="inlineStr">
        <is>
          <t>Pacote estrutural existente</t>
        </is>
      </c>
      <c r="E27" s="105" t="inlineStr">
        <is>
          <t>Confirma equivalência suficiente entre numerador, denominador e tranche.</t>
        </is>
      </c>
      <c r="F27" s="105" t="inlineStr">
        <is>
          <t>N/D identifica ausência; nenhum valor é imputado como zero.</t>
        </is>
      </c>
    </row>
    <row r="28" ht="33" customHeight="1">
      <c r="A28" s="106" t="inlineStr">
        <is>
          <t>Motivo da comparabilidade</t>
        </is>
      </c>
      <c r="B28" s="106" t="inlineStr">
        <is>
          <t>comparabilidade_motivo</t>
        </is>
      </c>
      <c r="C28" s="106" t="inlineStr">
        <is>
          <t>Texto</t>
        </is>
      </c>
      <c r="D28" s="106" t="inlineStr">
        <is>
          <t>Pacote estrutural existente</t>
        </is>
      </c>
      <c r="E28" s="106" t="inlineStr">
        <is>
          <t>Campo motivo da comparabilidade preservado na granularidade de um CNPJ.</t>
        </is>
      </c>
      <c r="F28" s="106" t="inlineStr">
        <is>
          <t>N/D identifica ausência; nenhum valor é imputado como zero.</t>
        </is>
      </c>
    </row>
    <row r="29" ht="33" customHeight="1">
      <c r="A29" s="105" t="inlineStr">
        <is>
          <t>Exceção*</t>
        </is>
      </c>
      <c r="B29" s="105" t="inlineStr">
        <is>
          <t>excecao_asterisco_flag</t>
        </is>
      </c>
      <c r="C29" s="105" t="inlineStr">
        <is>
          <t>Booleano</t>
        </is>
      </c>
      <c r="D29" s="105" t="inlineStr">
        <is>
          <t>Pacote estrutural existente</t>
        </is>
      </c>
      <c r="E29" s="105" t="inlineStr">
        <is>
          <t>Campo exceção* preservado na granularidade de um CNPJ.</t>
        </is>
      </c>
      <c r="F29" s="105" t="inlineStr">
        <is>
          <t>N/D identifica ausência; nenhum valor é imputado como zero.</t>
        </is>
      </c>
    </row>
    <row r="30" ht="33" customHeight="1">
      <c r="A30" s="106" t="inlineStr">
        <is>
          <t>Folga / falta</t>
        </is>
      </c>
      <c r="B30" s="106" t="inlineStr">
        <is>
          <t>folga_pp</t>
        </is>
      </c>
      <c r="C30" s="106" t="inlineStr">
        <is>
          <t>Percentual</t>
        </is>
      </c>
      <c r="D30" s="106" t="inlineStr">
        <is>
          <t>Pacote estrutural existente</t>
        </is>
      </c>
      <c r="E30" s="106" t="inlineStr">
        <is>
          <t>Sub/PL atual menos o piso estrutural comparável.</t>
        </is>
      </c>
      <c r="F30" s="106" t="inlineStr">
        <is>
          <t>N/D identifica ausência; nenhum valor é imputado como zero.</t>
        </is>
      </c>
    </row>
    <row r="31" ht="33" customHeight="1">
      <c r="A31" s="105" t="inlineStr">
        <is>
          <t>Capacidade até o gatilho</t>
        </is>
      </c>
      <c r="B31" s="105" t="inlineStr">
        <is>
          <t>capacidade_ate_gatilho</t>
        </is>
      </c>
      <c r="C31" s="105" t="inlineStr">
        <is>
          <t>Percentual</t>
        </is>
      </c>
      <c r="D31" s="105" t="inlineStr">
        <is>
          <t>Pacote estrutural existente</t>
        </is>
      </c>
      <c r="E31" s="105" t="inlineStr">
        <is>
          <t>(Sub/PL atual − piso) / (1 − piso), somente em linhas comparáveis.</t>
        </is>
      </c>
      <c r="F31" s="105" t="inlineStr">
        <is>
          <t>N/D identifica ausência; nenhum valor é imputado como zero.</t>
        </is>
      </c>
    </row>
    <row r="32" ht="33" customHeight="1">
      <c r="A32" s="106" t="inlineStr">
        <is>
          <t>Situação regulatória</t>
        </is>
      </c>
      <c r="B32" s="106" t="inlineStr">
        <is>
          <t>situacao_regulatoria</t>
        </is>
      </c>
      <c r="C32" s="106" t="inlineStr">
        <is>
          <t>Texto</t>
        </is>
      </c>
      <c r="D32" s="106" t="inlineStr">
        <is>
          <t>Pacote estrutural existente</t>
        </is>
      </c>
      <c r="E32" s="106" t="inlineStr">
        <is>
          <t>Banda de situação frente ao piso documental.</t>
        </is>
      </c>
      <c r="F32" s="106" t="inlineStr">
        <is>
          <t>N/D identifica ausência; nenhum valor é imputado como zero.</t>
        </is>
      </c>
    </row>
    <row r="33" ht="33" customHeight="1">
      <c r="A33" s="105" t="inlineStr">
        <is>
          <t>Tipo</t>
        </is>
      </c>
      <c r="B33" s="105" t="inlineStr">
        <is>
          <t>tipo_exibicao</t>
        </is>
      </c>
      <c r="C33" s="105" t="inlineStr">
        <is>
          <t>Texto</t>
        </is>
      </c>
      <c r="D33" s="105" t="inlineStr">
        <is>
          <t>Taxonomia analítica / oficial preservada</t>
        </is>
      </c>
      <c r="E33" s="105" t="inlineStr">
        <is>
          <t>Campo tipo preservado na granularidade de um CNPJ.</t>
        </is>
      </c>
      <c r="F33" s="105" t="inlineStr">
        <is>
          <t>N/D identifica ausência; nenhum valor é imputado como zero.</t>
        </is>
      </c>
    </row>
    <row r="34" ht="33" customHeight="1">
      <c r="A34" s="106" t="inlineStr">
        <is>
          <t>Foco</t>
        </is>
      </c>
      <c r="B34" s="106" t="inlineStr">
        <is>
          <t>foco_exibicao</t>
        </is>
      </c>
      <c r="C34" s="106" t="inlineStr">
        <is>
          <t>Texto</t>
        </is>
      </c>
      <c r="D34" s="106" t="inlineStr">
        <is>
          <t>Taxonomia analítica / oficial preservada</t>
        </is>
      </c>
      <c r="E34" s="106" t="inlineStr">
        <is>
          <t>Campo foco preservado na granularidade de um CNPJ.</t>
        </is>
      </c>
      <c r="F34" s="106" t="inlineStr">
        <is>
          <t>N/D identifica ausência; nenhum valor é imputado como zero.</t>
        </is>
      </c>
    </row>
    <row r="35" ht="33" customHeight="1">
      <c r="A35" s="105" t="inlineStr">
        <is>
          <t>Taxonomia estrutural</t>
        </is>
      </c>
      <c r="B35" s="105" t="inlineStr">
        <is>
          <t>taxonomia_estrutural</t>
        </is>
      </c>
      <c r="C35" s="105" t="inlineStr">
        <is>
          <t>Texto</t>
        </is>
      </c>
      <c r="D35" s="105" t="inlineStr">
        <is>
          <t>Taxonomia analítica / oficial preservada</t>
        </is>
      </c>
      <c r="E35" s="105" t="inlineStr">
        <is>
          <t>Campo taxonomia estrutural preservado na granularidade de um CNPJ.</t>
        </is>
      </c>
      <c r="F35" s="105" t="inlineStr">
        <is>
          <t>N/D identifica ausência; nenhum valor é imputado como zero.</t>
        </is>
      </c>
    </row>
    <row r="36" ht="33" customHeight="1">
      <c r="A36" s="106" t="inlineStr">
        <is>
          <t>Grupo de comparação</t>
        </is>
      </c>
      <c r="B36" s="106" t="inlineStr">
        <is>
          <t>grupo_comparacao</t>
        </is>
      </c>
      <c r="C36" s="106" t="inlineStr">
        <is>
          <t>Texto</t>
        </is>
      </c>
      <c r="D36" s="106" t="inlineStr">
        <is>
          <t>Taxonomia analítica / oficial preservada</t>
        </is>
      </c>
      <c r="E36" s="106" t="inlineStr">
        <is>
          <t>Grupo comparável da taxonomia estrutural compartilhada entre Carteira I e flagships.</t>
        </is>
      </c>
      <c r="F36" s="106" t="inlineStr">
        <is>
          <t>N/D identifica ausência; nenhum valor é imputado como zero.</t>
        </is>
      </c>
    </row>
    <row r="37" ht="33" customHeight="1">
      <c r="A37" s="105" t="inlineStr">
        <is>
          <t>Categoria de risco atual</t>
        </is>
      </c>
      <c r="B37" s="105" t="inlineStr">
        <is>
          <t>categoria_risco_atual</t>
        </is>
      </c>
      <c r="C37" s="105" t="inlineStr">
        <is>
          <t>Texto</t>
        </is>
      </c>
      <c r="D37" s="105" t="inlineStr">
        <is>
          <t>Normalização do export</t>
        </is>
      </c>
      <c r="E37" s="105" t="inlineStr">
        <is>
          <t>Campo categoria de risco atual preservado na granularidade de um CNPJ.</t>
        </is>
      </c>
      <c r="F37" s="105" t="inlineStr">
        <is>
          <t>N/D identifica ausência; nenhum valor é imputado como zero.</t>
        </is>
      </c>
    </row>
    <row r="38" ht="33" customHeight="1">
      <c r="A38" s="106" t="inlineStr">
        <is>
          <t>Categoria de risco proposta</t>
        </is>
      </c>
      <c r="B38" s="106" t="inlineStr">
        <is>
          <t>categoria_risco_proposta</t>
        </is>
      </c>
      <c r="C38" s="106" t="inlineStr">
        <is>
          <t>Texto</t>
        </is>
      </c>
      <c r="D38" s="106" t="inlineStr">
        <is>
          <t>Normalização do export</t>
        </is>
      </c>
      <c r="E38" s="106" t="inlineStr">
        <is>
          <t>Campo categoria de risco proposta preservado na granularidade de um CNPJ.</t>
        </is>
      </c>
      <c r="F38" s="106" t="inlineStr">
        <is>
          <t>N/D identifica ausência; nenhum valor é imputado como zero.</t>
        </is>
      </c>
    </row>
    <row r="39" ht="33" customHeight="1">
      <c r="A39" s="105" t="inlineStr">
        <is>
          <t>Subtipo de risco diagnosticado</t>
        </is>
      </c>
      <c r="B39" s="105" t="inlineStr">
        <is>
          <t>subtipo_risco_diagnosticado</t>
        </is>
      </c>
      <c r="C39" s="105" t="inlineStr">
        <is>
          <t>Texto</t>
        </is>
      </c>
      <c r="D39" s="105" t="inlineStr">
        <is>
          <t>Normalização do export</t>
        </is>
      </c>
      <c r="E39" s="105" t="inlineStr">
        <is>
          <t>Campo subtipo de risco diagnosticado preservado na granularidade de um CNPJ.</t>
        </is>
      </c>
      <c r="F39" s="105" t="inlineStr">
        <is>
          <t>N/D identifica ausência; nenhum valor é imputado como zero.</t>
        </is>
      </c>
    </row>
    <row r="40" ht="33" customHeight="1">
      <c r="A40" s="106" t="inlineStr">
        <is>
          <t>Reclassificação proposta?</t>
        </is>
      </c>
      <c r="B40" s="106" t="inlineStr">
        <is>
          <t>reclassificacao_proposta_flag</t>
        </is>
      </c>
      <c r="C40" s="106" t="inlineStr">
        <is>
          <t>Booleano</t>
        </is>
      </c>
      <c r="D40" s="106" t="inlineStr">
        <is>
          <t>Normalização do export</t>
        </is>
      </c>
      <c r="E40" s="106" t="inlineStr">
        <is>
          <t>Campo reclassificação proposta? preservado na granularidade de um CNPJ.</t>
        </is>
      </c>
      <c r="F40" s="106" t="inlineStr">
        <is>
          <t>N/D identifica ausência; nenhum valor é imputado como zero.</t>
        </is>
      </c>
    </row>
    <row r="41" ht="33" customHeight="1">
      <c r="A41" s="105" t="inlineStr">
        <is>
          <t>Status da avaliação</t>
        </is>
      </c>
      <c r="B41" s="105" t="inlineStr">
        <is>
          <t>status_avaliacao_reclassificacao</t>
        </is>
      </c>
      <c r="C41" s="105" t="inlineStr">
        <is>
          <t>Texto</t>
        </is>
      </c>
      <c r="D41" s="105" t="inlineStr">
        <is>
          <t>Normalização do export</t>
        </is>
      </c>
      <c r="E41" s="105" t="inlineStr">
        <is>
          <t>Campo status da avaliação preservado na granularidade de um CNPJ.</t>
        </is>
      </c>
      <c r="F41" s="105" t="inlineStr">
        <is>
          <t>N/D identifica ausência; nenhum valor é imputado como zero.</t>
        </is>
      </c>
    </row>
    <row r="42" ht="33" customHeight="1">
      <c r="A42" s="106" t="inlineStr">
        <is>
          <t>Fundamento da avaliação</t>
        </is>
      </c>
      <c r="B42" s="106" t="inlineStr">
        <is>
          <t>fundamento_avaliacao_reclassificacao</t>
        </is>
      </c>
      <c r="C42" s="106" t="inlineStr">
        <is>
          <t>Texto</t>
        </is>
      </c>
      <c r="D42" s="106" t="inlineStr">
        <is>
          <t>Normalização do export</t>
        </is>
      </c>
      <c r="E42" s="106" t="inlineStr">
        <is>
          <t>Campo fundamento da avaliação preservado na granularidade de um CNPJ.</t>
        </is>
      </c>
      <c r="F42" s="106" t="inlineStr">
        <is>
          <t>N/D identifica ausência; nenhum valor é imputado como zero.</t>
        </is>
      </c>
    </row>
    <row r="43" ht="33" customHeight="1">
      <c r="A43" s="105" t="inlineStr">
        <is>
          <t>Fonte da avaliação</t>
        </is>
      </c>
      <c r="B43" s="105" t="inlineStr">
        <is>
          <t>fonte_avaliacao_reclassificacao</t>
        </is>
      </c>
      <c r="C43" s="105" t="inlineStr">
        <is>
          <t>Texto</t>
        </is>
      </c>
      <c r="D43" s="105" t="inlineStr">
        <is>
          <t>Normalização do export</t>
        </is>
      </c>
      <c r="E43" s="105" t="inlineStr">
        <is>
          <t>Campo fonte da avaliação preservado na granularidade de um CNPJ.</t>
        </is>
      </c>
      <c r="F43" s="105" t="inlineStr">
        <is>
          <t>N/D identifica ausência; nenhum valor é imputado como zero.</t>
        </is>
      </c>
    </row>
    <row r="44" ht="33" customHeight="1">
      <c r="A44" s="106" t="inlineStr">
        <is>
          <t>Middle Market · status</t>
        </is>
      </c>
      <c r="B44" s="106" t="inlineStr">
        <is>
          <t>middle_market_status</t>
        </is>
      </c>
      <c r="C44" s="106" t="inlineStr">
        <is>
          <t>Texto</t>
        </is>
      </c>
      <c r="D44" s="106" t="inlineStr">
        <is>
          <t>Normalização do export</t>
        </is>
      </c>
      <c r="E44" s="106" t="inlineStr">
        <is>
          <t>Campo middle market · status preservado na granularidade de um CNPJ.</t>
        </is>
      </c>
      <c r="F44" s="106" t="inlineStr">
        <is>
          <t>N/D identifica ausência; nenhum valor é imputado como zero.</t>
        </is>
      </c>
    </row>
    <row r="45" ht="33" customHeight="1">
      <c r="A45" s="105" t="inlineStr">
        <is>
          <t>Middle Market · evidência</t>
        </is>
      </c>
      <c r="B45" s="105" t="inlineStr">
        <is>
          <t>middle_market_evidencia</t>
        </is>
      </c>
      <c r="C45" s="105" t="inlineStr">
        <is>
          <t>Texto</t>
        </is>
      </c>
      <c r="D45" s="105" t="inlineStr">
        <is>
          <t>Normalização do export</t>
        </is>
      </c>
      <c r="E45" s="105" t="inlineStr">
        <is>
          <t>Campo middle market · evidência preservado na granularidade de um CNPJ.</t>
        </is>
      </c>
      <c r="F45" s="105" t="inlineStr">
        <is>
          <t>N/D identifica ausência; nenhum valor é imputado como zero.</t>
        </is>
      </c>
    </row>
    <row r="46" ht="33" customHeight="1">
      <c r="A46" s="106" t="inlineStr">
        <is>
          <t>Porte documentado?</t>
        </is>
      </c>
      <c r="B46" s="106" t="inlineStr">
        <is>
          <t>middle_market_porte_documentado_flag</t>
        </is>
      </c>
      <c r="C46" s="106" t="inlineStr">
        <is>
          <t>Booleano</t>
        </is>
      </c>
      <c r="D46" s="106" t="inlineStr">
        <is>
          <t>Normalização do export</t>
        </is>
      </c>
      <c r="E46" s="106" t="inlineStr">
        <is>
          <t>Campo porte documentado? preservado na granularidade de um CNPJ.</t>
        </is>
      </c>
      <c r="F46" s="106" t="inlineStr">
        <is>
          <t>N/D identifica ausência; nenhum valor é imputado como zero.</t>
        </is>
      </c>
    </row>
    <row r="47" ht="33" customHeight="1">
      <c r="A47" s="105" t="inlineStr">
        <is>
          <t>Categoria MVP</t>
        </is>
      </c>
      <c r="B47" s="105" t="inlineStr">
        <is>
          <t>mvp_slide_categoria</t>
        </is>
      </c>
      <c r="C47" s="105" t="inlineStr">
        <is>
          <t>Texto</t>
        </is>
      </c>
      <c r="D47" s="105" t="inlineStr">
        <is>
          <t>Normalização do export</t>
        </is>
      </c>
      <c r="E47" s="105" t="inlineStr">
        <is>
          <t>Campo categoria mvp preservado na granularidade de um CNPJ.</t>
        </is>
      </c>
      <c r="F47" s="105" t="inlineStr">
        <is>
          <t>N/D identifica ausência; nenhum valor é imputado como zero.</t>
        </is>
      </c>
    </row>
    <row r="48" ht="33" customHeight="1">
      <c r="A48" s="106" t="inlineStr">
        <is>
          <t>Categoria MVP original</t>
        </is>
      </c>
      <c r="B48" s="106" t="inlineStr">
        <is>
          <t>mvp_slide_categoria_original</t>
        </is>
      </c>
      <c r="C48" s="106" t="inlineStr">
        <is>
          <t>Texto</t>
        </is>
      </c>
      <c r="D48" s="106" t="inlineStr">
        <is>
          <t>Normalização do export</t>
        </is>
      </c>
      <c r="E48" s="106" t="inlineStr">
        <is>
          <t>Campo categoria mvp original preservado na granularidade de um CNPJ.</t>
        </is>
      </c>
      <c r="F48" s="106" t="inlineStr">
        <is>
          <t>N/D identifica ausência; nenhum valor é imputado como zero.</t>
        </is>
      </c>
    </row>
    <row r="49" ht="33" customHeight="1">
      <c r="A49" s="105" t="inlineStr">
        <is>
          <t>Override editorial?</t>
        </is>
      </c>
      <c r="B49" s="105" t="inlineStr">
        <is>
          <t>mvp_slide_categoria_override_flag</t>
        </is>
      </c>
      <c r="C49" s="105" t="inlineStr">
        <is>
          <t>Booleano</t>
        </is>
      </c>
      <c r="D49" s="105" t="inlineStr">
        <is>
          <t>Normalização do export</t>
        </is>
      </c>
      <c r="E49" s="105" t="inlineStr">
        <is>
          <t>Campo override editorial? preservado na granularidade de um CNPJ.</t>
        </is>
      </c>
      <c r="F49" s="105" t="inlineStr">
        <is>
          <t>N/D identifica ausência; nenhum valor é imputado como zero.</t>
        </is>
      </c>
    </row>
    <row r="50" ht="33" customHeight="1">
      <c r="A50" s="106" t="inlineStr">
        <is>
          <t>Fonte do override MVP</t>
        </is>
      </c>
      <c r="B50" s="106" t="inlineStr">
        <is>
          <t>mvp_slide_categoria_fonte</t>
        </is>
      </c>
      <c r="C50" s="106" t="inlineStr">
        <is>
          <t>Texto</t>
        </is>
      </c>
      <c r="D50" s="106" t="inlineStr">
        <is>
          <t>Normalização do export</t>
        </is>
      </c>
      <c r="E50" s="106" t="inlineStr">
        <is>
          <t>Campo fonte do override mvp preservado na granularidade de um CNPJ.</t>
        </is>
      </c>
      <c r="F50" s="106" t="inlineStr">
        <is>
          <t>N/D identifica ausência; nenhum valor é imputado como zero.</t>
        </is>
      </c>
    </row>
    <row r="51" ht="33" customHeight="1">
      <c r="A51" s="105" t="inlineStr">
        <is>
          <t>Motivo do override MVP</t>
        </is>
      </c>
      <c r="B51" s="105" t="inlineStr">
        <is>
          <t>mvp_slide_categoria_motivo</t>
        </is>
      </c>
      <c r="C51" s="105" t="inlineStr">
        <is>
          <t>Texto</t>
        </is>
      </c>
      <c r="D51" s="105" t="inlineStr">
        <is>
          <t>Normalização do export</t>
        </is>
      </c>
      <c r="E51" s="105" t="inlineStr">
        <is>
          <t>Campo motivo do override mvp preservado na granularidade de um CNPJ.</t>
        </is>
      </c>
      <c r="F51" s="105" t="inlineStr">
        <is>
          <t>N/D identifica ausência; nenhum valor é imputado como zero.</t>
        </is>
      </c>
    </row>
    <row r="52" ht="33" customHeight="1">
      <c r="A52" s="106" t="inlineStr">
        <is>
          <t>Faixa de Sub atual · MVP</t>
        </is>
      </c>
      <c r="B52" s="106" t="inlineStr">
        <is>
          <t>mvp_faixa_sub_atual</t>
        </is>
      </c>
      <c r="C52" s="106" t="inlineStr">
        <is>
          <t>Texto</t>
        </is>
      </c>
      <c r="D52" s="106" t="inlineStr">
        <is>
          <t>Normalização do export</t>
        </is>
      </c>
      <c r="E52" s="106" t="inlineStr">
        <is>
          <t>Campo faixa de sub atual · mvp preservado na granularidade de um CNPJ.</t>
        </is>
      </c>
      <c r="F52" s="106" t="inlineStr">
        <is>
          <t>N/D identifica ausência; nenhum valor é imputado como zero.</t>
        </is>
      </c>
    </row>
    <row r="53" ht="33" customHeight="1">
      <c r="A53" s="105" t="inlineStr">
        <is>
          <t>Elegível nos 6 slides?</t>
        </is>
      </c>
      <c r="B53" s="105" t="inlineStr">
        <is>
          <t>mvp_elegivel_flag</t>
        </is>
      </c>
      <c r="C53" s="105" t="inlineStr">
        <is>
          <t>Booleano</t>
        </is>
      </c>
      <c r="D53" s="105" t="inlineStr">
        <is>
          <t>Normalização do export</t>
        </is>
      </c>
      <c r="E53" s="105" t="inlineStr">
        <is>
          <t>Campo elegível nos 6 slides? preservado na granularidade de um CNPJ.</t>
        </is>
      </c>
      <c r="F53" s="105" t="inlineStr">
        <is>
          <t>N/D identifica ausência; nenhum valor é imputado como zero.</t>
        </is>
      </c>
    </row>
    <row r="54" ht="33" customHeight="1">
      <c r="A54" s="106" t="inlineStr">
        <is>
          <t>Sinal vs. mínimo estrutural</t>
        </is>
      </c>
      <c r="B54" s="106" t="inlineStr">
        <is>
          <t>mvp_situacao_piso</t>
        </is>
      </c>
      <c r="C54" s="106" t="inlineStr">
        <is>
          <t>Texto</t>
        </is>
      </c>
      <c r="D54" s="106" t="inlineStr">
        <is>
          <t>Normalização do export</t>
        </is>
      </c>
      <c r="E54" s="106" t="inlineStr">
        <is>
          <t>Campo sinal vs. mínimo estrutural preservado na granularidade de um CNPJ.</t>
        </is>
      </c>
      <c r="F54" s="106" t="inlineStr">
        <is>
          <t>N/D identifica ausência; nenhum valor é imputado como zero.</t>
        </is>
      </c>
    </row>
    <row r="55" ht="33" customHeight="1">
      <c r="A55" s="105" t="inlineStr">
        <is>
          <t>Posição vs. mercado</t>
        </is>
      </c>
      <c r="B55" s="105" t="inlineStr">
        <is>
          <t>posicao_mercado</t>
        </is>
      </c>
      <c r="C55" s="105" t="inlineStr">
        <is>
          <t>Texto</t>
        </is>
      </c>
      <c r="D55" s="105" t="inlineStr">
        <is>
          <t>Pacote estrutural existente</t>
        </is>
      </c>
      <c r="E55" s="105" t="inlineStr">
        <is>
          <t>Posição relativa à mediana dos pares quando o benchmark cumpre o limiar mínimo.</t>
        </is>
      </c>
      <c r="F55" s="105" t="inlineStr">
        <is>
          <t>N/D identifica ausência; nenhum valor é imputado como zero.</t>
        </is>
      </c>
    </row>
    <row r="56" ht="33" customHeight="1">
      <c r="A56" s="106" t="inlineStr">
        <is>
          <t>Excesso vs. mediana</t>
        </is>
      </c>
      <c r="B56" s="106" t="inlineStr">
        <is>
          <t>excesso_vs_mercado</t>
        </is>
      </c>
      <c r="C56" s="106" t="inlineStr">
        <is>
          <t>Percentual</t>
        </is>
      </c>
      <c r="D56" s="106" t="inlineStr">
        <is>
          <t>Pacote estrutural existente</t>
        </is>
      </c>
      <c r="E56" s="106" t="inlineStr">
        <is>
          <t>Sub/PL atual menos a mediana dos pares comparáveis; permanece ausente sem benchmark confiável.</t>
        </is>
      </c>
      <c r="F56" s="106" t="inlineStr">
        <is>
          <t>N/D identifica ausência; nenhum valor é imputado como zero.</t>
        </is>
      </c>
    </row>
    <row r="57" ht="33" customHeight="1">
      <c r="A57" s="105" t="inlineStr">
        <is>
          <t>Benchmark confiável?</t>
        </is>
      </c>
      <c r="B57" s="105" t="inlineStr">
        <is>
          <t>benchmark_confiavel</t>
        </is>
      </c>
      <c r="C57" s="105" t="inlineStr">
        <is>
          <t>Booleano</t>
        </is>
      </c>
      <c r="D57" s="105" t="inlineStr">
        <is>
          <t>Pacote estrutural existente</t>
        </is>
      </c>
      <c r="E57" s="105" t="inlineStr">
        <is>
          <t>Indica que a categoria tem pelo menos o número mínimo configurado de comparáveis.</t>
        </is>
      </c>
      <c r="F57" s="105" t="inlineStr">
        <is>
          <t>N/D identifica ausência; nenhum valor é imputado como zero.</t>
        </is>
      </c>
    </row>
    <row r="58" ht="33" customHeight="1">
      <c r="A58" s="106" t="inlineStr">
        <is>
          <t>Nº de comparáveis</t>
        </is>
      </c>
      <c r="B58" s="106" t="inlineStr">
        <is>
          <t>n_comparaveis_categoria</t>
        </is>
      </c>
      <c r="C58" s="106" t="inlineStr">
        <is>
          <t>Inteiro</t>
        </is>
      </c>
      <c r="D58" s="106" t="inlineStr">
        <is>
          <t>Pacote estrutural existente</t>
        </is>
      </c>
      <c r="E58" s="106" t="inlineStr">
        <is>
          <t>Quantidade de pares com subordinação atual utilizável na categoria.</t>
        </is>
      </c>
      <c r="F58" s="106" t="inlineStr">
        <is>
          <t>N/D identifica ausência; nenhum valor é imputado como zero.</t>
        </is>
      </c>
    </row>
    <row r="59" ht="33" customHeight="1">
      <c r="A59" s="105" t="inlineStr">
        <is>
          <t>Preço unitário numérico</t>
        </is>
      </c>
      <c r="B59" s="105" t="inlineStr">
        <is>
          <t>preco_cota_brl</t>
        </is>
      </c>
      <c r="C59" s="105" t="inlineStr">
        <is>
          <t>Moeda (R$)</t>
        </is>
      </c>
      <c r="D59" s="105" t="inlineStr">
        <is>
          <t>Curadoria documental de VNU/preço unitário</t>
        </is>
      </c>
      <c r="E59" s="105" t="inlineStr">
        <is>
          <t>Preço unitário numérico quando uma única leitura documental é aplicável.</t>
        </is>
      </c>
      <c r="F59" s="105" t="inlineStr">
        <is>
          <t>N/D identifica ausência; nenhum valor é imputado como zero.</t>
        </is>
      </c>
    </row>
    <row r="60" ht="33" customHeight="1">
      <c r="A60" s="106" t="inlineStr">
        <is>
          <t>Preço por cota · leitura</t>
        </is>
      </c>
      <c r="B60" s="106" t="inlineStr">
        <is>
          <t>preco_cota_display</t>
        </is>
      </c>
      <c r="C60" s="106" t="inlineStr">
        <is>
          <t>Texto</t>
        </is>
      </c>
      <c r="D60" s="106" t="inlineStr">
        <is>
          <t>Curadoria documental de VNU/preço unitário</t>
        </is>
      </c>
      <c r="E60" s="106" t="inlineStr">
        <is>
          <t>Preço unitário preservado por classe ou série; não inclui quantidade, taxa, spread ou remuneração.</t>
        </is>
      </c>
      <c r="F60" s="106" t="inlineStr">
        <is>
          <t>N/D identifica ausência; nenhum valor é imputado como zero.</t>
        </is>
      </c>
    </row>
    <row r="61" ht="33" customHeight="1">
      <c r="A61" s="105" t="inlineStr">
        <is>
          <t>Natureza do preço</t>
        </is>
      </c>
      <c r="B61" s="105" t="inlineStr">
        <is>
          <t>preco_cota_natureza</t>
        </is>
      </c>
      <c r="C61" s="105" t="inlineStr">
        <is>
          <t>Texto</t>
        </is>
      </c>
      <c r="D61" s="105" t="inlineStr">
        <is>
          <t>Curadoria documental de VNU/preço unitário</t>
        </is>
      </c>
      <c r="E61" s="105" t="inlineStr">
        <is>
          <t>Natureza documental do preço: VNU, emissão, subscrição ou integralização.</t>
        </is>
      </c>
      <c r="F61" s="105" t="inlineStr">
        <is>
          <t>N/D identifica ausência; nenhum valor é imputado como zero.</t>
        </is>
      </c>
    </row>
    <row r="62" ht="33" customHeight="1">
      <c r="A62" s="106" t="inlineStr">
        <is>
          <t>Classe / série do preço</t>
        </is>
      </c>
      <c r="B62" s="106" t="inlineStr">
        <is>
          <t>preco_cota_classe_serie</t>
        </is>
      </c>
      <c r="C62" s="106" t="inlineStr">
        <is>
          <t>Texto</t>
        </is>
      </c>
      <c r="D62" s="106" t="inlineStr">
        <is>
          <t>Curadoria documental de VNU/preço unitário</t>
        </is>
      </c>
      <c r="E62" s="106" t="inlineStr">
        <is>
          <t>Classe ou série à qual o preço unitário se refere.</t>
        </is>
      </c>
      <c r="F62" s="106" t="inlineStr">
        <is>
          <t>N/D identifica ausência; nenhum valor é imputado como zero.</t>
        </is>
      </c>
    </row>
    <row r="63" ht="33" customHeight="1">
      <c r="A63" s="105" t="inlineStr">
        <is>
          <t>Data do documento de preço</t>
        </is>
      </c>
      <c r="B63" s="105" t="inlineStr">
        <is>
          <t>preco_cota_documento_data</t>
        </is>
      </c>
      <c r="C63" s="105" t="inlineStr">
        <is>
          <t>Texto</t>
        </is>
      </c>
      <c r="D63" s="105" t="inlineStr">
        <is>
          <t>Curadoria documental de VNU/preço unitário</t>
        </is>
      </c>
      <c r="E63" s="105" t="inlineStr">
        <is>
          <t>Data do documento que sustenta o preço unitário.</t>
        </is>
      </c>
      <c r="F63" s="105" t="inlineStr">
        <is>
          <t>N/D identifica ausência; nenhum valor é imputado como zero.</t>
        </is>
      </c>
    </row>
    <row r="64" ht="33" customHeight="1">
      <c r="A64" s="106" t="inlineStr">
        <is>
          <t>Documento do preço</t>
        </is>
      </c>
      <c r="B64" s="106" t="inlineStr">
        <is>
          <t>preco_cota_documento_id</t>
        </is>
      </c>
      <c r="C64" s="106" t="inlineStr">
        <is>
          <t>Texto</t>
        </is>
      </c>
      <c r="D64" s="106" t="inlineStr">
        <is>
          <t>Curadoria documental de VNU/preço unitário</t>
        </is>
      </c>
      <c r="E64" s="106" t="inlineStr">
        <is>
          <t>Identificador do documento que sustenta o preço unitário.</t>
        </is>
      </c>
      <c r="F64" s="106" t="inlineStr">
        <is>
          <t>N/D identifica ausência; nenhum valor é imputado como zero.</t>
        </is>
      </c>
    </row>
    <row r="65" ht="33" customHeight="1">
      <c r="A65" s="105" t="inlineStr">
        <is>
          <t>Fonte do preço</t>
        </is>
      </c>
      <c r="B65" s="105" t="inlineStr">
        <is>
          <t>preco_cota_fonte</t>
        </is>
      </c>
      <c r="C65" s="105" t="inlineStr">
        <is>
          <t>Texto</t>
        </is>
      </c>
      <c r="D65" s="105" t="inlineStr">
        <is>
          <t>Curadoria documental de VNU/preço unitário</t>
        </is>
      </c>
      <c r="E65" s="105" t="inlineStr">
        <is>
          <t>Caminho ou URL da evidência documental do preço unitário.</t>
        </is>
      </c>
      <c r="F65" s="105" t="inlineStr">
        <is>
          <t>N/D identifica ausência; nenhum valor é imputado como zero.</t>
        </is>
      </c>
    </row>
    <row r="66" ht="33" customHeight="1">
      <c r="A66" s="106" t="inlineStr">
        <is>
          <t>Status do preço</t>
        </is>
      </c>
      <c r="B66" s="106" t="inlineStr">
        <is>
          <t>preco_cota_status</t>
        </is>
      </c>
      <c r="C66" s="106" t="inlineStr">
        <is>
          <t>Texto</t>
        </is>
      </c>
      <c r="D66" s="106" t="inlineStr">
        <is>
          <t>Curadoria documental de VNU/preço unitário</t>
        </is>
      </c>
      <c r="E66" s="106" t="inlineStr">
        <is>
          <t>Status de localização e revisão do preço unitário.</t>
        </is>
      </c>
      <c r="F66" s="106" t="inlineStr">
        <is>
          <t>N/D identifica ausência; nenhum valor é imputado como zero.</t>
        </is>
      </c>
    </row>
    <row r="67" ht="33" customHeight="1">
      <c r="A67" s="105" t="inlineStr">
        <is>
          <t>Exceção de preço*</t>
        </is>
      </c>
      <c r="B67" s="105" t="inlineStr">
        <is>
          <t>preco_cota_excecao_asterisco_flag</t>
        </is>
      </c>
      <c r="C67" s="105" t="inlineStr">
        <is>
          <t>Booleano</t>
        </is>
      </c>
      <c r="D67" s="105" t="inlineStr">
        <is>
          <t>Curadoria documental de VNU/preço unitário</t>
        </is>
      </c>
      <c r="E67" s="105" t="inlineStr">
        <is>
          <t>Marca múltiplos valores/classes ou natureza que exige leitura do documento.</t>
        </is>
      </c>
      <c r="F67" s="105" t="inlineStr">
        <is>
          <t>N/D identifica ausência; nenhum valor é imputado como zero.</t>
        </is>
      </c>
    </row>
    <row r="68" ht="33" customHeight="1">
      <c r="A68" s="106" t="inlineStr">
        <is>
          <t>Cedente / Originador literal*</t>
        </is>
      </c>
      <c r="B68" s="106" t="inlineStr">
        <is>
          <t>cedente_originador_literal</t>
        </is>
      </c>
      <c r="C68" s="106" t="inlineStr">
        <is>
          <t>Texto</t>
        </is>
      </c>
      <c r="D68" s="106" t="inlineStr">
        <is>
          <t>Documento ou overlay manual auditado</t>
        </is>
      </c>
      <c r="E68" s="106" t="inlineStr">
        <is>
          <t>Transcrição literal da coluna combinada Cedente/Originador.</t>
        </is>
      </c>
      <c r="F68" s="106" t="inlineStr">
        <is>
          <t>N/D identifica ausência; nenhum valor é imputado como zero.</t>
        </is>
      </c>
    </row>
    <row r="69" ht="33" customHeight="1">
      <c r="A69" s="105" t="inlineStr">
        <is>
          <t>Papel literal*</t>
        </is>
      </c>
      <c r="B69" s="105" t="inlineStr">
        <is>
          <t>papel_literal</t>
        </is>
      </c>
      <c r="C69" s="105" t="inlineStr">
        <is>
          <t>Texto</t>
        </is>
      </c>
      <c r="D69" s="105" t="inlineStr">
        <is>
          <t>Documento ou overlay manual auditado</t>
        </is>
      </c>
      <c r="E69" s="105" t="inlineStr">
        <is>
          <t>Papel indicado literalmente na fonte manual.</t>
        </is>
      </c>
      <c r="F69" s="105" t="inlineStr">
        <is>
          <t>N/D identifica ausência; nenhum valor é imputado como zero.</t>
        </is>
      </c>
    </row>
    <row r="70" ht="33" customHeight="1">
      <c r="A70" s="106" t="inlineStr">
        <is>
          <t>Originador*</t>
        </is>
      </c>
      <c r="B70" s="106" t="inlineStr">
        <is>
          <t>originador</t>
        </is>
      </c>
      <c r="C70" s="106" t="inlineStr">
        <is>
          <t>Texto</t>
        </is>
      </c>
      <c r="D70" s="106" t="inlineStr">
        <is>
          <t>Documento ou overlay manual auditado</t>
        </is>
      </c>
      <c r="E70" s="106" t="inlineStr">
        <is>
          <t>Campo originador* preservado na granularidade de um CNPJ.</t>
        </is>
      </c>
      <c r="F70" s="106" t="inlineStr">
        <is>
          <t>N/D identifica ausência; nenhum valor é imputado como zero.</t>
        </is>
      </c>
    </row>
    <row r="71" ht="33" customHeight="1">
      <c r="A71" s="105" t="inlineStr">
        <is>
          <t>Cedente*</t>
        </is>
      </c>
      <c r="B71" s="105" t="inlineStr">
        <is>
          <t>cedente</t>
        </is>
      </c>
      <c r="C71" s="105" t="inlineStr">
        <is>
          <t>Texto</t>
        </is>
      </c>
      <c r="D71" s="105" t="inlineStr">
        <is>
          <t>Documento ou overlay manual auditado</t>
        </is>
      </c>
      <c r="E71" s="105" t="inlineStr">
        <is>
          <t>Campo cedente* preservado na granularidade de um CNPJ.</t>
        </is>
      </c>
      <c r="F71" s="105" t="inlineStr">
        <is>
          <t>N/D identifica ausência; nenhum valor é imputado como zero.</t>
        </is>
      </c>
    </row>
    <row r="72" ht="33" customHeight="1">
      <c r="A72" s="106" t="inlineStr">
        <is>
          <t>Sacado / devedor*</t>
        </is>
      </c>
      <c r="B72" s="106" t="inlineStr">
        <is>
          <t>sacado_devedor</t>
        </is>
      </c>
      <c r="C72" s="106" t="inlineStr">
        <is>
          <t>Texto</t>
        </is>
      </c>
      <c r="D72" s="106" t="inlineStr">
        <is>
          <t>Documento ou overlay manual auditado</t>
        </is>
      </c>
      <c r="E72" s="106" t="inlineStr">
        <is>
          <t>Campo sacado / devedor* preservado na granularidade de um CNPJ.</t>
        </is>
      </c>
      <c r="F72" s="106" t="inlineStr">
        <is>
          <t>N/D identifica ausência; nenhum valor é imputado como zero.</t>
        </is>
      </c>
    </row>
    <row r="73" ht="33" customHeight="1">
      <c r="A73" s="105" t="inlineStr">
        <is>
          <t>Tipo de recebível*</t>
        </is>
      </c>
      <c r="B73" s="105" t="inlineStr">
        <is>
          <t>tipo_recebivel_literal</t>
        </is>
      </c>
      <c r="C73" s="105" t="inlineStr">
        <is>
          <t>Texto</t>
        </is>
      </c>
      <c r="D73" s="105" t="inlineStr">
        <is>
          <t>Taxonomia analítica / oficial preservada</t>
        </is>
      </c>
      <c r="E73" s="105" t="inlineStr">
        <is>
          <t>Campo tipo de recebível* preservado na granularidade de um CNPJ.</t>
        </is>
      </c>
      <c r="F73" s="105" t="inlineStr">
        <is>
          <t>N/D identifica ausência; nenhum valor é imputado como zero.</t>
        </is>
      </c>
    </row>
    <row r="74" ht="33" customHeight="1">
      <c r="A74" s="106" t="inlineStr">
        <is>
          <t>Fonte das partes / recebível</t>
        </is>
      </c>
      <c r="B74" s="106" t="inlineStr">
        <is>
          <t>fonte_partes_recebivel</t>
        </is>
      </c>
      <c r="C74" s="106" t="inlineStr">
        <is>
          <t>Texto</t>
        </is>
      </c>
      <c r="D74" s="106" t="inlineStr">
        <is>
          <t>Documento ou overlay manual auditado</t>
        </is>
      </c>
      <c r="E74" s="106" t="inlineStr">
        <is>
          <t>Documento ou foto que sustenta partes e tipo de recebível.</t>
        </is>
      </c>
      <c r="F74" s="106" t="inlineStr">
        <is>
          <t>N/D identifica ausência; nenhum valor é imputado como zero.</t>
        </is>
      </c>
    </row>
    <row r="75" ht="33" customHeight="1">
      <c r="A75" s="105" t="inlineStr">
        <is>
          <t>Status do complemento manual</t>
        </is>
      </c>
      <c r="B75" s="105" t="inlineStr">
        <is>
          <t>status_complemento_manual</t>
        </is>
      </c>
      <c r="C75" s="105" t="inlineStr">
        <is>
          <t>Texto</t>
        </is>
      </c>
      <c r="D75" s="105" t="inlineStr">
        <is>
          <t>Documento ou overlay manual auditado</t>
        </is>
      </c>
      <c r="E75" s="105" t="inlineStr">
        <is>
          <t>Campo status do complemento manual preservado na granularidade de um CNPJ.</t>
        </is>
      </c>
      <c r="F75" s="105" t="inlineStr">
        <is>
          <t>N/D identifica ausência; nenhum valor é imputado como zero.</t>
        </is>
      </c>
    </row>
    <row r="76" ht="33" customHeight="1">
      <c r="A76" s="106" t="inlineStr">
        <is>
          <t>Observação do complemento manual</t>
        </is>
      </c>
      <c r="B76" s="106" t="inlineStr">
        <is>
          <t>observacao_complemento_manual</t>
        </is>
      </c>
      <c r="C76" s="106" t="inlineStr">
        <is>
          <t>Texto</t>
        </is>
      </c>
      <c r="D76" s="106" t="inlineStr">
        <is>
          <t>Documento ou overlay manual auditado</t>
        </is>
      </c>
      <c r="E76" s="106" t="inlineStr">
        <is>
          <t>Campo observação do complemento manual preservado na granularidade de um CNPJ.</t>
        </is>
      </c>
      <c r="F76" s="106" t="inlineStr">
        <is>
          <t>N/D identifica ausência; nenhum valor é imputado como zero.</t>
        </is>
      </c>
    </row>
    <row r="77" ht="33" customHeight="1">
      <c r="A77" s="105" t="inlineStr">
        <is>
          <t>Documento</t>
        </is>
      </c>
      <c r="B77" s="105" t="inlineStr">
        <is>
          <t>documento_id</t>
        </is>
      </c>
      <c r="C77" s="105" t="inlineStr">
        <is>
          <t>Texto</t>
        </is>
      </c>
      <c r="D77" s="105" t="inlineStr">
        <is>
          <t>Curadoria documental</t>
        </is>
      </c>
      <c r="E77" s="105" t="inlineStr">
        <is>
          <t>Campo documento preservado na granularidade de um CNPJ.</t>
        </is>
      </c>
      <c r="F77" s="105" t="inlineStr">
        <is>
          <t>N/D identifica ausência; nenhum valor é imputado como zero.</t>
        </is>
      </c>
    </row>
    <row r="78" ht="33" customHeight="1">
      <c r="A78" s="106" t="inlineStr">
        <is>
          <t>Data do documento</t>
        </is>
      </c>
      <c r="B78" s="106" t="inlineStr">
        <is>
          <t>documento_data</t>
        </is>
      </c>
      <c r="C78" s="106" t="inlineStr">
        <is>
          <t>Texto</t>
        </is>
      </c>
      <c r="D78" s="106" t="inlineStr">
        <is>
          <t>Curadoria documental</t>
        </is>
      </c>
      <c r="E78" s="106" t="inlineStr">
        <is>
          <t>Campo data do documento preservado na granularidade de um CNPJ.</t>
        </is>
      </c>
      <c r="F78" s="106" t="inlineStr">
        <is>
          <t>N/D identifica ausência; nenhum valor é imputado como zero.</t>
        </is>
      </c>
    </row>
    <row r="79" ht="33" customHeight="1">
      <c r="A79" s="105" t="inlineStr">
        <is>
          <t>Página / cláusula</t>
        </is>
      </c>
      <c r="B79" s="105" t="inlineStr">
        <is>
          <t>pagina_clausula</t>
        </is>
      </c>
      <c r="C79" s="105" t="inlineStr">
        <is>
          <t>Texto</t>
        </is>
      </c>
      <c r="D79" s="105" t="inlineStr">
        <is>
          <t>Curadoria documental</t>
        </is>
      </c>
      <c r="E79" s="105" t="inlineStr">
        <is>
          <t>Campo página / cláusula preservado na granularidade de um CNPJ.</t>
        </is>
      </c>
      <c r="F79" s="105" t="inlineStr">
        <is>
          <t>N/D identifica ausência; nenhum valor é imputado como zero.</t>
        </is>
      </c>
    </row>
    <row r="80" ht="33" customHeight="1">
      <c r="A80" s="106" t="inlineStr">
        <is>
          <t>Status da curadoria</t>
        </is>
      </c>
      <c r="B80" s="106" t="inlineStr">
        <is>
          <t>status_curadoria_documental</t>
        </is>
      </c>
      <c r="C80" s="106" t="inlineStr">
        <is>
          <t>Texto</t>
        </is>
      </c>
      <c r="D80" s="106" t="inlineStr">
        <is>
          <t>Curadoria documental</t>
        </is>
      </c>
      <c r="E80" s="106" t="inlineStr">
        <is>
          <t>Campo status da curadoria preservado na granularidade de um CNPJ.</t>
        </is>
      </c>
      <c r="F80" s="106" t="inlineStr">
        <is>
          <t>N/D identifica ausência; nenhum valor é imputado como zero.</t>
        </is>
      </c>
    </row>
    <row r="81" ht="33" customHeight="1">
      <c r="A81" s="105" t="inlineStr">
        <is>
          <t>Fonte documental</t>
        </is>
      </c>
      <c r="B81" s="105" t="inlineStr">
        <is>
          <t>fonte_documental</t>
        </is>
      </c>
      <c r="C81" s="105" t="inlineStr">
        <is>
          <t>Texto</t>
        </is>
      </c>
      <c r="D81" s="105" t="inlineStr">
        <is>
          <t>Curadoria documental</t>
        </is>
      </c>
      <c r="E81" s="105" t="inlineStr">
        <is>
          <t>Referência do regulamento, assembleia ou documento primário.</t>
        </is>
      </c>
      <c r="F81" s="105" t="inlineStr">
        <is>
          <t>N/D identifica ausência; nenhum valor é imputado como zero.</t>
        </is>
      </c>
    </row>
    <row r="82" ht="33" customHeight="1">
      <c r="A82" s="106" t="inlineStr">
        <is>
          <t>Texto do mínimo</t>
        </is>
      </c>
      <c r="B82" s="106" t="inlineStr">
        <is>
          <t>texto_minimo</t>
        </is>
      </c>
      <c r="C82" s="106" t="inlineStr">
        <is>
          <t>Texto</t>
        </is>
      </c>
      <c r="D82" s="106" t="inlineStr">
        <is>
          <t>Curadoria documental</t>
        </is>
      </c>
      <c r="E82" s="106" t="inlineStr">
        <is>
          <t>Campo texto do mínimo preservado na granularidade de um CNPJ.</t>
        </is>
      </c>
      <c r="F82" s="106" t="inlineStr">
        <is>
          <t>N/D identifica ausência; nenhum valor é imputado como zero.</t>
        </is>
      </c>
    </row>
    <row r="83" ht="33" customHeight="1">
      <c r="A83" s="105" t="inlineStr">
        <is>
          <t>Campos não preenchidos</t>
        </is>
      </c>
      <c r="B83" s="105" t="inlineStr">
        <is>
          <t>campos_nao_preenchidos</t>
        </is>
      </c>
      <c r="C83" s="105" t="inlineStr">
        <is>
          <t>Texto</t>
        </is>
      </c>
      <c r="D83" s="105" t="inlineStr">
        <is>
          <t>Normalização do export</t>
        </is>
      </c>
      <c r="E83" s="105" t="inlineStr">
        <is>
          <t>Lista didática dos campos que permanecem ausentes.</t>
        </is>
      </c>
      <c r="F83" s="105" t="inlineStr">
        <is>
          <t>N/D identifica ausência; nenhum valor é imputado como zero.</t>
        </is>
      </c>
    </row>
    <row r="84" ht="33" customHeight="1">
      <c r="A84" s="106" t="inlineStr">
        <is>
          <t>Status do preenchimento</t>
        </is>
      </c>
      <c r="B84" s="106" t="inlineStr">
        <is>
          <t>status_preenchimento</t>
        </is>
      </c>
      <c r="C84" s="106" t="inlineStr">
        <is>
          <t>Texto</t>
        </is>
      </c>
      <c r="D84" s="106" t="inlineStr">
        <is>
          <t>Normalização do export</t>
        </is>
      </c>
      <c r="E84" s="106" t="inlineStr">
        <is>
          <t>Campo status do preenchimento preservado na granularidade de um CNPJ.</t>
        </is>
      </c>
      <c r="F84" s="106" t="inlineStr">
        <is>
          <t>N/D identifica ausência; nenhum valor é imputado como zero.</t>
        </is>
      </c>
    </row>
  </sheetData>
  <mergeCells count="2">
    <mergeCell ref="A2:F2"/>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108"/>
  <sheetViews>
    <sheetView workbookViewId="0">
      <selection activeCell="A1" sqref="A1"/>
    </sheetView>
  </sheetViews>
  <sheetFormatPr baseColWidth="8" defaultRowHeight="15"/>
  <cols>
    <col width="13.75" customWidth="1" min="1" max="1"/>
    <col width="15.63000011444092" customWidth="1" min="2" max="2"/>
    <col width="20.6299991607666" customWidth="1" min="3" max="3"/>
    <col width="41.25" customWidth="1" min="4" max="4"/>
    <col width="32.5" customWidth="1" min="5" max="5"/>
    <col width="18.75" customWidth="1" min="6" max="6"/>
    <col width="26.25" customWidth="1" min="7" max="7"/>
    <col width="26.25" customWidth="1" min="8" max="8"/>
    <col width="27.5" customWidth="1" min="9" max="9"/>
    <col width="41.25" customWidth="1" min="10" max="10"/>
    <col width="18.1299991607666" customWidth="1" min="11" max="11"/>
    <col width="37.5" customWidth="1" min="12" max="12"/>
    <col width="18.75" customWidth="1" min="13" max="13"/>
    <col width="11.88000011444092" customWidth="1" min="14" max="14"/>
    <col width="65" customWidth="1" min="15" max="15"/>
    <col width="21.25" customWidth="1" min="16" max="16"/>
    <col width="40" customWidth="1" min="17" max="17"/>
    <col width="10.63000011444092" customWidth="1" min="18" max="18"/>
    <col width="40" customWidth="1" min="19" max="19"/>
  </cols>
  <sheetData>
    <row r="1" ht="25.5" customHeight="1">
      <c r="A1" s="26" t="inlineStr">
        <is>
          <t>Fontes manuais · transcrição das fotos fornecidas pelo usuário</t>
        </is>
      </c>
    </row>
    <row r="2" ht="22.5" customHeight="1">
      <c r="A2" s="29" t="inlineStr">
        <is>
          <t>* = informação manual separada da evidência documental. Somente status confirmado_legivel é elegível; o overlay preenche lacunas e preserva o valor documental existente.</t>
        </is>
      </c>
    </row>
    <row r="4" ht="25.5" customHeight="1">
      <c r="A4" s="32" t="inlineStr">
        <is>
          <t>Raiz do CNPJ na foto</t>
        </is>
      </c>
      <c r="B4" s="32" t="inlineStr">
        <is>
          <t>CNPJ resolvido</t>
        </is>
      </c>
      <c r="C4" s="32" t="inlineStr">
        <is>
          <t>Status da resolução</t>
        </is>
      </c>
      <c r="D4" s="32" t="inlineStr">
        <is>
          <t>Denominação de referência</t>
        </is>
      </c>
      <c r="E4" s="32" t="inlineStr">
        <is>
          <t>Cedente / Originador literal*</t>
        </is>
      </c>
      <c r="F4" s="32" t="inlineStr">
        <is>
          <t>Papel literal*</t>
        </is>
      </c>
      <c r="G4" s="32" t="inlineStr">
        <is>
          <t>Originador*</t>
        </is>
      </c>
      <c r="H4" s="32" t="inlineStr">
        <is>
          <t>Cedente*</t>
        </is>
      </c>
      <c r="I4" s="32" t="inlineStr">
        <is>
          <t>Sacado / devedor*</t>
        </is>
      </c>
      <c r="J4" s="32" t="inlineStr">
        <is>
          <t>Tipo de recebível*</t>
        </is>
      </c>
      <c r="K4" s="32" t="inlineStr">
        <is>
          <t>Imagem</t>
        </is>
      </c>
      <c r="L4" s="32" t="inlineStr">
        <is>
          <t>Localização na imagem</t>
        </is>
      </c>
      <c r="M4" s="32" t="inlineStr">
        <is>
          <t>Status da transcrição</t>
        </is>
      </c>
      <c r="N4" s="32" t="inlineStr">
        <is>
          <t>Confiança</t>
        </is>
      </c>
      <c r="O4" s="32" t="inlineStr">
        <is>
          <t>Observação</t>
        </is>
      </c>
      <c r="P4" s="32" t="inlineStr">
        <is>
          <t>Coortes encontradas</t>
        </is>
      </c>
      <c r="Q4" s="32" t="inlineStr">
        <is>
          <t>Campos aplicados</t>
        </is>
      </c>
      <c r="R4" s="32" t="inlineStr">
        <is>
          <t>Aplicado?</t>
        </is>
      </c>
      <c r="S4" s="32" t="inlineStr">
        <is>
          <t>Motivo da aplicação</t>
        </is>
      </c>
    </row>
    <row r="5" ht="36" customHeight="1">
      <c r="A5" s="156" t="inlineStr">
        <is>
          <t>42462306</t>
        </is>
      </c>
      <c r="B5" s="157" t="n">
        <v>42462306000100</v>
      </c>
      <c r="C5" s="73" t="inlineStr">
        <is>
          <t>correspondencia_unica</t>
        </is>
      </c>
      <c r="D5" s="73" t="inlineStr">
        <is>
          <t>GREEN SOLFACIL II FIDC</t>
        </is>
      </c>
      <c r="E5" s="73" t="inlineStr">
        <is>
          <t>Solfácil</t>
        </is>
      </c>
      <c r="F5" s="73" t="inlineStr">
        <is>
          <t>cedente</t>
        </is>
      </c>
      <c r="G5" s="73" t="inlineStr">
        <is>
          <t>N/D</t>
        </is>
      </c>
      <c r="H5" s="73" t="inlineStr">
        <is>
          <t>Solfácil</t>
        </is>
      </c>
      <c r="I5" s="73" t="inlineStr">
        <is>
          <t>N/D</t>
        </is>
      </c>
      <c r="J5" s="73" t="inlineStr">
        <is>
          <t>créditos originados para securitização posterior em CRIs</t>
        </is>
      </c>
      <c r="K5" s="73" t="inlineStr">
        <is>
          <t>IMG_8704.JPG</t>
        </is>
      </c>
      <c r="L5" s="73" t="inlineStr">
        <is>
          <t>planilha amarela; linha da raiz 42462306</t>
        </is>
      </c>
      <c r="M5" s="73" t="inlineStr">
        <is>
          <t>confirmado_legivel</t>
        </is>
      </c>
      <c r="N5" s="73" t="inlineStr">
        <is>
          <t>alta</t>
        </is>
      </c>
      <c r="O5" s="73" t="inlineStr">
        <is>
          <t>OBS da foto: FIDC warehouse com finalidade de originar créditos para serem securitizados posteriormente em CRIs a mercado; texto final cortado pela foto.</t>
        </is>
      </c>
      <c r="P5" s="73" t="inlineStr">
        <is>
          <t>Carteira 101</t>
        </is>
      </c>
      <c r="Q5" s="73" t="inlineStr">
        <is>
          <t>cedente_originador_literal; papel_literal</t>
        </is>
      </c>
      <c r="R5" s="73" t="b">
        <v>1</v>
      </c>
      <c r="S5" s="73" t="inlineStr">
        <is>
          <t>overlay aplicado somente em lacunas</t>
        </is>
      </c>
    </row>
    <row r="6" ht="36" customHeight="1">
      <c r="A6" s="158" t="inlineStr">
        <is>
          <t>54810968</t>
        </is>
      </c>
      <c r="B6" s="159" t="n">
        <v>54810968000102</v>
      </c>
      <c r="C6" s="74" t="inlineStr">
        <is>
          <t>correspondencia_unica</t>
        </is>
      </c>
      <c r="D6" s="74" t="inlineStr">
        <is>
          <t>ANGA FGTS II FUNDO DE INVESTIMENTO EM DIREITOS CR...</t>
        </is>
      </c>
      <c r="E6" s="74" t="inlineStr">
        <is>
          <t>BMG</t>
        </is>
      </c>
      <c r="F6" s="74" t="inlineStr">
        <is>
          <t>cedente</t>
        </is>
      </c>
      <c r="G6" s="74" t="inlineStr">
        <is>
          <t>N/D</t>
        </is>
      </c>
      <c r="H6" s="74" t="inlineStr">
        <is>
          <t>BMG</t>
        </is>
      </c>
      <c r="I6" s="74" t="inlineStr">
        <is>
          <t>N/D</t>
        </is>
      </c>
      <c r="J6" s="74" t="inlineStr">
        <is>
          <t>Crédito FGTS</t>
        </is>
      </c>
      <c r="K6" s="74" t="inlineStr">
        <is>
          <t>IMG_8704.JPG</t>
        </is>
      </c>
      <c r="L6" s="74" t="inlineStr">
        <is>
          <t>planilha amarela; linha da raiz 54810968</t>
        </is>
      </c>
      <c r="M6" s="74" t="inlineStr">
        <is>
          <t>confirmado_legivel</t>
        </is>
      </c>
      <c r="N6" s="74" t="inlineStr">
        <is>
          <t>alta</t>
        </is>
      </c>
      <c r="O6" s="74" t="inlineStr">
        <is>
          <t>Denominação cortada pela largura da coluna na foto.</t>
        </is>
      </c>
      <c r="P6" s="74" t="inlineStr">
        <is>
          <t>Carteira 101</t>
        </is>
      </c>
      <c r="Q6" s="74" t="inlineStr">
        <is>
          <t>cedente_originador_literal; papel_literal</t>
        </is>
      </c>
      <c r="R6" s="74" t="b">
        <v>1</v>
      </c>
      <c r="S6" s="74" t="inlineStr">
        <is>
          <t>overlay aplicado somente em lacunas</t>
        </is>
      </c>
    </row>
    <row r="7" ht="36" customHeight="1">
      <c r="A7" s="160" t="inlineStr">
        <is>
          <t>53270983</t>
        </is>
      </c>
      <c r="B7" s="161" t="n">
        <v>53270983000142</v>
      </c>
      <c r="C7" s="75" t="inlineStr">
        <is>
          <t>correspondencia_unica</t>
        </is>
      </c>
      <c r="D7" s="75" t="inlineStr">
        <is>
          <t>ANGA FGTS MAIS AG FIDC RESPONSABILIDADE LIMITADA</t>
        </is>
      </c>
      <c r="E7" s="75" t="inlineStr">
        <is>
          <t>QI Tech</t>
        </is>
      </c>
      <c r="F7" s="75" t="inlineStr">
        <is>
          <t>cedente</t>
        </is>
      </c>
      <c r="G7" s="75" t="inlineStr">
        <is>
          <t>N/D</t>
        </is>
      </c>
      <c r="H7" s="75" t="inlineStr">
        <is>
          <t>QI Tech</t>
        </is>
      </c>
      <c r="I7" s="75" t="inlineStr">
        <is>
          <t>N/D</t>
        </is>
      </c>
      <c r="J7" s="75" t="inlineStr">
        <is>
          <t>N/D</t>
        </is>
      </c>
      <c r="K7" s="75" t="inlineStr">
        <is>
          <t>IMG_8704.JPG</t>
        </is>
      </c>
      <c r="L7" s="75" t="inlineStr">
        <is>
          <t>planilha amarela; linha da raiz 53270983</t>
        </is>
      </c>
      <c r="M7" s="75" t="inlineStr">
        <is>
          <t>confirmado_legivel</t>
        </is>
      </c>
      <c r="N7" s="75" t="inlineStr">
        <is>
          <t>alta</t>
        </is>
      </c>
      <c r="O7" s="75" t="inlineStr">
        <is>
          <t>N/D</t>
        </is>
      </c>
      <c r="P7" s="75" t="inlineStr">
        <is>
          <t>Carteira 101</t>
        </is>
      </c>
      <c r="Q7" s="75" t="inlineStr">
        <is>
          <t>cedente_originador_literal; papel_literal</t>
        </is>
      </c>
      <c r="R7" s="75" t="b">
        <v>1</v>
      </c>
      <c r="S7" s="75" t="inlineStr">
        <is>
          <t>overlay aplicado somente em lacunas</t>
        </is>
      </c>
    </row>
    <row r="8" ht="36" customHeight="1">
      <c r="A8" s="158" t="inlineStr">
        <is>
          <t>52968533</t>
        </is>
      </c>
      <c r="B8" s="159" t="n">
        <v>52968533000165</v>
      </c>
      <c r="C8" s="74" t="inlineStr">
        <is>
          <t>correspondencia_unica</t>
        </is>
      </c>
      <c r="D8" s="74" t="inlineStr">
        <is>
          <t>MCPO FUNDO DE INVESTIMENTO EM DIREITOS CREDITORIO</t>
        </is>
      </c>
      <c r="E8" s="74" t="inlineStr">
        <is>
          <t>Maqcampo</t>
        </is>
      </c>
      <c r="F8" s="74" t="inlineStr">
        <is>
          <t>cedente</t>
        </is>
      </c>
      <c r="G8" s="74" t="inlineStr">
        <is>
          <t>N/D</t>
        </is>
      </c>
      <c r="H8" s="74" t="inlineStr">
        <is>
          <t>Maqcampo</t>
        </is>
      </c>
      <c r="I8" s="74" t="inlineStr">
        <is>
          <t>N/D</t>
        </is>
      </c>
      <c r="J8" s="74" t="inlineStr">
        <is>
          <t>N/D</t>
        </is>
      </c>
      <c r="K8" s="74" t="inlineStr">
        <is>
          <t>IMG_8704.JPG</t>
        </is>
      </c>
      <c r="L8" s="74" t="inlineStr">
        <is>
          <t>planilha amarela; linha da raiz 52968533</t>
        </is>
      </c>
      <c r="M8" s="74" t="inlineStr">
        <is>
          <t>confirmado_legivel</t>
        </is>
      </c>
      <c r="N8" s="74" t="inlineStr">
        <is>
          <t>alta</t>
        </is>
      </c>
      <c r="O8" s="74" t="inlineStr">
        <is>
          <t>OBS da foto: atrasos elevados; em discussão de possível solução de parcela dos vencidos.</t>
        </is>
      </c>
      <c r="P8" s="74" t="inlineStr">
        <is>
          <t>Carteira 101</t>
        </is>
      </c>
      <c r="Q8" s="74" t="inlineStr">
        <is>
          <t>cedente_originador_literal; papel_literal</t>
        </is>
      </c>
      <c r="R8" s="74" t="b">
        <v>1</v>
      </c>
      <c r="S8" s="74" t="inlineStr">
        <is>
          <t>overlay aplicado somente em lacunas</t>
        </is>
      </c>
    </row>
    <row r="9" ht="36" customHeight="1">
      <c r="A9" s="160" t="inlineStr">
        <is>
          <t>52100879</t>
        </is>
      </c>
      <c r="B9" s="161" t="n">
        <v>52100879000147</v>
      </c>
      <c r="C9" s="75" t="inlineStr">
        <is>
          <t>correspondencia_unica</t>
        </is>
      </c>
      <c r="D9" s="75" t="inlineStr">
        <is>
          <t>SOTREQ FUNDO DE INVESTIMENTO EM DIREITOS CREDITORI...</t>
        </is>
      </c>
      <c r="E9" s="75" t="inlineStr">
        <is>
          <t>Sotreq</t>
        </is>
      </c>
      <c r="F9" s="75" t="inlineStr">
        <is>
          <t>cedente</t>
        </is>
      </c>
      <c r="G9" s="75" t="inlineStr">
        <is>
          <t>N/D</t>
        </is>
      </c>
      <c r="H9" s="75" t="inlineStr">
        <is>
          <t>Sotreq</t>
        </is>
      </c>
      <c r="I9" s="75" t="inlineStr">
        <is>
          <t>N/D</t>
        </is>
      </c>
      <c r="J9" s="75" t="inlineStr">
        <is>
          <t>N/D</t>
        </is>
      </c>
      <c r="K9" s="75" t="inlineStr">
        <is>
          <t>IMG_8704.JPG</t>
        </is>
      </c>
      <c r="L9" s="75" t="inlineStr">
        <is>
          <t>planilha amarela; linha da raiz 52100879</t>
        </is>
      </c>
      <c r="M9" s="75" t="inlineStr">
        <is>
          <t>confirmado_legivel</t>
        </is>
      </c>
      <c r="N9" s="75" t="inlineStr">
        <is>
          <t>alta</t>
        </is>
      </c>
      <c r="O9" s="75" t="inlineStr">
        <is>
          <t>Denominação cortada pela largura da coluna na foto.</t>
        </is>
      </c>
      <c r="P9" s="75" t="inlineStr">
        <is>
          <t>Carteira 101</t>
        </is>
      </c>
      <c r="Q9" s="75" t="inlineStr">
        <is>
          <t>cedente_originador_literal; papel_literal</t>
        </is>
      </c>
      <c r="R9" s="75" t="b">
        <v>1</v>
      </c>
      <c r="S9" s="75" t="inlineStr">
        <is>
          <t>overlay aplicado somente em lacunas</t>
        </is>
      </c>
    </row>
    <row r="10" ht="36" customHeight="1">
      <c r="A10" s="158" t="inlineStr">
        <is>
          <t>53662209</t>
        </is>
      </c>
      <c r="B10" s="159" t="n">
        <v>53662209000187</v>
      </c>
      <c r="C10" s="74" t="inlineStr">
        <is>
          <t>correspondencia_unica</t>
        </is>
      </c>
      <c r="D10" s="74" t="inlineStr">
        <is>
          <t>PNEUCASH FUNDO DE INVESTIMENTO EM DIREITOS CREDITO...</t>
        </is>
      </c>
      <c r="E10" s="74" t="inlineStr">
        <is>
          <t>Cantu Store</t>
        </is>
      </c>
      <c r="F10" s="74" t="inlineStr">
        <is>
          <t>cedente</t>
        </is>
      </c>
      <c r="G10" s="74" t="inlineStr">
        <is>
          <t>N/D</t>
        </is>
      </c>
      <c r="H10" s="74" t="inlineStr">
        <is>
          <t>Cantu Store</t>
        </is>
      </c>
      <c r="I10" s="74" t="inlineStr">
        <is>
          <t>N/D</t>
        </is>
      </c>
      <c r="J10" s="74" t="inlineStr">
        <is>
          <t>N/D</t>
        </is>
      </c>
      <c r="K10" s="74" t="inlineStr">
        <is>
          <t>IMG_8704.JPG</t>
        </is>
      </c>
      <c r="L10" s="74" t="inlineStr">
        <is>
          <t>planilha amarela; linha da raiz 53662209</t>
        </is>
      </c>
      <c r="M10" s="74" t="inlineStr">
        <is>
          <t>confirmado_legivel</t>
        </is>
      </c>
      <c r="N10" s="74" t="inlineStr">
        <is>
          <t>alta</t>
        </is>
      </c>
      <c r="O10" s="74" t="inlineStr">
        <is>
          <t>OBS da foto: FIDC pulverizado com 20% de subordinação e baixa inadimplência.</t>
        </is>
      </c>
      <c r="P10" s="74" t="inlineStr">
        <is>
          <t>Carteira 101</t>
        </is>
      </c>
      <c r="Q10" s="74" t="inlineStr">
        <is>
          <t>cedente_originador_literal; papel_literal</t>
        </is>
      </c>
      <c r="R10" s="74" t="b">
        <v>1</v>
      </c>
      <c r="S10" s="74" t="inlineStr">
        <is>
          <t>overlay aplicado somente em lacunas</t>
        </is>
      </c>
    </row>
    <row r="11" ht="36" customHeight="1">
      <c r="A11" s="160" t="inlineStr">
        <is>
          <t>53577135</t>
        </is>
      </c>
      <c r="B11" s="161" t="n">
        <v>53577135000180</v>
      </c>
      <c r="C11" s="75" t="inlineStr">
        <is>
          <t>correspondencia_unica</t>
        </is>
      </c>
      <c r="D11" s="75" t="inlineStr">
        <is>
          <t>ANGA FGTS I FUNDO DE INVESTIMENTO EM DIREITOS CR...</t>
        </is>
      </c>
      <c r="E11" s="75" t="inlineStr">
        <is>
          <t>QI Tech</t>
        </is>
      </c>
      <c r="F11" s="75" t="inlineStr">
        <is>
          <t>cedente</t>
        </is>
      </c>
      <c r="G11" s="75" t="inlineStr">
        <is>
          <t>N/D</t>
        </is>
      </c>
      <c r="H11" s="75" t="inlineStr">
        <is>
          <t>QI Tech</t>
        </is>
      </c>
      <c r="I11" s="75" t="inlineStr">
        <is>
          <t>N/D</t>
        </is>
      </c>
      <c r="J11" s="75" t="inlineStr">
        <is>
          <t>Crédito FGTS</t>
        </is>
      </c>
      <c r="K11" s="75" t="inlineStr">
        <is>
          <t>IMG_8704.JPG</t>
        </is>
      </c>
      <c r="L11" s="75" t="inlineStr">
        <is>
          <t>planilha amarela; linha da raiz 53577135</t>
        </is>
      </c>
      <c r="M11" s="75" t="inlineStr">
        <is>
          <t>confirmado_legivel</t>
        </is>
      </c>
      <c r="N11" s="75" t="inlineStr">
        <is>
          <t>alta</t>
        </is>
      </c>
      <c r="O11" s="75" t="inlineStr">
        <is>
          <t>Denominação cortada pela largura da coluna na foto.</t>
        </is>
      </c>
      <c r="P11" s="75" t="inlineStr">
        <is>
          <t>Carteira 101</t>
        </is>
      </c>
      <c r="Q11" s="75" t="inlineStr">
        <is>
          <t>cedente_originador_literal; papel_literal</t>
        </is>
      </c>
      <c r="R11" s="75" t="b">
        <v>1</v>
      </c>
      <c r="S11" s="75" t="inlineStr">
        <is>
          <t>overlay aplicado somente em lacunas</t>
        </is>
      </c>
    </row>
    <row r="12" ht="36" customHeight="1">
      <c r="A12" s="158" t="inlineStr">
        <is>
          <t>62626887</t>
        </is>
      </c>
      <c r="B12" s="159" t="n">
        <v>62626887000185</v>
      </c>
      <c r="C12" s="74" t="inlineStr">
        <is>
          <t>correspondencia_unica</t>
        </is>
      </c>
      <c r="D12" s="74" t="inlineStr">
        <is>
          <t>TOP 2025 C FIDC RESP LTDA</t>
        </is>
      </c>
      <c r="E12" s="74" t="inlineStr">
        <is>
          <t>Sumup IP</t>
        </is>
      </c>
      <c r="F12" s="74" t="inlineStr">
        <is>
          <t>cedente</t>
        </is>
      </c>
      <c r="G12" s="74" t="inlineStr">
        <is>
          <t>N/D</t>
        </is>
      </c>
      <c r="H12" s="74" t="inlineStr">
        <is>
          <t>Sumup IP</t>
        </is>
      </c>
      <c r="I12" s="74" t="inlineStr">
        <is>
          <t>N/D</t>
        </is>
      </c>
      <c r="J12" s="74" t="inlineStr">
        <is>
          <t>N/D</t>
        </is>
      </c>
      <c r="K12" s="74" t="inlineStr">
        <is>
          <t>IMG_8704.JPG</t>
        </is>
      </c>
      <c r="L12" s="74" t="inlineStr">
        <is>
          <t>planilha amarela; linha da raiz 62626887</t>
        </is>
      </c>
      <c r="M12" s="74" t="inlineStr">
        <is>
          <t>confirmado_legivel</t>
        </is>
      </c>
      <c r="N12" s="74" t="inlineStr">
        <is>
          <t>alta</t>
        </is>
      </c>
      <c r="O12" s="74" t="inlineStr">
        <is>
          <t>OBS da foto: Risco Banco Emissor Itaú.</t>
        </is>
      </c>
      <c r="P12" s="74" t="inlineStr">
        <is>
          <t>Carteira 101</t>
        </is>
      </c>
      <c r="Q12" s="74" t="inlineStr">
        <is>
          <t>cedente_originador_literal; papel_literal</t>
        </is>
      </c>
      <c r="R12" s="74" t="b">
        <v>1</v>
      </c>
      <c r="S12" s="74" t="inlineStr">
        <is>
          <t>overlay aplicado somente em lacunas</t>
        </is>
      </c>
    </row>
    <row r="13" ht="36" customHeight="1">
      <c r="A13" s="160" t="inlineStr">
        <is>
          <t>50098465</t>
        </is>
      </c>
      <c r="B13" s="161" t="n">
        <v>50098465000103</v>
      </c>
      <c r="C13" s="75" t="inlineStr">
        <is>
          <t>correspondencia_unica</t>
        </is>
      </c>
      <c r="D13" s="75" t="inlineStr">
        <is>
          <t>CHEMICAL XII - FUNDO DE INVESTIMENTO EM DIREITOS...</t>
        </is>
      </c>
      <c r="E13" s="75" t="inlineStr">
        <is>
          <t>Braskem</t>
        </is>
      </c>
      <c r="F13" s="75" t="inlineStr">
        <is>
          <t>cedente</t>
        </is>
      </c>
      <c r="G13" s="75" t="inlineStr">
        <is>
          <t>N/D</t>
        </is>
      </c>
      <c r="H13" s="75" t="inlineStr">
        <is>
          <t>Braskem</t>
        </is>
      </c>
      <c r="I13" s="75" t="inlineStr">
        <is>
          <t>N/D</t>
        </is>
      </c>
      <c r="J13" s="75" t="inlineStr">
        <is>
          <t>N/D</t>
        </is>
      </c>
      <c r="K13" s="75" t="inlineStr">
        <is>
          <t>IMG_8704.JPG</t>
        </is>
      </c>
      <c r="L13" s="75" t="inlineStr">
        <is>
          <t>planilha amarela; linha da raiz 50098465</t>
        </is>
      </c>
      <c r="M13" s="75" t="inlineStr">
        <is>
          <t>confirmado_legivel</t>
        </is>
      </c>
      <c r="N13" s="75" t="inlineStr">
        <is>
          <t>alta</t>
        </is>
      </c>
      <c r="O13" s="75" t="inlineStr">
        <is>
          <t>OBS da foto: baixo nível de inadimplência (0% Over90 nos últimos meses). Denominação cortada.</t>
        </is>
      </c>
      <c r="P13" s="75" t="inlineStr">
        <is>
          <t>Carteira 101</t>
        </is>
      </c>
      <c r="Q13" s="75" t="inlineStr">
        <is>
          <t>cedente_originador_literal; papel_literal</t>
        </is>
      </c>
      <c r="R13" s="75" t="b">
        <v>1</v>
      </c>
      <c r="S13" s="75" t="inlineStr">
        <is>
          <t>overlay aplicado somente em lacunas</t>
        </is>
      </c>
    </row>
    <row r="14" ht="36" customHeight="1">
      <c r="A14" s="158" t="inlineStr">
        <is>
          <t>48967719</t>
        </is>
      </c>
      <c r="B14" s="159" t="n">
        <v>48967719000122</v>
      </c>
      <c r="C14" s="74" t="inlineStr">
        <is>
          <t>correspondencia_unica</t>
        </is>
      </c>
      <c r="D14" s="74" t="inlineStr">
        <is>
          <t>SOULPAY FIDC</t>
        </is>
      </c>
      <c r="E14" s="74" t="inlineStr">
        <is>
          <t>Soulpay Soluções de Pagamentos</t>
        </is>
      </c>
      <c r="F14" s="74" t="inlineStr">
        <is>
          <t>cedente</t>
        </is>
      </c>
      <c r="G14" s="74" t="inlineStr">
        <is>
          <t>N/D</t>
        </is>
      </c>
      <c r="H14" s="74" t="inlineStr">
        <is>
          <t>Soulpay Soluções de Pagamentos</t>
        </is>
      </c>
      <c r="I14" s="74" t="inlineStr">
        <is>
          <t>N/D</t>
        </is>
      </c>
      <c r="J14" s="74" t="inlineStr">
        <is>
          <t>N/D</t>
        </is>
      </c>
      <c r="K14" s="74" t="inlineStr">
        <is>
          <t>IMG_8704.JPG</t>
        </is>
      </c>
      <c r="L14" s="74" t="inlineStr">
        <is>
          <t>planilha amarela; linha da raiz 48967719</t>
        </is>
      </c>
      <c r="M14" s="74" t="inlineStr">
        <is>
          <t>confirmado_legivel</t>
        </is>
      </c>
      <c r="N14" s="74" t="inlineStr">
        <is>
          <t>alta</t>
        </is>
      </c>
      <c r="O14" s="74" t="inlineStr">
        <is>
          <t>OBS da foto: Risco Rede.</t>
        </is>
      </c>
      <c r="P14" s="74" t="inlineStr">
        <is>
          <t>Carteira 101</t>
        </is>
      </c>
      <c r="Q14" s="74" t="inlineStr">
        <is>
          <t>cedente_originador_literal; papel_literal</t>
        </is>
      </c>
      <c r="R14" s="74" t="b">
        <v>1</v>
      </c>
      <c r="S14" s="74" t="inlineStr">
        <is>
          <t>overlay aplicado somente em lacunas</t>
        </is>
      </c>
    </row>
    <row r="15" ht="36" customHeight="1">
      <c r="A15" s="160" t="inlineStr">
        <is>
          <t>37645417</t>
        </is>
      </c>
      <c r="B15" s="161" t="n">
        <v>37645417000111</v>
      </c>
      <c r="C15" s="75" t="inlineStr">
        <is>
          <t>correspondencia_unica</t>
        </is>
      </c>
      <c r="D15" s="75" t="inlineStr">
        <is>
          <t>UBYFOL AGRO FIDC II</t>
        </is>
      </c>
      <c r="E15" s="75" t="inlineStr">
        <is>
          <t>Ubyfol</t>
        </is>
      </c>
      <c r="F15" s="75" t="inlineStr">
        <is>
          <t>cedente</t>
        </is>
      </c>
      <c r="G15" s="75" t="inlineStr">
        <is>
          <t>N/D</t>
        </is>
      </c>
      <c r="H15" s="75" t="inlineStr">
        <is>
          <t>Ubyfol</t>
        </is>
      </c>
      <c r="I15" s="75" t="inlineStr">
        <is>
          <t>N/D</t>
        </is>
      </c>
      <c r="J15" s="75" t="inlineStr">
        <is>
          <t>Insumos Agrícolas - prazo Safra</t>
        </is>
      </c>
      <c r="K15" s="75" t="inlineStr">
        <is>
          <t>IMG_8704.JPG</t>
        </is>
      </c>
      <c r="L15" s="75" t="inlineStr">
        <is>
          <t>planilha amarela; linha da raiz 37645417</t>
        </is>
      </c>
      <c r="M15" s="75" t="inlineStr">
        <is>
          <t>confirmado_legivel</t>
        </is>
      </c>
      <c r="N15" s="75" t="inlineStr">
        <is>
          <t>alta</t>
        </is>
      </c>
      <c r="O15" s="75" t="inlineStr">
        <is>
          <t>N/D</t>
        </is>
      </c>
      <c r="P15" s="75" t="inlineStr">
        <is>
          <t>Carteira 101</t>
        </is>
      </c>
      <c r="Q15" s="75" t="inlineStr">
        <is>
          <t>cedente_originador_literal; papel_literal</t>
        </is>
      </c>
      <c r="R15" s="75" t="b">
        <v>1</v>
      </c>
      <c r="S15" s="75" t="inlineStr">
        <is>
          <t>overlay aplicado somente em lacunas</t>
        </is>
      </c>
    </row>
    <row r="16" ht="36" customHeight="1">
      <c r="A16" s="158" t="inlineStr">
        <is>
          <t>50832746</t>
        </is>
      </c>
      <c r="B16" s="159" t="n">
        <v>50832746000130</v>
      </c>
      <c r="C16" s="74" t="inlineStr">
        <is>
          <t>correspondencia_unica</t>
        </is>
      </c>
      <c r="D16" s="74" t="inlineStr">
        <is>
          <t>BOASAFRA FIDC DO AGRONEGOCIO</t>
        </is>
      </c>
      <c r="E16" s="74" t="inlineStr">
        <is>
          <t>Boasafra (ID 5662361)</t>
        </is>
      </c>
      <c r="F16" s="74" t="inlineStr">
        <is>
          <t>cedente</t>
        </is>
      </c>
      <c r="G16" s="74" t="inlineStr">
        <is>
          <t>N/D</t>
        </is>
      </c>
      <c r="H16" s="74" t="inlineStr">
        <is>
          <t>Boasafra (ID 5662361)</t>
        </is>
      </c>
      <c r="I16" s="74" t="inlineStr">
        <is>
          <t>N/D</t>
        </is>
      </c>
      <c r="J16" s="74" t="inlineStr">
        <is>
          <t>Insumos Agrícolas - prazo Safra</t>
        </is>
      </c>
      <c r="K16" s="74" t="inlineStr">
        <is>
          <t>IMG_8704.JPG</t>
        </is>
      </c>
      <c r="L16" s="74" t="inlineStr">
        <is>
          <t>planilha amarela; linha da raiz 50832746</t>
        </is>
      </c>
      <c r="M16" s="74" t="inlineStr">
        <is>
          <t>confirmado_legivel</t>
        </is>
      </c>
      <c r="N16" s="74" t="inlineStr">
        <is>
          <t>alta</t>
        </is>
      </c>
      <c r="O16" s="74" t="inlineStr">
        <is>
          <t>N/D</t>
        </is>
      </c>
      <c r="P16" s="74" t="inlineStr">
        <is>
          <t>Carteira 101</t>
        </is>
      </c>
      <c r="Q16" s="74" t="inlineStr">
        <is>
          <t>cedente_originador_literal; papel_literal</t>
        </is>
      </c>
      <c r="R16" s="74" t="b">
        <v>1</v>
      </c>
      <c r="S16" s="74" t="inlineStr">
        <is>
          <t>overlay aplicado somente em lacunas</t>
        </is>
      </c>
    </row>
    <row r="17" ht="36" customHeight="1">
      <c r="A17" s="160" t="inlineStr">
        <is>
          <t>33076242</t>
        </is>
      </c>
      <c r="B17" s="161" t="n">
        <v>33076242000118</v>
      </c>
      <c r="C17" s="75" t="inlineStr">
        <is>
          <t>correspondencia_unica</t>
        </is>
      </c>
      <c r="D17" s="75" t="inlineStr">
        <is>
          <t>FUNDO DE INVESTIMENTO EM DIREITOS CREDITORIOS ALBA</t>
        </is>
      </c>
      <c r="E17" s="75" t="inlineStr">
        <is>
          <t>Albaugh</t>
        </is>
      </c>
      <c r="F17" s="75" t="inlineStr">
        <is>
          <t>cedente</t>
        </is>
      </c>
      <c r="G17" s="75" t="inlineStr">
        <is>
          <t>N/D</t>
        </is>
      </c>
      <c r="H17" s="75" t="inlineStr">
        <is>
          <t>Albaugh</t>
        </is>
      </c>
      <c r="I17" s="75" t="inlineStr">
        <is>
          <t>N/D</t>
        </is>
      </c>
      <c r="J17" s="75" t="inlineStr">
        <is>
          <t>N/D</t>
        </is>
      </c>
      <c r="K17" s="75" t="inlineStr">
        <is>
          <t>IMG_8704.JPG</t>
        </is>
      </c>
      <c r="L17" s="75" t="inlineStr">
        <is>
          <t>planilha amarela; linha da raiz 33076242</t>
        </is>
      </c>
      <c r="M17" s="75" t="inlineStr">
        <is>
          <t>confirmado_legivel</t>
        </is>
      </c>
      <c r="N17" s="75" t="inlineStr">
        <is>
          <t>alta</t>
        </is>
      </c>
      <c r="O17" s="75" t="inlineStr">
        <is>
          <t>OBS legível: evento de avaliação por não pagamento de juros; o identificador de concentração e o restante do texto exigem revisão.</t>
        </is>
      </c>
      <c r="P17" s="75" t="inlineStr">
        <is>
          <t>Carteira 101</t>
        </is>
      </c>
      <c r="Q17" s="75" t="inlineStr">
        <is>
          <t>cedente_originador_literal; papel_literal</t>
        </is>
      </c>
      <c r="R17" s="75" t="b">
        <v>1</v>
      </c>
      <c r="S17" s="75" t="inlineStr">
        <is>
          <t>overlay aplicado somente em lacunas</t>
        </is>
      </c>
    </row>
    <row r="18" ht="36" customHeight="1">
      <c r="A18" s="158" t="inlineStr">
        <is>
          <t>44173467</t>
        </is>
      </c>
      <c r="B18" s="159" t="n">
        <v>44173467000109</v>
      </c>
      <c r="C18" s="74" t="inlineStr">
        <is>
          <t>correspondencia_unica</t>
        </is>
      </c>
      <c r="D18" s="74" t="inlineStr">
        <is>
          <t>RECEIVABLES 48 FUNDO DE INVEST INSS MEUTUDO</t>
        </is>
      </c>
      <c r="E18" s="74" t="inlineStr">
        <is>
          <t>Parati</t>
        </is>
      </c>
      <c r="F18" s="74" t="inlineStr">
        <is>
          <t>cedente</t>
        </is>
      </c>
      <c r="G18" s="74" t="inlineStr">
        <is>
          <t>N/D</t>
        </is>
      </c>
      <c r="H18" s="74" t="inlineStr">
        <is>
          <t>Parati</t>
        </is>
      </c>
      <c r="I18" s="74" t="inlineStr">
        <is>
          <t>N/D</t>
        </is>
      </c>
      <c r="J18" s="74" t="inlineStr">
        <is>
          <t>Crédito consignado INSS</t>
        </is>
      </c>
      <c r="K18" s="74" t="inlineStr">
        <is>
          <t>IMG_8704.JPG</t>
        </is>
      </c>
      <c r="L18" s="74" t="inlineStr">
        <is>
          <t>planilha amarela; linha da raiz 44173467</t>
        </is>
      </c>
      <c r="M18" s="74" t="inlineStr">
        <is>
          <t>confirmado_legivel</t>
        </is>
      </c>
      <c r="N18" s="74" t="inlineStr">
        <is>
          <t>alta</t>
        </is>
      </c>
      <c r="O18" s="74" t="inlineStr">
        <is>
          <t>OBS da foto: Rating atual Baa1; se ajustar o rating na base, pode considerar perspectiva estável.</t>
        </is>
      </c>
      <c r="P18" s="74" t="inlineStr">
        <is>
          <t>Carteira 101</t>
        </is>
      </c>
      <c r="Q18" s="74" t="inlineStr">
        <is>
          <t>cedente_originador_literal; papel_literal</t>
        </is>
      </c>
      <c r="R18" s="74" t="b">
        <v>1</v>
      </c>
      <c r="S18" s="74" t="inlineStr">
        <is>
          <t>overlay aplicado somente em lacunas</t>
        </is>
      </c>
    </row>
    <row r="19" ht="36" customHeight="1">
      <c r="A19" s="160" t="inlineStr">
        <is>
          <t>54252144</t>
        </is>
      </c>
      <c r="B19" s="161" t="n">
        <v>54252144000164</v>
      </c>
      <c r="C19" s="75" t="inlineStr">
        <is>
          <t>correspondencia_unica</t>
        </is>
      </c>
      <c r="D19" s="75" t="inlineStr">
        <is>
          <t>J17 FGTS FUNDO DE INVESTIMENTO</t>
        </is>
      </c>
      <c r="E19" s="75" t="inlineStr">
        <is>
          <t>J17</t>
        </is>
      </c>
      <c r="F19" s="75" t="inlineStr">
        <is>
          <t>cedente</t>
        </is>
      </c>
      <c r="G19" s="75" t="inlineStr">
        <is>
          <t>N/D</t>
        </is>
      </c>
      <c r="H19" s="75" t="inlineStr">
        <is>
          <t>J17</t>
        </is>
      </c>
      <c r="I19" s="75" t="inlineStr">
        <is>
          <t>N/D</t>
        </is>
      </c>
      <c r="J19" s="75" t="inlineStr">
        <is>
          <t>FGTS Saque-aniversário</t>
        </is>
      </c>
      <c r="K19" s="75" t="inlineStr">
        <is>
          <t>IMG_8704.JPG</t>
        </is>
      </c>
      <c r="L19" s="75" t="inlineStr">
        <is>
          <t>planilha amarela; linha da raiz 54252144</t>
        </is>
      </c>
      <c r="M19" s="75" t="inlineStr">
        <is>
          <t>confirmado_legivel</t>
        </is>
      </c>
      <c r="N19" s="75" t="inlineStr">
        <is>
          <t>alta</t>
        </is>
      </c>
      <c r="O19" s="75" t="inlineStr">
        <is>
          <t>Denominação cortada pela largura da coluna na foto.</t>
        </is>
      </c>
      <c r="P19" s="75" t="inlineStr">
        <is>
          <t>Carteira 101</t>
        </is>
      </c>
      <c r="Q19" s="75" t="inlineStr">
        <is>
          <t>cedente_originador_literal; papel_literal</t>
        </is>
      </c>
      <c r="R19" s="75" t="b">
        <v>1</v>
      </c>
      <c r="S19" s="75" t="inlineStr">
        <is>
          <t>overlay aplicado somente em lacunas</t>
        </is>
      </c>
    </row>
    <row r="20" ht="36" customHeight="1">
      <c r="A20" s="158" t="inlineStr">
        <is>
          <t>48313595</t>
        </is>
      </c>
      <c r="B20" s="159" t="n">
        <v>48313595000161</v>
      </c>
      <c r="C20" s="74" t="inlineStr">
        <is>
          <t>correspondencia_unica</t>
        </is>
      </c>
      <c r="D20" s="74" t="inlineStr">
        <is>
          <t>BB2 AGRO BR FUNDO DE INVESTIMENTO EM DIREITOS CRE...</t>
        </is>
      </c>
      <c r="E20" s="74" t="inlineStr">
        <is>
          <t>Multicedentes</t>
        </is>
      </c>
      <c r="F20" s="74" t="inlineStr">
        <is>
          <t>cedente</t>
        </is>
      </c>
      <c r="G20" s="74" t="inlineStr">
        <is>
          <t>N/D</t>
        </is>
      </c>
      <c r="H20" s="74" t="inlineStr">
        <is>
          <t>Multicedentes</t>
        </is>
      </c>
      <c r="I20" s="74" t="inlineStr">
        <is>
          <t>N/D</t>
        </is>
      </c>
      <c r="J20" s="74" t="inlineStr">
        <is>
          <t>N/D</t>
        </is>
      </c>
      <c r="K20" s="74" t="inlineStr">
        <is>
          <t>IMG_8704.JPG</t>
        </is>
      </c>
      <c r="L20" s="74" t="inlineStr">
        <is>
          <t>planilha amarela; linha da raiz 48313595</t>
        </is>
      </c>
      <c r="M20" s="74" t="inlineStr">
        <is>
          <t>confirmado_legivel</t>
        </is>
      </c>
      <c r="N20" s="74" t="inlineStr">
        <is>
          <t>alta</t>
        </is>
      </c>
      <c r="O20" s="74" t="inlineStr">
        <is>
          <t>OBS da foto: Cota Jr 100% consumida; revisão de rating em out/25; fomos 100% resgatados na SR. Denominação cortada.</t>
        </is>
      </c>
      <c r="P20" s="74" t="inlineStr">
        <is>
          <t>Carteira 101</t>
        </is>
      </c>
      <c r="Q20" s="74" t="inlineStr">
        <is>
          <t>cedente_originador_literal; papel_literal</t>
        </is>
      </c>
      <c r="R20" s="74" t="b">
        <v>1</v>
      </c>
      <c r="S20" s="74" t="inlineStr">
        <is>
          <t>overlay aplicado somente em lacunas</t>
        </is>
      </c>
    </row>
    <row r="21" ht="36" customHeight="1">
      <c r="A21" s="160" t="inlineStr">
        <is>
          <t>32526025</t>
        </is>
      </c>
      <c r="B21" s="161" t="n">
        <v>32526025000110</v>
      </c>
      <c r="C21" s="75" t="inlineStr">
        <is>
          <t>correspondencia_unica</t>
        </is>
      </c>
      <c r="D21" s="75" t="inlineStr">
        <is>
          <t>COBUCCIO FUNDO I E D C NAO P...</t>
        </is>
      </c>
      <c r="E21" s="75" t="inlineStr">
        <is>
          <t>Brazil Card (cartões) | Bolt (adquirente) | Agil (cred...)</t>
        </is>
      </c>
      <c r="F21" s="75" t="inlineStr">
        <is>
          <t>cedente</t>
        </is>
      </c>
      <c r="G21" s="75" t="inlineStr">
        <is>
          <t>N/D</t>
        </is>
      </c>
      <c r="H21" s="75" t="inlineStr">
        <is>
          <t>Brazil Card (cartões) | Bolt (adquirente) | Agil (cred...)</t>
        </is>
      </c>
      <c r="I21" s="75" t="inlineStr">
        <is>
          <t>N/D</t>
        </is>
      </c>
      <c r="J21" s="75" t="inlineStr">
        <is>
          <t>cartões de crédito e adquirência</t>
        </is>
      </c>
      <c r="K21" s="75" t="inlineStr">
        <is>
          <t>IMG_8704.JPG</t>
        </is>
      </c>
      <c r="L21" s="75" t="inlineStr">
        <is>
          <t>planilha amarela; linha da raiz 32526025</t>
        </is>
      </c>
      <c r="M21" s="75" t="inlineStr">
        <is>
          <t>revisao</t>
        </is>
      </c>
      <c r="N21" s="75" t="inlineStr">
        <is>
          <t>média</t>
        </is>
      </c>
      <c r="O21" s="75" t="inlineStr">
        <is>
          <t>Denominação e literal de cedente cortados. OBS também continua fora da foto; não elegível até revisão.</t>
        </is>
      </c>
      <c r="P21" s="75" t="inlineStr">
        <is>
          <t>N/D</t>
        </is>
      </c>
      <c r="Q21" s="75" t="inlineStr">
        <is>
          <t>N/D</t>
        </is>
      </c>
      <c r="R21" s="75" t="b">
        <v>0</v>
      </c>
      <c r="S21" s="75" t="inlineStr">
        <is>
          <t>status de transcrição não aprovado</t>
        </is>
      </c>
    </row>
    <row r="22" ht="36" customHeight="1">
      <c r="A22" s="158" t="inlineStr">
        <is>
          <t>45523699</t>
        </is>
      </c>
      <c r="B22" s="159" t="n">
        <v>45523699000102</v>
      </c>
      <c r="C22" s="74" t="inlineStr">
        <is>
          <t>correspondencia_unica</t>
        </is>
      </c>
      <c r="D22" s="74" t="inlineStr">
        <is>
          <t>VIXTRA FUNDO DE INVE E DC RL</t>
        </is>
      </c>
      <c r="E22" s="74" t="inlineStr">
        <is>
          <t>Vixtra Tecnologia e Serviços Financeiros</t>
        </is>
      </c>
      <c r="F22" s="74" t="inlineStr">
        <is>
          <t>cedente</t>
        </is>
      </c>
      <c r="G22" s="74" t="inlineStr">
        <is>
          <t>N/D</t>
        </is>
      </c>
      <c r="H22" s="74" t="inlineStr">
        <is>
          <t>Vixtra Tecnologia e Serviços Financeiros</t>
        </is>
      </c>
      <c r="I22" s="74" t="inlineStr">
        <is>
          <t>N/D</t>
        </is>
      </c>
      <c r="J22" s="74" t="inlineStr">
        <is>
          <t>FIDC Trading</t>
        </is>
      </c>
      <c r="K22" s="74" t="inlineStr">
        <is>
          <t>IMG_8704.JPG</t>
        </is>
      </c>
      <c r="L22" s="74" t="inlineStr">
        <is>
          <t>planilha amarela; linha da raiz 45523699</t>
        </is>
      </c>
      <c r="M22" s="74" t="inlineStr">
        <is>
          <t>confirmado_legivel</t>
        </is>
      </c>
      <c r="N22" s="74" t="inlineStr">
        <is>
          <t>alta</t>
        </is>
      </c>
      <c r="O22" s="74" t="inlineStr">
        <is>
          <t>N/D</t>
        </is>
      </c>
      <c r="P22" s="74" t="inlineStr">
        <is>
          <t>Carteira 101</t>
        </is>
      </c>
      <c r="Q22" s="74" t="inlineStr">
        <is>
          <t>cedente_originador_literal; papel_literal</t>
        </is>
      </c>
      <c r="R22" s="74" t="b">
        <v>1</v>
      </c>
      <c r="S22" s="74" t="inlineStr">
        <is>
          <t>overlay aplicado somente em lacunas</t>
        </is>
      </c>
    </row>
    <row r="23" ht="36" customHeight="1">
      <c r="A23" s="160" t="inlineStr">
        <is>
          <t>54083697</t>
        </is>
      </c>
      <c r="B23" s="161" t="n">
        <v>54083697000130</v>
      </c>
      <c r="C23" s="75" t="inlineStr">
        <is>
          <t>correspondencia_unica</t>
        </is>
      </c>
      <c r="D23" s="75" t="inlineStr">
        <is>
          <t>PERNAMBUCANAS FIDC DE RESPONSABILIDADE LIMITADA</t>
        </is>
      </c>
      <c r="E23" s="75" t="inlineStr">
        <is>
          <t>Pernambucanas</t>
        </is>
      </c>
      <c r="F23" s="75" t="inlineStr">
        <is>
          <t>cedente</t>
        </is>
      </c>
      <c r="G23" s="75" t="inlineStr">
        <is>
          <t>N/D</t>
        </is>
      </c>
      <c r="H23" s="75" t="inlineStr">
        <is>
          <t>Pernambucanas</t>
        </is>
      </c>
      <c r="I23" s="75" t="inlineStr">
        <is>
          <t>N/D</t>
        </is>
      </c>
      <c r="J23" s="75" t="inlineStr">
        <is>
          <t>N/D</t>
        </is>
      </c>
      <c r="K23" s="75" t="inlineStr">
        <is>
          <t>IMG_8704.JPG</t>
        </is>
      </c>
      <c r="L23" s="75" t="inlineStr">
        <is>
          <t>planilha amarela; linha da raiz 54083697</t>
        </is>
      </c>
      <c r="M23" s="75" t="inlineStr">
        <is>
          <t>confirmado_legivel</t>
        </is>
      </c>
      <c r="N23" s="75" t="inlineStr">
        <is>
          <t>alta</t>
        </is>
      </c>
      <c r="O23" s="75" t="inlineStr">
        <is>
          <t>N/D</t>
        </is>
      </c>
      <c r="P23" s="75" t="inlineStr">
        <is>
          <t>Carteira 101</t>
        </is>
      </c>
      <c r="Q23" s="75" t="inlineStr">
        <is>
          <t>cedente_originador_literal; papel_literal</t>
        </is>
      </c>
      <c r="R23" s="75" t="b">
        <v>1</v>
      </c>
      <c r="S23" s="75" t="inlineStr">
        <is>
          <t>overlay aplicado somente em lacunas</t>
        </is>
      </c>
    </row>
    <row r="24" ht="36" customHeight="1">
      <c r="A24" s="158" t="inlineStr">
        <is>
          <t>56936116</t>
        </is>
      </c>
      <c r="B24" s="159" t="n">
        <v>56936116000191</v>
      </c>
      <c r="C24" s="74" t="inlineStr">
        <is>
          <t>correspondencia_unica</t>
        </is>
      </c>
      <c r="D24" s="74" t="inlineStr">
        <is>
          <t>FATOR TARKEN FUNDO DE INVESTIMENTO EM DIREITOS CRE...</t>
        </is>
      </c>
      <c r="E24" s="74" t="inlineStr">
        <is>
          <t>Multicedente</t>
        </is>
      </c>
      <c r="F24" s="74" t="inlineStr">
        <is>
          <t>cedente</t>
        </is>
      </c>
      <c r="G24" s="74" t="inlineStr">
        <is>
          <t>N/D</t>
        </is>
      </c>
      <c r="H24" s="74" t="inlineStr">
        <is>
          <t>Multicedente</t>
        </is>
      </c>
      <c r="I24" s="74" t="inlineStr">
        <is>
          <t>N/D</t>
        </is>
      </c>
      <c r="J24" s="74" t="inlineStr">
        <is>
          <t>N/D</t>
        </is>
      </c>
      <c r="K24" s="74" t="inlineStr">
        <is>
          <t>IMG_8704.JPG</t>
        </is>
      </c>
      <c r="L24" s="74" t="inlineStr">
        <is>
          <t>planilha amarela; linha da raiz 56936116</t>
        </is>
      </c>
      <c r="M24" s="74" t="inlineStr">
        <is>
          <t>confirmado_legivel</t>
        </is>
      </c>
      <c r="N24" s="74" t="inlineStr">
        <is>
          <t>alta</t>
        </is>
      </c>
      <c r="O24" s="74" t="inlineStr">
        <is>
          <t>OBS da foto: conta com seguro de crédito. Denominação cortada.</t>
        </is>
      </c>
      <c r="P24" s="74" t="inlineStr">
        <is>
          <t>Carteira 101</t>
        </is>
      </c>
      <c r="Q24" s="74" t="inlineStr">
        <is>
          <t>cedente_originador_literal; papel_literal</t>
        </is>
      </c>
      <c r="R24" s="74" t="b">
        <v>1</v>
      </c>
      <c r="S24" s="74" t="inlineStr">
        <is>
          <t>overlay aplicado somente em lacunas</t>
        </is>
      </c>
    </row>
    <row r="25" ht="36" customHeight="1">
      <c r="A25" s="160" t="inlineStr">
        <is>
          <t>50089559</t>
        </is>
      </c>
      <c r="B25" s="161" t="n">
        <v>50089559000108</v>
      </c>
      <c r="C25" s="75" t="inlineStr">
        <is>
          <t>correspondencia_unica</t>
        </is>
      </c>
      <c r="D25" s="75" t="inlineStr">
        <is>
          <t>AGRICONNECTION FIAGRO DIREITOS CREDITORIOS</t>
        </is>
      </c>
      <c r="E25" s="75" t="inlineStr">
        <is>
          <t>Agriconnection</t>
        </is>
      </c>
      <c r="F25" s="75" t="inlineStr">
        <is>
          <t>cedente</t>
        </is>
      </c>
      <c r="G25" s="75" t="inlineStr">
        <is>
          <t>N/D</t>
        </is>
      </c>
      <c r="H25" s="75" t="inlineStr">
        <is>
          <t>Agriconnection</t>
        </is>
      </c>
      <c r="I25" s="75" t="inlineStr">
        <is>
          <t>N/D</t>
        </is>
      </c>
      <c r="J25" s="75" t="inlineStr">
        <is>
          <t>Insumos Agrícolas - prazo Safra</t>
        </is>
      </c>
      <c r="K25" s="75" t="inlineStr">
        <is>
          <t>IMG_8704.JPG</t>
        </is>
      </c>
      <c r="L25" s="75" t="inlineStr">
        <is>
          <t>planilha amarela; linha da raiz 50089559</t>
        </is>
      </c>
      <c r="M25" s="75" t="inlineStr">
        <is>
          <t>confirmado_legivel</t>
        </is>
      </c>
      <c r="N25" s="75" t="inlineStr">
        <is>
          <t>alta</t>
        </is>
      </c>
      <c r="O25" s="75" t="inlineStr">
        <is>
          <t>N/D</t>
        </is>
      </c>
      <c r="P25" s="75" t="inlineStr">
        <is>
          <t>Carteira 101</t>
        </is>
      </c>
      <c r="Q25" s="75" t="inlineStr">
        <is>
          <t>cedente_originador_literal; papel_literal</t>
        </is>
      </c>
      <c r="R25" s="75" t="b">
        <v>1</v>
      </c>
      <c r="S25" s="75" t="inlineStr">
        <is>
          <t>overlay aplicado somente em lacunas</t>
        </is>
      </c>
    </row>
    <row r="26" ht="36" customHeight="1">
      <c r="A26" s="158" t="inlineStr">
        <is>
          <t>57131490</t>
        </is>
      </c>
      <c r="B26" s="159" t="n">
        <v>57131490000182</v>
      </c>
      <c r="C26" s="74" t="inlineStr">
        <is>
          <t>correspondencia_unica</t>
        </is>
      </c>
      <c r="D26" s="74" t="inlineStr">
        <is>
          <t>PONTO RURAL FIAGRO FIDC LTDA</t>
        </is>
      </c>
      <c r="E26" s="74" t="inlineStr">
        <is>
          <t>PONTO RURAL</t>
        </is>
      </c>
      <c r="F26" s="74" t="inlineStr">
        <is>
          <t>cedente</t>
        </is>
      </c>
      <c r="G26" s="74" t="inlineStr">
        <is>
          <t>N/D</t>
        </is>
      </c>
      <c r="H26" s="74" t="inlineStr">
        <is>
          <t>PONTO RURAL</t>
        </is>
      </c>
      <c r="I26" s="74" t="inlineStr">
        <is>
          <t>N/D</t>
        </is>
      </c>
      <c r="J26" s="74" t="inlineStr">
        <is>
          <t>Insumos Agrícolas - prazo Safra</t>
        </is>
      </c>
      <c r="K26" s="74" t="inlineStr">
        <is>
          <t>IMG_8704.JPG</t>
        </is>
      </c>
      <c r="L26" s="74" t="inlineStr">
        <is>
          <t>planilha amarela; linha da raiz 57131490</t>
        </is>
      </c>
      <c r="M26" s="74" t="inlineStr">
        <is>
          <t>confirmado_legivel</t>
        </is>
      </c>
      <c r="N26" s="74" t="inlineStr">
        <is>
          <t>alta</t>
        </is>
      </c>
      <c r="O26" s="74" t="inlineStr">
        <is>
          <t>N/D</t>
        </is>
      </c>
      <c r="P26" s="74" t="inlineStr">
        <is>
          <t>Carteira 101</t>
        </is>
      </c>
      <c r="Q26" s="74" t="inlineStr">
        <is>
          <t>cedente_originador_literal; papel_literal</t>
        </is>
      </c>
      <c r="R26" s="74" t="b">
        <v>1</v>
      </c>
      <c r="S26" s="74" t="inlineStr">
        <is>
          <t>overlay aplicado somente em lacunas</t>
        </is>
      </c>
    </row>
    <row r="27" ht="36" customHeight="1">
      <c r="A27" s="160" t="inlineStr">
        <is>
          <t>47151680</t>
        </is>
      </c>
      <c r="B27" s="161" t="n">
        <v>47151680000108</v>
      </c>
      <c r="C27" s="75" t="inlineStr">
        <is>
          <t>correspondencia_unica</t>
        </is>
      </c>
      <c r="D27" s="75" t="inlineStr">
        <is>
          <t>FARMTECH IBBA I FUNDO DE INVESTIMENTO EM DIREITOS...</t>
        </is>
      </c>
      <c r="E27" s="75" t="inlineStr">
        <is>
          <t>Multicedentes</t>
        </is>
      </c>
      <c r="F27" s="75" t="inlineStr">
        <is>
          <t>cedente</t>
        </is>
      </c>
      <c r="G27" s="75" t="inlineStr">
        <is>
          <t>N/D</t>
        </is>
      </c>
      <c r="H27" s="75" t="inlineStr">
        <is>
          <t>Multicedentes</t>
        </is>
      </c>
      <c r="I27" s="75" t="inlineStr">
        <is>
          <t>N/D</t>
        </is>
      </c>
      <c r="J27" s="75" t="inlineStr">
        <is>
          <t>N/D</t>
        </is>
      </c>
      <c r="K27" s="75" t="inlineStr">
        <is>
          <t>IMG_8704.JPG</t>
        </is>
      </c>
      <c r="L27" s="75" t="inlineStr">
        <is>
          <t>planilha amarela; linha da raiz 47151680</t>
        </is>
      </c>
      <c r="M27" s="75" t="inlineStr">
        <is>
          <t>confirmado_legivel</t>
        </is>
      </c>
      <c r="N27" s="75" t="inlineStr">
        <is>
          <t>alta</t>
        </is>
      </c>
      <c r="O27" s="75" t="inlineStr">
        <is>
          <t>OBS da foto: Multicedente análise FARM; fomos 100% resgatados em out/25. Denominação cortada.</t>
        </is>
      </c>
      <c r="P27" s="75" t="inlineStr">
        <is>
          <t>Carteira 101</t>
        </is>
      </c>
      <c r="Q27" s="75" t="inlineStr">
        <is>
          <t>cedente_originador_literal; papel_literal</t>
        </is>
      </c>
      <c r="R27" s="75" t="b">
        <v>1</v>
      </c>
      <c r="S27" s="75" t="inlineStr">
        <is>
          <t>overlay aplicado somente em lacunas</t>
        </is>
      </c>
    </row>
    <row r="28" ht="36" customHeight="1">
      <c r="A28" s="158" t="inlineStr">
        <is>
          <t>43309233</t>
        </is>
      </c>
      <c r="B28" s="159" t="n">
        <v>43309233000183</v>
      </c>
      <c r="C28" s="74" t="inlineStr">
        <is>
          <t>correspondencia_unica</t>
        </is>
      </c>
      <c r="D28" s="74" t="inlineStr">
        <is>
          <t>FUNDO DE INVESTIMENTO EM DIREITOS CREDITORIOS LIVE</t>
        </is>
      </c>
      <c r="E28" s="74" t="inlineStr">
        <is>
          <t>Adama</t>
        </is>
      </c>
      <c r="F28" s="74" t="inlineStr">
        <is>
          <t>cedente</t>
        </is>
      </c>
      <c r="G28" s="74" t="inlineStr">
        <is>
          <t>N/D</t>
        </is>
      </c>
      <c r="H28" s="74" t="inlineStr">
        <is>
          <t>Adama</t>
        </is>
      </c>
      <c r="I28" s="74" t="inlineStr">
        <is>
          <t>N/D</t>
        </is>
      </c>
      <c r="J28" s="74" t="inlineStr">
        <is>
          <t>Insumos Agrícolas - prazo Safra</t>
        </is>
      </c>
      <c r="K28" s="74" t="inlineStr">
        <is>
          <t>IMG_8704.JPG</t>
        </is>
      </c>
      <c r="L28" s="74" t="inlineStr">
        <is>
          <t>planilha amarela; linha da raiz 43309233</t>
        </is>
      </c>
      <c r="M28" s="74" t="inlineStr">
        <is>
          <t>confirmado_legivel</t>
        </is>
      </c>
      <c r="N28" s="74" t="inlineStr">
        <is>
          <t>alta</t>
        </is>
      </c>
      <c r="O28" s="74" t="inlineStr">
        <is>
          <t>OBS da foto: fomos 100% resgatados em out/25.</t>
        </is>
      </c>
      <c r="P28" s="74" t="inlineStr">
        <is>
          <t>Carteira 101</t>
        </is>
      </c>
      <c r="Q28" s="74" t="inlineStr">
        <is>
          <t>cedente_originador_literal; papel_literal</t>
        </is>
      </c>
      <c r="R28" s="74" t="b">
        <v>1</v>
      </c>
      <c r="S28" s="74" t="inlineStr">
        <is>
          <t>overlay aplicado somente em lacunas</t>
        </is>
      </c>
    </row>
    <row r="29" ht="36" customHeight="1">
      <c r="A29" s="160" t="inlineStr">
        <is>
          <t>43616659</t>
        </is>
      </c>
      <c r="B29" s="161" t="n">
        <v>43616659000180</v>
      </c>
      <c r="C29" s="75" t="inlineStr">
        <is>
          <t>correspondencia_unica</t>
        </is>
      </c>
      <c r="D29" s="75" t="inlineStr">
        <is>
          <t>TALO 1 FUNDO DE INVESTIMENTO EM DIREITOS CREDITORI...</t>
        </is>
      </c>
      <c r="E29" s="75" t="inlineStr">
        <is>
          <t>Yara</t>
        </is>
      </c>
      <c r="F29" s="75" t="inlineStr">
        <is>
          <t>cedente</t>
        </is>
      </c>
      <c r="G29" s="75" t="inlineStr">
        <is>
          <t>N/D</t>
        </is>
      </c>
      <c r="H29" s="75" t="inlineStr">
        <is>
          <t>Yara</t>
        </is>
      </c>
      <c r="I29" s="75" t="inlineStr">
        <is>
          <t>N/D</t>
        </is>
      </c>
      <c r="J29" s="75" t="inlineStr">
        <is>
          <t>N/D</t>
        </is>
      </c>
      <c r="K29" s="75" t="inlineStr">
        <is>
          <t>IMG_8704.JPG</t>
        </is>
      </c>
      <c r="L29" s="75" t="inlineStr">
        <is>
          <t>planilha amarela; linha da raiz 43616659</t>
        </is>
      </c>
      <c r="M29" s="75" t="inlineStr">
        <is>
          <t>confirmado_legivel</t>
        </is>
      </c>
      <c r="N29" s="75" t="inlineStr">
        <is>
          <t>alta</t>
        </is>
      </c>
      <c r="O29" s="75" t="inlineStr">
        <is>
          <t>OBS da foto: subordinação mínima próxima ao limiar (atual Baa3). Denominação cortada.</t>
        </is>
      </c>
      <c r="P29" s="75" t="inlineStr">
        <is>
          <t>Carteira 101</t>
        </is>
      </c>
      <c r="Q29" s="75" t="inlineStr">
        <is>
          <t>cedente_originador_literal; papel_literal</t>
        </is>
      </c>
      <c r="R29" s="75" t="b">
        <v>1</v>
      </c>
      <c r="S29" s="75" t="inlineStr">
        <is>
          <t>overlay aplicado somente em lacunas</t>
        </is>
      </c>
    </row>
    <row r="30" ht="36" customHeight="1">
      <c r="A30" s="158" t="inlineStr">
        <is>
          <t>52343195</t>
        </is>
      </c>
      <c r="B30" s="159" t="n">
        <v>52343195000176</v>
      </c>
      <c r="C30" s="74" t="inlineStr">
        <is>
          <t>correspondencia_unica</t>
        </is>
      </c>
      <c r="D30" s="74" t="inlineStr">
        <is>
          <t>FARMTECH SYNGENTA FUNDO DE INVESTIMENTO EM DIREITO...</t>
        </is>
      </c>
      <c r="E30" s="74" t="inlineStr">
        <is>
          <t>Multicedentes</t>
        </is>
      </c>
      <c r="F30" s="74" t="inlineStr">
        <is>
          <t>cedente</t>
        </is>
      </c>
      <c r="G30" s="74" t="inlineStr">
        <is>
          <t>N/D</t>
        </is>
      </c>
      <c r="H30" s="74" t="inlineStr">
        <is>
          <t>Multicedentes</t>
        </is>
      </c>
      <c r="I30" s="74" t="inlineStr">
        <is>
          <t>N/D</t>
        </is>
      </c>
      <c r="J30" s="74" t="inlineStr">
        <is>
          <t>N/D</t>
        </is>
      </c>
      <c r="K30" s="74" t="inlineStr">
        <is>
          <t>IMG_8704.JPG</t>
        </is>
      </c>
      <c r="L30" s="74" t="inlineStr">
        <is>
          <t>planilha amarela; linha da raiz 52343195</t>
        </is>
      </c>
      <c r="M30" s="74" t="inlineStr">
        <is>
          <t>confirmado_legivel</t>
        </is>
      </c>
      <c r="N30" s="74" t="inlineStr">
        <is>
          <t>alta</t>
        </is>
      </c>
      <c r="O30" s="74" t="inlineStr">
        <is>
          <t>OBS da foto: Multicedente análise FARM. Denominação cortada.</t>
        </is>
      </c>
      <c r="P30" s="74" t="inlineStr">
        <is>
          <t>Carteira 101</t>
        </is>
      </c>
      <c r="Q30" s="74" t="inlineStr">
        <is>
          <t>cedente_originador_literal; papel_literal</t>
        </is>
      </c>
      <c r="R30" s="74" t="b">
        <v>1</v>
      </c>
      <c r="S30" s="74" t="inlineStr">
        <is>
          <t>overlay aplicado somente em lacunas</t>
        </is>
      </c>
    </row>
    <row r="31" ht="36" customHeight="1">
      <c r="A31" s="160" t="inlineStr">
        <is>
          <t>44574361</t>
        </is>
      </c>
      <c r="B31" s="161" t="n">
        <v>44574361000117</v>
      </c>
      <c r="C31" s="75" t="inlineStr">
        <is>
          <t>correspondencia_unica</t>
        </is>
      </c>
      <c r="D31" s="75" t="inlineStr">
        <is>
          <t>FUNDO DE INVESTIMENTO EM DIREITOS CREDITORIOS UPL</t>
        </is>
      </c>
      <c r="E31" s="75" t="inlineStr">
        <is>
          <t>UPL</t>
        </is>
      </c>
      <c r="F31" s="75" t="inlineStr">
        <is>
          <t>cedente</t>
        </is>
      </c>
      <c r="G31" s="75" t="inlineStr">
        <is>
          <t>N/D</t>
        </is>
      </c>
      <c r="H31" s="75" t="inlineStr">
        <is>
          <t>UPL</t>
        </is>
      </c>
      <c r="I31" s="75" t="inlineStr">
        <is>
          <t>N/D</t>
        </is>
      </c>
      <c r="J31" s="75" t="inlineStr">
        <is>
          <t>Insumos Agrícolas - prazo Safra</t>
        </is>
      </c>
      <c r="K31" s="75" t="inlineStr">
        <is>
          <t>IMG_8704.JPG</t>
        </is>
      </c>
      <c r="L31" s="75" t="inlineStr">
        <is>
          <t>planilha amarela; linha da raiz 44574361</t>
        </is>
      </c>
      <c r="M31" s="75" t="inlineStr">
        <is>
          <t>confirmado_legivel</t>
        </is>
      </c>
      <c r="N31" s="75" t="inlineStr">
        <is>
          <t>alta</t>
        </is>
      </c>
      <c r="O31" s="75" t="inlineStr">
        <is>
          <t>N/D</t>
        </is>
      </c>
      <c r="P31" s="75" t="inlineStr">
        <is>
          <t>Carteira 101</t>
        </is>
      </c>
      <c r="Q31" s="75" t="inlineStr">
        <is>
          <t>cedente_originador_literal; papel_literal</t>
        </is>
      </c>
      <c r="R31" s="75" t="b">
        <v>1</v>
      </c>
      <c r="S31" s="75" t="inlineStr">
        <is>
          <t>overlay aplicado somente em lacunas</t>
        </is>
      </c>
    </row>
    <row r="32" ht="36" customHeight="1">
      <c r="A32" s="158" t="inlineStr">
        <is>
          <t>38376526</t>
        </is>
      </c>
      <c r="B32" s="159" t="n">
        <v>38376526000143</v>
      </c>
      <c r="C32" s="74" t="inlineStr">
        <is>
          <t>correspondencia_unica</t>
        </is>
      </c>
      <c r="D32" s="74" t="inlineStr">
        <is>
          <t>HOTFUND FIDC</t>
        </is>
      </c>
      <c r="E32" s="74" t="inlineStr">
        <is>
          <t>Hotmart</t>
        </is>
      </c>
      <c r="F32" s="74" t="inlineStr">
        <is>
          <t>cedente</t>
        </is>
      </c>
      <c r="G32" s="74" t="inlineStr">
        <is>
          <t>N/D</t>
        </is>
      </c>
      <c r="H32" s="74" t="inlineStr">
        <is>
          <t>Hotmart</t>
        </is>
      </c>
      <c r="I32" s="74" t="inlineStr">
        <is>
          <t>N/D</t>
        </is>
      </c>
      <c r="J32" s="74" t="inlineStr">
        <is>
          <t>antecipação de parcelas de criadores de conteúdo</t>
        </is>
      </c>
      <c r="K32" s="74" t="inlineStr">
        <is>
          <t>IMG_8705.JPG</t>
        </is>
      </c>
      <c r="L32" s="74" t="inlineStr">
        <is>
          <t>planilha amarela; linha da raiz 38376526</t>
        </is>
      </c>
      <c r="M32" s="74" t="inlineStr">
        <is>
          <t>confirmado_legivel</t>
        </is>
      </c>
      <c r="N32" s="74" t="inlineStr">
        <is>
          <t>média</t>
        </is>
      </c>
      <c r="O32" s="74" t="inlineStr">
        <is>
          <t>OBS parcialmente legível: FIDC antecipa recebíveis de funding para a Hotmart antecipar parcelas aos criadores de conteúdo; final cortado pela foto.</t>
        </is>
      </c>
      <c r="P32" s="74" t="inlineStr">
        <is>
          <t>Carteira 101</t>
        </is>
      </c>
      <c r="Q32" s="74" t="inlineStr">
        <is>
          <t>cedente_originador_literal; papel_literal</t>
        </is>
      </c>
      <c r="R32" s="74" t="b">
        <v>1</v>
      </c>
      <c r="S32" s="74" t="inlineStr">
        <is>
          <t>overlay aplicado somente em lacunas</t>
        </is>
      </c>
    </row>
    <row r="33" ht="36" customHeight="1">
      <c r="A33" s="160" t="inlineStr">
        <is>
          <t>45598747</t>
        </is>
      </c>
      <c r="B33" s="161" t="n">
        <v>45598747000121</v>
      </c>
      <c r="C33" s="75" t="inlineStr">
        <is>
          <t>correspondencia_unica</t>
        </is>
      </c>
      <c r="D33" s="75" t="inlineStr">
        <is>
          <t>FIDC SUMIP</t>
        </is>
      </c>
      <c r="E33" s="75" t="inlineStr">
        <is>
          <t>Sumup IP</t>
        </is>
      </c>
      <c r="F33" s="75" t="inlineStr">
        <is>
          <t>cedente</t>
        </is>
      </c>
      <c r="G33" s="75" t="inlineStr">
        <is>
          <t>N/D</t>
        </is>
      </c>
      <c r="H33" s="75" t="inlineStr">
        <is>
          <t>Sumup IP</t>
        </is>
      </c>
      <c r="I33" s="75" t="inlineStr">
        <is>
          <t>N/D</t>
        </is>
      </c>
      <c r="J33" s="75" t="inlineStr">
        <is>
          <t>N/D</t>
        </is>
      </c>
      <c r="K33" s="75" t="inlineStr">
        <is>
          <t>IMG_8705.JPG</t>
        </is>
      </c>
      <c r="L33" s="75" t="inlineStr">
        <is>
          <t>planilha amarela; linha da raiz 45598747</t>
        </is>
      </c>
      <c r="M33" s="75" t="inlineStr">
        <is>
          <t>confirmado_legivel</t>
        </is>
      </c>
      <c r="N33" s="75" t="inlineStr">
        <is>
          <t>alta</t>
        </is>
      </c>
      <c r="O33" s="75" t="inlineStr">
        <is>
          <t>OBS da foto: Risco Banco Emissor Itaú.</t>
        </is>
      </c>
      <c r="P33" s="75" t="inlineStr">
        <is>
          <t>Carteira 101</t>
        </is>
      </c>
      <c r="Q33" s="75" t="inlineStr">
        <is>
          <t>cedente_originador_literal; papel_literal</t>
        </is>
      </c>
      <c r="R33" s="75" t="b">
        <v>1</v>
      </c>
      <c r="S33" s="75" t="inlineStr">
        <is>
          <t>overlay aplicado somente em lacunas</t>
        </is>
      </c>
    </row>
    <row r="34" ht="36" customHeight="1">
      <c r="A34" s="158" t="inlineStr">
        <is>
          <t>41197066</t>
        </is>
      </c>
      <c r="B34" s="159" t="n">
        <v>41197066000109</v>
      </c>
      <c r="C34" s="74" t="inlineStr">
        <is>
          <t>correspondencia_unica</t>
        </is>
      </c>
      <c r="D34" s="74" t="inlineStr">
        <is>
          <t>MOVILEPAY CREDITO I FIDC SEGMENTO FINANCEIRO DE RE...</t>
        </is>
      </c>
      <c r="E34" s="74" t="inlineStr">
        <is>
          <t>MovilePay / iFood</t>
        </is>
      </c>
      <c r="F34" s="74" t="inlineStr">
        <is>
          <t>cedente</t>
        </is>
      </c>
      <c r="G34" s="74" t="inlineStr">
        <is>
          <t>N/D</t>
        </is>
      </c>
      <c r="H34" s="74" t="inlineStr">
        <is>
          <t>MovilePay / iFood</t>
        </is>
      </c>
      <c r="I34" s="74" t="inlineStr">
        <is>
          <t>N/D</t>
        </is>
      </c>
      <c r="J34" s="74" t="inlineStr">
        <is>
          <t>CCB PJ - ecossistema iFood</t>
        </is>
      </c>
      <c r="K34" s="74" t="inlineStr">
        <is>
          <t>IMG_8705.JPG</t>
        </is>
      </c>
      <c r="L34" s="74" t="inlineStr">
        <is>
          <t>planilha amarela; linha da raiz 41197066</t>
        </is>
      </c>
      <c r="M34" s="74" t="inlineStr">
        <is>
          <t>confirmado_legivel</t>
        </is>
      </c>
      <c r="N34" s="74" t="inlineStr">
        <is>
          <t>alta</t>
        </is>
      </c>
      <c r="O34" s="74" t="inlineStr">
        <is>
          <t>Denominação cortada pela largura da coluna na foto.</t>
        </is>
      </c>
      <c r="P34" s="74" t="inlineStr">
        <is>
          <t>Carteira 101</t>
        </is>
      </c>
      <c r="Q34" s="74" t="inlineStr">
        <is>
          <t>cedente_originador_literal; papel_literal</t>
        </is>
      </c>
      <c r="R34" s="74" t="b">
        <v>1</v>
      </c>
      <c r="S34" s="74" t="inlineStr">
        <is>
          <t>overlay aplicado somente em lacunas</t>
        </is>
      </c>
    </row>
    <row r="35" ht="36" customHeight="1">
      <c r="A35" s="160" t="inlineStr">
        <is>
          <t>44124617</t>
        </is>
      </c>
      <c r="B35" s="161" t="n">
        <v>44124617000194</v>
      </c>
      <c r="C35" s="75" t="inlineStr">
        <is>
          <t>correspondencia_unica</t>
        </is>
      </c>
      <c r="D35" s="75" t="inlineStr">
        <is>
          <t>CLOUDWALK AKIRA II FUNDO DE INVESTIMENTO EM DIREIT...</t>
        </is>
      </c>
      <c r="E35" s="75" t="inlineStr">
        <is>
          <t>Cloudwalk</t>
        </is>
      </c>
      <c r="F35" s="75" t="inlineStr">
        <is>
          <t>cedente</t>
        </is>
      </c>
      <c r="G35" s="75" t="inlineStr">
        <is>
          <t>N/D</t>
        </is>
      </c>
      <c r="H35" s="75" t="inlineStr">
        <is>
          <t>Cloudwalk</t>
        </is>
      </c>
      <c r="I35" s="75" t="inlineStr">
        <is>
          <t>N/D</t>
        </is>
      </c>
      <c r="J35" s="75" t="inlineStr">
        <is>
          <t>N/D</t>
        </is>
      </c>
      <c r="K35" s="75" t="inlineStr">
        <is>
          <t>IMG_8705.JPG</t>
        </is>
      </c>
      <c r="L35" s="75" t="inlineStr">
        <is>
          <t>planilha amarela; linha da raiz 44124617</t>
        </is>
      </c>
      <c r="M35" s="75" t="inlineStr">
        <is>
          <t>confirmado_legivel</t>
        </is>
      </c>
      <c r="N35" s="75" t="inlineStr">
        <is>
          <t>alta</t>
        </is>
      </c>
      <c r="O35" s="75" t="inlineStr">
        <is>
          <t>OBS da foto: Alongamento discutido recentemente (mas com run-off). Denominação cortada.</t>
        </is>
      </c>
      <c r="P35" s="75" t="inlineStr">
        <is>
          <t>Carteira 101</t>
        </is>
      </c>
      <c r="Q35" s="75" t="inlineStr">
        <is>
          <t>cedente_originador_literal; papel_literal</t>
        </is>
      </c>
      <c r="R35" s="75" t="b">
        <v>1</v>
      </c>
      <c r="S35" s="75" t="inlineStr">
        <is>
          <t>overlay aplicado somente em lacunas</t>
        </is>
      </c>
    </row>
    <row r="36" ht="36" customHeight="1">
      <c r="A36" s="158" t="inlineStr">
        <is>
          <t>42085816</t>
        </is>
      </c>
      <c r="B36" s="159" t="n">
        <v>42085816000105</v>
      </c>
      <c r="C36" s="74" t="inlineStr">
        <is>
          <t>correspondencia_unica</t>
        </is>
      </c>
      <c r="D36" s="74" t="inlineStr">
        <is>
          <t>CLOUDWALK KICK ASS I FUNDO DE INVESTIMENTO EM DIRE...</t>
        </is>
      </c>
      <c r="E36" s="74" t="inlineStr">
        <is>
          <t>Cloudwalk IP</t>
        </is>
      </c>
      <c r="F36" s="74" t="inlineStr">
        <is>
          <t>cedente</t>
        </is>
      </c>
      <c r="G36" s="74" t="inlineStr">
        <is>
          <t>N/D</t>
        </is>
      </c>
      <c r="H36" s="74" t="inlineStr">
        <is>
          <t>Cloudwalk IP</t>
        </is>
      </c>
      <c r="I36" s="74" t="inlineStr">
        <is>
          <t>N/D</t>
        </is>
      </c>
      <c r="J36" s="74" t="inlineStr">
        <is>
          <t>N/D</t>
        </is>
      </c>
      <c r="K36" s="74" t="inlineStr">
        <is>
          <t>IMG_8705.JPG</t>
        </is>
      </c>
      <c r="L36" s="74" t="inlineStr">
        <is>
          <t>planilha amarela; linha da raiz 42085816</t>
        </is>
      </c>
      <c r="M36" s="74" t="inlineStr">
        <is>
          <t>confirmado_legivel</t>
        </is>
      </c>
      <c r="N36" s="74" t="inlineStr">
        <is>
          <t>alta</t>
        </is>
      </c>
      <c r="O36" s="74" t="inlineStr">
        <is>
          <t>OBS da foto: Risco Banco Emissor Itaú. Denominação cortada.</t>
        </is>
      </c>
      <c r="P36" s="74" t="inlineStr">
        <is>
          <t>Carteira 101</t>
        </is>
      </c>
      <c r="Q36" s="74" t="inlineStr">
        <is>
          <t>cedente_originador_literal; papel_literal</t>
        </is>
      </c>
      <c r="R36" s="74" t="b">
        <v>1</v>
      </c>
      <c r="S36" s="74" t="inlineStr">
        <is>
          <t>overlay aplicado somente em lacunas</t>
        </is>
      </c>
    </row>
    <row r="37" ht="36" customHeight="1">
      <c r="A37" s="160" t="inlineStr">
        <is>
          <t>38385876</t>
        </is>
      </c>
      <c r="B37" s="161" t="n">
        <v>38385876000176</v>
      </c>
      <c r="C37" s="75" t="inlineStr">
        <is>
          <t>correspondencia_unica</t>
        </is>
      </c>
      <c r="D37" s="75" t="inlineStr">
        <is>
          <t>ESTRATEGIA EDUCACIONAL FIDC</t>
        </is>
      </c>
      <c r="E37" s="75" t="inlineStr">
        <is>
          <t>Estratégia Concursos</t>
        </is>
      </c>
      <c r="F37" s="75" t="inlineStr">
        <is>
          <t>cedente</t>
        </is>
      </c>
      <c r="G37" s="75" t="inlineStr">
        <is>
          <t>N/D</t>
        </is>
      </c>
      <c r="H37" s="75" t="inlineStr">
        <is>
          <t>Estratégia Concursos</t>
        </is>
      </c>
      <c r="I37" s="75" t="inlineStr">
        <is>
          <t>N/D</t>
        </is>
      </c>
      <c r="J37" s="75" t="inlineStr">
        <is>
          <t>recebíveis de cartão oriundos da venda de planos de cursos preparatórios</t>
        </is>
      </c>
      <c r="K37" s="75" t="inlineStr">
        <is>
          <t>IMG_8705.JPG</t>
        </is>
      </c>
      <c r="L37" s="75" t="inlineStr">
        <is>
          <t>planilha amarela; linha da raiz 38385876</t>
        </is>
      </c>
      <c r="M37" s="75" t="inlineStr">
        <is>
          <t>confirmado_legivel</t>
        </is>
      </c>
      <c r="N37" s="75" t="inlineStr">
        <is>
          <t>alta</t>
        </is>
      </c>
      <c r="O37" s="75" t="inlineStr">
        <is>
          <t>N/D</t>
        </is>
      </c>
      <c r="P37" s="75" t="inlineStr">
        <is>
          <t>Carteira 101</t>
        </is>
      </c>
      <c r="Q37" s="75" t="inlineStr">
        <is>
          <t>cedente_originador_literal; papel_literal</t>
        </is>
      </c>
      <c r="R37" s="75" t="b">
        <v>1</v>
      </c>
      <c r="S37" s="75" t="inlineStr">
        <is>
          <t>overlay aplicado somente em lacunas</t>
        </is>
      </c>
    </row>
    <row r="38" ht="36" customHeight="1">
      <c r="A38" s="158" t="inlineStr">
        <is>
          <t>40919667</t>
        </is>
      </c>
      <c r="B38" s="159" t="n">
        <v>40919667000107</v>
      </c>
      <c r="C38" s="74" t="inlineStr">
        <is>
          <t>correspondencia_unica</t>
        </is>
      </c>
      <c r="D38" s="74" t="inlineStr">
        <is>
          <t>RECARGAPAY I FUNDO DE INVESTIMENTO EM DIREITOS CRE...</t>
        </is>
      </c>
      <c r="E38" s="74" t="inlineStr">
        <is>
          <t>RecargaPay</t>
        </is>
      </c>
      <c r="F38" s="74" t="inlineStr">
        <is>
          <t>cedente</t>
        </is>
      </c>
      <c r="G38" s="74" t="inlineStr">
        <is>
          <t>N/D</t>
        </is>
      </c>
      <c r="H38" s="74" t="inlineStr">
        <is>
          <t>RecargaPay</t>
        </is>
      </c>
      <c r="I38" s="74" t="inlineStr">
        <is>
          <t>N/D</t>
        </is>
      </c>
      <c r="J38" s="74" t="inlineStr">
        <is>
          <t>recebíveis de cartão</t>
        </is>
      </c>
      <c r="K38" s="74" t="inlineStr">
        <is>
          <t>IMG_8705.JPG</t>
        </is>
      </c>
      <c r="L38" s="74" t="inlineStr">
        <is>
          <t>planilha amarela; linha da raiz 40919667</t>
        </is>
      </c>
      <c r="M38" s="74" t="inlineStr">
        <is>
          <t>confirmado_legivel</t>
        </is>
      </c>
      <c r="N38" s="74" t="inlineStr">
        <is>
          <t>alta</t>
        </is>
      </c>
      <c r="O38" s="74" t="inlineStr">
        <is>
          <t>OBS da foto: FIDC "Bolso próprio", onde a Recarga fez aportes iniciais e utiliza o veículo para antecipar os recebíveis de cartão. Denominação cortada.</t>
        </is>
      </c>
      <c r="P38" s="74" t="inlineStr">
        <is>
          <t>Carteira 101</t>
        </is>
      </c>
      <c r="Q38" s="74" t="inlineStr">
        <is>
          <t>cedente_originador_literal; papel_literal</t>
        </is>
      </c>
      <c r="R38" s="74" t="b">
        <v>1</v>
      </c>
      <c r="S38" s="74" t="inlineStr">
        <is>
          <t>overlay aplicado somente em lacunas</t>
        </is>
      </c>
    </row>
    <row r="39" ht="36" customHeight="1">
      <c r="A39" s="160" t="inlineStr">
        <is>
          <t>42102603</t>
        </is>
      </c>
      <c r="B39" s="161" t="n">
        <v>42102603000144</v>
      </c>
      <c r="C39" s="75" t="inlineStr">
        <is>
          <t>correspondencia_unica</t>
        </is>
      </c>
      <c r="D39" s="75" t="inlineStr">
        <is>
          <t>CLOUDWALK KICK ASS II FUNDO DE INVESTIMENTO EM DIR...</t>
        </is>
      </c>
      <c r="E39" s="75" t="inlineStr">
        <is>
          <t>Cloudwalk</t>
        </is>
      </c>
      <c r="F39" s="75" t="inlineStr">
        <is>
          <t>cedente</t>
        </is>
      </c>
      <c r="G39" s="75" t="inlineStr">
        <is>
          <t>N/D</t>
        </is>
      </c>
      <c r="H39" s="75" t="inlineStr">
        <is>
          <t>Cloudwalk</t>
        </is>
      </c>
      <c r="I39" s="75" t="inlineStr">
        <is>
          <t>N/D</t>
        </is>
      </c>
      <c r="J39" s="75" t="inlineStr">
        <is>
          <t>N/D</t>
        </is>
      </c>
      <c r="K39" s="75" t="inlineStr">
        <is>
          <t>IMG_8705.JPG</t>
        </is>
      </c>
      <c r="L39" s="75" t="inlineStr">
        <is>
          <t>planilha amarela; linha da raiz 42102603</t>
        </is>
      </c>
      <c r="M39" s="75" t="inlineStr">
        <is>
          <t>confirmado_legivel</t>
        </is>
      </c>
      <c r="N39" s="75" t="inlineStr">
        <is>
          <t>alta</t>
        </is>
      </c>
      <c r="O39" s="75" t="inlineStr">
        <is>
          <t>OBS da foto: Alongamento discutido recentemente (mas com run-off). Denominação cortada.</t>
        </is>
      </c>
      <c r="P39" s="75" t="inlineStr">
        <is>
          <t>Carteira 101</t>
        </is>
      </c>
      <c r="Q39" s="75" t="inlineStr">
        <is>
          <t>cedente_originador_literal; papel_literal</t>
        </is>
      </c>
      <c r="R39" s="75" t="b">
        <v>1</v>
      </c>
      <c r="S39" s="75" t="inlineStr">
        <is>
          <t>overlay aplicado somente em lacunas</t>
        </is>
      </c>
    </row>
    <row r="40" ht="36" customHeight="1">
      <c r="A40" s="158" t="inlineStr">
        <is>
          <t>28169275</t>
        </is>
      </c>
      <c r="B40" s="159" t="n">
        <v>28169275000172</v>
      </c>
      <c r="C40" s="74" t="inlineStr">
        <is>
          <t>correspondencia_unica</t>
        </is>
      </c>
      <c r="D40" s="74" t="inlineStr">
        <is>
          <t>FUNDO DE INVESTIMENTO EM DIREITOS CREDITORIOS PAGS...</t>
        </is>
      </c>
      <c r="E40" s="74" t="inlineStr">
        <is>
          <t>PagBank (originador) | PagSeguro (cedente)</t>
        </is>
      </c>
      <c r="F40" s="74" t="inlineStr">
        <is>
          <t>originador | cedente</t>
        </is>
      </c>
      <c r="G40" s="74" t="inlineStr">
        <is>
          <t>PagBank</t>
        </is>
      </c>
      <c r="H40" s="74" t="inlineStr">
        <is>
          <t>PagSeguro</t>
        </is>
      </c>
      <c r="I40" s="74" t="inlineStr">
        <is>
          <t>N/D</t>
        </is>
      </c>
      <c r="J40" s="74" t="inlineStr">
        <is>
          <t>recebíveis dos ECs</t>
        </is>
      </c>
      <c r="K40" s="74" t="inlineStr">
        <is>
          <t>IMG_8698.jpg + IMG_8705.JPG</t>
        </is>
      </c>
      <c r="L40" s="74" t="inlineStr">
        <is>
          <t>Top 15 Financeiro; planilha amarela, linha da raiz 28169275</t>
        </is>
      </c>
      <c r="M40" s="74" t="inlineStr">
        <is>
          <t>confirmado_legivel</t>
        </is>
      </c>
      <c r="N40" s="74" t="inlineStr">
        <is>
          <t>alta</t>
        </is>
      </c>
      <c r="O40" s="74" t="inlineStr">
        <is>
          <t>IMG_8698 identifica PagBank como originador; IMG_8705 identifica PagSeguro como cedente e recebíveis dos ECs.</t>
        </is>
      </c>
      <c r="P40" s="74" t="inlineStr">
        <is>
          <t>Carteira 101; Flagships</t>
        </is>
      </c>
      <c r="Q40" s="74" t="inlineStr">
        <is>
          <t>cedente_originador_literal; papel_literal; originador; cedente; tipo_recebivel_literal</t>
        </is>
      </c>
      <c r="R40" s="74" t="b">
        <v>1</v>
      </c>
      <c r="S40" s="74" t="inlineStr">
        <is>
          <t>overlay aplicado somente em lacunas</t>
        </is>
      </c>
    </row>
    <row r="41" ht="36" customHeight="1">
      <c r="A41" s="160" t="inlineStr">
        <is>
          <t>38658727</t>
        </is>
      </c>
      <c r="B41" s="161" t="n">
        <v>38658727000133</v>
      </c>
      <c r="C41" s="75" t="inlineStr">
        <is>
          <t>correspondencia_unica</t>
        </is>
      </c>
      <c r="D41" s="75" t="inlineStr">
        <is>
          <t>FIDC FORNEC MADEIRA MADEIRA I</t>
        </is>
      </c>
      <c r="E41" s="75" t="inlineStr">
        <is>
          <t>Fornecedores: Madeira/Madeira</t>
        </is>
      </c>
      <c r="F41" s="75" t="inlineStr">
        <is>
          <t>cedente</t>
        </is>
      </c>
      <c r="G41" s="75" t="inlineStr">
        <is>
          <t>N/D</t>
        </is>
      </c>
      <c r="H41" s="75" t="inlineStr">
        <is>
          <t>Fornecedores: Madeira/Madeira</t>
        </is>
      </c>
      <c r="I41" s="75" t="inlineStr">
        <is>
          <t>Madeira/Madeira</t>
        </is>
      </c>
      <c r="J41" s="75" t="inlineStr">
        <is>
          <t>N/D</t>
        </is>
      </c>
      <c r="K41" s="75" t="inlineStr">
        <is>
          <t>IMG_8705.JPG</t>
        </is>
      </c>
      <c r="L41" s="75" t="inlineStr">
        <is>
          <t>planilha amarela; linha da raiz 38658727</t>
        </is>
      </c>
      <c r="M41" s="75" t="inlineStr">
        <is>
          <t>confirmado_legivel</t>
        </is>
      </c>
      <c r="N41" s="75" t="inlineStr">
        <is>
          <t>alta</t>
        </is>
      </c>
      <c r="O41" s="75" t="inlineStr">
        <is>
          <t>OBS da foto: FIDC Multicedente (Fornecedores) &amp; Monosacado (Madeira/Madeira). O sacado foi desmembrado somente porque a função Monosacado está escrita na fonte.</t>
        </is>
      </c>
      <c r="P41" s="75" t="inlineStr">
        <is>
          <t>Carteira 101</t>
        </is>
      </c>
      <c r="Q41" s="75" t="inlineStr">
        <is>
          <t>cedente_originador_literal; papel_literal</t>
        </is>
      </c>
      <c r="R41" s="75" t="b">
        <v>1</v>
      </c>
      <c r="S41" s="75" t="inlineStr">
        <is>
          <t>overlay aplicado somente em lacunas</t>
        </is>
      </c>
    </row>
    <row r="42" ht="36" customHeight="1">
      <c r="A42" s="158" t="inlineStr">
        <is>
          <t>52271464</t>
        </is>
      </c>
      <c r="B42" s="159" t="n">
        <v>52271464000136</v>
      </c>
      <c r="C42" s="74" t="inlineStr">
        <is>
          <t>correspondencia_unica</t>
        </is>
      </c>
      <c r="D42" s="74" t="inlineStr">
        <is>
          <t>KIWIFY FUNDO DE INVESTIMENTO E...</t>
        </is>
      </c>
      <c r="E42" s="74" t="inlineStr">
        <is>
          <t>Infoprodutores, representados pela Kiwify Educa...</t>
        </is>
      </c>
      <c r="F42" s="74" t="inlineStr">
        <is>
          <t>cedente</t>
        </is>
      </c>
      <c r="G42" s="74" t="inlineStr">
        <is>
          <t>N/D</t>
        </is>
      </c>
      <c r="H42" s="74" t="inlineStr">
        <is>
          <t>Infoprodutores, representados pela Kiwify Educa...</t>
        </is>
      </c>
      <c r="I42" s="74" t="inlineStr">
        <is>
          <t>N/D</t>
        </is>
      </c>
      <c r="J42" s="74" t="inlineStr">
        <is>
          <t>REDE / CIELO</t>
        </is>
      </c>
      <c r="K42" s="74" t="inlineStr">
        <is>
          <t>IMG_8705.JPG</t>
        </is>
      </c>
      <c r="L42" s="74" t="inlineStr">
        <is>
          <t>planilha amarela; linha da raiz 52271464</t>
        </is>
      </c>
      <c r="M42" s="74" t="inlineStr">
        <is>
          <t>revisao</t>
        </is>
      </c>
      <c r="N42" s="74" t="inlineStr">
        <is>
          <t>média</t>
        </is>
      </c>
      <c r="O42" s="74" t="inlineStr">
        <is>
          <t>Denominação e literal de cedente cortados; não elegível até revisão.</t>
        </is>
      </c>
      <c r="P42" s="74" t="inlineStr">
        <is>
          <t>N/D</t>
        </is>
      </c>
      <c r="Q42" s="74" t="inlineStr">
        <is>
          <t>N/D</t>
        </is>
      </c>
      <c r="R42" s="74" t="b">
        <v>0</v>
      </c>
      <c r="S42" s="74" t="inlineStr">
        <is>
          <t>status de transcrição não aprovado</t>
        </is>
      </c>
    </row>
    <row r="43" ht="36" customHeight="1">
      <c r="A43" s="160" t="inlineStr">
        <is>
          <t>29226654</t>
        </is>
      </c>
      <c r="B43" s="161" t="n">
        <v>29226654000110</v>
      </c>
      <c r="C43" s="75" t="inlineStr">
        <is>
          <t>correspondencia_unica</t>
        </is>
      </c>
      <c r="D43" s="75" t="inlineStr">
        <is>
          <t>INVESTCRED FUNDO DE INVESTIMENTO EM DIREITOS CREDI...</t>
        </is>
      </c>
      <c r="E43" s="75" t="inlineStr">
        <is>
          <t>CredSystem</t>
        </is>
      </c>
      <c r="F43" s="75" t="inlineStr">
        <is>
          <t>cedente</t>
        </is>
      </c>
      <c r="G43" s="75" t="inlineStr">
        <is>
          <t>N/D</t>
        </is>
      </c>
      <c r="H43" s="75" t="inlineStr">
        <is>
          <t>CredSystem</t>
        </is>
      </c>
      <c r="I43" s="75" t="inlineStr">
        <is>
          <t>N/D</t>
        </is>
      </c>
      <c r="J43" s="75" t="inlineStr">
        <is>
          <t>Cartão de Crédito - ecossistema Credsystem</t>
        </is>
      </c>
      <c r="K43" s="75" t="inlineStr">
        <is>
          <t>IMG_8705.JPG</t>
        </is>
      </c>
      <c r="L43" s="75" t="inlineStr">
        <is>
          <t>planilha amarela; linha da raiz 29226654</t>
        </is>
      </c>
      <c r="M43" s="75" t="inlineStr">
        <is>
          <t>confirmado_legivel</t>
        </is>
      </c>
      <c r="N43" s="75" t="inlineStr">
        <is>
          <t>alta</t>
        </is>
      </c>
      <c r="O43" s="75" t="inlineStr">
        <is>
          <t>Denominação cortada pela largura da coluna na foto.</t>
        </is>
      </c>
      <c r="P43" s="75" t="inlineStr">
        <is>
          <t>Carteira 101</t>
        </is>
      </c>
      <c r="Q43" s="75" t="inlineStr">
        <is>
          <t>cedente_originador_literal; papel_literal</t>
        </is>
      </c>
      <c r="R43" s="75" t="b">
        <v>1</v>
      </c>
      <c r="S43" s="75" t="inlineStr">
        <is>
          <t>overlay aplicado somente em lacunas</t>
        </is>
      </c>
    </row>
    <row r="44" ht="36" customHeight="1">
      <c r="A44" s="158" t="inlineStr">
        <is>
          <t>54857414</t>
        </is>
      </c>
      <c r="B44" s="159" t="n">
        <v>54857414000160</v>
      </c>
      <c r="C44" s="74" t="inlineStr">
        <is>
          <t>correspondencia_unica</t>
        </is>
      </c>
      <c r="D44" s="74" t="inlineStr">
        <is>
          <t>INDEMERX RAZI CREDITO AGRO FUNDO DE INVESTIMEN...</t>
        </is>
      </c>
      <c r="E44" s="74" t="inlineStr">
        <is>
          <t>Emissão direta de produtor rural</t>
        </is>
      </c>
      <c r="F44" s="74" t="inlineStr">
        <is>
          <t>cedente</t>
        </is>
      </c>
      <c r="G44" s="74" t="inlineStr">
        <is>
          <t>N/D</t>
        </is>
      </c>
      <c r="H44" s="74" t="inlineStr">
        <is>
          <t>Emissão direta de produtor rural</t>
        </is>
      </c>
      <c r="I44" s="74" t="inlineStr">
        <is>
          <t>N/D</t>
        </is>
      </c>
      <c r="J44" s="74" t="inlineStr">
        <is>
          <t>risco produtor rural com passagem SIPAL e Fazendão</t>
        </is>
      </c>
      <c r="K44" s="74" t="inlineStr">
        <is>
          <t>IMG_8705.JPG</t>
        </is>
      </c>
      <c r="L44" s="74" t="inlineStr">
        <is>
          <t>planilha amarela; linha da raiz 54857414</t>
        </is>
      </c>
      <c r="M44" s="74" t="inlineStr">
        <is>
          <t>confirmado_legivel</t>
        </is>
      </c>
      <c r="N44" s="74" t="inlineStr">
        <is>
          <t>média</t>
        </is>
      </c>
      <c r="O44" s="74" t="inlineStr">
        <is>
          <t>Literal preservado da coluna Cedente do Direito Creditório; OBS continua fora da foto. Denominação cortada.</t>
        </is>
      </c>
      <c r="P44" s="74" t="inlineStr">
        <is>
          <t>Carteira 101</t>
        </is>
      </c>
      <c r="Q44" s="74" t="inlineStr">
        <is>
          <t>cedente_originador_literal; papel_literal</t>
        </is>
      </c>
      <c r="R44" s="74" t="b">
        <v>1</v>
      </c>
      <c r="S44" s="74" t="inlineStr">
        <is>
          <t>overlay aplicado somente em lacunas</t>
        </is>
      </c>
    </row>
    <row r="45" ht="36" customHeight="1">
      <c r="A45" s="160" t="inlineStr">
        <is>
          <t>55401645</t>
        </is>
      </c>
      <c r="B45" s="161" t="n">
        <v>55401645000128</v>
      </c>
      <c r="C45" s="75" t="inlineStr">
        <is>
          <t>correspondencia_unica</t>
        </is>
      </c>
      <c r="D45" s="75" t="inlineStr">
        <is>
          <t>DUATA FIDC FGTS FUNDO DE INVESTIMENTO EM DIREITOS C...</t>
        </is>
      </c>
      <c r="E45" s="75" t="inlineStr">
        <is>
          <t>QI Tech</t>
        </is>
      </c>
      <c r="F45" s="75" t="inlineStr">
        <is>
          <t>cedente</t>
        </is>
      </c>
      <c r="G45" s="75" t="inlineStr">
        <is>
          <t>N/D</t>
        </is>
      </c>
      <c r="H45" s="75" t="inlineStr">
        <is>
          <t>QI Tech</t>
        </is>
      </c>
      <c r="I45" s="75" t="inlineStr">
        <is>
          <t>N/D</t>
        </is>
      </c>
      <c r="J45" s="75" t="inlineStr">
        <is>
          <t>Crédito FGTS</t>
        </is>
      </c>
      <c r="K45" s="75" t="inlineStr">
        <is>
          <t>IMG_8705.JPG</t>
        </is>
      </c>
      <c r="L45" s="75" t="inlineStr">
        <is>
          <t>planilha amarela; linha da raiz 55401645</t>
        </is>
      </c>
      <c r="M45" s="75" t="inlineStr">
        <is>
          <t>confirmado_legivel</t>
        </is>
      </c>
      <c r="N45" s="75" t="inlineStr">
        <is>
          <t>alta</t>
        </is>
      </c>
      <c r="O45" s="75" t="inlineStr">
        <is>
          <t>Denominação cortada pela largura da coluna na foto.</t>
        </is>
      </c>
      <c r="P45" s="75" t="inlineStr">
        <is>
          <t>Carteira 101</t>
        </is>
      </c>
      <c r="Q45" s="75" t="inlineStr">
        <is>
          <t>cedente_originador_literal; papel_literal</t>
        </is>
      </c>
      <c r="R45" s="75" t="b">
        <v>1</v>
      </c>
      <c r="S45" s="75" t="inlineStr">
        <is>
          <t>overlay aplicado somente em lacunas</t>
        </is>
      </c>
    </row>
    <row r="46" ht="36" customHeight="1">
      <c r="A46" s="158" t="inlineStr">
        <is>
          <t>44272584</t>
        </is>
      </c>
      <c r="B46" s="159" t="n">
        <v>44272584000120</v>
      </c>
      <c r="C46" s="74" t="inlineStr">
        <is>
          <t>correspondencia_unica</t>
        </is>
      </c>
      <c r="D46" s="74" t="inlineStr">
        <is>
          <t>LAVORO AGRO FIDC DAS CADEIAS PRODUTIVAS AGROINDUST...</t>
        </is>
      </c>
      <c r="E46" s="74" t="inlineStr">
        <is>
          <t>Lavoro</t>
        </is>
      </c>
      <c r="F46" s="74" t="inlineStr">
        <is>
          <t>cedente</t>
        </is>
      </c>
      <c r="G46" s="74" t="inlineStr">
        <is>
          <t>N/D</t>
        </is>
      </c>
      <c r="H46" s="74" t="inlineStr">
        <is>
          <t>Lavoro</t>
        </is>
      </c>
      <c r="I46" s="74" t="inlineStr">
        <is>
          <t>N/D</t>
        </is>
      </c>
      <c r="J46" s="74" t="inlineStr">
        <is>
          <t>N/D</t>
        </is>
      </c>
      <c r="K46" s="74" t="inlineStr">
        <is>
          <t>IMG_8705.JPG</t>
        </is>
      </c>
      <c r="L46" s="74" t="inlineStr">
        <is>
          <t>planilha amarela; linha da raiz 44272584</t>
        </is>
      </c>
      <c r="M46" s="74" t="inlineStr">
        <is>
          <t>confirmado_legivel</t>
        </is>
      </c>
      <c r="N46" s="74" t="inlineStr">
        <is>
          <t>alta</t>
        </is>
      </c>
      <c r="O46" s="74" t="inlineStr">
        <is>
          <t>OBS da foto: Realizamos ajuste tempestivo para Ba1 - carteira vence em 30/04 - acompanhamento mensal. Denominação cortada.</t>
        </is>
      </c>
      <c r="P46" s="74" t="inlineStr">
        <is>
          <t>Carteira 101</t>
        </is>
      </c>
      <c r="Q46" s="74" t="inlineStr">
        <is>
          <t>cedente_originador_literal; papel_literal</t>
        </is>
      </c>
      <c r="R46" s="74" t="b">
        <v>1</v>
      </c>
      <c r="S46" s="74" t="inlineStr">
        <is>
          <t>overlay aplicado somente em lacunas</t>
        </is>
      </c>
    </row>
    <row r="47" ht="36" customHeight="1">
      <c r="A47" s="160" t="inlineStr">
        <is>
          <t>62838025</t>
        </is>
      </c>
      <c r="B47" s="161" t="n">
        <v>62838025000116</v>
      </c>
      <c r="C47" s="75" t="inlineStr">
        <is>
          <t>correspondencia_unica</t>
        </is>
      </c>
      <c r="D47" s="75" t="inlineStr">
        <is>
          <t>TOP 2025 J FIDC RESP LTDA</t>
        </is>
      </c>
      <c r="E47" s="75" t="inlineStr">
        <is>
          <t>Pague Veloz / Serasa</t>
        </is>
      </c>
      <c r="F47" s="75" t="inlineStr">
        <is>
          <t>cedente</t>
        </is>
      </c>
      <c r="G47" s="75" t="inlineStr">
        <is>
          <t>N/D</t>
        </is>
      </c>
      <c r="H47" s="75" t="inlineStr">
        <is>
          <t>Pague Veloz / Serasa</t>
        </is>
      </c>
      <c r="I47" s="75" t="inlineStr">
        <is>
          <t>N/D</t>
        </is>
      </c>
      <c r="J47" s="75" t="inlineStr">
        <is>
          <t>recebíveis de Rede, GetNet, Cielo e Pag</t>
        </is>
      </c>
      <c r="K47" s="75" t="inlineStr">
        <is>
          <t>IMG_8705.JPG</t>
        </is>
      </c>
      <c r="L47" s="75" t="inlineStr">
        <is>
          <t>planilha amarela; linha da raiz 62838025</t>
        </is>
      </c>
      <c r="M47" s="75" t="inlineStr">
        <is>
          <t>confirmado_legivel</t>
        </is>
      </c>
      <c r="N47" s="75" t="inlineStr">
        <is>
          <t>alta</t>
        </is>
      </c>
      <c r="O47" s="75" t="inlineStr">
        <is>
          <t>N/D</t>
        </is>
      </c>
      <c r="P47" s="75" t="inlineStr">
        <is>
          <t>Carteira 101</t>
        </is>
      </c>
      <c r="Q47" s="75" t="inlineStr">
        <is>
          <t>cedente_originador_literal; papel_literal</t>
        </is>
      </c>
      <c r="R47" s="75" t="b">
        <v>1</v>
      </c>
      <c r="S47" s="75" t="inlineStr">
        <is>
          <t>overlay aplicado somente em lacunas</t>
        </is>
      </c>
    </row>
    <row r="48" ht="36" customHeight="1">
      <c r="A48" s="158" t="inlineStr">
        <is>
          <t>47280025</t>
        </is>
      </c>
      <c r="B48" s="159" t="n">
        <v>47280025000150</v>
      </c>
      <c r="C48" s="74" t="inlineStr">
        <is>
          <t>correspondencia_unica</t>
        </is>
      </c>
      <c r="D48" s="74" t="inlineStr">
        <is>
          <t>FUNDO DE INVESTIMENTO EM DIREITOS CREDITORIOS ALBA</t>
        </is>
      </c>
      <c r="E48" s="74" t="inlineStr">
        <is>
          <t>Albaugh</t>
        </is>
      </c>
      <c r="F48" s="74" t="inlineStr">
        <is>
          <t>cedente</t>
        </is>
      </c>
      <c r="G48" s="74" t="inlineStr">
        <is>
          <t>N/D</t>
        </is>
      </c>
      <c r="H48" s="74" t="inlineStr">
        <is>
          <t>Albaugh</t>
        </is>
      </c>
      <c r="I48" s="74" t="inlineStr">
        <is>
          <t>N/D</t>
        </is>
      </c>
      <c r="J48" s="74" t="inlineStr">
        <is>
          <t>N/D</t>
        </is>
      </c>
      <c r="K48" s="74" t="inlineStr">
        <is>
          <t>IMG_8705.JPG</t>
        </is>
      </c>
      <c r="L48" s="74" t="inlineStr">
        <is>
          <t>planilha amarela; linha da raiz 47280025</t>
        </is>
      </c>
      <c r="M48" s="74" t="inlineStr">
        <is>
          <t>confirmado_legivel</t>
        </is>
      </c>
      <c r="N48" s="74" t="inlineStr">
        <is>
          <t>alta</t>
        </is>
      </c>
      <c r="O48" s="74" t="inlineStr">
        <is>
          <t>OBS da foto: fundo continua sofrendo com inadimplência da carteira antiga.</t>
        </is>
      </c>
      <c r="P48" s="74" t="inlineStr">
        <is>
          <t>Carteira 101</t>
        </is>
      </c>
      <c r="Q48" s="74" t="inlineStr">
        <is>
          <t>cedente_originador_literal; papel_literal</t>
        </is>
      </c>
      <c r="R48" s="74" t="b">
        <v>1</v>
      </c>
      <c r="S48" s="74" t="inlineStr">
        <is>
          <t>overlay aplicado somente em lacunas</t>
        </is>
      </c>
    </row>
    <row r="49" ht="36" customHeight="1">
      <c r="A49" s="160" t="inlineStr">
        <is>
          <t>57270666</t>
        </is>
      </c>
      <c r="B49" s="161" t="n">
        <v>57270666000187</v>
      </c>
      <c r="C49" s="75" t="inlineStr">
        <is>
          <t>correspondencia_unica</t>
        </is>
      </c>
      <c r="D49" s="75" t="inlineStr">
        <is>
          <t>MOBILITAS FIDC - RL</t>
        </is>
      </c>
      <c r="E49" s="75" t="inlineStr">
        <is>
          <t>N/D</t>
        </is>
      </c>
      <c r="F49" s="75" t="inlineStr">
        <is>
          <t>N/D</t>
        </is>
      </c>
      <c r="G49" s="75" t="inlineStr">
        <is>
          <t>N/D</t>
        </is>
      </c>
      <c r="H49" s="75" t="inlineStr">
        <is>
          <t>N/D</t>
        </is>
      </c>
      <c r="I49" s="75" t="inlineStr">
        <is>
          <t>N/D</t>
        </is>
      </c>
      <c r="J49" s="75" t="inlineStr">
        <is>
          <t>Direitos Creditórios performados; REDE como adquirente</t>
        </is>
      </c>
      <c r="K49" s="75" t="inlineStr">
        <is>
          <t>IMG_8705.JPG</t>
        </is>
      </c>
      <c r="L49" s="75" t="inlineStr">
        <is>
          <t>planilha amarela; linha da raiz 57270666</t>
        </is>
      </c>
      <c r="M49" s="75" t="inlineStr">
        <is>
          <t>confirmado_legivel</t>
        </is>
      </c>
      <c r="N49" s="75" t="inlineStr">
        <is>
          <t>alta</t>
        </is>
      </c>
      <c r="O49" s="75" t="inlineStr">
        <is>
          <t>Campo Cedente do Direito Creditório vazio na foto.</t>
        </is>
      </c>
      <c r="P49" s="75" t="inlineStr">
        <is>
          <t>Carteira 101</t>
        </is>
      </c>
      <c r="Q49" s="75" t="inlineStr">
        <is>
          <t>N/D</t>
        </is>
      </c>
      <c r="R49" s="75" t="b">
        <v>0</v>
      </c>
      <c r="S49" s="75" t="inlineStr">
        <is>
          <t>campos ausentes no overlay ou já preenchidos documentalmente</t>
        </is>
      </c>
    </row>
    <row r="50" ht="36" customHeight="1">
      <c r="A50" s="158" t="inlineStr">
        <is>
          <t>58288437</t>
        </is>
      </c>
      <c r="B50" s="159" t="n">
        <v>58288437000152</v>
      </c>
      <c r="C50" s="74" t="inlineStr">
        <is>
          <t>correspondencia_unica</t>
        </is>
      </c>
      <c r="D50" s="74" t="inlineStr">
        <is>
          <t>ALTOMAX FIDC SEG RECEB COM LTDA</t>
        </is>
      </c>
      <c r="E50" s="74" t="inlineStr">
        <is>
          <t>Cias do Grupo Altomax no Brasil (Altomax Com...)</t>
        </is>
      </c>
      <c r="F50" s="74" t="inlineStr">
        <is>
          <t>cedente</t>
        </is>
      </c>
      <c r="G50" s="74" t="inlineStr">
        <is>
          <t>N/D</t>
        </is>
      </c>
      <c r="H50" s="74" t="inlineStr">
        <is>
          <t>Cias do Grupo Altomax no Brasil (Altomax Com...)</t>
        </is>
      </c>
      <c r="I50" s="74" t="inlineStr">
        <is>
          <t>N/D</t>
        </is>
      </c>
      <c r="J50" s="74" t="inlineStr">
        <is>
          <t>duplicatas</t>
        </is>
      </c>
      <c r="K50" s="74" t="inlineStr">
        <is>
          <t>IMG_8705.JPG</t>
        </is>
      </c>
      <c r="L50" s="74" t="inlineStr">
        <is>
          <t>planilha amarela; linha da raiz 58288437</t>
        </is>
      </c>
      <c r="M50" s="74" t="inlineStr">
        <is>
          <t>revisao</t>
        </is>
      </c>
      <c r="N50" s="74" t="inlineStr">
        <is>
          <t>média</t>
        </is>
      </c>
      <c r="O50" s="74" t="inlineStr">
        <is>
          <t>Literal de cedente e OBS cortados; não elegível até revisão.</t>
        </is>
      </c>
      <c r="P50" s="74" t="inlineStr">
        <is>
          <t>N/D</t>
        </is>
      </c>
      <c r="Q50" s="74" t="inlineStr">
        <is>
          <t>N/D</t>
        </is>
      </c>
      <c r="R50" s="74" t="b">
        <v>0</v>
      </c>
      <c r="S50" s="74" t="inlineStr">
        <is>
          <t>status de transcrição não aprovado</t>
        </is>
      </c>
    </row>
    <row r="51" ht="36" customHeight="1">
      <c r="A51" s="160" t="inlineStr">
        <is>
          <t>55476342</t>
        </is>
      </c>
      <c r="B51" s="161" t="n">
        <v>55476342000174</v>
      </c>
      <c r="C51" s="75" t="inlineStr">
        <is>
          <t>correspondencia_unica</t>
        </is>
      </c>
      <c r="D51" s="75" t="inlineStr">
        <is>
          <t>LAVORO AGRO II FUNDO DE INVESTIMENTO EM DIREITOS C...</t>
        </is>
      </c>
      <c r="E51" s="75" t="inlineStr">
        <is>
          <t>Lavoro</t>
        </is>
      </c>
      <c r="F51" s="75" t="inlineStr">
        <is>
          <t>cedente</t>
        </is>
      </c>
      <c r="G51" s="75" t="inlineStr">
        <is>
          <t>N/D</t>
        </is>
      </c>
      <c r="H51" s="75" t="inlineStr">
        <is>
          <t>Lavoro</t>
        </is>
      </c>
      <c r="I51" s="75" t="inlineStr">
        <is>
          <t>N/D</t>
        </is>
      </c>
      <c r="J51" s="75" t="inlineStr">
        <is>
          <t>N/D</t>
        </is>
      </c>
      <c r="K51" s="75" t="inlineStr">
        <is>
          <t>IMG_8705.JPG</t>
        </is>
      </c>
      <c r="L51" s="75" t="inlineStr">
        <is>
          <t>planilha amarela; linha da raiz 55476342</t>
        </is>
      </c>
      <c r="M51" s="75" t="inlineStr">
        <is>
          <t>confirmado_legivel</t>
        </is>
      </c>
      <c r="N51" s="75" t="inlineStr">
        <is>
          <t>alta</t>
        </is>
      </c>
      <c r="O51" s="75" t="inlineStr">
        <is>
          <t>OBS da foto: em discussão para possível migração do FIDC para risco bilateral. Denominação cortada.</t>
        </is>
      </c>
      <c r="P51" s="75" t="inlineStr">
        <is>
          <t>Carteira 101</t>
        </is>
      </c>
      <c r="Q51" s="75" t="inlineStr">
        <is>
          <t>cedente_originador_literal; papel_literal</t>
        </is>
      </c>
      <c r="R51" s="75" t="b">
        <v>1</v>
      </c>
      <c r="S51" s="75" t="inlineStr">
        <is>
          <t>overlay aplicado somente em lacunas</t>
        </is>
      </c>
    </row>
    <row r="52" ht="36" customHeight="1">
      <c r="A52" s="158" t="inlineStr">
        <is>
          <t>63679792</t>
        </is>
      </c>
      <c r="B52" s="159" t="n">
        <v>63679792000192</v>
      </c>
      <c r="C52" s="74" t="inlineStr">
        <is>
          <t>correspondencia_unica</t>
        </is>
      </c>
      <c r="D52" s="74" t="inlineStr">
        <is>
          <t>BLUE HEALTH FIDC RECEBI LTDA</t>
        </is>
      </c>
      <c r="E52" s="74" t="inlineStr">
        <is>
          <t>Empresas do Conglomerado Blue Health</t>
        </is>
      </c>
      <c r="F52" s="74" t="inlineStr">
        <is>
          <t>cedente</t>
        </is>
      </c>
      <c r="G52" s="74" t="inlineStr">
        <is>
          <t>N/D</t>
        </is>
      </c>
      <c r="H52" s="74" t="inlineStr">
        <is>
          <t>Empresas do Conglomerado Blue Health</t>
        </is>
      </c>
      <c r="I52" s="74" t="inlineStr">
        <is>
          <t>N/D</t>
        </is>
      </c>
      <c r="J52" s="74" t="inlineStr">
        <is>
          <t>recebíveis de contrato de locação de equipamentos hospitalares</t>
        </is>
      </c>
      <c r="K52" s="74" t="inlineStr">
        <is>
          <t>IMG_8705.JPG</t>
        </is>
      </c>
      <c r="L52" s="74" t="inlineStr">
        <is>
          <t>planilha amarela; linha da raiz 63679792</t>
        </is>
      </c>
      <c r="M52" s="74" t="inlineStr">
        <is>
          <t>confirmado_legivel</t>
        </is>
      </c>
      <c r="N52" s="74" t="inlineStr">
        <is>
          <t>média</t>
        </is>
      </c>
      <c r="O52" s="74" t="inlineStr">
        <is>
          <t>OBS continua fora da foto depois da descrição legível.</t>
        </is>
      </c>
      <c r="P52" s="74" t="inlineStr">
        <is>
          <t>Carteira 101</t>
        </is>
      </c>
      <c r="Q52" s="74" t="inlineStr">
        <is>
          <t>cedente_originador_literal; papel_literal</t>
        </is>
      </c>
      <c r="R52" s="74" t="b">
        <v>1</v>
      </c>
      <c r="S52" s="74" t="inlineStr">
        <is>
          <t>overlay aplicado somente em lacunas</t>
        </is>
      </c>
    </row>
    <row r="53" ht="36" customHeight="1">
      <c r="A53" s="160" t="inlineStr">
        <is>
          <t>42154687</t>
        </is>
      </c>
      <c r="B53" s="161" t="n">
        <v>42154687000160</v>
      </c>
      <c r="C53" s="75" t="inlineStr">
        <is>
          <t>correspondencia_unica</t>
        </is>
      </c>
      <c r="D53" s="75" t="inlineStr">
        <is>
          <t>MULTIPLIKE PLUS FUNDO I D CRED...</t>
        </is>
      </c>
      <c r="E53" s="75" t="inlineStr">
        <is>
          <t>Multicedentes &amp; Multisacados</t>
        </is>
      </c>
      <c r="F53" s="75" t="inlineStr">
        <is>
          <t>cedente</t>
        </is>
      </c>
      <c r="G53" s="75" t="inlineStr">
        <is>
          <t>N/D</t>
        </is>
      </c>
      <c r="H53" s="75" t="inlineStr">
        <is>
          <t>Multicedentes &amp; Multisacados</t>
        </is>
      </c>
      <c r="I53" s="75" t="inlineStr">
        <is>
          <t>N/D</t>
        </is>
      </c>
      <c r="J53" s="75" t="inlineStr">
        <is>
          <t>FIDC MultiCedente / Multisacado</t>
        </is>
      </c>
      <c r="K53" s="75" t="inlineStr">
        <is>
          <t>IMG_8705.JPG</t>
        </is>
      </c>
      <c r="L53" s="75" t="inlineStr">
        <is>
          <t>planilha amarela; linha da raiz 42154687</t>
        </is>
      </c>
      <c r="M53" s="75" t="inlineStr">
        <is>
          <t>confirmado_legivel</t>
        </is>
      </c>
      <c r="N53" s="75" t="inlineStr">
        <is>
          <t>alta</t>
        </is>
      </c>
      <c r="O53" s="75" t="inlineStr">
        <is>
          <t>Denominação cortada pela largura da coluna na foto.</t>
        </is>
      </c>
      <c r="P53" s="75" t="inlineStr">
        <is>
          <t>Carteira 101</t>
        </is>
      </c>
      <c r="Q53" s="75" t="inlineStr">
        <is>
          <t>cedente_originador_literal; papel_literal</t>
        </is>
      </c>
      <c r="R53" s="75" t="b">
        <v>1</v>
      </c>
      <c r="S53" s="75" t="inlineStr">
        <is>
          <t>overlay aplicado somente em lacunas</t>
        </is>
      </c>
    </row>
    <row r="54" ht="36" customHeight="1">
      <c r="A54" s="158" t="inlineStr">
        <is>
          <t>48946335</t>
        </is>
      </c>
      <c r="B54" s="159" t="n">
        <v>48946335000123</v>
      </c>
      <c r="C54" s="74" t="inlineStr">
        <is>
          <t>correspondencia_unica</t>
        </is>
      </c>
      <c r="D54" s="74" t="inlineStr">
        <is>
          <t>NAGRO OIKOS FIAGRO FUNDO DE INVESTIMENTO EM DIREI...</t>
        </is>
      </c>
      <c r="E54" s="74" t="inlineStr">
        <is>
          <t>Multicedentes</t>
        </is>
      </c>
      <c r="F54" s="74" t="inlineStr">
        <is>
          <t>cedente</t>
        </is>
      </c>
      <c r="G54" s="74" t="inlineStr">
        <is>
          <t>N/D</t>
        </is>
      </c>
      <c r="H54" s="74" t="inlineStr">
        <is>
          <t>Multicedentes</t>
        </is>
      </c>
      <c r="I54" s="74" t="inlineStr">
        <is>
          <t>N/D</t>
        </is>
      </c>
      <c r="J54" s="74" t="inlineStr">
        <is>
          <t>N/D</t>
        </is>
      </c>
      <c r="K54" s="74" t="inlineStr">
        <is>
          <t>IMG_8705.JPG</t>
        </is>
      </c>
      <c r="L54" s="74" t="inlineStr">
        <is>
          <t>planilha amarela; linha da raiz 48946335</t>
        </is>
      </c>
      <c r="M54" s="74" t="inlineStr">
        <is>
          <t>confirmado_legivel</t>
        </is>
      </c>
      <c r="N54" s="74" t="inlineStr">
        <is>
          <t>alta</t>
        </is>
      </c>
      <c r="O54" s="74" t="inlineStr">
        <is>
          <t>OBS da foto: análise NAGRO. Denominação cortada.</t>
        </is>
      </c>
      <c r="P54" s="74" t="inlineStr">
        <is>
          <t>Carteira 101</t>
        </is>
      </c>
      <c r="Q54" s="74" t="inlineStr">
        <is>
          <t>cedente_originador_literal; papel_literal</t>
        </is>
      </c>
      <c r="R54" s="74" t="b">
        <v>1</v>
      </c>
      <c r="S54" s="74" t="inlineStr">
        <is>
          <t>overlay aplicado somente em lacunas</t>
        </is>
      </c>
    </row>
    <row r="55" ht="36" customHeight="1">
      <c r="A55" s="160" t="inlineStr">
        <is>
          <t>55374251</t>
        </is>
      </c>
      <c r="B55" s="161" t="n">
        <v>55374251000128</v>
      </c>
      <c r="C55" s="75" t="inlineStr">
        <is>
          <t>correspondencia_unica</t>
        </is>
      </c>
      <c r="D55" s="75" t="inlineStr">
        <is>
          <t>FUNDO DE INVESTIMENTO EM DIREITOS CREDITORIOS BLUE</t>
        </is>
      </c>
      <c r="E55" s="75" t="inlineStr">
        <is>
          <t>Azul</t>
        </is>
      </c>
      <c r="F55" s="75" t="inlineStr">
        <is>
          <t>cedente</t>
        </is>
      </c>
      <c r="G55" s="75" t="inlineStr">
        <is>
          <t>N/D</t>
        </is>
      </c>
      <c r="H55" s="75" t="inlineStr">
        <is>
          <t>Azul</t>
        </is>
      </c>
      <c r="I55" s="75" t="inlineStr">
        <is>
          <t>N/D</t>
        </is>
      </c>
      <c r="J55" s="75" t="inlineStr">
        <is>
          <t>Debênture</t>
        </is>
      </c>
      <c r="K55" s="75" t="inlineStr">
        <is>
          <t>IMG_8705.JPG</t>
        </is>
      </c>
      <c r="L55" s="75" t="inlineStr">
        <is>
          <t>planilha amarela; linha da raiz 55374251</t>
        </is>
      </c>
      <c r="M55" s="75" t="inlineStr">
        <is>
          <t>confirmado_legivel</t>
        </is>
      </c>
      <c r="N55" s="75" t="inlineStr">
        <is>
          <t>alta</t>
        </is>
      </c>
      <c r="O55" s="75" t="inlineStr">
        <is>
          <t>OBS da foto: Book Special Sits; risco de repagamento Azul com 40% de subordinação.</t>
        </is>
      </c>
      <c r="P55" s="75" t="inlineStr">
        <is>
          <t>Carteira 101</t>
        </is>
      </c>
      <c r="Q55" s="75" t="inlineStr">
        <is>
          <t>cedente_originador_literal; papel_literal</t>
        </is>
      </c>
      <c r="R55" s="75" t="b">
        <v>1</v>
      </c>
      <c r="S55" s="75" t="inlineStr">
        <is>
          <t>overlay aplicado somente em lacunas</t>
        </is>
      </c>
    </row>
    <row r="56" ht="36" customHeight="1">
      <c r="A56" s="158" t="inlineStr">
        <is>
          <t>35868110</t>
        </is>
      </c>
      <c r="B56" s="159" t="n">
        <v>35868110000154</v>
      </c>
      <c r="C56" s="74" t="inlineStr">
        <is>
          <t>correspondencia_unica</t>
        </is>
      </c>
      <c r="D56" s="74" t="inlineStr">
        <is>
          <t>FUNDO DE INVESTIMENTO EM DIREITOS CREDITORIOS BV -</t>
        </is>
      </c>
      <c r="E56" s="74" t="inlineStr">
        <is>
          <t>Banco Votorantim</t>
        </is>
      </c>
      <c r="F56" s="74" t="inlineStr">
        <is>
          <t>cedente</t>
        </is>
      </c>
      <c r="G56" s="74" t="inlineStr">
        <is>
          <t>N/D</t>
        </is>
      </c>
      <c r="H56" s="74" t="inlineStr">
        <is>
          <t>Banco Votorantim</t>
        </is>
      </c>
      <c r="I56" s="74" t="inlineStr">
        <is>
          <t>N/D</t>
        </is>
      </c>
      <c r="J56" s="74" t="inlineStr">
        <is>
          <t>Carteira Veículos com coobrigação BV</t>
        </is>
      </c>
      <c r="K56" s="74" t="inlineStr">
        <is>
          <t>IMG_8705.JPG</t>
        </is>
      </c>
      <c r="L56" s="74" t="inlineStr">
        <is>
          <t>planilha amarela; linha da raiz 35868110</t>
        </is>
      </c>
      <c r="M56" s="74" t="inlineStr">
        <is>
          <t>confirmado_legivel</t>
        </is>
      </c>
      <c r="N56" s="74" t="inlineStr">
        <is>
          <t>alta</t>
        </is>
      </c>
      <c r="O56" s="74" t="inlineStr">
        <is>
          <t>N/D</t>
        </is>
      </c>
      <c r="P56" s="74" t="inlineStr">
        <is>
          <t>Carteira 101</t>
        </is>
      </c>
      <c r="Q56" s="74" t="inlineStr">
        <is>
          <t>cedente_originador_literal; papel_literal</t>
        </is>
      </c>
      <c r="R56" s="74" t="b">
        <v>1</v>
      </c>
      <c r="S56" s="74" t="inlineStr">
        <is>
          <t>overlay aplicado somente em lacunas</t>
        </is>
      </c>
    </row>
    <row r="57" ht="36" customHeight="1">
      <c r="A57" s="160" t="inlineStr">
        <is>
          <t>48953864</t>
        </is>
      </c>
      <c r="B57" s="161" t="n">
        <v>48953864000154</v>
      </c>
      <c r="C57" s="75" t="inlineStr">
        <is>
          <t>correspondencia_unica</t>
        </is>
      </c>
      <c r="D57" s="75" t="inlineStr">
        <is>
          <t>FUNDO INVESTIMENTO E D C A II</t>
        </is>
      </c>
      <c r="E57" s="75" t="inlineStr">
        <is>
          <t>Asaas IP</t>
        </is>
      </c>
      <c r="F57" s="75" t="inlineStr">
        <is>
          <t>cedente</t>
        </is>
      </c>
      <c r="G57" s="75" t="inlineStr">
        <is>
          <t>N/D</t>
        </is>
      </c>
      <c r="H57" s="75" t="inlineStr">
        <is>
          <t>Asaas IP</t>
        </is>
      </c>
      <c r="I57" s="75" t="inlineStr">
        <is>
          <t>N/D</t>
        </is>
      </c>
      <c r="J57" s="75" t="inlineStr">
        <is>
          <t>80% Redecard e 20% Adyen</t>
        </is>
      </c>
      <c r="K57" s="75" t="inlineStr">
        <is>
          <t>IMG_8705.JPG</t>
        </is>
      </c>
      <c r="L57" s="75" t="inlineStr">
        <is>
          <t>planilha amarela; linha da raiz 48953864</t>
        </is>
      </c>
      <c r="M57" s="75" t="inlineStr">
        <is>
          <t>confirmado_legivel</t>
        </is>
      </c>
      <c r="N57" s="75" t="inlineStr">
        <is>
          <t>alta</t>
        </is>
      </c>
      <c r="O57" s="75" t="inlineStr">
        <is>
          <t>N/D</t>
        </is>
      </c>
      <c r="P57" s="75" t="inlineStr">
        <is>
          <t>Carteira 101</t>
        </is>
      </c>
      <c r="Q57" s="75" t="inlineStr">
        <is>
          <t>cedente_originador_literal; papel_literal</t>
        </is>
      </c>
      <c r="R57" s="75" t="b">
        <v>1</v>
      </c>
      <c r="S57" s="75" t="inlineStr">
        <is>
          <t>overlay aplicado somente em lacunas</t>
        </is>
      </c>
    </row>
    <row r="58" ht="36" customHeight="1">
      <c r="A58" s="158" t="inlineStr">
        <is>
          <t>50536324</t>
        </is>
      </c>
      <c r="B58" s="159" t="n">
        <v>50536324000117</v>
      </c>
      <c r="C58" s="74" t="inlineStr">
        <is>
          <t>correspondencia_unica</t>
        </is>
      </c>
      <c r="D58" s="74" t="inlineStr">
        <is>
          <t>MAQNELSON FUNDO DE INVESTIMENTO EM DIREITOS CREDIT...</t>
        </is>
      </c>
      <c r="E58" s="74" t="inlineStr">
        <is>
          <t>Maqnelson</t>
        </is>
      </c>
      <c r="F58" s="74" t="inlineStr">
        <is>
          <t>cedente</t>
        </is>
      </c>
      <c r="G58" s="74" t="inlineStr">
        <is>
          <t>N/D</t>
        </is>
      </c>
      <c r="H58" s="74" t="inlineStr">
        <is>
          <t>Maqnelson</t>
        </is>
      </c>
      <c r="I58" s="74" t="inlineStr">
        <is>
          <t>N/D</t>
        </is>
      </c>
      <c r="J58" s="74" t="inlineStr">
        <is>
          <t>máquinas agrícolas</t>
        </is>
      </c>
      <c r="K58" s="74" t="inlineStr">
        <is>
          <t>IMG_8706.JPG</t>
        </is>
      </c>
      <c r="L58" s="74" t="inlineStr">
        <is>
          <t>planilha amarela; linha da raiz 50536324</t>
        </is>
      </c>
      <c r="M58" s="74" t="inlineStr">
        <is>
          <t>confirmado_legivel</t>
        </is>
      </c>
      <c r="N58" s="74" t="inlineStr">
        <is>
          <t>média</t>
        </is>
      </c>
      <c r="O58" s="74" t="inlineStr">
        <is>
          <t>OBS legível: houve desenquadramento da subordinação e haverá amortização de parcela da cota para reenquadramento; final cortado. Denominação cortada.</t>
        </is>
      </c>
      <c r="P58" s="74" t="inlineStr">
        <is>
          <t>Carteira 101</t>
        </is>
      </c>
      <c r="Q58" s="74" t="inlineStr">
        <is>
          <t>cedente_originador_literal; papel_literal</t>
        </is>
      </c>
      <c r="R58" s="74" t="b">
        <v>1</v>
      </c>
      <c r="S58" s="74" t="inlineStr">
        <is>
          <t>overlay aplicado somente em lacunas</t>
        </is>
      </c>
    </row>
    <row r="59" ht="36" customHeight="1">
      <c r="A59" s="160" t="inlineStr">
        <is>
          <t>57816252</t>
        </is>
      </c>
      <c r="B59" s="161" t="n">
        <v>57816252000100</v>
      </c>
      <c r="C59" s="75" t="inlineStr">
        <is>
          <t>correspondencia_unica</t>
        </is>
      </c>
      <c r="D59" s="75" t="inlineStr">
        <is>
          <t>NATURA PAY FUNDO DE INVESTIMENTO EM DIREITOS CREDI...</t>
        </is>
      </c>
      <c r="E59" s="75" t="inlineStr">
        <is>
          <t>Natura &amp;CO Pay Sociedade de Crédito Direto S.A.</t>
        </is>
      </c>
      <c r="F59" s="75" t="inlineStr">
        <is>
          <t>cedente</t>
        </is>
      </c>
      <c r="G59" s="75" t="inlineStr">
        <is>
          <t>N/D</t>
        </is>
      </c>
      <c r="H59" s="75" t="inlineStr">
        <is>
          <t>Natura &amp;CO Pay Sociedade de Crédito Direto S.A.</t>
        </is>
      </c>
      <c r="I59" s="75" t="inlineStr">
        <is>
          <t>N/D</t>
        </is>
      </c>
      <c r="J59" s="75" t="inlineStr">
        <is>
          <t>Duplicatas de venda de produtos a prazo para Consultoras Natura; em geral parcelado 3x sem juros</t>
        </is>
      </c>
      <c r="K59" s="75" t="inlineStr">
        <is>
          <t>IMG_8706.JPG</t>
        </is>
      </c>
      <c r="L59" s="75" t="inlineStr">
        <is>
          <t>planilha amarela; linha da raiz 57816252</t>
        </is>
      </c>
      <c r="M59" s="75" t="inlineStr">
        <is>
          <t>confirmado_legivel</t>
        </is>
      </c>
      <c r="N59" s="75" t="inlineStr">
        <is>
          <t>alta</t>
        </is>
      </c>
      <c r="O59" s="75" t="inlineStr">
        <is>
          <t>Coluna adicional da foto: Duplicatas. Denominação cortada.</t>
        </is>
      </c>
      <c r="P59" s="75" t="inlineStr">
        <is>
          <t>Carteira 101</t>
        </is>
      </c>
      <c r="Q59" s="75" t="inlineStr">
        <is>
          <t>cedente_originador_literal; papel_literal</t>
        </is>
      </c>
      <c r="R59" s="75" t="b">
        <v>1</v>
      </c>
      <c r="S59" s="75" t="inlineStr">
        <is>
          <t>overlay aplicado somente em lacunas</t>
        </is>
      </c>
    </row>
    <row r="60" ht="36" customHeight="1">
      <c r="A60" s="158" t="inlineStr">
        <is>
          <t>50473039</t>
        </is>
      </c>
      <c r="B60" s="159" t="n">
        <v>50473039000102</v>
      </c>
      <c r="C60" s="74" t="inlineStr">
        <is>
          <t>correspondencia_unica</t>
        </is>
      </c>
      <c r="D60" s="74" t="inlineStr">
        <is>
          <t>SELLER FUNDO DE INVESTIMENTO EM DIREITOS CREDITRI...</t>
        </is>
      </c>
      <c r="E60" s="74" t="inlineStr">
        <is>
          <t>Mercado Pago (originador) | Mercado Livre (cedente)</t>
        </is>
      </c>
      <c r="F60" s="74" t="inlineStr">
        <is>
          <t>originador | cedente</t>
        </is>
      </c>
      <c r="G60" s="74" t="inlineStr">
        <is>
          <t>Mercado Pago</t>
        </is>
      </c>
      <c r="H60" s="74" t="inlineStr">
        <is>
          <t>Mercado Livre</t>
        </is>
      </c>
      <c r="I60" s="74" t="inlineStr">
        <is>
          <t>N/D</t>
        </is>
      </c>
      <c r="J60" s="74" t="inlineStr">
        <is>
          <t>recebíveis com risco Grupo Mercado Livre</t>
        </is>
      </c>
      <c r="K60" s="74" t="inlineStr">
        <is>
          <t>IMG_8698.jpg + IMG_8706.JPG</t>
        </is>
      </c>
      <c r="L60" s="74" t="inlineStr">
        <is>
          <t>Top 15 Financeiro; planilha amarela, linha da raiz 50473039</t>
        </is>
      </c>
      <c r="M60" s="74" t="inlineStr">
        <is>
          <t>confirmado_legivel</t>
        </is>
      </c>
      <c r="N60" s="74" t="inlineStr">
        <is>
          <t>alta</t>
        </is>
      </c>
      <c r="O60" s="74" t="inlineStr">
        <is>
          <t>Os rótulos manuais são complementares; a entidade documental e o papel legal prevalecem no export.</t>
        </is>
      </c>
      <c r="P60" s="74" t="inlineStr">
        <is>
          <t>Carteira 101; Flagships</t>
        </is>
      </c>
      <c r="Q60" s="74" t="inlineStr">
        <is>
          <t>cedente_originador_literal; papel_literal; originador; cedente; tipo_recebivel_literal</t>
        </is>
      </c>
      <c r="R60" s="74" t="b">
        <v>1</v>
      </c>
      <c r="S60" s="74" t="inlineStr">
        <is>
          <t>overlay aplicado somente em lacunas</t>
        </is>
      </c>
    </row>
    <row r="61" ht="36" customHeight="1">
      <c r="A61" s="160" t="inlineStr">
        <is>
          <t>62588266</t>
        </is>
      </c>
      <c r="B61" s="161" t="n">
        <v>62588266000154</v>
      </c>
      <c r="C61" s="75" t="inlineStr">
        <is>
          <t>correspondencia_unica</t>
        </is>
      </c>
      <c r="D61" s="75" t="inlineStr">
        <is>
          <t>VTK FIDC RESP LIMIT</t>
        </is>
      </c>
      <c r="E61" s="75" t="inlineStr">
        <is>
          <t>Facta</t>
        </is>
      </c>
      <c r="F61" s="75" t="inlineStr">
        <is>
          <t>cedente</t>
        </is>
      </c>
      <c r="G61" s="75" t="inlineStr">
        <is>
          <t>N/D</t>
        </is>
      </c>
      <c r="H61" s="75" t="inlineStr">
        <is>
          <t>Facta</t>
        </is>
      </c>
      <c r="I61" s="75" t="inlineStr">
        <is>
          <t>N/D</t>
        </is>
      </c>
      <c r="J61" s="75" t="inlineStr">
        <is>
          <t>Crédito INSS</t>
        </is>
      </c>
      <c r="K61" s="75" t="inlineStr">
        <is>
          <t>IMG_8706.JPG</t>
        </is>
      </c>
      <c r="L61" s="75" t="inlineStr">
        <is>
          <t>planilha amarela; linha da raiz 62588266</t>
        </is>
      </c>
      <c r="M61" s="75" t="inlineStr">
        <is>
          <t>confirmado_legivel</t>
        </is>
      </c>
      <c r="N61" s="75" t="inlineStr">
        <is>
          <t>alta</t>
        </is>
      </c>
      <c r="O61" s="75" t="inlineStr">
        <is>
          <t>N/D</t>
        </is>
      </c>
      <c r="P61" s="75" t="inlineStr">
        <is>
          <t>Carteira 101</t>
        </is>
      </c>
      <c r="Q61" s="75" t="inlineStr">
        <is>
          <t>cedente_originador_literal; papel_literal</t>
        </is>
      </c>
      <c r="R61" s="75" t="b">
        <v>1</v>
      </c>
      <c r="S61" s="75" t="inlineStr">
        <is>
          <t>overlay aplicado somente em lacunas</t>
        </is>
      </c>
    </row>
    <row r="62" ht="36" customHeight="1">
      <c r="A62" s="158" t="inlineStr">
        <is>
          <t>50988212</t>
        </is>
      </c>
      <c r="B62" s="159" t="n">
        <v>50988212000105</v>
      </c>
      <c r="C62" s="74" t="inlineStr">
        <is>
          <t>correspondencia_unica</t>
        </is>
      </c>
      <c r="D62" s="74" t="inlineStr">
        <is>
          <t>CARTAO DE COMPRA SUPPLIER FUNDO DE INVESTIMENTO EM...</t>
        </is>
      </c>
      <c r="E62" s="74" t="inlineStr">
        <is>
          <t>Supplier</t>
        </is>
      </c>
      <c r="F62" s="74" t="inlineStr">
        <is>
          <t>cedente</t>
        </is>
      </c>
      <c r="G62" s="74" t="inlineStr">
        <is>
          <t>N/D</t>
        </is>
      </c>
      <c r="H62" s="74" t="inlineStr">
        <is>
          <t>Supplier</t>
        </is>
      </c>
      <c r="I62" s="74" t="inlineStr">
        <is>
          <t>N/D</t>
        </is>
      </c>
      <c r="J62" s="74" t="inlineStr">
        <is>
          <t>Crédito Curto Prazo com o segurado; Crédito PME</t>
        </is>
      </c>
      <c r="K62" s="74" t="inlineStr">
        <is>
          <t>IMG_8706.JPG</t>
        </is>
      </c>
      <c r="L62" s="74" t="inlineStr">
        <is>
          <t>planilha amarela; linha da raiz 50988212</t>
        </is>
      </c>
      <c r="M62" s="74" t="inlineStr">
        <is>
          <t>confirmado_legivel</t>
        </is>
      </c>
      <c r="N62" s="74" t="inlineStr">
        <is>
          <t>alta</t>
        </is>
      </c>
      <c r="O62" s="74" t="inlineStr">
        <is>
          <t>Denominação cortada pela largura da coluna na foto.</t>
        </is>
      </c>
      <c r="P62" s="74" t="inlineStr">
        <is>
          <t>Carteira 101</t>
        </is>
      </c>
      <c r="Q62" s="74" t="inlineStr">
        <is>
          <t>cedente_originador_literal; papel_literal</t>
        </is>
      </c>
      <c r="R62" s="74" t="b">
        <v>1</v>
      </c>
      <c r="S62" s="74" t="inlineStr">
        <is>
          <t>overlay aplicado somente em lacunas</t>
        </is>
      </c>
    </row>
    <row r="63" ht="36" customHeight="1">
      <c r="A63" s="160" t="inlineStr">
        <is>
          <t>58476088</t>
        </is>
      </c>
      <c r="B63" s="161" t="n">
        <v>58476088000100</v>
      </c>
      <c r="C63" s="75" t="inlineStr">
        <is>
          <t>correspondencia_unica</t>
        </is>
      </c>
      <c r="D63" s="75" t="inlineStr">
        <is>
          <t>CONSORCIO DALTEZ</t>
        </is>
      </c>
      <c r="E63" s="75" t="inlineStr">
        <is>
          <t>Saga Brasil</t>
        </is>
      </c>
      <c r="F63" s="75" t="inlineStr">
        <is>
          <t>cedente</t>
        </is>
      </c>
      <c r="G63" s="75" t="inlineStr">
        <is>
          <t>N/D</t>
        </is>
      </c>
      <c r="H63" s="75" t="inlineStr">
        <is>
          <t>Saga Brasil</t>
        </is>
      </c>
      <c r="I63" s="75" t="inlineStr">
        <is>
          <t>N/D</t>
        </is>
      </c>
      <c r="J63" s="75" t="inlineStr">
        <is>
          <t>notas comerciais para substituição parcial de Floor Plan</t>
        </is>
      </c>
      <c r="K63" s="75" t="inlineStr">
        <is>
          <t>IMG_8706.JPG</t>
        </is>
      </c>
      <c r="L63" s="75" t="inlineStr">
        <is>
          <t>planilha amarela; linha da raiz 58476088</t>
        </is>
      </c>
      <c r="M63" s="75" t="inlineStr">
        <is>
          <t>confirmado_legivel</t>
        </is>
      </c>
      <c r="N63" s="75" t="inlineStr">
        <is>
          <t>média</t>
        </is>
      </c>
      <c r="O63" s="75" t="inlineStr">
        <is>
          <t>OBS continua fora da foto após a descrição legível.</t>
        </is>
      </c>
      <c r="P63" s="75" t="inlineStr">
        <is>
          <t>Carteira 101</t>
        </is>
      </c>
      <c r="Q63" s="75" t="inlineStr">
        <is>
          <t>cedente_originador_literal; papel_literal</t>
        </is>
      </c>
      <c r="R63" s="75" t="b">
        <v>1</v>
      </c>
      <c r="S63" s="75" t="inlineStr">
        <is>
          <t>overlay aplicado somente em lacunas</t>
        </is>
      </c>
    </row>
    <row r="64" ht="36" customHeight="1">
      <c r="A64" s="158" t="inlineStr">
        <is>
          <t>58349979</t>
        </is>
      </c>
      <c r="B64" s="159" t="n">
        <v>58349979000198</v>
      </c>
      <c r="C64" s="74" t="inlineStr">
        <is>
          <t>correspondencia_unica</t>
        </is>
      </c>
      <c r="D64" s="74" t="inlineStr">
        <is>
          <t>VOLKSWAGEN TERA FIDC SEGMENTO RECEBIVEIS COMERCIAI...</t>
        </is>
      </c>
      <c r="E64" s="74" t="inlineStr">
        <is>
          <t>Volkswagen do Brasil S.A.</t>
        </is>
      </c>
      <c r="F64" s="74" t="inlineStr">
        <is>
          <t>cedente</t>
        </is>
      </c>
      <c r="G64" s="74" t="inlineStr">
        <is>
          <t>N/D</t>
        </is>
      </c>
      <c r="H64" s="74" t="inlineStr">
        <is>
          <t>Volkswagen do Brasil S.A.</t>
        </is>
      </c>
      <c r="I64" s="74" t="inlineStr">
        <is>
          <t>N/D</t>
        </is>
      </c>
      <c r="J64" s="74" t="inlineStr">
        <is>
          <t>Direitos creditórios</t>
        </is>
      </c>
      <c r="K64" s="74" t="inlineStr">
        <is>
          <t>IMG_8706.JPG</t>
        </is>
      </c>
      <c r="L64" s="74" t="inlineStr">
        <is>
          <t>planilha amarela; linha da raiz 58349979</t>
        </is>
      </c>
      <c r="M64" s="74" t="inlineStr">
        <is>
          <t>confirmado_legivel</t>
        </is>
      </c>
      <c r="N64" s="74" t="inlineStr">
        <is>
          <t>alta</t>
        </is>
      </c>
      <c r="O64" s="74" t="inlineStr">
        <is>
          <t>OBS da foto: concentração grande com LM e Unidas, ambas com tendência de rating estável. Denominação cortada.</t>
        </is>
      </c>
      <c r="P64" s="74" t="inlineStr">
        <is>
          <t>Carteira 101</t>
        </is>
      </c>
      <c r="Q64" s="74" t="inlineStr">
        <is>
          <t>cedente_originador_literal; papel_literal</t>
        </is>
      </c>
      <c r="R64" s="74" t="b">
        <v>1</v>
      </c>
      <c r="S64" s="74" t="inlineStr">
        <is>
          <t>overlay aplicado somente em lacunas</t>
        </is>
      </c>
    </row>
    <row r="65" ht="36" customHeight="1">
      <c r="A65" s="160" t="inlineStr">
        <is>
          <t>54559035</t>
        </is>
      </c>
      <c r="B65" s="161" t="n">
        <v>54559035000194</v>
      </c>
      <c r="C65" s="75" t="inlineStr">
        <is>
          <t>correspondencia_unica</t>
        </is>
      </c>
      <c r="D65" s="75" t="inlineStr">
        <is>
          <t>FUNDO DE INVESTIMENTO EM DIREITOS CREDITORIOS RESP</t>
        </is>
      </c>
      <c r="E65" s="75" t="inlineStr">
        <is>
          <t>Banco IBM</t>
        </is>
      </c>
      <c r="F65" s="75" t="inlineStr">
        <is>
          <t>cedente</t>
        </is>
      </c>
      <c r="G65" s="75" t="inlineStr">
        <is>
          <t>N/D</t>
        </is>
      </c>
      <c r="H65" s="75" t="inlineStr">
        <is>
          <t>Banco IBM</t>
        </is>
      </c>
      <c r="I65" s="75" t="inlineStr">
        <is>
          <t>N/D</t>
        </is>
      </c>
      <c r="J65" s="75" t="inlineStr">
        <is>
          <t>N/D</t>
        </is>
      </c>
      <c r="K65" s="75" t="inlineStr">
        <is>
          <t>IMG_8706.JPG</t>
        </is>
      </c>
      <c r="L65" s="75" t="inlineStr">
        <is>
          <t>planilha amarela; linha da raiz 54559035</t>
        </is>
      </c>
      <c r="M65" s="75" t="inlineStr">
        <is>
          <t>confirmado_legivel</t>
        </is>
      </c>
      <c r="N65" s="75" t="inlineStr">
        <is>
          <t>alta</t>
        </is>
      </c>
      <c r="O65" s="75" t="inlineStr">
        <is>
          <t>N/D</t>
        </is>
      </c>
      <c r="P65" s="75" t="inlineStr">
        <is>
          <t>Carteira 101</t>
        </is>
      </c>
      <c r="Q65" s="75" t="inlineStr">
        <is>
          <t>cedente_originador_literal; papel_literal</t>
        </is>
      </c>
      <c r="R65" s="75" t="b">
        <v>1</v>
      </c>
      <c r="S65" s="75" t="inlineStr">
        <is>
          <t>overlay aplicado somente em lacunas</t>
        </is>
      </c>
    </row>
    <row r="66" ht="36" customHeight="1">
      <c r="A66" s="158" t="inlineStr">
        <is>
          <t>55070804</t>
        </is>
      </c>
      <c r="B66" s="159" t="n">
        <v>55070804000159</v>
      </c>
      <c r="C66" s="74" t="inlineStr">
        <is>
          <t>correspondencia_unica</t>
        </is>
      </c>
      <c r="D66" s="74" t="inlineStr">
        <is>
          <t>ESTRATEGIA VINCULADA II FUNDO DE INVESTIMENTO EM D...</t>
        </is>
      </c>
      <c r="E66" s="74" t="inlineStr">
        <is>
          <t>Banco IBM</t>
        </is>
      </c>
      <c r="F66" s="74" t="inlineStr">
        <is>
          <t>cedente</t>
        </is>
      </c>
      <c r="G66" s="74" t="inlineStr">
        <is>
          <t>N/D</t>
        </is>
      </c>
      <c r="H66" s="74" t="inlineStr">
        <is>
          <t>Banco IBM</t>
        </is>
      </c>
      <c r="I66" s="74" t="inlineStr">
        <is>
          <t>N/D</t>
        </is>
      </c>
      <c r="J66" s="74" t="inlineStr">
        <is>
          <t>N/D</t>
        </is>
      </c>
      <c r="K66" s="74" t="inlineStr">
        <is>
          <t>IMG_8706.JPG</t>
        </is>
      </c>
      <c r="L66" s="74" t="inlineStr">
        <is>
          <t>planilha amarela; linha da raiz 55070804</t>
        </is>
      </c>
      <c r="M66" s="74" t="inlineStr">
        <is>
          <t>confirmado_legivel</t>
        </is>
      </c>
      <c r="N66" s="74" t="inlineStr">
        <is>
          <t>alta</t>
        </is>
      </c>
      <c r="O66" s="74" t="inlineStr">
        <is>
          <t>Denominação cortada pela largura da coluna na foto.</t>
        </is>
      </c>
      <c r="P66" s="74" t="inlineStr">
        <is>
          <t>Carteira 101</t>
        </is>
      </c>
      <c r="Q66" s="74" t="inlineStr">
        <is>
          <t>cedente_originador_literal; papel_literal</t>
        </is>
      </c>
      <c r="R66" s="74" t="b">
        <v>1</v>
      </c>
      <c r="S66" s="74" t="inlineStr">
        <is>
          <t>overlay aplicado somente em lacunas</t>
        </is>
      </c>
    </row>
    <row r="67" ht="36" customHeight="1">
      <c r="A67" s="160" t="inlineStr">
        <is>
          <t>43866348</t>
        </is>
      </c>
      <c r="B67" s="161" t="n">
        <v>43866348000179</v>
      </c>
      <c r="C67" s="75" t="inlineStr">
        <is>
          <t>correspondencia_unica</t>
        </is>
      </c>
      <c r="D67" s="75" t="inlineStr">
        <is>
          <t>FUNDO DE INVESTIMENTO EM DIREITOS CREDITORIOS OPEA</t>
        </is>
      </c>
      <c r="E67" s="75" t="inlineStr">
        <is>
          <t>SUMITOMO</t>
        </is>
      </c>
      <c r="F67" s="75" t="inlineStr">
        <is>
          <t>cedente</t>
        </is>
      </c>
      <c r="G67" s="75" t="inlineStr">
        <is>
          <t>N/D</t>
        </is>
      </c>
      <c r="H67" s="75" t="inlineStr">
        <is>
          <t>SUMITOMO</t>
        </is>
      </c>
      <c r="I67" s="75" t="inlineStr">
        <is>
          <t>N/D</t>
        </is>
      </c>
      <c r="J67" s="75" t="inlineStr">
        <is>
          <t>financiamento de revendas e produtores</t>
        </is>
      </c>
      <c r="K67" s="75" t="inlineStr">
        <is>
          <t>IMG_8706.JPG</t>
        </is>
      </c>
      <c r="L67" s="75" t="inlineStr">
        <is>
          <t>planilha amarela; linha da raiz 43866348</t>
        </is>
      </c>
      <c r="M67" s="75" t="inlineStr">
        <is>
          <t>confirmado_legivel</t>
        </is>
      </c>
      <c r="N67" s="75" t="inlineStr">
        <is>
          <t>alta</t>
        </is>
      </c>
      <c r="O67" s="75" t="inlineStr">
        <is>
          <t>OBS literal: FIDC Sumitomo. Financia revendas e produtores.</t>
        </is>
      </c>
      <c r="P67" s="75" t="inlineStr">
        <is>
          <t>Carteira 101</t>
        </is>
      </c>
      <c r="Q67" s="75" t="inlineStr">
        <is>
          <t>cedente_originador_literal; papel_literal</t>
        </is>
      </c>
      <c r="R67" s="75" t="b">
        <v>1</v>
      </c>
      <c r="S67" s="75" t="inlineStr">
        <is>
          <t>overlay aplicado somente em lacunas</t>
        </is>
      </c>
    </row>
    <row r="68" ht="36" customHeight="1">
      <c r="A68" s="158" t="inlineStr">
        <is>
          <t>47936340</t>
        </is>
      </c>
      <c r="B68" s="159" t="n">
        <v>47936340000192</v>
      </c>
      <c r="C68" s="74" t="inlineStr">
        <is>
          <t>correspondencia_unica</t>
        </is>
      </c>
      <c r="D68" s="74" t="inlineStr">
        <is>
          <t>FUNDO DE INVESTIMENTO EM DIREITOS CREDITORIOS OPEA</t>
        </is>
      </c>
      <c r="E68" s="74" t="inlineStr">
        <is>
          <t>BASF</t>
        </is>
      </c>
      <c r="F68" s="74" t="inlineStr">
        <is>
          <t>cedente</t>
        </is>
      </c>
      <c r="G68" s="74" t="inlineStr">
        <is>
          <t>N/D</t>
        </is>
      </c>
      <c r="H68" s="74" t="inlineStr">
        <is>
          <t>BASF</t>
        </is>
      </c>
      <c r="I68" s="74" t="inlineStr">
        <is>
          <t>N/D</t>
        </is>
      </c>
      <c r="J68" s="74" t="inlineStr">
        <is>
          <t>Insumos Agrícolas - prazo Safra</t>
        </is>
      </c>
      <c r="K68" s="74" t="inlineStr">
        <is>
          <t>IMG_8706.JPG</t>
        </is>
      </c>
      <c r="L68" s="74" t="inlineStr">
        <is>
          <t>planilha amarela; linha da raiz 47936340</t>
        </is>
      </c>
      <c r="M68" s="74" t="inlineStr">
        <is>
          <t>confirmado_legivel</t>
        </is>
      </c>
      <c r="N68" s="74" t="inlineStr">
        <is>
          <t>alta</t>
        </is>
      </c>
      <c r="O68" s="74" t="inlineStr">
        <is>
          <t>N/D</t>
        </is>
      </c>
      <c r="P68" s="74" t="inlineStr">
        <is>
          <t>Carteira 101</t>
        </is>
      </c>
      <c r="Q68" s="74" t="inlineStr">
        <is>
          <t>cedente_originador_literal; papel_literal</t>
        </is>
      </c>
      <c r="R68" s="74" t="b">
        <v>1</v>
      </c>
      <c r="S68" s="74" t="inlineStr">
        <is>
          <t>overlay aplicado somente em lacunas</t>
        </is>
      </c>
    </row>
    <row r="69" ht="36" customHeight="1">
      <c r="A69" s="160" t="inlineStr">
        <is>
          <t>58291962</t>
        </is>
      </c>
      <c r="B69" s="161" t="n">
        <v>58291962000127</v>
      </c>
      <c r="C69" s="75" t="inlineStr">
        <is>
          <t>correspondencia_unica</t>
        </is>
      </c>
      <c r="D69" s="75" t="inlineStr">
        <is>
          <t>HELM FUNDO I E D C RESPONS</t>
        </is>
      </c>
      <c r="E69" s="75" t="inlineStr">
        <is>
          <t>Helm</t>
        </is>
      </c>
      <c r="F69" s="75" t="inlineStr">
        <is>
          <t>cedente</t>
        </is>
      </c>
      <c r="G69" s="75" t="inlineStr">
        <is>
          <t>N/D</t>
        </is>
      </c>
      <c r="H69" s="75" t="inlineStr">
        <is>
          <t>Helm</t>
        </is>
      </c>
      <c r="I69" s="75" t="inlineStr">
        <is>
          <t>N/D</t>
        </is>
      </c>
      <c r="J69" s="75" t="inlineStr">
        <is>
          <t>Insumos Agrícolas - prazo Safra</t>
        </is>
      </c>
      <c r="K69" s="75" t="inlineStr">
        <is>
          <t>IMG_8706.JPG</t>
        </is>
      </c>
      <c r="L69" s="75" t="inlineStr">
        <is>
          <t>planilha amarela; linha da raiz 58291962</t>
        </is>
      </c>
      <c r="M69" s="75" t="inlineStr">
        <is>
          <t>confirmado_legivel</t>
        </is>
      </c>
      <c r="N69" s="75" t="inlineStr">
        <is>
          <t>alta</t>
        </is>
      </c>
      <c r="O69" s="75" t="inlineStr">
        <is>
          <t>N/D</t>
        </is>
      </c>
      <c r="P69" s="75" t="inlineStr">
        <is>
          <t>Carteira 101</t>
        </is>
      </c>
      <c r="Q69" s="75" t="inlineStr">
        <is>
          <t>cedente_originador_literal; papel_literal</t>
        </is>
      </c>
      <c r="R69" s="75" t="b">
        <v>1</v>
      </c>
      <c r="S69" s="75" t="inlineStr">
        <is>
          <t>overlay aplicado somente em lacunas</t>
        </is>
      </c>
    </row>
    <row r="70" ht="36" customHeight="1">
      <c r="A70" s="158" t="inlineStr">
        <is>
          <t>57259989</t>
        </is>
      </c>
      <c r="B70" s="159" t="n">
        <v>57259989000170</v>
      </c>
      <c r="C70" s="74" t="inlineStr">
        <is>
          <t>correspondencia_unica</t>
        </is>
      </c>
      <c r="D70" s="74" t="inlineStr">
        <is>
          <t>TRES TENTOS FUNDO DE INVESTIMENTO EM DIREITOS CRE...</t>
        </is>
      </c>
      <c r="E70" s="74" t="inlineStr">
        <is>
          <t>Tres Tentos</t>
        </is>
      </c>
      <c r="F70" s="74" t="inlineStr">
        <is>
          <t>cedente</t>
        </is>
      </c>
      <c r="G70" s="74" t="inlineStr">
        <is>
          <t>N/D</t>
        </is>
      </c>
      <c r="H70" s="74" t="inlineStr">
        <is>
          <t>Tres Tentos</t>
        </is>
      </c>
      <c r="I70" s="74" t="inlineStr">
        <is>
          <t>N/D</t>
        </is>
      </c>
      <c r="J70" s="74" t="inlineStr">
        <is>
          <t>Insumos Agrícolas - prazo Safra</t>
        </is>
      </c>
      <c r="K70" s="74" t="inlineStr">
        <is>
          <t>IMG_8706.JPG</t>
        </is>
      </c>
      <c r="L70" s="74" t="inlineStr">
        <is>
          <t>planilha amarela; linha da raiz 57259989</t>
        </is>
      </c>
      <c r="M70" s="74" t="inlineStr">
        <is>
          <t>confirmado_legivel</t>
        </is>
      </c>
      <c r="N70" s="74" t="inlineStr">
        <is>
          <t>alta</t>
        </is>
      </c>
      <c r="O70" s="74" t="inlineStr">
        <is>
          <t>Denominação cortada pela largura da coluna na foto.</t>
        </is>
      </c>
      <c r="P70" s="74" t="inlineStr">
        <is>
          <t>Carteira 101</t>
        </is>
      </c>
      <c r="Q70" s="74" t="inlineStr">
        <is>
          <t>cedente_originador_literal; papel_literal</t>
        </is>
      </c>
      <c r="R70" s="74" t="b">
        <v>1</v>
      </c>
      <c r="S70" s="74" t="inlineStr">
        <is>
          <t>overlay aplicado somente em lacunas</t>
        </is>
      </c>
    </row>
    <row r="71" ht="36" customHeight="1">
      <c r="A71" s="160" t="inlineStr">
        <is>
          <t>58171340</t>
        </is>
      </c>
      <c r="B71" s="161" t="n">
        <v>58171340000165</v>
      </c>
      <c r="C71" s="75" t="inlineStr">
        <is>
          <t>correspondencia_unica</t>
        </is>
      </c>
      <c r="D71" s="75" t="inlineStr">
        <is>
          <t>FRIMESA FUNDO DE INVESTIMENTO EM DIREITOS CREDITOR...</t>
        </is>
      </c>
      <c r="E71" s="75" t="inlineStr">
        <is>
          <t>Frimesa</t>
        </is>
      </c>
      <c r="F71" s="75" t="inlineStr">
        <is>
          <t>cedente</t>
        </is>
      </c>
      <c r="G71" s="75" t="inlineStr">
        <is>
          <t>N/D</t>
        </is>
      </c>
      <c r="H71" s="75" t="inlineStr">
        <is>
          <t>Frimesa</t>
        </is>
      </c>
      <c r="I71" s="75" t="inlineStr">
        <is>
          <t>N/D</t>
        </is>
      </c>
      <c r="J71" s="75" t="inlineStr">
        <is>
          <t>recebíveis supermercados</t>
        </is>
      </c>
      <c r="K71" s="75" t="inlineStr">
        <is>
          <t>IMG_8706.JPG</t>
        </is>
      </c>
      <c r="L71" s="75" t="inlineStr">
        <is>
          <t>planilha amarela; linha da raiz 58171340</t>
        </is>
      </c>
      <c r="M71" s="75" t="inlineStr">
        <is>
          <t>confirmado_legivel</t>
        </is>
      </c>
      <c r="N71" s="75" t="inlineStr">
        <is>
          <t>alta</t>
        </is>
      </c>
      <c r="O71" s="75" t="inlineStr">
        <is>
          <t>Denominação cortada pela largura da coluna na foto.</t>
        </is>
      </c>
      <c r="P71" s="75" t="inlineStr">
        <is>
          <t>Carteira 101</t>
        </is>
      </c>
      <c r="Q71" s="75" t="inlineStr">
        <is>
          <t>cedente_originador_literal; papel_literal</t>
        </is>
      </c>
      <c r="R71" s="75" t="b">
        <v>1</v>
      </c>
      <c r="S71" s="75" t="inlineStr">
        <is>
          <t>overlay aplicado somente em lacunas</t>
        </is>
      </c>
    </row>
    <row r="72" ht="36" customHeight="1">
      <c r="A72" s="158" t="inlineStr">
        <is>
          <t>51554551</t>
        </is>
      </c>
      <c r="B72" s="159" t="n">
        <v>51554551000138</v>
      </c>
      <c r="C72" s="74" t="inlineStr">
        <is>
          <t>correspondencia_unica</t>
        </is>
      </c>
      <c r="D72" s="74" t="inlineStr">
        <is>
          <t>CLASSE UNICA DO FIDC CREDITO NITRO AGRO - RESPONSA...</t>
        </is>
      </c>
      <c r="E72" s="74" t="inlineStr">
        <is>
          <t>Nitroquímica</t>
        </is>
      </c>
      <c r="F72" s="74" t="inlineStr">
        <is>
          <t>cedente</t>
        </is>
      </c>
      <c r="G72" s="74" t="inlineStr">
        <is>
          <t>N/D</t>
        </is>
      </c>
      <c r="H72" s="74" t="inlineStr">
        <is>
          <t>Nitroquímica</t>
        </is>
      </c>
      <c r="I72" s="74" t="inlineStr">
        <is>
          <t>N/D</t>
        </is>
      </c>
      <c r="J72" s="74" t="inlineStr">
        <is>
          <t>Insumos Agrícolas - prazo Safra</t>
        </is>
      </c>
      <c r="K72" s="74" t="inlineStr">
        <is>
          <t>IMG_8706.JPG</t>
        </is>
      </c>
      <c r="L72" s="74" t="inlineStr">
        <is>
          <t>planilha amarela; linha da raiz 51554551</t>
        </is>
      </c>
      <c r="M72" s="74" t="inlineStr">
        <is>
          <t>confirmado_legivel</t>
        </is>
      </c>
      <c r="N72" s="74" t="inlineStr">
        <is>
          <t>alta</t>
        </is>
      </c>
      <c r="O72" s="74" t="inlineStr">
        <is>
          <t>Denominação cortada pela largura da coluna na foto.</t>
        </is>
      </c>
      <c r="P72" s="74" t="inlineStr">
        <is>
          <t>Carteira 101</t>
        </is>
      </c>
      <c r="Q72" s="74" t="inlineStr">
        <is>
          <t>cedente_originador_literal; papel_literal</t>
        </is>
      </c>
      <c r="R72" s="74" t="b">
        <v>1</v>
      </c>
      <c r="S72" s="74" t="inlineStr">
        <is>
          <t>overlay aplicado somente em lacunas</t>
        </is>
      </c>
    </row>
    <row r="73" ht="36" customHeight="1">
      <c r="A73" s="160" t="inlineStr">
        <is>
          <t>57752597</t>
        </is>
      </c>
      <c r="B73" s="161" t="n">
        <v>57752597000148</v>
      </c>
      <c r="C73" s="75" t="inlineStr">
        <is>
          <t>correspondencia_unica</t>
        </is>
      </c>
      <c r="D73" s="75" t="inlineStr">
        <is>
          <t>AGROMERCANTIL CREDITO AGRO FUNDO DE INVESTIMENTO EM DIREITOS CREDITORI...</t>
        </is>
      </c>
      <c r="E73" s="75" t="inlineStr">
        <is>
          <t>AGROMERCANTIL</t>
        </is>
      </c>
      <c r="F73" s="75" t="inlineStr">
        <is>
          <t>cedente</t>
        </is>
      </c>
      <c r="G73" s="75" t="inlineStr">
        <is>
          <t>N/D</t>
        </is>
      </c>
      <c r="H73" s="75" t="inlineStr">
        <is>
          <t>AGROMERCANTIL</t>
        </is>
      </c>
      <c r="I73" s="75" t="inlineStr">
        <is>
          <t>N/D</t>
        </is>
      </c>
      <c r="J73" s="75" t="inlineStr">
        <is>
          <t>Comercializadora de grãos</t>
        </is>
      </c>
      <c r="K73" s="75" t="inlineStr">
        <is>
          <t>IMG_8706.JPG</t>
        </is>
      </c>
      <c r="L73" s="75" t="inlineStr">
        <is>
          <t>planilha amarela; linha da raiz 57752597</t>
        </is>
      </c>
      <c r="M73" s="75" t="inlineStr">
        <is>
          <t>confirmado_legivel</t>
        </is>
      </c>
      <c r="N73" s="75" t="inlineStr">
        <is>
          <t>alta</t>
        </is>
      </c>
      <c r="O73" s="75" t="inlineStr">
        <is>
          <t>Denominação cortada pela largura da coluna na foto.</t>
        </is>
      </c>
      <c r="P73" s="75" t="inlineStr">
        <is>
          <t>Carteira 101</t>
        </is>
      </c>
      <c r="Q73" s="75" t="inlineStr">
        <is>
          <t>cedente_originador_literal; papel_literal</t>
        </is>
      </c>
      <c r="R73" s="75" t="b">
        <v>1</v>
      </c>
      <c r="S73" s="75" t="inlineStr">
        <is>
          <t>overlay aplicado somente em lacunas</t>
        </is>
      </c>
    </row>
    <row r="74" ht="36" customHeight="1">
      <c r="A74" s="158" t="inlineStr">
        <is>
          <t>47425750</t>
        </is>
      </c>
      <c r="B74" s="159" t="n">
        <v>47425750000179</v>
      </c>
      <c r="C74" s="74" t="inlineStr">
        <is>
          <t>correspondencia_unica</t>
        </is>
      </c>
      <c r="D74" s="74" t="inlineStr">
        <is>
          <t>FIDC CROPFIELD CEREALIS</t>
        </is>
      </c>
      <c r="E74" s="74" t="inlineStr">
        <is>
          <t>CROPFIELD DO BRASIL INDÚSTRIA DE INSUM...</t>
        </is>
      </c>
      <c r="F74" s="74" t="inlineStr">
        <is>
          <t>cedente</t>
        </is>
      </c>
      <c r="G74" s="74" t="inlineStr">
        <is>
          <t>N/D</t>
        </is>
      </c>
      <c r="H74" s="74" t="inlineStr">
        <is>
          <t>CROPFIELD DO BRASIL INDÚSTRIA DE INSUM...</t>
        </is>
      </c>
      <c r="I74" s="74" t="inlineStr">
        <is>
          <t>N/D</t>
        </is>
      </c>
      <c r="J74" s="74" t="inlineStr">
        <is>
          <t>Insumos Agrícolas - prazo Safra; possui não performados</t>
        </is>
      </c>
      <c r="K74" s="74" t="inlineStr">
        <is>
          <t>IMG_8706.JPG</t>
        </is>
      </c>
      <c r="L74" s="74" t="inlineStr">
        <is>
          <t>planilha amarela; linha da raiz 47425750</t>
        </is>
      </c>
      <c r="M74" s="74" t="inlineStr">
        <is>
          <t>revisao</t>
        </is>
      </c>
      <c r="N74" s="74" t="inlineStr">
        <is>
          <t>média</t>
        </is>
      </c>
      <c r="O74" s="74" t="inlineStr">
        <is>
          <t>Literal de cedente cortado; não elegível até revisão.</t>
        </is>
      </c>
      <c r="P74" s="74" t="inlineStr">
        <is>
          <t>N/D</t>
        </is>
      </c>
      <c r="Q74" s="74" t="inlineStr">
        <is>
          <t>N/D</t>
        </is>
      </c>
      <c r="R74" s="74" t="b">
        <v>0</v>
      </c>
      <c r="S74" s="74" t="inlineStr">
        <is>
          <t>status de transcrição não aprovado</t>
        </is>
      </c>
    </row>
    <row r="75" ht="36" customHeight="1">
      <c r="A75" s="160" t="inlineStr">
        <is>
          <t>37035970</t>
        </is>
      </c>
      <c r="B75" s="161" t="n">
        <v>37035970000132</v>
      </c>
      <c r="C75" s="75" t="inlineStr">
        <is>
          <t>correspondencia_unica</t>
        </is>
      </c>
      <c r="D75" s="75" t="inlineStr">
        <is>
          <t>CD BANCK FIDC</t>
        </is>
      </c>
      <c r="E75" s="75" t="inlineStr">
        <is>
          <t>CHD'S</t>
        </is>
      </c>
      <c r="F75" s="75" t="inlineStr">
        <is>
          <t>cedente</t>
        </is>
      </c>
      <c r="G75" s="75" t="inlineStr">
        <is>
          <t>N/D</t>
        </is>
      </c>
      <c r="H75" s="75" t="inlineStr">
        <is>
          <t>CHD'S</t>
        </is>
      </c>
      <c r="I75" s="75" t="inlineStr">
        <is>
          <t>N/D</t>
        </is>
      </c>
      <c r="J75" s="75" t="inlineStr">
        <is>
          <t>Insumos Agrícolas - prazo Safra; possui não performados</t>
        </is>
      </c>
      <c r="K75" s="75" t="inlineStr">
        <is>
          <t>IMG_8706.JPG</t>
        </is>
      </c>
      <c r="L75" s="75" t="inlineStr">
        <is>
          <t>planilha amarela; linha da raiz 37035970</t>
        </is>
      </c>
      <c r="M75" s="75" t="inlineStr">
        <is>
          <t>confirmado_legivel</t>
        </is>
      </c>
      <c r="N75" s="75" t="inlineStr">
        <is>
          <t>alta</t>
        </is>
      </c>
      <c r="O75" s="75" t="inlineStr">
        <is>
          <t>N/D</t>
        </is>
      </c>
      <c r="P75" s="75" t="inlineStr">
        <is>
          <t>Carteira 101</t>
        </is>
      </c>
      <c r="Q75" s="75" t="inlineStr">
        <is>
          <t>cedente_originador_literal; papel_literal</t>
        </is>
      </c>
      <c r="R75" s="75" t="b">
        <v>1</v>
      </c>
      <c r="S75" s="75" t="inlineStr">
        <is>
          <t>overlay aplicado somente em lacunas</t>
        </is>
      </c>
    </row>
    <row r="76" ht="36" customHeight="1">
      <c r="A76" s="158" t="inlineStr">
        <is>
          <t>17468142</t>
        </is>
      </c>
      <c r="B76" s="159" t="n">
        <v>17468142000180</v>
      </c>
      <c r="C76" s="74" t="inlineStr">
        <is>
          <t>correspondencia_unica</t>
        </is>
      </c>
      <c r="D76" s="74" t="inlineStr">
        <is>
          <t>VALOREM FIDC MULTISSETORIAL</t>
        </is>
      </c>
      <c r="E76" s="74" t="inlineStr">
        <is>
          <t>Multicedentes &amp; Multisacados</t>
        </is>
      </c>
      <c r="F76" s="74" t="inlineStr">
        <is>
          <t>cedente</t>
        </is>
      </c>
      <c r="G76" s="74" t="inlineStr">
        <is>
          <t>N/D</t>
        </is>
      </c>
      <c r="H76" s="74" t="inlineStr">
        <is>
          <t>Multicedentes &amp; Multisacados</t>
        </is>
      </c>
      <c r="I76" s="74" t="inlineStr">
        <is>
          <t>N/D</t>
        </is>
      </c>
      <c r="J76" s="74" t="inlineStr">
        <is>
          <t>FIDC MultiCedente / Multisacado</t>
        </is>
      </c>
      <c r="K76" s="74" t="inlineStr">
        <is>
          <t>IMG_8706.JPG</t>
        </is>
      </c>
      <c r="L76" s="74" t="inlineStr">
        <is>
          <t>planilha amarela; linha da raiz 17468142</t>
        </is>
      </c>
      <c r="M76" s="74" t="inlineStr">
        <is>
          <t>confirmado_legivel</t>
        </is>
      </c>
      <c r="N76" s="74" t="inlineStr">
        <is>
          <t>alta</t>
        </is>
      </c>
      <c r="O76" s="74" t="inlineStr">
        <is>
          <t>N/D</t>
        </is>
      </c>
      <c r="P76" s="74" t="inlineStr">
        <is>
          <t>Carteira 101</t>
        </is>
      </c>
      <c r="Q76" s="74" t="inlineStr">
        <is>
          <t>cedente_originador_literal; papel_literal</t>
        </is>
      </c>
      <c r="R76" s="74" t="b">
        <v>1</v>
      </c>
      <c r="S76" s="74" t="inlineStr">
        <is>
          <t>overlay aplicado somente em lacunas</t>
        </is>
      </c>
    </row>
    <row r="77" ht="36" customHeight="1">
      <c r="A77" s="160" t="inlineStr">
        <is>
          <t>31739396</t>
        </is>
      </c>
      <c r="B77" s="161" t="n">
        <v>31739396000117</v>
      </c>
      <c r="C77" s="75" t="inlineStr">
        <is>
          <t>correspondencia_unica</t>
        </is>
      </c>
      <c r="D77" s="75" t="inlineStr">
        <is>
          <t>FIDC LF III</t>
        </is>
      </c>
      <c r="E77" s="75" t="inlineStr">
        <is>
          <t>Listo IP</t>
        </is>
      </c>
      <c r="F77" s="75" t="inlineStr">
        <is>
          <t>cedente</t>
        </is>
      </c>
      <c r="G77" s="75" t="inlineStr">
        <is>
          <t>N/D</t>
        </is>
      </c>
      <c r="H77" s="75" t="inlineStr">
        <is>
          <t>Listo IP</t>
        </is>
      </c>
      <c r="I77" s="75" t="inlineStr">
        <is>
          <t>N/D</t>
        </is>
      </c>
      <c r="J77" s="75" t="inlineStr">
        <is>
          <t>Risco Bancos Emissores Diversos</t>
        </is>
      </c>
      <c r="K77" s="75" t="inlineStr">
        <is>
          <t>IMG_8706.JPG</t>
        </is>
      </c>
      <c r="L77" s="75" t="inlineStr">
        <is>
          <t>planilha amarela; linha da raiz 31739396</t>
        </is>
      </c>
      <c r="M77" s="75" t="inlineStr">
        <is>
          <t>confirmado_legivel</t>
        </is>
      </c>
      <c r="N77" s="75" t="inlineStr">
        <is>
          <t>alta</t>
        </is>
      </c>
      <c r="O77" s="75" t="inlineStr">
        <is>
          <t>OBS da foto: lista de concentração pré-aprovada.</t>
        </is>
      </c>
      <c r="P77" s="75" t="inlineStr">
        <is>
          <t>Carteira 101</t>
        </is>
      </c>
      <c r="Q77" s="75" t="inlineStr">
        <is>
          <t>cedente_originador_literal; papel_literal</t>
        </is>
      </c>
      <c r="R77" s="75" t="b">
        <v>1</v>
      </c>
      <c r="S77" s="75" t="inlineStr">
        <is>
          <t>overlay aplicado somente em lacunas</t>
        </is>
      </c>
    </row>
    <row r="78" ht="36" customHeight="1">
      <c r="A78" s="158" t="inlineStr">
        <is>
          <t>26749095</t>
        </is>
      </c>
      <c r="B78" s="159" t="n">
        <v>26749095000134</v>
      </c>
      <c r="C78" s="74" t="inlineStr">
        <is>
          <t>correspondencia_unica</t>
        </is>
      </c>
      <c r="D78" s="74" t="inlineStr">
        <is>
          <t>CREDITO UNIVERSITARIO II FUNDO DE INVESTIMENTO EM...</t>
        </is>
      </c>
      <c r="E78" s="74" t="inlineStr">
        <is>
          <t>Pravaler</t>
        </is>
      </c>
      <c r="F78" s="74" t="inlineStr">
        <is>
          <t>cedente</t>
        </is>
      </c>
      <c r="G78" s="74" t="inlineStr">
        <is>
          <t>N/D</t>
        </is>
      </c>
      <c r="H78" s="74" t="inlineStr">
        <is>
          <t>Pravaler</t>
        </is>
      </c>
      <c r="I78" s="74" t="inlineStr">
        <is>
          <t>N/D</t>
        </is>
      </c>
      <c r="J78" s="74" t="inlineStr">
        <is>
          <t>Crédito Estudantil</t>
        </is>
      </c>
      <c r="K78" s="74" t="inlineStr">
        <is>
          <t>IMG_8706.JPG</t>
        </is>
      </c>
      <c r="L78" s="74" t="inlineStr">
        <is>
          <t>planilha amarela; linha da raiz 26749095</t>
        </is>
      </c>
      <c r="M78" s="74" t="inlineStr">
        <is>
          <t>confirmado_legivel</t>
        </is>
      </c>
      <c r="N78" s="74" t="inlineStr">
        <is>
          <t>alta</t>
        </is>
      </c>
      <c r="O78" s="74" t="inlineStr">
        <is>
          <t>Denominação cortada pela largura da coluna na foto.</t>
        </is>
      </c>
      <c r="P78" s="74" t="inlineStr">
        <is>
          <t>Carteira 101</t>
        </is>
      </c>
      <c r="Q78" s="74" t="inlineStr">
        <is>
          <t>cedente_originador_literal; papel_literal</t>
        </is>
      </c>
      <c r="R78" s="74" t="b">
        <v>1</v>
      </c>
      <c r="S78" s="74" t="inlineStr">
        <is>
          <t>overlay aplicado somente em lacunas</t>
        </is>
      </c>
    </row>
    <row r="79" ht="36" customHeight="1">
      <c r="A79" s="160" t="inlineStr">
        <is>
          <t>62393829</t>
        </is>
      </c>
      <c r="B79" s="161" t="n">
        <v>62393829000159</v>
      </c>
      <c r="C79" s="75" t="inlineStr">
        <is>
          <t>correspondencia_unica</t>
        </is>
      </c>
      <c r="D79" s="75" t="inlineStr">
        <is>
          <t>TOP 2025 V FIDC RESP LIMITADA</t>
        </is>
      </c>
      <c r="E79" s="75" t="inlineStr">
        <is>
          <t>Multicedente</t>
        </is>
      </c>
      <c r="F79" s="75" t="inlineStr">
        <is>
          <t>cedente</t>
        </is>
      </c>
      <c r="G79" s="75" t="inlineStr">
        <is>
          <t>N/D</t>
        </is>
      </c>
      <c r="H79" s="75" t="inlineStr">
        <is>
          <t>Multicedente</t>
        </is>
      </c>
      <c r="I79" s="75" t="inlineStr">
        <is>
          <t>BRF</t>
        </is>
      </c>
      <c r="J79" s="75" t="inlineStr">
        <is>
          <t>Risco Sacado BRF</t>
        </is>
      </c>
      <c r="K79" s="75" t="inlineStr">
        <is>
          <t>IMG_8706.JPG</t>
        </is>
      </c>
      <c r="L79" s="75" t="inlineStr">
        <is>
          <t>planilha amarela; linha da raiz 62393829</t>
        </is>
      </c>
      <c r="M79" s="75" t="inlineStr">
        <is>
          <t>confirmado_legivel</t>
        </is>
      </c>
      <c r="N79" s="75" t="inlineStr">
        <is>
          <t>alta</t>
        </is>
      </c>
      <c r="O79" s="75" t="inlineStr">
        <is>
          <t>BRF foi desmembrado somente porque a fonte escreve literalmente Risco Sacado BRF.</t>
        </is>
      </c>
      <c r="P79" s="75" t="inlineStr">
        <is>
          <t>Carteira 101</t>
        </is>
      </c>
      <c r="Q79" s="75" t="inlineStr">
        <is>
          <t>cedente_originador_literal; papel_literal</t>
        </is>
      </c>
      <c r="R79" s="75" t="b">
        <v>1</v>
      </c>
      <c r="S79" s="75" t="inlineStr">
        <is>
          <t>overlay aplicado somente em lacunas</t>
        </is>
      </c>
    </row>
    <row r="80" ht="36" customHeight="1">
      <c r="A80" s="158" t="inlineStr">
        <is>
          <t>47640584</t>
        </is>
      </c>
      <c r="B80" s="159" t="n">
        <v>47640584000123</v>
      </c>
      <c r="C80" s="74" t="inlineStr">
        <is>
          <t>correspondencia_unica</t>
        </is>
      </c>
      <c r="D80" s="74" t="inlineStr">
        <is>
          <t>SOL AGORA GREEN ESG FIDC IS SEGMENTO FINANCEIRO DE...</t>
        </is>
      </c>
      <c r="E80" s="74" t="inlineStr">
        <is>
          <t>BMP</t>
        </is>
      </c>
      <c r="F80" s="74" t="inlineStr">
        <is>
          <t>cedente</t>
        </is>
      </c>
      <c r="G80" s="74" t="inlineStr">
        <is>
          <t>Sol Agora</t>
        </is>
      </c>
      <c r="H80" s="74" t="inlineStr">
        <is>
          <t>BMP</t>
        </is>
      </c>
      <c r="I80" s="74" t="inlineStr">
        <is>
          <t>N/D</t>
        </is>
      </c>
      <c r="J80" s="74" t="inlineStr">
        <is>
          <t>Recebíveis: CCBs</t>
        </is>
      </c>
      <c r="K80" s="74" t="inlineStr">
        <is>
          <t>IMG_8706.JPG</t>
        </is>
      </c>
      <c r="L80" s="74" t="inlineStr">
        <is>
          <t>planilha amarela; linha da raiz 47640584</t>
        </is>
      </c>
      <c r="M80" s="74" t="inlineStr">
        <is>
          <t>confirmado_legivel</t>
        </is>
      </c>
      <c r="N80" s="74" t="inlineStr">
        <is>
          <t>alta</t>
        </is>
      </c>
      <c r="O80" s="74" t="inlineStr">
        <is>
          <t>OBS da foto: a Sol Agora é o originador, mas o cedente das CCBs é o BMP (true sale). Os papéis foram desmembrados somente porque estão escritos literalmente na fonte. Denominação cortada.</t>
        </is>
      </c>
      <c r="P80" s="74" t="inlineStr">
        <is>
          <t>Carteira 101</t>
        </is>
      </c>
      <c r="Q80" s="74" t="inlineStr">
        <is>
          <t>cedente_originador_literal; papel_literal</t>
        </is>
      </c>
      <c r="R80" s="74" t="b">
        <v>1</v>
      </c>
      <c r="S80" s="74" t="inlineStr">
        <is>
          <t>overlay aplicado somente em lacunas</t>
        </is>
      </c>
    </row>
    <row r="81" ht="36" customHeight="1">
      <c r="A81" s="160" t="inlineStr">
        <is>
          <t>57028406</t>
        </is>
      </c>
      <c r="B81" s="161" t="n">
        <v>57028406000108</v>
      </c>
      <c r="C81" s="75" t="inlineStr">
        <is>
          <t>correspondencia_unica</t>
        </is>
      </c>
      <c r="D81" s="75" t="inlineStr">
        <is>
          <t>IS GREEN SOLFACIL VI FIDC RL</t>
        </is>
      </c>
      <c r="E81" s="75" t="inlineStr">
        <is>
          <t>Solfácil SCD</t>
        </is>
      </c>
      <c r="F81" s="75" t="inlineStr">
        <is>
          <t>cedente</t>
        </is>
      </c>
      <c r="G81" s="75" t="inlineStr">
        <is>
          <t>N/D</t>
        </is>
      </c>
      <c r="H81" s="75" t="inlineStr">
        <is>
          <t>Solfácil SCD</t>
        </is>
      </c>
      <c r="I81" s="75" t="inlineStr">
        <is>
          <t>N/D</t>
        </is>
      </c>
      <c r="J81" s="75" t="inlineStr">
        <is>
          <t>Direitos Creditórios performados oriundos de financiamento de instalação de placas solares</t>
        </is>
      </c>
      <c r="K81" s="75" t="inlineStr">
        <is>
          <t>IMG_8706.JPG</t>
        </is>
      </c>
      <c r="L81" s="75" t="inlineStr">
        <is>
          <t>planilha amarela; linha da raiz 57028406</t>
        </is>
      </c>
      <c r="M81" s="75" t="inlineStr">
        <is>
          <t>confirmado_legivel</t>
        </is>
      </c>
      <c r="N81" s="75" t="inlineStr">
        <is>
          <t>alta</t>
        </is>
      </c>
      <c r="O81" s="75" t="inlineStr">
        <is>
          <t>FIDC pulverizado para aquisição dos direitos creditórios descritos.</t>
        </is>
      </c>
      <c r="P81" s="75" t="inlineStr">
        <is>
          <t>Carteira 101</t>
        </is>
      </c>
      <c r="Q81" s="75" t="inlineStr">
        <is>
          <t>cedente_originador_literal; papel_literal</t>
        </is>
      </c>
      <c r="R81" s="75" t="b">
        <v>1</v>
      </c>
      <c r="S81" s="75" t="inlineStr">
        <is>
          <t>overlay aplicado somente em lacunas</t>
        </is>
      </c>
    </row>
    <row r="82" ht="36" customHeight="1">
      <c r="A82" s="158" t="inlineStr">
        <is>
          <t>31570767</t>
        </is>
      </c>
      <c r="B82" s="159" t="n">
        <v>31570767000180</v>
      </c>
      <c r="C82" s="74" t="inlineStr">
        <is>
          <t>correspondencia_unica</t>
        </is>
      </c>
      <c r="D82" s="74" t="inlineStr">
        <is>
          <t>FUNDO DE INVESTIMENTO EM DIREI...</t>
        </is>
      </c>
      <c r="E82" s="74" t="inlineStr">
        <is>
          <t>Trademaster</t>
        </is>
      </c>
      <c r="F82" s="74" t="inlineStr">
        <is>
          <t>cedente</t>
        </is>
      </c>
      <c r="G82" s="74" t="inlineStr">
        <is>
          <t>N/D</t>
        </is>
      </c>
      <c r="H82" s="74" t="inlineStr">
        <is>
          <t>Trademaster</t>
        </is>
      </c>
      <c r="I82" s="74" t="inlineStr">
        <is>
          <t>N/D</t>
        </is>
      </c>
      <c r="J82" s="74" t="inlineStr">
        <is>
          <t>N/D</t>
        </is>
      </c>
      <c r="K82" s="74" t="inlineStr">
        <is>
          <t>IMG_8706.JPG</t>
        </is>
      </c>
      <c r="L82" s="74" t="inlineStr">
        <is>
          <t>planilha amarela; linha da raiz 31570767</t>
        </is>
      </c>
      <c r="M82" s="74" t="inlineStr">
        <is>
          <t>confirmado_legivel</t>
        </is>
      </c>
      <c r="N82" s="74" t="inlineStr">
        <is>
          <t>alta</t>
        </is>
      </c>
      <c r="O82" s="74" t="inlineStr">
        <is>
          <t>Denominação cortada pela largura da coluna na foto.</t>
        </is>
      </c>
      <c r="P82" s="74" t="inlineStr">
        <is>
          <t>Carteira 101</t>
        </is>
      </c>
      <c r="Q82" s="74" t="inlineStr">
        <is>
          <t>cedente_originador_literal; papel_literal</t>
        </is>
      </c>
      <c r="R82" s="74" t="b">
        <v>1</v>
      </c>
      <c r="S82" s="74" t="inlineStr">
        <is>
          <t>overlay aplicado somente em lacunas</t>
        </is>
      </c>
    </row>
    <row r="83" ht="36" customHeight="1">
      <c r="A83" s="160" t="inlineStr">
        <is>
          <t>54464892</t>
        </is>
      </c>
      <c r="B83" s="161" t="n">
        <v>54464892000100</v>
      </c>
      <c r="C83" s="75" t="inlineStr">
        <is>
          <t>correspondencia_unica</t>
        </is>
      </c>
      <c r="D83" s="75" t="inlineStr">
        <is>
          <t>FUNDO I E D C M F RECEB...</t>
        </is>
      </c>
      <c r="E83" s="75" t="inlineStr">
        <is>
          <t>75% Parati / 25% QI Tech</t>
        </is>
      </c>
      <c r="F83" s="75" t="inlineStr">
        <is>
          <t>cedente</t>
        </is>
      </c>
      <c r="G83" s="75" t="inlineStr">
        <is>
          <t>N/D</t>
        </is>
      </c>
      <c r="H83" s="75" t="inlineStr">
        <is>
          <t>75% Parati / 25% QI Tech</t>
        </is>
      </c>
      <c r="I83" s="75" t="inlineStr">
        <is>
          <t>N/D</t>
        </is>
      </c>
      <c r="J83" s="75" t="inlineStr">
        <is>
          <t>N/D</t>
        </is>
      </c>
      <c r="K83" s="75" t="inlineStr">
        <is>
          <t>IMG_8707.jpg</t>
        </is>
      </c>
      <c r="L83" s="75" t="inlineStr">
        <is>
          <t>planilha amarela; linha da raiz 54464892</t>
        </is>
      </c>
      <c r="M83" s="75" t="inlineStr">
        <is>
          <t>confirmado_legivel</t>
        </is>
      </c>
      <c r="N83" s="75" t="inlineStr">
        <is>
          <t>média</t>
        </is>
      </c>
      <c r="O83" s="75" t="inlineStr">
        <is>
          <t>OBS da foto: Rating atual Ba1; se ajustar o rating na base, pode considerar perspectiva estável. Denominação cortada.</t>
        </is>
      </c>
      <c r="P83" s="75" t="inlineStr">
        <is>
          <t>Carteira 101; Flagships</t>
        </is>
      </c>
      <c r="Q83" s="75" t="inlineStr">
        <is>
          <t>cedente_originador_literal; papel_literal; cedente</t>
        </is>
      </c>
      <c r="R83" s="75" t="b">
        <v>1</v>
      </c>
      <c r="S83" s="75" t="inlineStr">
        <is>
          <t>overlay aplicado somente em lacunas</t>
        </is>
      </c>
    </row>
    <row r="84" ht="36" customHeight="1">
      <c r="A84" s="158" t="inlineStr">
        <is>
          <t>11468186</t>
        </is>
      </c>
      <c r="B84" s="159" t="n">
        <v>11468186000124</v>
      </c>
      <c r="C84" s="74" t="inlineStr">
        <is>
          <t>correspondencia_unica</t>
        </is>
      </c>
      <c r="D84" s="74" t="inlineStr">
        <is>
          <t>ATLANTA FIDC NAO PADRONIZADO</t>
        </is>
      </c>
      <c r="E84" s="74" t="inlineStr">
        <is>
          <t>Multicedentes e Multisacados</t>
        </is>
      </c>
      <c r="F84" s="74" t="inlineStr">
        <is>
          <t>cedente</t>
        </is>
      </c>
      <c r="G84" s="74" t="inlineStr">
        <is>
          <t>N/D</t>
        </is>
      </c>
      <c r="H84" s="74" t="inlineStr">
        <is>
          <t>Multicedentes e Multisacados</t>
        </is>
      </c>
      <c r="I84" s="74" t="inlineStr">
        <is>
          <t>N/D</t>
        </is>
      </c>
      <c r="J84" s="74" t="inlineStr">
        <is>
          <t>FIDC Multicedentes &amp; Multisacados</t>
        </is>
      </c>
      <c r="K84" s="74" t="inlineStr">
        <is>
          <t>IMG_8707.jpg</t>
        </is>
      </c>
      <c r="L84" s="74" t="inlineStr">
        <is>
          <t>planilha amarela; linha da raiz 11468186</t>
        </is>
      </c>
      <c r="M84" s="74" t="inlineStr">
        <is>
          <t>confirmado_legivel</t>
        </is>
      </c>
      <c r="N84" s="74" t="inlineStr">
        <is>
          <t>alta</t>
        </is>
      </c>
      <c r="O84" s="74" t="inlineStr">
        <is>
          <t>N/D</t>
        </is>
      </c>
      <c r="P84" s="74" t="inlineStr">
        <is>
          <t>Carteira 101</t>
        </is>
      </c>
      <c r="Q84" s="74" t="inlineStr">
        <is>
          <t>cedente_originador_literal; papel_literal</t>
        </is>
      </c>
      <c r="R84" s="74" t="b">
        <v>1</v>
      </c>
      <c r="S84" s="74" t="inlineStr">
        <is>
          <t>overlay aplicado somente em lacunas</t>
        </is>
      </c>
    </row>
    <row r="85" ht="36" customHeight="1">
      <c r="A85" s="160" t="inlineStr">
        <is>
          <t>43193260</t>
        </is>
      </c>
      <c r="B85" s="161" t="n">
        <v>43193260000133</v>
      </c>
      <c r="C85" s="75" t="inlineStr">
        <is>
          <t>correspondencia_unica</t>
        </is>
      </c>
      <c r="D85" s="75" t="inlineStr">
        <is>
          <t>RESIDENCE CLUB FIDC</t>
        </is>
      </c>
      <c r="E85" s="75" t="inlineStr">
        <is>
          <t>VCI</t>
        </is>
      </c>
      <c r="F85" s="75" t="inlineStr">
        <is>
          <t>cedente</t>
        </is>
      </c>
      <c r="G85" s="75" t="inlineStr">
        <is>
          <t>N/D</t>
        </is>
      </c>
      <c r="H85" s="75" t="inlineStr">
        <is>
          <t>VCI</t>
        </is>
      </c>
      <c r="I85" s="75" t="inlineStr">
        <is>
          <t>N/D</t>
        </is>
      </c>
      <c r="J85" s="75" t="inlineStr">
        <is>
          <t>N/D</t>
        </is>
      </c>
      <c r="K85" s="75" t="inlineStr">
        <is>
          <t>IMG_8707.jpg</t>
        </is>
      </c>
      <c r="L85" s="75" t="inlineStr">
        <is>
          <t>planilha amarela; linha da raiz 43193260</t>
        </is>
      </c>
      <c r="M85" s="75" t="inlineStr">
        <is>
          <t>confirmado_legivel</t>
        </is>
      </c>
      <c r="N85" s="75" t="inlineStr">
        <is>
          <t>alta</t>
        </is>
      </c>
      <c r="O85" s="75" t="inlineStr">
        <is>
          <t>OBS aparece apenas como FIDC de receb... e foi excluída da transcrição estruturada.</t>
        </is>
      </c>
      <c r="P85" s="75" t="inlineStr">
        <is>
          <t>Carteira 101</t>
        </is>
      </c>
      <c r="Q85" s="75" t="inlineStr">
        <is>
          <t>cedente_originador_literal; papel_literal</t>
        </is>
      </c>
      <c r="R85" s="75" t="b">
        <v>1</v>
      </c>
      <c r="S85" s="75" t="inlineStr">
        <is>
          <t>overlay aplicado somente em lacunas</t>
        </is>
      </c>
    </row>
    <row r="86" ht="36" customHeight="1">
      <c r="A86" s="158" t="inlineStr">
        <is>
          <t>58152340</t>
        </is>
      </c>
      <c r="B86" s="159" t="n">
        <v>58152340000118</v>
      </c>
      <c r="C86" s="74" t="inlineStr">
        <is>
          <t>correspondencia_unica</t>
        </is>
      </c>
      <c r="D86" s="74" t="inlineStr">
        <is>
          <t>MONEE II FUNDO DE INVESTIMENTO</t>
        </is>
      </c>
      <c r="E86" s="74" t="inlineStr">
        <is>
          <t>SHPP IP</t>
        </is>
      </c>
      <c r="F86" s="74" t="inlineStr">
        <is>
          <t>cedente</t>
        </is>
      </c>
      <c r="G86" s="74" t="inlineStr">
        <is>
          <t>N/D</t>
        </is>
      </c>
      <c r="H86" s="74" t="inlineStr">
        <is>
          <t>SHPP IP</t>
        </is>
      </c>
      <c r="I86" s="74" t="inlineStr">
        <is>
          <t>N/D</t>
        </is>
      </c>
      <c r="J86" s="74" t="inlineStr">
        <is>
          <t>N/D</t>
        </is>
      </c>
      <c r="K86" s="74" t="inlineStr">
        <is>
          <t>IMG_8707.jpg</t>
        </is>
      </c>
      <c r="L86" s="74" t="inlineStr">
        <is>
          <t>planilha amarela; linha da raiz 58152340</t>
        </is>
      </c>
      <c r="M86" s="74" t="inlineStr">
        <is>
          <t>confirmado_legivel</t>
        </is>
      </c>
      <c r="N86" s="74" t="inlineStr">
        <is>
          <t>alta</t>
        </is>
      </c>
      <c r="O86" s="74" t="inlineStr">
        <is>
          <t>Denominação cortada pela largura da coluna na foto.</t>
        </is>
      </c>
      <c r="P86" s="74" t="inlineStr">
        <is>
          <t>Carteira 101</t>
        </is>
      </c>
      <c r="Q86" s="74" t="inlineStr">
        <is>
          <t>cedente_originador_literal; papel_literal</t>
        </is>
      </c>
      <c r="R86" s="74" t="b">
        <v>1</v>
      </c>
      <c r="S86" s="74" t="inlineStr">
        <is>
          <t>overlay aplicado somente em lacunas</t>
        </is>
      </c>
    </row>
    <row r="87" ht="36" customHeight="1">
      <c r="A87" s="160" t="inlineStr">
        <is>
          <t>52340225</t>
        </is>
      </c>
      <c r="B87" s="161" t="n">
        <v>52340225000190</v>
      </c>
      <c r="C87" s="75" t="inlineStr">
        <is>
          <t>correspondencia_unica</t>
        </is>
      </c>
      <c r="D87" s="75" t="inlineStr">
        <is>
          <t>INOVA CREDTECH III FUNDO DE IN...</t>
        </is>
      </c>
      <c r="E87" s="75" t="inlineStr">
        <is>
          <t>Cash[U/O?]</t>
        </is>
      </c>
      <c r="F87" s="75" t="inlineStr">
        <is>
          <t>cedente</t>
        </is>
      </c>
      <c r="G87" s="75" t="inlineStr">
        <is>
          <t>N/D</t>
        </is>
      </c>
      <c r="H87" s="75" t="inlineStr">
        <is>
          <t>Cash[U/O?]</t>
        </is>
      </c>
      <c r="I87" s="75" t="inlineStr">
        <is>
          <t>N/D</t>
        </is>
      </c>
      <c r="J87" s="75" t="inlineStr">
        <is>
          <t>Duplicatas + CCBs; FIDC Buy Now Pay Later</t>
        </is>
      </c>
      <c r="K87" s="75" t="inlineStr">
        <is>
          <t>IMG_8707.jpg</t>
        </is>
      </c>
      <c r="L87" s="75" t="inlineStr">
        <is>
          <t>planilha amarela; linha da raiz 52340225</t>
        </is>
      </c>
      <c r="M87" s="75" t="inlineStr">
        <is>
          <t>revisao</t>
        </is>
      </c>
      <c r="N87" s="75" t="inlineStr">
        <is>
          <t>baixa</t>
        </is>
      </c>
      <c r="O87" s="75" t="inlineStr">
        <is>
          <t>Cedente contém caractere incerto e denominação cortada; não elegível até revisão.</t>
        </is>
      </c>
      <c r="P87" s="75" t="inlineStr">
        <is>
          <t>N/D</t>
        </is>
      </c>
      <c r="Q87" s="75" t="inlineStr">
        <is>
          <t>N/D</t>
        </is>
      </c>
      <c r="R87" s="75" t="b">
        <v>0</v>
      </c>
      <c r="S87" s="75" t="inlineStr">
        <is>
          <t>status de transcrição não aprovado</t>
        </is>
      </c>
    </row>
    <row r="88" ht="36" customHeight="1">
      <c r="A88" s="158" t="inlineStr">
        <is>
          <t>37294759</t>
        </is>
      </c>
      <c r="B88" s="159" t="n">
        <v>37294759000134</v>
      </c>
      <c r="C88" s="74" t="inlineStr">
        <is>
          <t>correspondencia_unica</t>
        </is>
      </c>
      <c r="D88" s="74" t="inlineStr">
        <is>
          <t>FUNDO I E D C GALLERIA</t>
        </is>
      </c>
      <c r="E88" s="74" t="inlineStr">
        <is>
          <t>Galleria SCD</t>
        </is>
      </c>
      <c r="F88" s="74" t="inlineStr">
        <is>
          <t>cedente</t>
        </is>
      </c>
      <c r="G88" s="74" t="inlineStr">
        <is>
          <t>N/D</t>
        </is>
      </c>
      <c r="H88" s="74" t="inlineStr">
        <is>
          <t>Galleria SCD</t>
        </is>
      </c>
      <c r="I88" s="74" t="inlineStr">
        <is>
          <t>N/D</t>
        </is>
      </c>
      <c r="J88" s="74" t="inlineStr">
        <is>
          <t>CCBs com AF de Imóvel oriundos de empréstimo PF e PJs</t>
        </is>
      </c>
      <c r="K88" s="74" t="inlineStr">
        <is>
          <t>IMG_8707.jpg</t>
        </is>
      </c>
      <c r="L88" s="74" t="inlineStr">
        <is>
          <t>planilha amarela; linha da raiz 37294759</t>
        </is>
      </c>
      <c r="M88" s="74" t="inlineStr">
        <is>
          <t>confirmado_legivel</t>
        </is>
      </c>
      <c r="N88" s="74" t="inlineStr">
        <is>
          <t>alta</t>
        </is>
      </c>
      <c r="O88" s="74" t="inlineStr">
        <is>
          <t>N/D</t>
        </is>
      </c>
      <c r="P88" s="74" t="inlineStr">
        <is>
          <t>Carteira 101</t>
        </is>
      </c>
      <c r="Q88" s="74" t="inlineStr">
        <is>
          <t>cedente_originador_literal; papel_literal</t>
        </is>
      </c>
      <c r="R88" s="74" t="b">
        <v>1</v>
      </c>
      <c r="S88" s="74" t="inlineStr">
        <is>
          <t>overlay aplicado somente em lacunas</t>
        </is>
      </c>
    </row>
    <row r="89" ht="36" customHeight="1">
      <c r="A89" s="160" t="inlineStr">
        <is>
          <t>42085830</t>
        </is>
      </c>
      <c r="B89" s="161" t="n">
        <v>42085830000109</v>
      </c>
      <c r="C89" s="75" t="inlineStr">
        <is>
          <t>correspondencia_unica</t>
        </is>
      </c>
      <c r="D89" s="75" t="inlineStr">
        <is>
          <t>CLOUDWALK AKIRA I FUNDO DE INVESTIMENTO EM DIREITO...</t>
        </is>
      </c>
      <c r="E89" s="75" t="inlineStr">
        <is>
          <t>Cloudwalk IP</t>
        </is>
      </c>
      <c r="F89" s="75" t="inlineStr">
        <is>
          <t>cedente</t>
        </is>
      </c>
      <c r="G89" s="75" t="inlineStr">
        <is>
          <t>N/D</t>
        </is>
      </c>
      <c r="H89" s="75" t="inlineStr">
        <is>
          <t>Cloudwalk IP</t>
        </is>
      </c>
      <c r="I89" s="75" t="inlineStr">
        <is>
          <t>N/D</t>
        </is>
      </c>
      <c r="J89" s="75" t="inlineStr">
        <is>
          <t>N/D</t>
        </is>
      </c>
      <c r="K89" s="75" t="inlineStr">
        <is>
          <t>IMG_8707.jpg</t>
        </is>
      </c>
      <c r="L89" s="75" t="inlineStr">
        <is>
          <t>planilha amarela; linha da raiz 42085830</t>
        </is>
      </c>
      <c r="M89" s="75" t="inlineStr">
        <is>
          <t>confirmado_legivel</t>
        </is>
      </c>
      <c r="N89" s="75" t="inlineStr">
        <is>
          <t>alta</t>
        </is>
      </c>
      <c r="O89" s="75" t="inlineStr">
        <is>
          <t>OBS da foto: Risco Banco Emissor Itaú. Denominação cortada.</t>
        </is>
      </c>
      <c r="P89" s="75" t="inlineStr">
        <is>
          <t>Carteira 101</t>
        </is>
      </c>
      <c r="Q89" s="75" t="inlineStr">
        <is>
          <t>cedente_originador_literal; papel_literal</t>
        </is>
      </c>
      <c r="R89" s="75" t="b">
        <v>1</v>
      </c>
      <c r="S89" s="75" t="inlineStr">
        <is>
          <t>overlay aplicado somente em lacunas</t>
        </is>
      </c>
    </row>
    <row r="90" ht="36" customHeight="1">
      <c r="A90" s="158" t="inlineStr">
        <is>
          <t>61288838</t>
        </is>
      </c>
      <c r="B90" s="159" t="n">
        <v>61288838000117</v>
      </c>
      <c r="C90" s="74" t="inlineStr">
        <is>
          <t>correspondencia_unica</t>
        </is>
      </c>
      <c r="D90" s="74" t="inlineStr">
        <is>
          <t>FIDC MOVILE II</t>
        </is>
      </c>
      <c r="E90" s="74" t="inlineStr">
        <is>
          <t>MovilePay / iFood</t>
        </is>
      </c>
      <c r="F90" s="74" t="inlineStr">
        <is>
          <t>cedente</t>
        </is>
      </c>
      <c r="G90" s="74" t="inlineStr">
        <is>
          <t>N/D</t>
        </is>
      </c>
      <c r="H90" s="74" t="inlineStr">
        <is>
          <t>MovilePay / iFood</t>
        </is>
      </c>
      <c r="I90" s="74" t="inlineStr">
        <is>
          <t>N/D</t>
        </is>
      </c>
      <c r="J90" s="74" t="inlineStr">
        <is>
          <t>CCB PJ - ecossistema iFood; Crédito PME</t>
        </is>
      </c>
      <c r="K90" s="74" t="inlineStr">
        <is>
          <t>IMG_8707.jpg</t>
        </is>
      </c>
      <c r="L90" s="74" t="inlineStr">
        <is>
          <t>planilha amarela; linha da raiz 61288838</t>
        </is>
      </c>
      <c r="M90" s="74" t="inlineStr">
        <is>
          <t>confirmado_legivel</t>
        </is>
      </c>
      <c r="N90" s="74" t="inlineStr">
        <is>
          <t>alta</t>
        </is>
      </c>
      <c r="O90" s="74" t="inlineStr">
        <is>
          <t>N/D</t>
        </is>
      </c>
      <c r="P90" s="74" t="inlineStr">
        <is>
          <t>Carteira 101</t>
        </is>
      </c>
      <c r="Q90" s="74" t="inlineStr">
        <is>
          <t>cedente_originador_literal; papel_literal</t>
        </is>
      </c>
      <c r="R90" s="74" t="b">
        <v>1</v>
      </c>
      <c r="S90" s="74" t="inlineStr">
        <is>
          <t>overlay aplicado somente em lacunas</t>
        </is>
      </c>
    </row>
    <row r="91" ht="36" customHeight="1">
      <c r="A91" s="160" t="inlineStr">
        <is>
          <t>30035329</t>
        </is>
      </c>
      <c r="B91" s="161" t="n">
        <v>30035329000159</v>
      </c>
      <c r="C91" s="75" t="inlineStr">
        <is>
          <t>correspondencia_unica</t>
        </is>
      </c>
      <c r="D91" s="75" t="inlineStr">
        <is>
          <t>VAINVEST II FIDC MULTISETORIA...</t>
        </is>
      </c>
      <c r="E91" s="75" t="inlineStr">
        <is>
          <t>BMP (Bancarizador)</t>
        </is>
      </c>
      <c r="F91" s="75" t="inlineStr">
        <is>
          <t>cedente</t>
        </is>
      </c>
      <c r="G91" s="75" t="inlineStr">
        <is>
          <t>N/D</t>
        </is>
      </c>
      <c r="H91" s="75" t="inlineStr">
        <is>
          <t>BMP (Bancarizador)</t>
        </is>
      </c>
      <c r="I91" s="75" t="inlineStr">
        <is>
          <t>N/D</t>
        </is>
      </c>
      <c r="J91" s="75" t="inlineStr">
        <is>
          <t>N/D</t>
        </is>
      </c>
      <c r="K91" s="75" t="inlineStr">
        <is>
          <t>IMG_8707.jpg</t>
        </is>
      </c>
      <c r="L91" s="75" t="inlineStr">
        <is>
          <t>planilha amarela; linha da raiz 30035329</t>
        </is>
      </c>
      <c r="M91" s="75" t="inlineStr">
        <is>
          <t>confirmado_legivel</t>
        </is>
      </c>
      <c r="N91" s="75" t="inlineStr">
        <is>
          <t>média</t>
        </is>
      </c>
      <c r="O91" s="75" t="inlineStr">
        <is>
          <t>OBS parcialmente legível: Via Invest (Gestorada grupo faz co-gestão). Denominação cortada.</t>
        </is>
      </c>
      <c r="P91" s="75" t="inlineStr">
        <is>
          <t>Carteira 101</t>
        </is>
      </c>
      <c r="Q91" s="75" t="inlineStr">
        <is>
          <t>cedente_originador_literal; papel_literal</t>
        </is>
      </c>
      <c r="R91" s="75" t="b">
        <v>1</v>
      </c>
      <c r="S91" s="75" t="inlineStr">
        <is>
          <t>overlay aplicado somente em lacunas</t>
        </is>
      </c>
    </row>
    <row r="92" ht="36" customHeight="1">
      <c r="A92" s="158" t="inlineStr">
        <is>
          <t>63066147</t>
        </is>
      </c>
      <c r="B92" s="159" t="n">
        <v>63066147000102</v>
      </c>
      <c r="C92" s="74" t="inlineStr">
        <is>
          <t>correspondencia_unica</t>
        </is>
      </c>
      <c r="D92" s="74" t="inlineStr">
        <is>
          <t>FUNDO DE INVESTIMENTO EM DIREI...</t>
        </is>
      </c>
      <c r="E92" s="74" t="inlineStr">
        <is>
          <t>Supersim</t>
        </is>
      </c>
      <c r="F92" s="74" t="inlineStr">
        <is>
          <t>cedente</t>
        </is>
      </c>
      <c r="G92" s="74" t="inlineStr">
        <is>
          <t>N/D</t>
        </is>
      </c>
      <c r="H92" s="74" t="inlineStr">
        <is>
          <t>Supersim</t>
        </is>
      </c>
      <c r="I92" s="74" t="inlineStr">
        <is>
          <t>N/D</t>
        </is>
      </c>
      <c r="J92" s="74" t="inlineStr">
        <is>
          <t>N/D</t>
        </is>
      </c>
      <c r="K92" s="74" t="inlineStr">
        <is>
          <t>IMG_8707.jpg</t>
        </is>
      </c>
      <c r="L92" s="74" t="inlineStr">
        <is>
          <t>planilha amarela; linha da raiz 63066147</t>
        </is>
      </c>
      <c r="M92" s="74" t="inlineStr">
        <is>
          <t>confirmado_legivel</t>
        </is>
      </c>
      <c r="N92" s="74" t="inlineStr">
        <is>
          <t>alta</t>
        </is>
      </c>
      <c r="O92" s="74" t="inlineStr">
        <is>
          <t>Denominação cortada pela largura da coluna na foto.</t>
        </is>
      </c>
      <c r="P92" s="74" t="inlineStr">
        <is>
          <t>Carteira 101</t>
        </is>
      </c>
      <c r="Q92" s="74" t="inlineStr">
        <is>
          <t>cedente_originador_literal; papel_literal</t>
        </is>
      </c>
      <c r="R92" s="74" t="b">
        <v>1</v>
      </c>
      <c r="S92" s="74" t="inlineStr">
        <is>
          <t>overlay aplicado somente em lacunas</t>
        </is>
      </c>
    </row>
    <row r="93" ht="36" customHeight="1">
      <c r="A93" s="160" t="inlineStr">
        <is>
          <t>65836995</t>
        </is>
      </c>
      <c r="B93" s="161" t="n">
        <v>65836995000170</v>
      </c>
      <c r="C93" s="75" t="inlineStr">
        <is>
          <t>correspondencia_unica</t>
        </is>
      </c>
      <c r="D93" s="75" t="inlineStr">
        <is>
          <t>DAYCOVAL D410 FUNDO DE INV EM DIREITOS CREDITORIOS</t>
        </is>
      </c>
      <c r="E93" s="75" t="inlineStr">
        <is>
          <t>Cantu Store</t>
        </is>
      </c>
      <c r="F93" s="75" t="inlineStr">
        <is>
          <t>cedente</t>
        </is>
      </c>
      <c r="G93" s="75" t="inlineStr">
        <is>
          <t>N/D</t>
        </is>
      </c>
      <c r="H93" s="75" t="inlineStr">
        <is>
          <t>Cantu Store</t>
        </is>
      </c>
      <c r="I93" s="75" t="inlineStr">
        <is>
          <t>N/D</t>
        </is>
      </c>
      <c r="J93" s="75" t="inlineStr">
        <is>
          <t>N/D</t>
        </is>
      </c>
      <c r="K93" s="75" t="inlineStr">
        <is>
          <t>IMG_8707.jpg</t>
        </is>
      </c>
      <c r="L93" s="75" t="inlineStr">
        <is>
          <t>planilha amarela; linha da raiz 65836995</t>
        </is>
      </c>
      <c r="M93" s="75" t="inlineStr">
        <is>
          <t>confirmado_legivel</t>
        </is>
      </c>
      <c r="N93" s="75" t="inlineStr">
        <is>
          <t>alta</t>
        </is>
      </c>
      <c r="O93" s="75" t="inlineStr">
        <is>
          <t>N/D</t>
        </is>
      </c>
      <c r="P93" s="75" t="inlineStr">
        <is>
          <t>Carteira 101</t>
        </is>
      </c>
      <c r="Q93" s="75" t="inlineStr">
        <is>
          <t>cedente_originador_literal; papel_literal</t>
        </is>
      </c>
      <c r="R93" s="75" t="b">
        <v>1</v>
      </c>
      <c r="S93" s="75" t="inlineStr">
        <is>
          <t>overlay aplicado somente em lacunas</t>
        </is>
      </c>
    </row>
    <row r="94" ht="36" customHeight="1">
      <c r="A94" s="158" t="inlineStr">
        <is>
          <t>44124465</t>
        </is>
      </c>
      <c r="B94" s="159" t="n">
        <v>44124465000120</v>
      </c>
      <c r="C94" s="74" t="inlineStr">
        <is>
          <t>correspondencia_unica</t>
        </is>
      </c>
      <c r="D94" s="74" t="inlineStr">
        <is>
          <t>TIAO21 FUNDO I E D CREDITORIOS</t>
        </is>
      </c>
      <c r="E94" s="74" t="inlineStr">
        <is>
          <t>Ação</t>
        </is>
      </c>
      <c r="F94" s="74" t="inlineStr">
        <is>
          <t>cedente</t>
        </is>
      </c>
      <c r="G94" s="74" t="inlineStr">
        <is>
          <t>N/D</t>
        </is>
      </c>
      <c r="H94" s="74" t="inlineStr">
        <is>
          <t>Ação</t>
        </is>
      </c>
      <c r="I94" s="74" t="inlineStr">
        <is>
          <t>N/D</t>
        </is>
      </c>
      <c r="J94" s="74" t="inlineStr">
        <is>
          <t>Risco Bancos Emissores Diversos</t>
        </is>
      </c>
      <c r="K94" s="74" t="inlineStr">
        <is>
          <t>IMG_8705.JPG</t>
        </is>
      </c>
      <c r="L94" s="74" t="inlineStr">
        <is>
          <t>planilha amarela; linha da raiz 44124465</t>
        </is>
      </c>
      <c r="M94" s="74" t="inlineStr">
        <is>
          <t>confirmado_legivel</t>
        </is>
      </c>
      <c r="N94" s="74" t="inlineStr">
        <is>
          <t>alta</t>
        </is>
      </c>
      <c r="O94" s="74" t="inlineStr">
        <is>
          <t>OBS da foto: lista de concentração pré-aprovada.</t>
        </is>
      </c>
      <c r="P94" s="74" t="inlineStr">
        <is>
          <t>Carteira 101</t>
        </is>
      </c>
      <c r="Q94" s="74" t="inlineStr">
        <is>
          <t>cedente_originador_literal; papel_literal</t>
        </is>
      </c>
      <c r="R94" s="74" t="b">
        <v>1</v>
      </c>
      <c r="S94" s="74" t="inlineStr">
        <is>
          <t>overlay aplicado somente em lacunas</t>
        </is>
      </c>
    </row>
    <row r="95" ht="36" customHeight="1">
      <c r="A95" s="160" t="inlineStr">
        <is>
          <t>63622842</t>
        </is>
      </c>
      <c r="B95" s="161" t="n">
        <v>63622842000103</v>
      </c>
      <c r="C95" s="75" t="inlineStr">
        <is>
          <t>correspondencia_unica</t>
        </is>
      </c>
      <c r="D95" s="75" t="inlineStr">
        <is>
          <t>DESBRAVA UNO ART ESP FIDC RL</t>
        </is>
      </c>
      <c r="E95" s="75" t="inlineStr">
        <is>
          <t>Empresas grupo Dass</t>
        </is>
      </c>
      <c r="F95" s="75" t="inlineStr">
        <is>
          <t>cedente</t>
        </is>
      </c>
      <c r="G95" s="75" t="inlineStr">
        <is>
          <t>N/D</t>
        </is>
      </c>
      <c r="H95" s="75" t="inlineStr">
        <is>
          <t>Empresas grupo Dass</t>
        </is>
      </c>
      <c r="I95" s="75" t="inlineStr">
        <is>
          <t>N/D</t>
        </is>
      </c>
      <c r="J95" s="75" t="inlineStr">
        <is>
          <t>N/D</t>
        </is>
      </c>
      <c r="K95" s="75" t="inlineStr">
        <is>
          <t>IMG_8705.JPG</t>
        </is>
      </c>
      <c r="L95" s="75" t="inlineStr">
        <is>
          <t>planilha amarela; linha da raiz 63622842</t>
        </is>
      </c>
      <c r="M95" s="75" t="inlineStr">
        <is>
          <t>confirmado_legivel</t>
        </is>
      </c>
      <c r="N95" s="75" t="inlineStr">
        <is>
          <t>alta</t>
        </is>
      </c>
      <c r="O95" s="75" t="inlineStr">
        <is>
          <t>OBS da foto: FIDC 12431, risco Dass (não são recebíveis de clientes).</t>
        </is>
      </c>
      <c r="P95" s="75" t="inlineStr">
        <is>
          <t>Carteira 101</t>
        </is>
      </c>
      <c r="Q95" s="75" t="inlineStr">
        <is>
          <t>cedente_originador_literal; papel_literal</t>
        </is>
      </c>
      <c r="R95" s="75" t="b">
        <v>1</v>
      </c>
      <c r="S95" s="75" t="inlineStr">
        <is>
          <t>overlay aplicado somente em lacunas</t>
        </is>
      </c>
    </row>
    <row r="96" ht="36" customHeight="1">
      <c r="A96" s="158" t="inlineStr">
        <is>
          <t>26287464</t>
        </is>
      </c>
      <c r="B96" s="159" t="n">
        <v>26287464000114</v>
      </c>
      <c r="C96" s="74" t="inlineStr">
        <is>
          <t>correspondencia_unica</t>
        </is>
      </c>
      <c r="D96" s="74" t="inlineStr">
        <is>
          <t>TAPSO</t>
        </is>
      </c>
      <c r="E96" s="74" t="inlineStr">
        <is>
          <t>Stone</t>
        </is>
      </c>
      <c r="F96" s="74" t="inlineStr">
        <is>
          <t>originador</t>
        </is>
      </c>
      <c r="G96" s="74" t="inlineStr">
        <is>
          <t>Stone</t>
        </is>
      </c>
      <c r="H96" s="74" t="inlineStr">
        <is>
          <t>N/D</t>
        </is>
      </c>
      <c r="I96" s="74" t="inlineStr">
        <is>
          <t>N/D</t>
        </is>
      </c>
      <c r="J96" s="74" t="inlineStr">
        <is>
          <t>N/D</t>
        </is>
      </c>
      <c r="K96" s="74" t="inlineStr">
        <is>
          <t>IMG_8698.jpg</t>
        </is>
      </c>
      <c r="L96" s="74" t="inlineStr">
        <is>
          <t>Top 15 Financeiro; linha 1</t>
        </is>
      </c>
      <c r="M96" s="74" t="inlineStr">
        <is>
          <t>confirmado_legivel</t>
        </is>
      </c>
      <c r="N96" s="74" t="inlineStr">
        <is>
          <t>alta</t>
        </is>
      </c>
      <c r="O96" s="74" t="inlineStr">
        <is>
          <t>Originador transcrito da coluna da foto; complemento manual marcado com asterisco no slide.</t>
        </is>
      </c>
      <c r="P96" s="74" t="inlineStr">
        <is>
          <t>Flagships</t>
        </is>
      </c>
      <c r="Q96" s="74" t="inlineStr">
        <is>
          <t>cedente_originador_literal; papel_literal; originador</t>
        </is>
      </c>
      <c r="R96" s="74" t="b">
        <v>1</v>
      </c>
      <c r="S96" s="74" t="inlineStr">
        <is>
          <t>overlay aplicado somente em lacunas</t>
        </is>
      </c>
    </row>
    <row r="97" ht="36" customHeight="1">
      <c r="A97" s="160" t="inlineStr">
        <is>
          <t>62393679</t>
        </is>
      </c>
      <c r="B97" s="161" t="n">
        <v>62393679000183</v>
      </c>
      <c r="C97" s="75" t="inlineStr">
        <is>
          <t>correspondencia_unica</t>
        </is>
      </c>
      <c r="D97" s="75" t="inlineStr">
        <is>
          <t>CLOUDWALK BELA SEGMENTO MEIOS</t>
        </is>
      </c>
      <c r="E97" s="75" t="inlineStr">
        <is>
          <t>Cloudwalk</t>
        </is>
      </c>
      <c r="F97" s="75" t="inlineStr">
        <is>
          <t>originador</t>
        </is>
      </c>
      <c r="G97" s="75" t="inlineStr">
        <is>
          <t>Cloudwalk</t>
        </is>
      </c>
      <c r="H97" s="75" t="inlineStr">
        <is>
          <t>N/D</t>
        </is>
      </c>
      <c r="I97" s="75" t="inlineStr">
        <is>
          <t>N/D</t>
        </is>
      </c>
      <c r="J97" s="75" t="inlineStr">
        <is>
          <t>N/D</t>
        </is>
      </c>
      <c r="K97" s="75" t="inlineStr">
        <is>
          <t>IMG_8698.jpg</t>
        </is>
      </c>
      <c r="L97" s="75" t="inlineStr">
        <is>
          <t>Top 15 Financeiro; linha 2</t>
        </is>
      </c>
      <c r="M97" s="75" t="inlineStr">
        <is>
          <t>confirmado_legivel</t>
        </is>
      </c>
      <c r="N97" s="75" t="inlineStr">
        <is>
          <t>alta</t>
        </is>
      </c>
      <c r="O97" s="75" t="inlineStr">
        <is>
          <t>Originador transcrito da coluna da foto; complemento manual marcado com asterisco no slide.</t>
        </is>
      </c>
      <c r="P97" s="75" t="inlineStr">
        <is>
          <t>Flagships</t>
        </is>
      </c>
      <c r="Q97" s="75" t="inlineStr">
        <is>
          <t>cedente_originador_literal; papel_literal; originador</t>
        </is>
      </c>
      <c r="R97" s="75" t="b">
        <v>1</v>
      </c>
      <c r="S97" s="75" t="inlineStr">
        <is>
          <t>overlay aplicado somente em lacunas</t>
        </is>
      </c>
    </row>
    <row r="98" ht="36" customHeight="1">
      <c r="A98" s="158" t="inlineStr">
        <is>
          <t>63953619</t>
        </is>
      </c>
      <c r="B98" s="159" t="inlineStr">
        <is>
          <t>N/D</t>
        </is>
      </c>
      <c r="C98" s="74" t="inlineStr">
        <is>
          <t>sem_correspondencia</t>
        </is>
      </c>
      <c r="D98" s="74" t="inlineStr">
        <is>
          <t>MEU TUDO CONSIGNADO PRIVADO MATO GROSSO</t>
        </is>
      </c>
      <c r="E98" s="74" t="inlineStr">
        <is>
          <t>MeuTudo</t>
        </is>
      </c>
      <c r="F98" s="74" t="inlineStr">
        <is>
          <t>originador</t>
        </is>
      </c>
      <c r="G98" s="74" t="inlineStr">
        <is>
          <t>MeuTudo</t>
        </is>
      </c>
      <c r="H98" s="74" t="inlineStr">
        <is>
          <t>N/D</t>
        </is>
      </c>
      <c r="I98" s="74" t="inlineStr">
        <is>
          <t>N/D</t>
        </is>
      </c>
      <c r="J98" s="74" t="inlineStr">
        <is>
          <t>N/D</t>
        </is>
      </c>
      <c r="K98" s="74" t="inlineStr">
        <is>
          <t>IMG_8698.jpg</t>
        </is>
      </c>
      <c r="L98" s="74" t="inlineStr">
        <is>
          <t>Top 15 Financeiro; linha 3</t>
        </is>
      </c>
      <c r="M98" s="74" t="inlineStr">
        <is>
          <t>confirmado_legivel</t>
        </is>
      </c>
      <c r="N98" s="74" t="inlineStr">
        <is>
          <t>alta</t>
        </is>
      </c>
      <c r="O98" s="74" t="inlineStr">
        <is>
          <t>A foto informa o originador comercial; o cedente documental Parati permanece em campo separado.</t>
        </is>
      </c>
      <c r="P98" s="74" t="inlineStr">
        <is>
          <t>N/D</t>
        </is>
      </c>
      <c r="Q98" s="74" t="inlineStr">
        <is>
          <t>N/D</t>
        </is>
      </c>
      <c r="R98" s="74" t="b">
        <v>0</v>
      </c>
      <c r="S98" s="74" t="inlineStr">
        <is>
          <t>raiz de CNPJ não resolvida nas duas coortes</t>
        </is>
      </c>
    </row>
    <row r="99" ht="36" customHeight="1">
      <c r="A99" s="160" t="inlineStr">
        <is>
          <t>52242420</t>
        </is>
      </c>
      <c r="B99" s="161" t="inlineStr">
        <is>
          <t>N/D</t>
        </is>
      </c>
      <c r="C99" s="75" t="inlineStr">
        <is>
          <t>sem_correspondencia</t>
        </is>
      </c>
      <c r="D99" s="75" t="inlineStr">
        <is>
          <t>BTG PACTUAL CONSIGNADOS II</t>
        </is>
      </c>
      <c r="E99" s="75" t="inlineStr">
        <is>
          <t>Banco Pan</t>
        </is>
      </c>
      <c r="F99" s="75" t="inlineStr">
        <is>
          <t>originador</t>
        </is>
      </c>
      <c r="G99" s="75" t="inlineStr">
        <is>
          <t>Banco Pan</t>
        </is>
      </c>
      <c r="H99" s="75" t="inlineStr">
        <is>
          <t>N/D</t>
        </is>
      </c>
      <c r="I99" s="75" t="inlineStr">
        <is>
          <t>N/D</t>
        </is>
      </c>
      <c r="J99" s="75" t="inlineStr">
        <is>
          <t>N/D</t>
        </is>
      </c>
      <c r="K99" s="75" t="inlineStr">
        <is>
          <t>IMG_8698.jpg</t>
        </is>
      </c>
      <c r="L99" s="75" t="inlineStr">
        <is>
          <t>Top 15 Financeiro; linha 4</t>
        </is>
      </c>
      <c r="M99" s="75" t="inlineStr">
        <is>
          <t>confirmado_legivel</t>
        </is>
      </c>
      <c r="N99" s="75" t="inlineStr">
        <is>
          <t>alta</t>
        </is>
      </c>
      <c r="O99" s="75" t="inlineStr">
        <is>
          <t>Originador transcrito da coluna da foto; complemento manual marcado com asterisco no slide.</t>
        </is>
      </c>
      <c r="P99" s="75" t="inlineStr">
        <is>
          <t>N/D</t>
        </is>
      </c>
      <c r="Q99" s="75" t="inlineStr">
        <is>
          <t>N/D</t>
        </is>
      </c>
      <c r="R99" s="75" t="b">
        <v>0</v>
      </c>
      <c r="S99" s="75" t="inlineStr">
        <is>
          <t>raiz de CNPJ não resolvida nas duas coortes</t>
        </is>
      </c>
    </row>
    <row r="100" ht="36" customHeight="1">
      <c r="A100" s="158" t="inlineStr">
        <is>
          <t>26286939</t>
        </is>
      </c>
      <c r="B100" s="159" t="n">
        <v>26286939000158</v>
      </c>
      <c r="C100" s="74" t="inlineStr">
        <is>
          <t>correspondencia_unica</t>
        </is>
      </c>
      <c r="D100" s="74" t="inlineStr">
        <is>
          <t>CIELO</t>
        </is>
      </c>
      <c r="E100" s="74" t="inlineStr">
        <is>
          <t>Cielo</t>
        </is>
      </c>
      <c r="F100" s="74" t="inlineStr">
        <is>
          <t>originador</t>
        </is>
      </c>
      <c r="G100" s="74" t="inlineStr">
        <is>
          <t>Cielo</t>
        </is>
      </c>
      <c r="H100" s="74" t="inlineStr">
        <is>
          <t>N/D</t>
        </is>
      </c>
      <c r="I100" s="74" t="inlineStr">
        <is>
          <t>N/D</t>
        </is>
      </c>
      <c r="J100" s="74" t="inlineStr">
        <is>
          <t>N/D</t>
        </is>
      </c>
      <c r="K100" s="74" t="inlineStr">
        <is>
          <t>IMG_8698.jpg</t>
        </is>
      </c>
      <c r="L100" s="74" t="inlineStr">
        <is>
          <t>Top 15 Financeiro; linha 5</t>
        </is>
      </c>
      <c r="M100" s="74" t="inlineStr">
        <is>
          <t>confirmado_legivel</t>
        </is>
      </c>
      <c r="N100" s="74" t="inlineStr">
        <is>
          <t>alta</t>
        </is>
      </c>
      <c r="O100" s="74" t="inlineStr">
        <is>
          <t>A foto classifica Cielo como originador; eventual papel documental distinto prevalece.</t>
        </is>
      </c>
      <c r="P100" s="74" t="inlineStr">
        <is>
          <t>Flagships</t>
        </is>
      </c>
      <c r="Q100" s="74" t="inlineStr">
        <is>
          <t>cedente_originador_literal; papel_literal; originador</t>
        </is>
      </c>
      <c r="R100" s="74" t="b">
        <v>1</v>
      </c>
      <c r="S100" s="74" t="inlineStr">
        <is>
          <t>overlay aplicado somente em lacunas</t>
        </is>
      </c>
    </row>
    <row r="101" ht="36" customHeight="1">
      <c r="A101" s="160" t="inlineStr">
        <is>
          <t>50906397</t>
        </is>
      </c>
      <c r="B101" s="161" t="inlineStr">
        <is>
          <t>N/D</t>
        </is>
      </c>
      <c r="C101" s="75" t="inlineStr">
        <is>
          <t>sem_correspondencia</t>
        </is>
      </c>
      <c r="D101" s="75" t="inlineStr">
        <is>
          <t>BTG PACTUAL CONSIGNADOS</t>
        </is>
      </c>
      <c r="E101" s="75" t="inlineStr">
        <is>
          <t>Banco Pan</t>
        </is>
      </c>
      <c r="F101" s="75" t="inlineStr">
        <is>
          <t>originador</t>
        </is>
      </c>
      <c r="G101" s="75" t="inlineStr">
        <is>
          <t>Banco Pan</t>
        </is>
      </c>
      <c r="H101" s="75" t="inlineStr">
        <is>
          <t>N/D</t>
        </is>
      </c>
      <c r="I101" s="75" t="inlineStr">
        <is>
          <t>N/D</t>
        </is>
      </c>
      <c r="J101" s="75" t="inlineStr">
        <is>
          <t>N/D</t>
        </is>
      </c>
      <c r="K101" s="75" t="inlineStr">
        <is>
          <t>IMG_8698.jpg</t>
        </is>
      </c>
      <c r="L101" s="75" t="inlineStr">
        <is>
          <t>Top 15 Financeiro; linha 7</t>
        </is>
      </c>
      <c r="M101" s="75" t="inlineStr">
        <is>
          <t>confirmado_legivel</t>
        </is>
      </c>
      <c r="N101" s="75" t="inlineStr">
        <is>
          <t>alta</t>
        </is>
      </c>
      <c r="O101" s="75" t="inlineStr">
        <is>
          <t>Originador transcrito da coluna da foto; complemento manual marcado com asterisco no slide.</t>
        </is>
      </c>
      <c r="P101" s="75" t="inlineStr">
        <is>
          <t>N/D</t>
        </is>
      </c>
      <c r="Q101" s="75" t="inlineStr">
        <is>
          <t>N/D</t>
        </is>
      </c>
      <c r="R101" s="75" t="b">
        <v>0</v>
      </c>
      <c r="S101" s="75" t="inlineStr">
        <is>
          <t>raiz de CNPJ não resolvida nas duas coortes</t>
        </is>
      </c>
    </row>
    <row r="102" ht="36" customHeight="1">
      <c r="A102" s="158" t="inlineStr">
        <is>
          <t>42922136</t>
        </is>
      </c>
      <c r="B102" s="159" t="inlineStr">
        <is>
          <t>N/D</t>
        </is>
      </c>
      <c r="C102" s="74" t="inlineStr">
        <is>
          <t>sem_correspondencia</t>
        </is>
      </c>
      <c r="D102" s="74" t="inlineStr">
        <is>
          <t>MONEE I</t>
        </is>
      </c>
      <c r="E102" s="74" t="inlineStr">
        <is>
          <t>Shopee</t>
        </is>
      </c>
      <c r="F102" s="74" t="inlineStr">
        <is>
          <t>originador</t>
        </is>
      </c>
      <c r="G102" s="74" t="inlineStr">
        <is>
          <t>Shopee</t>
        </is>
      </c>
      <c r="H102" s="74" t="inlineStr">
        <is>
          <t>N/D</t>
        </is>
      </c>
      <c r="I102" s="74" t="inlineStr">
        <is>
          <t>N/D</t>
        </is>
      </c>
      <c r="J102" s="74" t="inlineStr">
        <is>
          <t>N/D</t>
        </is>
      </c>
      <c r="K102" s="74" t="inlineStr">
        <is>
          <t>IMG_8698.jpg</t>
        </is>
      </c>
      <c r="L102" s="74" t="inlineStr">
        <is>
          <t>Top 15 Financeiro; linha 8</t>
        </is>
      </c>
      <c r="M102" s="74" t="inlineStr">
        <is>
          <t>confirmado_legivel</t>
        </is>
      </c>
      <c r="N102" s="74" t="inlineStr">
        <is>
          <t>alta</t>
        </is>
      </c>
      <c r="O102" s="74" t="inlineStr">
        <is>
          <t>Rótulo comercial da foto; a entidade legal documental SHPP Brasil IP prevalece.</t>
        </is>
      </c>
      <c r="P102" s="74" t="inlineStr">
        <is>
          <t>N/D</t>
        </is>
      </c>
      <c r="Q102" s="74" t="inlineStr">
        <is>
          <t>N/D</t>
        </is>
      </c>
      <c r="R102" s="74" t="b">
        <v>0</v>
      </c>
      <c r="S102" s="74" t="inlineStr">
        <is>
          <t>raiz de CNPJ não resolvida nas duas coortes</t>
        </is>
      </c>
    </row>
    <row r="103" ht="36" customHeight="1">
      <c r="A103" s="160" t="inlineStr">
        <is>
          <t>32527650</t>
        </is>
      </c>
      <c r="B103" s="161" t="inlineStr">
        <is>
          <t>N/D</t>
        </is>
      </c>
      <c r="C103" s="75" t="inlineStr">
        <is>
          <t>sem_correspondencia</t>
        </is>
      </c>
      <c r="D103" s="75" t="inlineStr">
        <is>
          <t>PICPAY I</t>
        </is>
      </c>
      <c r="E103" s="75" t="inlineStr">
        <is>
          <t>PicPay</t>
        </is>
      </c>
      <c r="F103" s="75" t="inlineStr">
        <is>
          <t>originador</t>
        </is>
      </c>
      <c r="G103" s="75" t="inlineStr">
        <is>
          <t>PicPay</t>
        </is>
      </c>
      <c r="H103" s="75" t="inlineStr">
        <is>
          <t>N/D</t>
        </is>
      </c>
      <c r="I103" s="75" t="inlineStr">
        <is>
          <t>N/D</t>
        </is>
      </c>
      <c r="J103" s="75" t="inlineStr">
        <is>
          <t>N/D</t>
        </is>
      </c>
      <c r="K103" s="75" t="inlineStr">
        <is>
          <t>IMG_8698.jpg</t>
        </is>
      </c>
      <c r="L103" s="75" t="inlineStr">
        <is>
          <t>Top 15 Financeiro; linha 9</t>
        </is>
      </c>
      <c r="M103" s="75" t="inlineStr">
        <is>
          <t>confirmado_legivel</t>
        </is>
      </c>
      <c r="N103" s="75" t="inlineStr">
        <is>
          <t>alta</t>
        </is>
      </c>
      <c r="O103" s="75" t="inlineStr">
        <is>
          <t>Originador transcrito da coluna da foto; complemento manual marcado com asterisco no slide.</t>
        </is>
      </c>
      <c r="P103" s="75" t="inlineStr">
        <is>
          <t>N/D</t>
        </is>
      </c>
      <c r="Q103" s="75" t="inlineStr">
        <is>
          <t>N/D</t>
        </is>
      </c>
      <c r="R103" s="75" t="b">
        <v>0</v>
      </c>
      <c r="S103" s="75" t="inlineStr">
        <is>
          <t>raiz de CNPJ não resolvida nas duas coortes</t>
        </is>
      </c>
    </row>
    <row r="104" ht="36" customHeight="1">
      <c r="A104" s="158" t="inlineStr">
        <is>
          <t>61285603</t>
        </is>
      </c>
      <c r="B104" s="159" t="inlineStr">
        <is>
          <t>N/D</t>
        </is>
      </c>
      <c r="C104" s="74" t="inlineStr">
        <is>
          <t>sem_correspondencia</t>
        </is>
      </c>
      <c r="D104" s="74" t="inlineStr">
        <is>
          <t>MAROBA FUNDO DE INVESTIMENTO</t>
        </is>
      </c>
      <c r="E104" s="74" t="inlineStr">
        <is>
          <t>Itaú BBA</t>
        </is>
      </c>
      <c r="F104" s="74" t="inlineStr">
        <is>
          <t>originador</t>
        </is>
      </c>
      <c r="G104" s="74" t="inlineStr">
        <is>
          <t>Itaú BBA</t>
        </is>
      </c>
      <c r="H104" s="74" t="inlineStr">
        <is>
          <t>N/D</t>
        </is>
      </c>
      <c r="I104" s="74" t="inlineStr">
        <is>
          <t>N/D</t>
        </is>
      </c>
      <c r="J104" s="74" t="inlineStr">
        <is>
          <t>N/D</t>
        </is>
      </c>
      <c r="K104" s="74" t="inlineStr">
        <is>
          <t>IMG_8698.jpg</t>
        </is>
      </c>
      <c r="L104" s="74" t="inlineStr">
        <is>
          <t>Top 15 Financeiro; linha 10</t>
        </is>
      </c>
      <c r="M104" s="74" t="inlineStr">
        <is>
          <t>confirmado_legivel</t>
        </is>
      </c>
      <c r="N104" s="74" t="inlineStr">
        <is>
          <t>alta</t>
        </is>
      </c>
      <c r="O104" s="74" t="inlineStr">
        <is>
          <t>Originador transcrito da coluna da foto; complemento manual marcado com asterisco no slide.</t>
        </is>
      </c>
      <c r="P104" s="74" t="inlineStr">
        <is>
          <t>N/D</t>
        </is>
      </c>
      <c r="Q104" s="74" t="inlineStr">
        <is>
          <t>N/D</t>
        </is>
      </c>
      <c r="R104" s="74" t="b">
        <v>0</v>
      </c>
      <c r="S104" s="74" t="inlineStr">
        <is>
          <t>raiz de CNPJ não resolvida nas duas coortes</t>
        </is>
      </c>
    </row>
    <row r="105" ht="36" customHeight="1">
      <c r="A105" s="160" t="inlineStr">
        <is>
          <t>21126275</t>
        </is>
      </c>
      <c r="B105" s="161" t="inlineStr">
        <is>
          <t>N/D</t>
        </is>
      </c>
      <c r="C105" s="75" t="inlineStr">
        <is>
          <t>sem_correspondencia</t>
        </is>
      </c>
      <c r="D105" s="75" t="inlineStr">
        <is>
          <t>VENDA DE VEICULOS</t>
        </is>
      </c>
      <c r="E105" s="75" t="inlineStr">
        <is>
          <t>Nissan, Renault e Geely (RCI)</t>
        </is>
      </c>
      <c r="F105" s="75" t="inlineStr">
        <is>
          <t>originador</t>
        </is>
      </c>
      <c r="G105" s="75" t="inlineStr">
        <is>
          <t>Nissan, Renault e Geely (RCI)</t>
        </is>
      </c>
      <c r="H105" s="75" t="inlineStr">
        <is>
          <t>N/D</t>
        </is>
      </c>
      <c r="I105" s="75" t="inlineStr">
        <is>
          <t>N/D</t>
        </is>
      </c>
      <c r="J105" s="75" t="inlineStr">
        <is>
          <t>N/D</t>
        </is>
      </c>
      <c r="K105" s="75" t="inlineStr">
        <is>
          <t>IMG_8698.jpg</t>
        </is>
      </c>
      <c r="L105" s="75" t="inlineStr">
        <is>
          <t>Top 15 Financeiro; linha 11</t>
        </is>
      </c>
      <c r="M105" s="75" t="inlineStr">
        <is>
          <t>confirmado_legivel</t>
        </is>
      </c>
      <c r="N105" s="75" t="inlineStr">
        <is>
          <t>alta</t>
        </is>
      </c>
      <c r="O105" s="75" t="inlineStr">
        <is>
          <t>Nissan e Renault também constam documentalmente como cedentes; Geely permanece apoiada somente pela foto.</t>
        </is>
      </c>
      <c r="P105" s="75" t="inlineStr">
        <is>
          <t>N/D</t>
        </is>
      </c>
      <c r="Q105" s="75" t="inlineStr">
        <is>
          <t>N/D</t>
        </is>
      </c>
      <c r="R105" s="75" t="b">
        <v>0</v>
      </c>
      <c r="S105" s="75" t="inlineStr">
        <is>
          <t>raiz de CNPJ não resolvida nas duas coortes</t>
        </is>
      </c>
    </row>
    <row r="106" ht="36" customHeight="1">
      <c r="A106" s="158" t="inlineStr">
        <is>
          <t>54979779</t>
        </is>
      </c>
      <c r="B106" s="159" t="n">
        <v>54979779000168</v>
      </c>
      <c r="C106" s="74" t="inlineStr">
        <is>
          <t>correspondencia_unica</t>
        </is>
      </c>
      <c r="D106" s="74" t="inlineStr">
        <is>
          <t>FIDC ACR BEM BANCOS EMISSORES</t>
        </is>
      </c>
      <c r="E106" s="74" t="inlineStr">
        <is>
          <t>Stone</t>
        </is>
      </c>
      <c r="F106" s="74" t="inlineStr">
        <is>
          <t>originador</t>
        </is>
      </c>
      <c r="G106" s="74" t="inlineStr">
        <is>
          <t>Stone</t>
        </is>
      </c>
      <c r="H106" s="74" t="inlineStr">
        <is>
          <t>N/D</t>
        </is>
      </c>
      <c r="I106" s="74" t="inlineStr">
        <is>
          <t>N/D</t>
        </is>
      </c>
      <c r="J106" s="74" t="inlineStr">
        <is>
          <t>N/D</t>
        </is>
      </c>
      <c r="K106" s="74" t="inlineStr">
        <is>
          <t>IMG_8698.jpg</t>
        </is>
      </c>
      <c r="L106" s="74" t="inlineStr">
        <is>
          <t>Top 15 Financeiro; linha 12</t>
        </is>
      </c>
      <c r="M106" s="74" t="inlineStr">
        <is>
          <t>confirmado_legivel</t>
        </is>
      </c>
      <c r="N106" s="74" t="inlineStr">
        <is>
          <t>alta</t>
        </is>
      </c>
      <c r="O106" s="74" t="inlineStr">
        <is>
          <t>Originador transcrito da coluna da foto; complemento manual marcado com asterisco no slide.</t>
        </is>
      </c>
      <c r="P106" s="74" t="inlineStr">
        <is>
          <t>Flagships</t>
        </is>
      </c>
      <c r="Q106" s="74" t="inlineStr">
        <is>
          <t>cedente_originador_literal; papel_literal; originador</t>
        </is>
      </c>
      <c r="R106" s="74" t="b">
        <v>1</v>
      </c>
      <c r="S106" s="74" t="inlineStr">
        <is>
          <t>overlay aplicado somente em lacunas</t>
        </is>
      </c>
    </row>
    <row r="107" ht="36" customHeight="1">
      <c r="A107" s="160" t="inlineStr">
        <is>
          <t>12817329</t>
        </is>
      </c>
      <c r="B107" s="161" t="inlineStr">
        <is>
          <t>N/D</t>
        </is>
      </c>
      <c r="C107" s="75" t="inlineStr">
        <is>
          <t>sem_correspondencia</t>
        </is>
      </c>
      <c r="D107" s="75" t="inlineStr">
        <is>
          <t>HAVAN SEGMENTO ECONOMICO</t>
        </is>
      </c>
      <c r="E107" s="75" t="inlineStr">
        <is>
          <t>Havan</t>
        </is>
      </c>
      <c r="F107" s="75" t="inlineStr">
        <is>
          <t>originador</t>
        </is>
      </c>
      <c r="G107" s="75" t="inlineStr">
        <is>
          <t>Havan</t>
        </is>
      </c>
      <c r="H107" s="75" t="inlineStr">
        <is>
          <t>N/D</t>
        </is>
      </c>
      <c r="I107" s="75" t="inlineStr">
        <is>
          <t>N/D</t>
        </is>
      </c>
      <c r="J107" s="75" t="inlineStr">
        <is>
          <t>N/D</t>
        </is>
      </c>
      <c r="K107" s="75" t="inlineStr">
        <is>
          <t>IMG_8698.jpg</t>
        </is>
      </c>
      <c r="L107" s="75" t="inlineStr">
        <is>
          <t>Top 15 Financeiro; linha 13</t>
        </is>
      </c>
      <c r="M107" s="75" t="inlineStr">
        <is>
          <t>confirmado_legivel</t>
        </is>
      </c>
      <c r="N107" s="75" t="inlineStr">
        <is>
          <t>alta</t>
        </is>
      </c>
      <c r="O107" s="75" t="inlineStr">
        <is>
          <t>Havan S.A. também consta documentalmente como cedente; os papéis permanecem separados.</t>
        </is>
      </c>
      <c r="P107" s="75" t="inlineStr">
        <is>
          <t>N/D</t>
        </is>
      </c>
      <c r="Q107" s="75" t="inlineStr">
        <is>
          <t>N/D</t>
        </is>
      </c>
      <c r="R107" s="75" t="b">
        <v>0</v>
      </c>
      <c r="S107" s="75" t="inlineStr">
        <is>
          <t>raiz de CNPJ não resolvida nas duas coortes</t>
        </is>
      </c>
    </row>
    <row r="108" ht="36" customHeight="1">
      <c r="A108" s="158" t="inlineStr">
        <is>
          <t>60356171</t>
        </is>
      </c>
      <c r="B108" s="159" t="n">
        <v>60356171000180</v>
      </c>
      <c r="C108" s="74" t="inlineStr">
        <is>
          <t>correspondencia_unica</t>
        </is>
      </c>
      <c r="D108" s="74" t="inlineStr">
        <is>
          <t>CLOUDWALK PI SEGMENTO MEIOS</t>
        </is>
      </c>
      <c r="E108" s="74" t="inlineStr">
        <is>
          <t>Cloudwalk</t>
        </is>
      </c>
      <c r="F108" s="74" t="inlineStr">
        <is>
          <t>originador</t>
        </is>
      </c>
      <c r="G108" s="74" t="inlineStr">
        <is>
          <t>Cloudwalk</t>
        </is>
      </c>
      <c r="H108" s="74" t="inlineStr">
        <is>
          <t>N/D</t>
        </is>
      </c>
      <c r="I108" s="74" t="inlineStr">
        <is>
          <t>N/D</t>
        </is>
      </c>
      <c r="J108" s="74" t="inlineStr">
        <is>
          <t>N/D</t>
        </is>
      </c>
      <c r="K108" s="74" t="inlineStr">
        <is>
          <t>IMG_8698.jpg</t>
        </is>
      </c>
      <c r="L108" s="74" t="inlineStr">
        <is>
          <t>Top 15 Financeiro; linha 15</t>
        </is>
      </c>
      <c r="M108" s="74" t="inlineStr">
        <is>
          <t>confirmado_legivel</t>
        </is>
      </c>
      <c r="N108" s="74" t="inlineStr">
        <is>
          <t>alta</t>
        </is>
      </c>
      <c r="O108" s="74" t="inlineStr">
        <is>
          <t>O documento já identifica Cloudwalk IP como originador/cedente; a foto funciona como complemento manual.</t>
        </is>
      </c>
      <c r="P108" s="74" t="inlineStr">
        <is>
          <t>Flagships</t>
        </is>
      </c>
      <c r="Q108" s="74" t="inlineStr">
        <is>
          <t>cedente_originador_literal; papel_literal; originador</t>
        </is>
      </c>
      <c r="R108" s="74" t="b">
        <v>1</v>
      </c>
      <c r="S108" s="74" t="inlineStr">
        <is>
          <t>overlay aplicado somente em lacunas</t>
        </is>
      </c>
    </row>
  </sheetData>
  <mergeCells count="2">
    <mergeCell ref="A2:S2"/>
    <mergeCell ref="A1:S1"/>
  </mergeCells>
  <conditionalFormatting sqref="M5:M108">
    <cfRule type="containsText" priority="1" operator="containsText" dxfId="2" text="confirmado_legivel"/>
    <cfRule type="containsText" priority="2" operator="containsText" dxfId="1" text="revisao"/>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cols>
    <col width="15.63000011444092" customWidth="1" min="1" max="1"/>
    <col width="18.1299991607666" customWidth="1" min="2" max="2"/>
    <col width="28.75" customWidth="1" min="3" max="3"/>
    <col width="22.5" customWidth="1" min="4" max="4"/>
    <col width="19.3799991607666" customWidth="1" min="5" max="5"/>
    <col width="23.75" customWidth="1" min="6" max="6"/>
    <col width="11.88000011444092" customWidth="1" min="7" max="7"/>
    <col width="16.8799991607666" customWidth="1" min="8" max="8"/>
    <col width="17.5" customWidth="1" min="9" max="9"/>
    <col width="18.75" customWidth="1" min="10" max="10"/>
    <col width="15.63000011444092" customWidth="1" min="11" max="11"/>
    <col width="10" customWidth="1" min="12" max="12"/>
    <col width="21.25" customWidth="1" min="13" max="13"/>
    <col width="17.5" customWidth="1" min="14" max="14"/>
    <col width="48.75" customWidth="1" min="15" max="15"/>
    <col width="48.75" customWidth="1" min="16" max="16"/>
    <col width="77.5" customWidth="1" min="17" max="17"/>
  </cols>
  <sheetData>
    <row r="1" ht="25.5" customHeight="1">
      <c r="A1" s="26" t="inlineStr">
        <is>
          <t>Preços por cota · VNU, emissão, subscrição ou integralização</t>
        </is>
      </c>
    </row>
    <row r="2" ht="22.5" customHeight="1">
      <c r="A2" s="29" t="inlineStr">
        <is>
          <t>Uma linha por CNPJ e classe/série documentada. Quantidade, remuneração, taxa e spread não compõem o campo de preço; o trecho-fonte permanece integral. * identifica leitura excepcional.</t>
        </is>
      </c>
    </row>
    <row r="4" ht="25.5" customHeight="1">
      <c r="A4" s="32" t="inlineStr">
        <is>
          <t>CNPJ</t>
        </is>
      </c>
      <c r="B4" s="32" t="inlineStr">
        <is>
          <t>CNPJ formatado</t>
        </is>
      </c>
      <c r="C4" s="32" t="inlineStr">
        <is>
          <t>Classe / série</t>
        </is>
      </c>
      <c r="D4" s="32" t="inlineStr">
        <is>
          <t>Preço unitário · leitura</t>
        </is>
      </c>
      <c r="E4" s="32" t="inlineStr">
        <is>
          <t>Preço unitário · R$</t>
        </is>
      </c>
      <c r="F4" s="32" t="inlineStr">
        <is>
          <t>Natureza</t>
        </is>
      </c>
      <c r="G4" s="32" t="inlineStr">
        <is>
          <t>Exceção*</t>
        </is>
      </c>
      <c r="H4" s="32" t="inlineStr">
        <is>
          <t>Tipo de fonte</t>
        </is>
      </c>
      <c r="I4" s="32" t="inlineStr">
        <is>
          <t>Documento</t>
        </is>
      </c>
      <c r="J4" s="32" t="inlineStr">
        <is>
          <t>Classe documental</t>
        </is>
      </c>
      <c r="K4" s="32" t="inlineStr">
        <is>
          <t>Data do documento</t>
        </is>
      </c>
      <c r="L4" s="32" t="inlineStr">
        <is>
          <t>Página</t>
        </is>
      </c>
      <c r="M4" s="32" t="inlineStr">
        <is>
          <t>Status</t>
        </is>
      </c>
      <c r="N4" s="32" t="inlineStr">
        <is>
          <t>Aprovado para export?</t>
        </is>
      </c>
      <c r="O4" s="32" t="inlineStr">
        <is>
          <t>Caminho da fonte</t>
        </is>
      </c>
      <c r="P4" s="32" t="inlineStr">
        <is>
          <t>Link da fonte</t>
        </is>
      </c>
      <c r="Q4" s="32" t="inlineStr">
        <is>
          <t>Trecho documental</t>
        </is>
      </c>
    </row>
    <row r="5" ht="40.5" customHeight="1">
      <c r="A5" s="134" t="n">
        <v>11468186000124</v>
      </c>
      <c r="B5" s="73" t="inlineStr">
        <is>
          <t>11.468.186/0001-24</t>
        </is>
      </c>
      <c r="C5" s="73" t="inlineStr">
        <is>
          <t>Cotas Seniores</t>
        </is>
      </c>
      <c r="D5" s="73" t="inlineStr">
        <is>
          <t>R$ 1.000.000,00</t>
        </is>
      </c>
      <c r="E5" s="135" t="n">
        <v>1000000</v>
      </c>
      <c r="F5" s="73" t="inlineStr">
        <is>
          <t>preço/valor unitário de emissão</t>
        </is>
      </c>
      <c r="G5" s="73" t="b">
        <v>0</v>
      </c>
      <c r="H5" s="73" t="inlineStr">
        <is>
          <t>regulamento</t>
        </is>
      </c>
      <c r="I5" s="73" t="n">
        <v>1130308</v>
      </c>
      <c r="J5" s="73" t="inlineStr">
        <is>
          <t>Regulamento</t>
        </is>
      </c>
      <c r="K5" s="73" t="inlineStr">
        <is>
          <t>06/03/2026</t>
        </is>
      </c>
      <c r="L5" s="73" t="n">
        <v>78</v>
      </c>
      <c r="M5" s="73" t="inlineStr">
        <is>
          <t>encontrado_explicito</t>
        </is>
      </c>
      <c r="N5" s="73" t="b">
        <v>1</v>
      </c>
      <c r="O5" s="73" t="inlineStr">
        <is>
          <t>.cache/carteira_101_document_scan/11468186000124/1130308.json.gz</t>
        </is>
      </c>
      <c r="P5" s="73" t="inlineStr">
        <is>
          <t>https://fnet.bmfbovespa.com.br/fnet/publico/downloadDocumento?id=1130308</t>
        </is>
      </c>
      <c r="Q5" s="73" t="inlineStr">
        <is>
          <t>]ª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t>
        </is>
      </c>
    </row>
    <row r="6" ht="40.5" customHeight="1">
      <c r="A6" s="138" t="n">
        <v>11468186000124</v>
      </c>
      <c r="B6" s="74" t="inlineStr">
        <is>
          <t>11.468.186/0001-24</t>
        </is>
      </c>
      <c r="C6" s="74" t="inlineStr">
        <is>
          <t>N/D</t>
        </is>
      </c>
      <c r="D6" s="74" t="inlineStr">
        <is>
          <t>R$ 1.000.000,00</t>
        </is>
      </c>
      <c r="E6" s="139" t="n">
        <v>1000000</v>
      </c>
      <c r="F6" s="74" t="inlineStr">
        <is>
          <t>preço/valor unitário de emissão</t>
        </is>
      </c>
      <c r="G6" s="74" t="b">
        <v>1</v>
      </c>
      <c r="H6" s="74" t="inlineStr">
        <is>
          <t>emissao</t>
        </is>
      </c>
      <c r="I6" s="74" t="n">
        <v>1120717</v>
      </c>
      <c r="J6" s="74" t="inlineStr">
        <is>
          <t>Atos de Deliberação do Administrador Instrumento Particular de Emissão de Cotas</t>
        </is>
      </c>
      <c r="K6" s="74" t="inlineStr">
        <is>
          <t>20/02/2026</t>
        </is>
      </c>
      <c r="L6" s="74" t="n">
        <v>2</v>
      </c>
      <c r="M6" s="74" t="inlineStr">
        <is>
          <t>encontrado_explicito</t>
        </is>
      </c>
      <c r="N6" s="74" t="b">
        <v>1</v>
      </c>
      <c r="O6" s="74" t="inlineStr">
        <is>
          <t>.cache/carteira_101_document_scan/11468186000124/1120717.json.gz</t>
        </is>
      </c>
      <c r="P6" s="74" t="inlineStr">
        <is>
          <t>https://fnet.bmfbovespa.com.br/fnet/publico/downloadDocumento?id=1120717</t>
        </is>
      </c>
      <c r="Q6" s="74" t="inlineStr">
        <is>
          <t>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t>
        </is>
      </c>
    </row>
    <row r="7" ht="40.5" customHeight="1">
      <c r="A7" s="142" t="n">
        <v>11468186000124</v>
      </c>
      <c r="B7" s="75" t="inlineStr">
        <is>
          <t>11.468.186/0001-24</t>
        </is>
      </c>
      <c r="C7" s="75" t="inlineStr">
        <is>
          <t>Série de Cotas Seniores</t>
        </is>
      </c>
      <c r="D7" s="75" t="inlineStr">
        <is>
          <t>R$ 1.000,00</t>
        </is>
      </c>
      <c r="E7" s="143" t="n">
        <v>1000</v>
      </c>
      <c r="F7" s="75" t="inlineStr">
        <is>
          <t>preço/valor unitário de emissão</t>
        </is>
      </c>
      <c r="G7" s="75" t="b">
        <v>0</v>
      </c>
      <c r="H7" s="75" t="inlineStr">
        <is>
          <t>assembleia</t>
        </is>
      </c>
      <c r="I7" s="75" t="n">
        <v>1179390</v>
      </c>
      <c r="J7" s="75" t="inlineStr">
        <is>
          <t>Assembleia AGE Ata da Assembleia</t>
        </is>
      </c>
      <c r="K7" s="75" t="inlineStr">
        <is>
          <t>23/04/2026 13:00</t>
        </is>
      </c>
      <c r="L7" s="75" t="n">
        <v>3</v>
      </c>
      <c r="M7" s="75" t="inlineStr">
        <is>
          <t>encontrado_explicito</t>
        </is>
      </c>
      <c r="N7" s="75" t="b">
        <v>1</v>
      </c>
      <c r="O7" s="75" t="inlineStr">
        <is>
          <t>.cache/carteira_101_document_scan/11468186000124/1179390.json.gz</t>
        </is>
      </c>
      <c r="P7" s="75" t="inlineStr">
        <is>
          <t>https://fnet.bmfbovespa.com.br/fnet/publico/downloadDocumento?id=1179390</t>
        </is>
      </c>
      <c r="Q7" s="75" t="inlineStr">
        <is>
          <t>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t>
        </is>
      </c>
    </row>
    <row r="8" ht="40.5" customHeight="1">
      <c r="A8" s="138" t="n">
        <v>17468142000180</v>
      </c>
      <c r="B8" s="74" t="inlineStr">
        <is>
          <t>17.468.142/0001-80</t>
        </is>
      </c>
      <c r="C8" s="74" t="inlineStr">
        <is>
          <t>Cotas Subordinadas Mezanino</t>
        </is>
      </c>
      <c r="D8" s="74" t="inlineStr">
        <is>
          <t>R$100.000,00</t>
        </is>
      </c>
      <c r="E8" s="139" t="n">
        <v>100000</v>
      </c>
      <c r="F8" s="74" t="inlineStr">
        <is>
          <t>preço/valor unitário de emissão</t>
        </is>
      </c>
      <c r="G8" s="74" t="b">
        <v>0</v>
      </c>
      <c r="H8" s="74" t="inlineStr">
        <is>
          <t>regulamento</t>
        </is>
      </c>
      <c r="I8" s="74" t="n">
        <v>1271235</v>
      </c>
      <c r="J8" s="74" t="inlineStr">
        <is>
          <t>Regulamento</t>
        </is>
      </c>
      <c r="K8" s="74" t="inlineStr">
        <is>
          <t>30/07/2026</t>
        </is>
      </c>
      <c r="L8" s="74" t="n">
        <v>82</v>
      </c>
      <c r="M8" s="74" t="inlineStr">
        <is>
          <t>encontrado_explicito</t>
        </is>
      </c>
      <c r="N8" s="74" t="b">
        <v>1</v>
      </c>
      <c r="O8" s="74" t="inlineStr">
        <is>
          <t>.cache/carteira_101_document_scan/17468142000180/1271235.json.gz</t>
        </is>
      </c>
      <c r="P8" s="74" t="inlineStr">
        <is>
          <t>https://fnet.bmfbovespa.com.br/fnet/publico/downloadDocumento?id=1271235</t>
        </is>
      </c>
      <c r="Q8" s="74" t="inlineStr">
        <is>
          <t>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t>
        </is>
      </c>
    </row>
    <row r="9" ht="40.5" customHeight="1">
      <c r="A9" s="142" t="n">
        <v>18185812000114</v>
      </c>
      <c r="B9" s="75" t="inlineStr">
        <is>
          <t>18.185.812/0001-14</t>
        </is>
      </c>
      <c r="C9" s="75" t="inlineStr">
        <is>
          <t>Cotas Seniores</t>
        </is>
      </c>
      <c r="D9" s="75" t="inlineStr">
        <is>
          <t>R$ 1.000,00</t>
        </is>
      </c>
      <c r="E9" s="143" t="n">
        <v>1000</v>
      </c>
      <c r="F9" s="75" t="inlineStr">
        <is>
          <t>preço/valor unitário de emissão</t>
        </is>
      </c>
      <c r="G9" s="75" t="b">
        <v>0</v>
      </c>
      <c r="H9" s="75" t="inlineStr">
        <is>
          <t>regulamento</t>
        </is>
      </c>
      <c r="I9" s="75" t="n">
        <v>1011996</v>
      </c>
      <c r="J9" s="75" t="inlineStr">
        <is>
          <t>regulamento</t>
        </is>
      </c>
      <c r="K9" s="75" t="inlineStr">
        <is>
          <t>2025-10-13</t>
        </is>
      </c>
      <c r="L9" s="75" t="n">
        <v>45</v>
      </c>
      <c r="M9" s="75" t="inlineStr">
        <is>
          <t>encontrado_explicito</t>
        </is>
      </c>
      <c r="N9" s="75" t="b">
        <v>1</v>
      </c>
      <c r="O9" s="75" t="inlineStr">
        <is>
          <t>data/raw/18185812000114/1011996_regulamento_regulamento_1011996_2025-10-13.pdf</t>
        </is>
      </c>
      <c r="P9" s="75" t="inlineStr">
        <is>
          <t>https://fnet.bmfbovespa.com.br/fnet/publico/downloadDocumento?id=1011996</t>
        </is>
      </c>
      <c r="Q9" s="75" t="inlineStr">
        <is>
          <t>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t>
        </is>
      </c>
    </row>
    <row r="10" ht="40.5" customHeight="1">
      <c r="A10" s="138" t="n">
        <v>18185812000114</v>
      </c>
      <c r="B10" s="74" t="inlineStr">
        <is>
          <t>18.185.812/0001-14</t>
        </is>
      </c>
      <c r="C10" s="74" t="inlineStr">
        <is>
          <t>Cotas Subordinadas</t>
        </is>
      </c>
      <c r="D10" s="74" t="inlineStr">
        <is>
          <t>R$ 1.000,00</t>
        </is>
      </c>
      <c r="E10" s="139" t="n">
        <v>1000</v>
      </c>
      <c r="F10" s="74" t="inlineStr">
        <is>
          <t>preço/valor unitário de emissão</t>
        </is>
      </c>
      <c r="G10" s="74" t="b">
        <v>0</v>
      </c>
      <c r="H10" s="74" t="inlineStr">
        <is>
          <t>regulamento</t>
        </is>
      </c>
      <c r="I10" s="74" t="n">
        <v>1011996</v>
      </c>
      <c r="J10" s="74" t="inlineStr">
        <is>
          <t>regulamento</t>
        </is>
      </c>
      <c r="K10" s="74" t="inlineStr">
        <is>
          <t>2025-10-13</t>
        </is>
      </c>
      <c r="L10" s="74" t="n">
        <v>44</v>
      </c>
      <c r="M10" s="74" t="inlineStr">
        <is>
          <t>encontrado_explicito</t>
        </is>
      </c>
      <c r="N10" s="74" t="b">
        <v>1</v>
      </c>
      <c r="O10" s="74" t="inlineStr">
        <is>
          <t>data/raw/18185812000114/1011996_regulamento_regulamento_1011996_2025-10-13.pdf</t>
        </is>
      </c>
      <c r="P10" s="74" t="inlineStr">
        <is>
          <t>https://fnet.bmfbovespa.com.br/fnet/publico/downloadDocumento?id=1011996</t>
        </is>
      </c>
      <c r="Q10" s="74" t="inlineStr">
        <is>
          <t>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t>
        </is>
      </c>
    </row>
    <row r="11" ht="40.5" customHeight="1">
      <c r="A11" s="142" t="n">
        <v>18185812000114</v>
      </c>
      <c r="B11" s="75" t="inlineStr">
        <is>
          <t>18.185.812/0001-14</t>
        </is>
      </c>
      <c r="C11" s="75" t="inlineStr">
        <is>
          <t>Cotas Subordinadas Mezanino</t>
        </is>
      </c>
      <c r="D11" s="75" t="inlineStr">
        <is>
          <t>R$ 1.000,00</t>
        </is>
      </c>
      <c r="E11" s="143" t="n">
        <v>1000</v>
      </c>
      <c r="F11" s="75" t="inlineStr">
        <is>
          <t>preço/valor unitário de emissão</t>
        </is>
      </c>
      <c r="G11" s="75" t="b">
        <v>0</v>
      </c>
      <c r="H11" s="75" t="inlineStr">
        <is>
          <t>regulamento</t>
        </is>
      </c>
      <c r="I11" s="75" t="n">
        <v>1011996</v>
      </c>
      <c r="J11" s="75" t="inlineStr">
        <is>
          <t>regulamento</t>
        </is>
      </c>
      <c r="K11" s="75" t="inlineStr">
        <is>
          <t>2025-10-13</t>
        </is>
      </c>
      <c r="L11" s="75" t="n">
        <v>45</v>
      </c>
      <c r="M11" s="75" t="inlineStr">
        <is>
          <t>encontrado_explicito</t>
        </is>
      </c>
      <c r="N11" s="75" t="b">
        <v>1</v>
      </c>
      <c r="O11" s="75" t="inlineStr">
        <is>
          <t>data/raw/18185812000114/1011996_regulamento_regulamento_1011996_2025-10-13.pdf</t>
        </is>
      </c>
      <c r="P11" s="75" t="inlineStr">
        <is>
          <t>https://fnet.bmfbovespa.com.br/fnet/publico/downloadDocumento?id=1011996</t>
        </is>
      </c>
      <c r="Q11" s="75" t="inlineStr">
        <is>
          <t>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t>
        </is>
      </c>
    </row>
    <row r="12" ht="40.5" customHeight="1">
      <c r="A12" s="138" t="n">
        <v>18185812000114</v>
      </c>
      <c r="B12" s="74" t="inlineStr">
        <is>
          <t>18.185.812/0001-14</t>
        </is>
      </c>
      <c r="C12" s="74" t="inlineStr">
        <is>
          <t>N/D</t>
        </is>
      </c>
      <c r="D12" s="74" t="inlineStr">
        <is>
          <t>R$ 1.000,00</t>
        </is>
      </c>
      <c r="E12" s="139" t="n">
        <v>1000</v>
      </c>
      <c r="F12" s="74" t="inlineStr">
        <is>
          <t>preço/valor unitário de emissão</t>
        </is>
      </c>
      <c r="G12" s="74" t="b">
        <v>1</v>
      </c>
      <c r="H12" s="74" t="inlineStr">
        <is>
          <t>assembleia</t>
        </is>
      </c>
      <c r="I12" s="74" t="n">
        <v>1179105</v>
      </c>
      <c r="J12" s="74" t="inlineStr">
        <is>
          <t>assembleia</t>
        </is>
      </c>
      <c r="K12" s="74" t="inlineStr">
        <is>
          <t>2026-04-27</t>
        </is>
      </c>
      <c r="L12" s="74" t="n">
        <v>3</v>
      </c>
      <c r="M12" s="74" t="inlineStr">
        <is>
          <t>encontrado_explicito</t>
        </is>
      </c>
      <c r="N12" s="74" t="b">
        <v>1</v>
      </c>
      <c r="O12" s="74" t="inlineStr">
        <is>
          <t>data/raw/18185812000114/1179105_assembleia_assembleia_1179105_2026-04-27.pdf</t>
        </is>
      </c>
      <c r="P12" s="74" t="inlineStr">
        <is>
          <t>https://fnet.bmfbovespa.com.br/fnet/publico/downloadDocumento?id=1179105</t>
        </is>
      </c>
      <c r="Q12" s="74" t="inlineStr">
        <is>
          <t>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t>
        </is>
      </c>
    </row>
    <row r="13" ht="40.5" customHeight="1">
      <c r="A13" s="142" t="n">
        <v>18185812000114</v>
      </c>
      <c r="B13" s="75" t="inlineStr">
        <is>
          <t>18.185.812/0001-14</t>
        </is>
      </c>
      <c r="C13" s="75" t="inlineStr">
        <is>
          <t>Série de Cotas Subordinadas Mezanino</t>
        </is>
      </c>
      <c r="D13" s="75" t="inlineStr">
        <is>
          <t>R$ 1.000,00</t>
        </is>
      </c>
      <c r="E13" s="143" t="n">
        <v>1000</v>
      </c>
      <c r="F13" s="75" t="inlineStr">
        <is>
          <t>preço/valor unitário de emissão</t>
        </is>
      </c>
      <c r="G13" s="75" t="b">
        <v>0</v>
      </c>
      <c r="H13" s="75" t="inlineStr">
        <is>
          <t>assembleia</t>
        </is>
      </c>
      <c r="I13" s="75" t="n">
        <v>1179105</v>
      </c>
      <c r="J13" s="75" t="inlineStr">
        <is>
          <t>assembleia</t>
        </is>
      </c>
      <c r="K13" s="75" t="inlineStr">
        <is>
          <t>2026-04-27</t>
        </is>
      </c>
      <c r="L13" s="75" t="n">
        <v>4</v>
      </c>
      <c r="M13" s="75" t="inlineStr">
        <is>
          <t>encontrado_explicito</t>
        </is>
      </c>
      <c r="N13" s="75" t="b">
        <v>1</v>
      </c>
      <c r="O13" s="75" t="inlineStr">
        <is>
          <t>data/raw/18185812000114/1179105_assembleia_assembleia_1179105_2026-04-27.pdf</t>
        </is>
      </c>
      <c r="P13" s="75" t="inlineStr">
        <is>
          <t>https://fnet.bmfbovespa.com.br/fnet/publico/downloadDocumento?id=1179105</t>
        </is>
      </c>
      <c r="Q13" s="75" t="inlineStr">
        <is>
          <t>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t>
        </is>
      </c>
    </row>
    <row r="14" ht="40.5" customHeight="1">
      <c r="A14" s="138" t="n">
        <v>26749095000134</v>
      </c>
      <c r="B14" s="74" t="inlineStr">
        <is>
          <t>26.749.095/0001-34</t>
        </is>
      </c>
      <c r="C14" s="74" t="inlineStr">
        <is>
          <t>N/D</t>
        </is>
      </c>
      <c r="D14" s="74" t="inlineStr">
        <is>
          <t>R$1.000,00</t>
        </is>
      </c>
      <c r="E14" s="139" t="n">
        <v>1000</v>
      </c>
      <c r="F14" s="74" t="inlineStr">
        <is>
          <t>preço/valor unitário de emissão</t>
        </is>
      </c>
      <c r="G14" s="74" t="b">
        <v>1</v>
      </c>
      <c r="H14" s="74" t="inlineStr">
        <is>
          <t>regulamento</t>
        </is>
      </c>
      <c r="I14" s="74" t="n">
        <v>1061833</v>
      </c>
      <c r="J14" s="74" t="inlineStr">
        <is>
          <t>regulamento</t>
        </is>
      </c>
      <c r="K14" s="74" t="inlineStr">
        <is>
          <t>2025-11-19</t>
        </is>
      </c>
      <c r="L14" s="74" t="n">
        <v>70</v>
      </c>
      <c r="M14" s="74" t="inlineStr">
        <is>
          <t>encontrado_explicito</t>
        </is>
      </c>
      <c r="N14" s="74" t="b">
        <v>1</v>
      </c>
      <c r="O14" s="74" t="inlineStr">
        <is>
          <t>data/raw/26749095000134/1061833_regulamento_regulamento_1061833_2025-11-19.pdf</t>
        </is>
      </c>
      <c r="P14" s="74" t="inlineStr">
        <is>
          <t>https://fnet.bmfbovespa.com.br/fnet/publico/downloadDocumento?id=1061833</t>
        </is>
      </c>
      <c r="Q14" s="74" t="inlineStr">
        <is>
          <t>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t>
        </is>
      </c>
    </row>
    <row r="15" ht="40.5" customHeight="1">
      <c r="A15" s="142" t="n">
        <v>26749095000134</v>
      </c>
      <c r="B15" s="75" t="inlineStr">
        <is>
          <t>26.749.095/0001-34</t>
        </is>
      </c>
      <c r="C15" s="75" t="inlineStr">
        <is>
          <t>Cotas Seniores</t>
        </is>
      </c>
      <c r="D15" s="75" t="inlineStr">
        <is>
          <t>R$ 1.000,00</t>
        </is>
      </c>
      <c r="E15" s="143" t="n">
        <v>1000</v>
      </c>
      <c r="F15" s="75" t="inlineStr">
        <is>
          <t>valor nominal unitário (VNU)</t>
        </is>
      </c>
      <c r="G15" s="75" t="b">
        <v>0</v>
      </c>
      <c r="H15" s="75" t="inlineStr">
        <is>
          <t>emissao</t>
        </is>
      </c>
      <c r="I15" s="75" t="n">
        <v>974567</v>
      </c>
      <c r="J15" s="75" t="inlineStr">
        <is>
          <t>emissao</t>
        </is>
      </c>
      <c r="K15" s="75" t="inlineStr">
        <is>
          <t>2025-08-18</t>
        </is>
      </c>
      <c r="L15" s="75" t="n">
        <v>2</v>
      </c>
      <c r="M15" s="75" t="inlineStr">
        <is>
          <t>encontrado_explicito</t>
        </is>
      </c>
      <c r="N15" s="75" t="b">
        <v>1</v>
      </c>
      <c r="O15" s="75" t="inlineStr">
        <is>
          <t>data/raw/26749095000134/974567_emissao_emissao_974567_2025-08-18.pdf</t>
        </is>
      </c>
      <c r="P15" s="75" t="inlineStr">
        <is>
          <t>https://fnet.bmfbovespa.com.br/fnet/publico/downloadDocumento?id=974567</t>
        </is>
      </c>
      <c r="Q15" s="75" t="inlineStr">
        <is>
          <t>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t>
        </is>
      </c>
    </row>
    <row r="16" ht="40.5" customHeight="1">
      <c r="A16" s="138" t="n">
        <v>26749095000134</v>
      </c>
      <c r="B16" s="74" t="inlineStr">
        <is>
          <t>26.749.095/0001-34</t>
        </is>
      </c>
      <c r="C16" s="74" t="inlineStr">
        <is>
          <t>Cotas Seniores</t>
        </is>
      </c>
      <c r="D16" s="74" t="inlineStr">
        <is>
          <t>R$1</t>
        </is>
      </c>
      <c r="E16" s="139" t="n">
        <v>1</v>
      </c>
      <c r="F16" s="74" t="inlineStr">
        <is>
          <t>valor nominal unitário (VNU)</t>
        </is>
      </c>
      <c r="G16" s="74" t="b">
        <v>0</v>
      </c>
      <c r="H16" s="74" t="inlineStr">
        <is>
          <t>emissao</t>
        </is>
      </c>
      <c r="I16" s="74" t="n">
        <v>974567</v>
      </c>
      <c r="J16" s="74" t="inlineStr">
        <is>
          <t>emissao</t>
        </is>
      </c>
      <c r="K16" s="74" t="inlineStr">
        <is>
          <t>2025-08-18</t>
        </is>
      </c>
      <c r="L16" s="74" t="n">
        <v>2</v>
      </c>
      <c r="M16" s="74" t="inlineStr">
        <is>
          <t>encontrado_explicito</t>
        </is>
      </c>
      <c r="N16" s="74" t="b">
        <v>1</v>
      </c>
      <c r="O16" s="74" t="inlineStr">
        <is>
          <t>data/raw/26749095000134/974567_emissao_emissao_974567_2025-08-18.pdf</t>
        </is>
      </c>
      <c r="P16" s="74" t="inlineStr">
        <is>
          <t>https://fnet.bmfbovespa.com.br/fnet/publico/downloadDocumento?id=974567</t>
        </is>
      </c>
      <c r="Q16" s="74" t="inlineStr">
        <is>
          <t>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t>
        </is>
      </c>
    </row>
    <row r="17" ht="40.5" customHeight="1">
      <c r="A17" s="142" t="n">
        <v>26749095000134</v>
      </c>
      <c r="B17" s="75" t="inlineStr">
        <is>
          <t>26.749.095/0001-34</t>
        </is>
      </c>
      <c r="C17" s="75" t="inlineStr">
        <is>
          <t>Cotas Subordinadas Mezanino</t>
        </is>
      </c>
      <c r="D17" s="75" t="inlineStr">
        <is>
          <t>R$ 1.000,00</t>
        </is>
      </c>
      <c r="E17" s="143" t="n">
        <v>1000</v>
      </c>
      <c r="F17" s="75" t="inlineStr">
        <is>
          <t>valor nominal unitário (VNU)</t>
        </is>
      </c>
      <c r="G17" s="75" t="b">
        <v>0</v>
      </c>
      <c r="H17" s="75" t="inlineStr">
        <is>
          <t>emissao</t>
        </is>
      </c>
      <c r="I17" s="75" t="n">
        <v>1261461</v>
      </c>
      <c r="J17" s="75" t="inlineStr">
        <is>
          <t>Oferta Pública de Distribuição de Cotas Anúncio de Início</t>
        </is>
      </c>
      <c r="K17" s="75" t="inlineStr">
        <is>
          <t>21/07/2026</t>
        </is>
      </c>
      <c r="L17" s="75" t="n">
        <v>2</v>
      </c>
      <c r="M17" s="75" t="inlineStr">
        <is>
          <t>encontrado_explicito</t>
        </is>
      </c>
      <c r="N17" s="75" t="b">
        <v>1</v>
      </c>
      <c r="O17" s="75" t="inlineStr">
        <is>
          <t>.cache/carteira_101_document_scan/26749095000134/1261461.json.gz</t>
        </is>
      </c>
      <c r="P17" s="75" t="inlineStr">
        <is>
          <t>https://fnet.bmfbovespa.com.br/fnet/publico/downloadDocumento?id=1261461</t>
        </is>
      </c>
      <c r="Q17" s="75" t="inlineStr">
        <is>
          <t>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t>
        </is>
      </c>
    </row>
    <row r="18" ht="40.5" customHeight="1">
      <c r="A18" s="138" t="n">
        <v>28169275000172</v>
      </c>
      <c r="B18" s="74" t="inlineStr">
        <is>
          <t>28.169.275/0001-72</t>
        </is>
      </c>
      <c r="C18" s="74" t="inlineStr">
        <is>
          <t>Cotas Seniores</t>
        </is>
      </c>
      <c r="D18" s="74" t="inlineStr">
        <is>
          <t>R$ 1.000,00</t>
        </is>
      </c>
      <c r="E18" s="139" t="n">
        <v>1000</v>
      </c>
      <c r="F18" s="74" t="inlineStr">
        <is>
          <t>valor nominal unitário (VNU)</t>
        </is>
      </c>
      <c r="G18" s="74" t="b">
        <v>0</v>
      </c>
      <c r="H18" s="74" t="inlineStr">
        <is>
          <t>regulamento</t>
        </is>
      </c>
      <c r="I18" s="74" t="n">
        <v>1149521</v>
      </c>
      <c r="J18" s="74" t="inlineStr">
        <is>
          <t>regulamento</t>
        </is>
      </c>
      <c r="K18" s="74" t="inlineStr">
        <is>
          <t>2026-03-25</t>
        </is>
      </c>
      <c r="L18" s="74" t="n">
        <v>64</v>
      </c>
      <c r="M18" s="74" t="inlineStr">
        <is>
          <t>encontrado_explicito</t>
        </is>
      </c>
      <c r="N18" s="74" t="b">
        <v>1</v>
      </c>
      <c r="O18" s="74" t="inlineStr">
        <is>
          <t>data/raw/28169275000172/1149521_regulamento_regulamento_1149521_2026-03-25.pdf</t>
        </is>
      </c>
      <c r="P18" s="74" t="inlineStr">
        <is>
          <t>https://fnet.bmfbovespa.com.br/fnet/publico/downloadDocumento?id=1149521</t>
        </is>
      </c>
      <c r="Q18" s="74" t="inlineStr">
        <is>
          <t>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t>
        </is>
      </c>
    </row>
    <row r="19" ht="40.5" customHeight="1">
      <c r="A19" s="142" t="n">
        <v>28169275000172</v>
      </c>
      <c r="B19" s="75" t="inlineStr">
        <is>
          <t>28.169.275/0001-72</t>
        </is>
      </c>
      <c r="C19" s="75" t="inlineStr">
        <is>
          <t>Cotas Subordinadas</t>
        </is>
      </c>
      <c r="D19" s="75" t="inlineStr">
        <is>
          <t>R$ 1.000,00</t>
        </is>
      </c>
      <c r="E19" s="143" t="n">
        <v>1000</v>
      </c>
      <c r="F19" s="75" t="inlineStr">
        <is>
          <t>valor nominal unitário (VNU)</t>
        </is>
      </c>
      <c r="G19" s="75" t="b">
        <v>0</v>
      </c>
      <c r="H19" s="75" t="inlineStr">
        <is>
          <t>regulamento</t>
        </is>
      </c>
      <c r="I19" s="75" t="n">
        <v>1149521</v>
      </c>
      <c r="J19" s="75" t="inlineStr">
        <is>
          <t>regulamento</t>
        </is>
      </c>
      <c r="K19" s="75" t="inlineStr">
        <is>
          <t>2026-03-25</t>
        </is>
      </c>
      <c r="L19" s="75" t="n">
        <v>70</v>
      </c>
      <c r="M19" s="75" t="inlineStr">
        <is>
          <t>encontrado_explicito</t>
        </is>
      </c>
      <c r="N19" s="75" t="b">
        <v>1</v>
      </c>
      <c r="O19" s="75" t="inlineStr">
        <is>
          <t>data/raw/28169275000172/1149521_regulamento_regulamento_1149521_2026-03-25.pdf</t>
        </is>
      </c>
      <c r="P19" s="75" t="inlineStr">
        <is>
          <t>https://fnet.bmfbovespa.com.br/fnet/publico/downloadDocumento?id=1149521</t>
        </is>
      </c>
      <c r="Q19" s="75" t="inlineStr">
        <is>
          <t>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t>
        </is>
      </c>
    </row>
    <row r="20" ht="40.5" customHeight="1">
      <c r="A20" s="138" t="n">
        <v>28169275000172</v>
      </c>
      <c r="B20" s="74" t="inlineStr">
        <is>
          <t>28.169.275/0001-72</t>
        </is>
      </c>
      <c r="C20" s="74" t="inlineStr">
        <is>
          <t>N/D</t>
        </is>
      </c>
      <c r="D20" s="74" t="inlineStr">
        <is>
          <t>R$ 1.000,00</t>
        </is>
      </c>
      <c r="E20" s="139" t="n">
        <v>1000</v>
      </c>
      <c r="F20" s="74" t="inlineStr">
        <is>
          <t>valor nominal unitário (VNU)</t>
        </is>
      </c>
      <c r="G20" s="74" t="b">
        <v>1</v>
      </c>
      <c r="H20" s="74" t="inlineStr">
        <is>
          <t>regulamento</t>
        </is>
      </c>
      <c r="I20" s="74" t="n">
        <v>1149521</v>
      </c>
      <c r="J20" s="74" t="inlineStr">
        <is>
          <t>regulamento</t>
        </is>
      </c>
      <c r="K20" s="74" t="inlineStr">
        <is>
          <t>2026-03-25</t>
        </is>
      </c>
      <c r="L20" s="74" t="n">
        <v>67</v>
      </c>
      <c r="M20" s="74" t="inlineStr">
        <is>
          <t>encontrado_explicito</t>
        </is>
      </c>
      <c r="N20" s="74" t="b">
        <v>1</v>
      </c>
      <c r="O20" s="74" t="inlineStr">
        <is>
          <t>data/raw/28169275000172/1149521_regulamento_regulamento_1149521_2026-03-25.pdf</t>
        </is>
      </c>
      <c r="P20" s="74" t="inlineStr">
        <is>
          <t>https://fnet.bmfbovespa.com.br/fnet/publico/downloadDocumento?id=1149521</t>
        </is>
      </c>
      <c r="Q20" s="74" t="inlineStr">
        <is>
          <t>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t>
        </is>
      </c>
    </row>
    <row r="21" ht="40.5" customHeight="1">
      <c r="A21" s="142" t="n">
        <v>28169275000172</v>
      </c>
      <c r="B21" s="75" t="inlineStr">
        <is>
          <t>28.169.275/0001-72</t>
        </is>
      </c>
      <c r="C21" s="75" t="inlineStr">
        <is>
          <t>cotas seniores</t>
        </is>
      </c>
      <c r="D21" s="75" t="inlineStr">
        <is>
          <t>R$ 1.000,00</t>
        </is>
      </c>
      <c r="E21" s="143" t="n">
        <v>1000</v>
      </c>
      <c r="F21" s="75" t="inlineStr">
        <is>
          <t>preço/valor unitário de emissão</t>
        </is>
      </c>
      <c r="G21" s="75" t="b">
        <v>0</v>
      </c>
      <c r="H21" s="75" t="inlineStr">
        <is>
          <t>emissao</t>
        </is>
      </c>
      <c r="I21" s="75" t="n">
        <v>1148251</v>
      </c>
      <c r="J21" s="75" t="inlineStr">
        <is>
          <t>emissao</t>
        </is>
      </c>
      <c r="K21" s="75" t="inlineStr">
        <is>
          <t>2026-03-30</t>
        </is>
      </c>
      <c r="L21" s="75" t="n">
        <v>2</v>
      </c>
      <c r="M21" s="75" t="inlineStr">
        <is>
          <t>encontrado_explicito</t>
        </is>
      </c>
      <c r="N21" s="75" t="b">
        <v>1</v>
      </c>
      <c r="O21" s="75" t="inlineStr">
        <is>
          <t>data/raw/28169275000172/1148251_emissao_emissao_1148251_2026-03-30.pdf</t>
        </is>
      </c>
      <c r="P21" s="75" t="inlineStr">
        <is>
          <t>https://fnet.bmfbovespa.com.br/fnet/publico/downloadDocumento?id=1148251</t>
        </is>
      </c>
      <c r="Q21" s="75" t="inlineStr">
        <is>
          <t>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t>
        </is>
      </c>
    </row>
    <row r="22" ht="40.5" customHeight="1">
      <c r="A22" s="138" t="n">
        <v>29226654000110</v>
      </c>
      <c r="B22" s="74" t="inlineStr">
        <is>
          <t>29.226.654/0001-10</t>
        </is>
      </c>
      <c r="C22" s="74" t="inlineStr">
        <is>
          <t>N/D</t>
        </is>
      </c>
      <c r="D22" s="74" t="inlineStr">
        <is>
          <t>R$ 1.000,00</t>
        </is>
      </c>
      <c r="E22" s="139" t="n">
        <v>1000</v>
      </c>
      <c r="F22" s="74" t="inlineStr">
        <is>
          <t>valor nominal unitário (VNU)</t>
        </is>
      </c>
      <c r="G22" s="74" t="b">
        <v>1</v>
      </c>
      <c r="H22" s="74" t="inlineStr">
        <is>
          <t>emissao</t>
        </is>
      </c>
      <c r="I22" s="74" t="n">
        <v>1023320</v>
      </c>
      <c r="J22" s="74" t="inlineStr">
        <is>
          <t>emissao</t>
        </is>
      </c>
      <c r="K22" s="74" t="inlineStr">
        <is>
          <t>2025-10-28</t>
        </is>
      </c>
      <c r="L22" s="74" t="n">
        <v>1</v>
      </c>
      <c r="M22" s="74" t="inlineStr">
        <is>
          <t>encontrado_explicito</t>
        </is>
      </c>
      <c r="N22" s="74" t="b">
        <v>1</v>
      </c>
      <c r="O22" s="74" t="inlineStr">
        <is>
          <t>data/raw/29226654000110/1023320_emissao_emissao_1023320_2025-10-28.pdf</t>
        </is>
      </c>
      <c r="P22" s="74" t="inlineStr">
        <is>
          <t>https://fnet.bmfbovespa.com.br/fnet/publico/downloadDocumento?id=1023320</t>
        </is>
      </c>
      <c r="Q22" s="74" t="inlineStr">
        <is>
          <t>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t>
        </is>
      </c>
    </row>
    <row r="23" ht="40.5" customHeight="1">
      <c r="A23" s="142" t="n">
        <v>29226654000110</v>
      </c>
      <c r="B23" s="75" t="inlineStr">
        <is>
          <t>29.226.654/0001-10</t>
        </is>
      </c>
      <c r="C23" s="75" t="inlineStr">
        <is>
          <t>Cotas Seniores</t>
        </is>
      </c>
      <c r="D23" s="75" t="inlineStr">
        <is>
          <t>R$ 1.000,00</t>
        </is>
      </c>
      <c r="E23" s="143" t="n">
        <v>1000</v>
      </c>
      <c r="F23" s="75" t="inlineStr">
        <is>
          <t>valor nominal unitário (VNU)</t>
        </is>
      </c>
      <c r="G23" s="75" t="b">
        <v>0</v>
      </c>
      <c r="H23" s="75" t="inlineStr">
        <is>
          <t>assembleia</t>
        </is>
      </c>
      <c r="I23" s="75" t="n">
        <v>1023848</v>
      </c>
      <c r="J23" s="75" t="inlineStr">
        <is>
          <t>assembleia</t>
        </is>
      </c>
      <c r="K23" s="75" t="inlineStr">
        <is>
          <t>2025-10-28</t>
        </is>
      </c>
      <c r="L23" s="75" t="n">
        <v>7</v>
      </c>
      <c r="M23" s="75" t="inlineStr">
        <is>
          <t>encontrado_explicito</t>
        </is>
      </c>
      <c r="N23" s="75" t="b">
        <v>1</v>
      </c>
      <c r="O23" s="75" t="inlineStr">
        <is>
          <t>data/raw/29226654000110/1023848_assembleia_assembleia_1023848_2025-10-28.pdf</t>
        </is>
      </c>
      <c r="P23" s="75" t="inlineStr">
        <is>
          <t>https://fnet.bmfbovespa.com.br/fnet/publico/downloadDocumento?id=1023848</t>
        </is>
      </c>
      <c r="Q23" s="75" t="inlineStr">
        <is>
          <t>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t>
        </is>
      </c>
    </row>
    <row r="24" ht="40.5" customHeight="1">
      <c r="A24" s="138" t="n">
        <v>30035329000159</v>
      </c>
      <c r="B24" s="74" t="inlineStr">
        <is>
          <t>30.035.329/0001-59</t>
        </is>
      </c>
      <c r="C24" s="74" t="inlineStr">
        <is>
          <t>Cotas Seniores</t>
        </is>
      </c>
      <c r="D24" s="74" t="inlineStr">
        <is>
          <t>R$ 1.000,00</t>
        </is>
      </c>
      <c r="E24" s="139" t="n">
        <v>1000</v>
      </c>
      <c r="F24" s="74" t="inlineStr">
        <is>
          <t>valor nominal unitário (VNU)</t>
        </is>
      </c>
      <c r="G24" s="74" t="b">
        <v>0</v>
      </c>
      <c r="H24" s="74" t="inlineStr">
        <is>
          <t>emissao</t>
        </is>
      </c>
      <c r="I24" s="74" t="n">
        <v>1003989</v>
      </c>
      <c r="J24" s="74" t="inlineStr">
        <is>
          <t>Oferta Pública de Distribuição de Cotas Anúncio de Encerramento</t>
        </is>
      </c>
      <c r="K24" s="74" t="inlineStr">
        <is>
          <t>30/09/2025</t>
        </is>
      </c>
      <c r="L24" s="74" t="n">
        <v>2</v>
      </c>
      <c r="M24" s="74" t="inlineStr">
        <is>
          <t>encontrado_explicito</t>
        </is>
      </c>
      <c r="N24" s="74" t="b">
        <v>1</v>
      </c>
      <c r="O24" s="74" t="inlineStr">
        <is>
          <t>.cache/carteira_101_document_scan/30035329000159/1003989.json.gz</t>
        </is>
      </c>
      <c r="P24" s="74" t="inlineStr">
        <is>
          <t>https://fnet.bmfbovespa.com.br/fnet/publico/downloadDocumento?id=1003989</t>
        </is>
      </c>
      <c r="Q24" s="74" t="inlineStr">
        <is>
          <t>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t>
        </is>
      </c>
    </row>
    <row r="25" ht="40.5" customHeight="1">
      <c r="A25" s="142" t="n">
        <v>31739396000117</v>
      </c>
      <c r="B25" s="75" t="inlineStr">
        <is>
          <t>31.739.396/0001-17</t>
        </is>
      </c>
      <c r="C25" s="75" t="inlineStr">
        <is>
          <t>Cotas Seniores</t>
        </is>
      </c>
      <c r="D25" s="75" t="inlineStr">
        <is>
          <t>R$1.000,00</t>
        </is>
      </c>
      <c r="E25" s="143" t="n">
        <v>1000</v>
      </c>
      <c r="F25" s="75" t="inlineStr">
        <is>
          <t>valor nominal unitário (VNU)</t>
        </is>
      </c>
      <c r="G25" s="75" t="b">
        <v>0</v>
      </c>
      <c r="H25" s="75" t="inlineStr">
        <is>
          <t>emissao</t>
        </is>
      </c>
      <c r="I25" s="75" t="n">
        <v>1088682</v>
      </c>
      <c r="J25" s="75" t="inlineStr">
        <is>
          <t>Oferta Pública de Distribuição de Cotas Anúncio de Encerramento</t>
        </is>
      </c>
      <c r="K25" s="75" t="inlineStr">
        <is>
          <t>20/01/2026</t>
        </is>
      </c>
      <c r="L25" s="75" t="n">
        <v>2</v>
      </c>
      <c r="M25" s="75" t="inlineStr">
        <is>
          <t>encontrado_explicito</t>
        </is>
      </c>
      <c r="N25" s="75" t="b">
        <v>1</v>
      </c>
      <c r="O25" s="75" t="inlineStr">
        <is>
          <t>.cache/carteira_101_document_scan/31739396000117/1088682.json.gz</t>
        </is>
      </c>
      <c r="P25" s="75" t="inlineStr">
        <is>
          <t>https://fnet.bmfbovespa.com.br/fnet/publico/downloadDocumento?id=1088682</t>
        </is>
      </c>
      <c r="Q25" s="75" t="inlineStr">
        <is>
          <t>)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t>
        </is>
      </c>
    </row>
    <row r="26" ht="40.5" customHeight="1">
      <c r="A26" s="138" t="n">
        <v>32526025000110</v>
      </c>
      <c r="B26" s="74" t="inlineStr">
        <is>
          <t>32.526.025/0001-10</t>
        </is>
      </c>
      <c r="C26" s="74" t="inlineStr">
        <is>
          <t>8ª Série de Cotas Seniores</t>
        </is>
      </c>
      <c r="D26" s="74" t="inlineStr">
        <is>
          <t>R$1.000,00</t>
        </is>
      </c>
      <c r="E26" s="139" t="n">
        <v>1000</v>
      </c>
      <c r="F26" s="74" t="inlineStr">
        <is>
          <t>valor nominal unitário (VNU)</t>
        </is>
      </c>
      <c r="G26" s="74" t="b">
        <v>0</v>
      </c>
      <c r="H26" s="74" t="inlineStr">
        <is>
          <t>emissao</t>
        </is>
      </c>
      <c r="I26" s="74" t="n">
        <v>1134299</v>
      </c>
      <c r="J26" s="74" t="inlineStr">
        <is>
          <t>Oferta Pública de Distribuição de Cotas Anúncio de Início</t>
        </is>
      </c>
      <c r="K26" s="74" t="inlineStr">
        <is>
          <t>12/03/2026</t>
        </is>
      </c>
      <c r="L26" s="74" t="n">
        <v>4</v>
      </c>
      <c r="M26" s="74" t="inlineStr">
        <is>
          <t>encontrado_explicito</t>
        </is>
      </c>
      <c r="N26" s="74" t="b">
        <v>1</v>
      </c>
      <c r="O26" s="74" t="inlineStr">
        <is>
          <t>.cache/carteira_101_document_scan/32526025000110/1134299.json.gz</t>
        </is>
      </c>
      <c r="P26" s="74" t="inlineStr">
        <is>
          <t>https://fnet.bmfbovespa.com.br/fnet/publico/downloadDocumento?id=1134299</t>
        </is>
      </c>
      <c r="Q26" s="74" t="inlineStr">
        <is>
          <t>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t>
        </is>
      </c>
    </row>
    <row r="27" ht="40.5" customHeight="1">
      <c r="A27" s="142" t="n">
        <v>32526025000110</v>
      </c>
      <c r="B27" s="75" t="inlineStr">
        <is>
          <t>32.526.025/0001-10</t>
        </is>
      </c>
      <c r="C27" s="75" t="inlineStr">
        <is>
          <t>Cotas Seniores</t>
        </is>
      </c>
      <c r="D27" s="75" t="inlineStr">
        <is>
          <t>R$1.000,00</t>
        </is>
      </c>
      <c r="E27" s="143" t="n">
        <v>1000</v>
      </c>
      <c r="F27" s="75" t="inlineStr">
        <is>
          <t>valor nominal unitário (VNU)</t>
        </is>
      </c>
      <c r="G27" s="75" t="b">
        <v>0</v>
      </c>
      <c r="H27" s="75" t="inlineStr">
        <is>
          <t>emissao</t>
        </is>
      </c>
      <c r="I27" s="75" t="n">
        <v>1134299</v>
      </c>
      <c r="J27" s="75" t="inlineStr">
        <is>
          <t>Oferta Pública de Distribuição de Cotas Anúncio de Início</t>
        </is>
      </c>
      <c r="K27" s="75" t="inlineStr">
        <is>
          <t>12/03/2026</t>
        </is>
      </c>
      <c r="L27" s="75" t="n">
        <v>4</v>
      </c>
      <c r="M27" s="75" t="inlineStr">
        <is>
          <t>encontrado_explicito</t>
        </is>
      </c>
      <c r="N27" s="75" t="b">
        <v>1</v>
      </c>
      <c r="O27" s="75" t="inlineStr">
        <is>
          <t>.cache/carteira_101_document_scan/32526025000110/1134299.json.gz</t>
        </is>
      </c>
      <c r="P27" s="75" t="inlineStr">
        <is>
          <t>https://fnet.bmfbovespa.com.br/fnet/publico/downloadDocumento?id=1134299</t>
        </is>
      </c>
      <c r="Q27" s="75" t="inlineStr">
        <is>
          <t>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t>
        </is>
      </c>
    </row>
    <row r="28" ht="40.5" customHeight="1">
      <c r="A28" s="138" t="n">
        <v>37294759000134</v>
      </c>
      <c r="B28" s="74" t="inlineStr">
        <is>
          <t>37.294.759/0001-34</t>
        </is>
      </c>
      <c r="C28" s="74" t="inlineStr">
        <is>
          <t>Cotas Seniores</t>
        </is>
      </c>
      <c r="D28" s="74" t="inlineStr">
        <is>
          <t>R$ 1,00</t>
        </is>
      </c>
      <c r="E28" s="139" t="n">
        <v>1</v>
      </c>
      <c r="F28" s="74" t="inlineStr">
        <is>
          <t>preço/valor unitário de emissão</t>
        </is>
      </c>
      <c r="G28" s="74" t="b">
        <v>0</v>
      </c>
      <c r="H28" s="74" t="inlineStr">
        <is>
          <t>emissao</t>
        </is>
      </c>
      <c r="I28" s="74" t="n">
        <v>1245765</v>
      </c>
      <c r="J28" s="74" t="inlineStr">
        <is>
          <t>Oferta Pública de Distribuição de Cotas Anúncio de Início</t>
        </is>
      </c>
      <c r="K28" s="74" t="inlineStr">
        <is>
          <t>06/07/2026</t>
        </is>
      </c>
      <c r="L28" s="74" t="n">
        <v>1</v>
      </c>
      <c r="M28" s="74" t="inlineStr">
        <is>
          <t>encontrado_explicito</t>
        </is>
      </c>
      <c r="N28" s="74" t="b">
        <v>1</v>
      </c>
      <c r="O28" s="74" t="inlineStr">
        <is>
          <t>.cache/carteira_101_document_scan/37294759000134/1245765.json.gz</t>
        </is>
      </c>
      <c r="P28" s="74" t="inlineStr">
        <is>
          <t>https://fnet.bmfbovespa.com.br/fnet/publico/downloadDocumento?id=1245765</t>
        </is>
      </c>
      <c r="Q28" s="74" t="inlineStr">
        <is>
          <t>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t>
        </is>
      </c>
    </row>
    <row r="29" ht="40.5" customHeight="1">
      <c r="A29" s="142" t="n">
        <v>37294759000134</v>
      </c>
      <c r="B29" s="75" t="inlineStr">
        <is>
          <t>37.294.759/0001-34</t>
        </is>
      </c>
      <c r="C29" s="75" t="inlineStr">
        <is>
          <t>Cotas Subordinadas Mezanino</t>
        </is>
      </c>
      <c r="D29" s="75" t="inlineStr">
        <is>
          <t>R$ 1,00</t>
        </is>
      </c>
      <c r="E29" s="143" t="n">
        <v>1</v>
      </c>
      <c r="F29" s="75" t="inlineStr">
        <is>
          <t>preço/valor unitário de emissão</t>
        </is>
      </c>
      <c r="G29" s="75" t="b">
        <v>0</v>
      </c>
      <c r="H29" s="75" t="inlineStr">
        <is>
          <t>emissao</t>
        </is>
      </c>
      <c r="I29" s="75" t="n">
        <v>1243617</v>
      </c>
      <c r="J29" s="75" t="inlineStr">
        <is>
          <t>Oferta Pública de Distribuição de Cotas Anúncio de Encerramento</t>
        </is>
      </c>
      <c r="K29" s="75" t="inlineStr">
        <is>
          <t>10/07/2026</t>
        </is>
      </c>
      <c r="L29" s="75" t="n">
        <v>1</v>
      </c>
      <c r="M29" s="75" t="inlineStr">
        <is>
          <t>encontrado_explicito</t>
        </is>
      </c>
      <c r="N29" s="75" t="b">
        <v>1</v>
      </c>
      <c r="O29" s="75" t="inlineStr">
        <is>
          <t>.cache/carteira_101_document_scan/37294759000134/1243617.json.gz</t>
        </is>
      </c>
      <c r="P29" s="75" t="inlineStr">
        <is>
          <t>https://fnet.bmfbovespa.com.br/fnet/publico/downloadDocumento?id=1243617</t>
        </is>
      </c>
      <c r="Q29" s="75" t="inlineStr">
        <is>
          <t>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t>
        </is>
      </c>
    </row>
    <row r="30" ht="40.5" customHeight="1">
      <c r="A30" s="138" t="n">
        <v>37294759000134</v>
      </c>
      <c r="B30" s="74" t="inlineStr">
        <is>
          <t>37.294.759/0001-34</t>
        </is>
      </c>
      <c r="C30" s="74" t="inlineStr">
        <is>
          <t>Cotas Seniores</t>
        </is>
      </c>
      <c r="D30" s="74" t="inlineStr">
        <is>
          <t>R$ 0,990987</t>
        </is>
      </c>
      <c r="E30" s="139" t="n">
        <v>0.990987</v>
      </c>
      <c r="F30" s="74" t="inlineStr">
        <is>
          <t>preço/valor unitário de emissão</t>
        </is>
      </c>
      <c r="G30" s="74" t="b">
        <v>0</v>
      </c>
      <c r="H30" s="74" t="inlineStr">
        <is>
          <t>assembleia</t>
        </is>
      </c>
      <c r="I30" s="74" t="n">
        <v>1064531</v>
      </c>
      <c r="J30" s="74" t="inlineStr">
        <is>
          <t>Assembleia AGE Carta Consulta</t>
        </is>
      </c>
      <c r="K30" s="74" t="inlineStr">
        <is>
          <t>15/12/2025 18:00</t>
        </is>
      </c>
      <c r="L30" s="74" t="n">
        <v>9</v>
      </c>
      <c r="M30" s="74" t="inlineStr">
        <is>
          <t>encontrado_explicito</t>
        </is>
      </c>
      <c r="N30" s="74" t="b">
        <v>1</v>
      </c>
      <c r="O30" s="74" t="inlineStr">
        <is>
          <t>.cache/carteira_101_document_scan/37294759000134/1064531.json.gz</t>
        </is>
      </c>
      <c r="P30" s="74" t="inlineStr">
        <is>
          <t>https://fnet.bmfbovespa.com.br/fnet/publico/downloadDocumento?id=1064531</t>
        </is>
      </c>
      <c r="Q30" s="74" t="inlineStr">
        <is>
          <t>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t>
        </is>
      </c>
    </row>
    <row r="31" ht="40.5" customHeight="1">
      <c r="A31" s="142" t="n">
        <v>38376526000143</v>
      </c>
      <c r="B31" s="75" t="inlineStr">
        <is>
          <t>38.376.526/0001-43</t>
        </is>
      </c>
      <c r="C31" s="75" t="inlineStr">
        <is>
          <t>Cotas Subordinadas Júnior</t>
        </is>
      </c>
      <c r="D31" s="75" t="inlineStr">
        <is>
          <t>R$ 1.000,00</t>
        </is>
      </c>
      <c r="E31" s="143" t="n">
        <v>1000</v>
      </c>
      <c r="F31" s="75" t="inlineStr">
        <is>
          <t>valor nominal unitário (VNU)</t>
        </is>
      </c>
      <c r="G31" s="75" t="b">
        <v>0</v>
      </c>
      <c r="H31" s="75" t="inlineStr">
        <is>
          <t>regulamento</t>
        </is>
      </c>
      <c r="I31" s="75" t="n">
        <v>948252</v>
      </c>
      <c r="J31" s="75" t="inlineStr">
        <is>
          <t>Regulamento</t>
        </is>
      </c>
      <c r="K31" s="75" t="inlineStr">
        <is>
          <t>02/07/2025</t>
        </is>
      </c>
      <c r="L31" s="75" t="n">
        <v>39</v>
      </c>
      <c r="M31" s="75" t="inlineStr">
        <is>
          <t>encontrado_explicito</t>
        </is>
      </c>
      <c r="N31" s="75" t="b">
        <v>1</v>
      </c>
      <c r="O31" s="75" t="inlineStr">
        <is>
          <t>.cache/carteira_101_document_scan/38376526000143/948252.json.gz</t>
        </is>
      </c>
      <c r="P31" s="75" t="inlineStr">
        <is>
          <t>https://fnet.bmfbovespa.com.br/fnet/publico/downloadDocumento?id=948252</t>
        </is>
      </c>
      <c r="Q31" s="75" t="inlineStr">
        <is>
          <t>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t>
        </is>
      </c>
    </row>
    <row r="32" ht="40.5" customHeight="1">
      <c r="A32" s="138" t="n">
        <v>38376526000143</v>
      </c>
      <c r="B32" s="74" t="inlineStr">
        <is>
          <t>38.376.526/0001-43</t>
        </is>
      </c>
      <c r="C32" s="74" t="inlineStr">
        <is>
          <t>Cotas Seniores</t>
        </is>
      </c>
      <c r="D32" s="74" t="inlineStr">
        <is>
          <t>R$ 1.000,00</t>
        </is>
      </c>
      <c r="E32" s="139" t="n">
        <v>1000</v>
      </c>
      <c r="F32" s="74" t="inlineStr">
        <is>
          <t>valor nominal unitário (VNU)</t>
        </is>
      </c>
      <c r="G32" s="74" t="b">
        <v>0</v>
      </c>
      <c r="H32" s="74" t="inlineStr">
        <is>
          <t>regulamento</t>
        </is>
      </c>
      <c r="I32" s="74" t="n">
        <v>787850</v>
      </c>
      <c r="J32" s="74" t="inlineStr">
        <is>
          <t>Regulamento</t>
        </is>
      </c>
      <c r="K32" s="74" t="inlineStr">
        <is>
          <t>22/11/2024</t>
        </is>
      </c>
      <c r="L32" s="74" t="n">
        <v>27</v>
      </c>
      <c r="M32" s="74" t="inlineStr">
        <is>
          <t>encontrado_explicito</t>
        </is>
      </c>
      <c r="N32" s="74" t="b">
        <v>1</v>
      </c>
      <c r="O32" s="74" t="inlineStr">
        <is>
          <t>.cache/carteira_101_document_scan/38376526000143/787850.json.gz</t>
        </is>
      </c>
      <c r="P32" s="74" t="inlineStr">
        <is>
          <t>https://fnet.bmfbovespa.com.br/fnet/publico/downloadDocumento?id=787850</t>
        </is>
      </c>
      <c r="Q32" s="74" t="inlineStr">
        <is>
          <t>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t>
        </is>
      </c>
    </row>
    <row r="33" ht="40.5" customHeight="1">
      <c r="A33" s="142" t="n">
        <v>38376526000143</v>
      </c>
      <c r="B33" s="75" t="inlineStr">
        <is>
          <t>38.376.526/0001-43</t>
        </is>
      </c>
      <c r="C33" s="75" t="inlineStr">
        <is>
          <t>Cotas Subordinadas</t>
        </is>
      </c>
      <c r="D33" s="75" t="inlineStr">
        <is>
          <t>R$ 1.000,00</t>
        </is>
      </c>
      <c r="E33" s="143" t="n">
        <v>1000</v>
      </c>
      <c r="F33" s="75" t="inlineStr">
        <is>
          <t>valor nominal unitário (VNU)</t>
        </is>
      </c>
      <c r="G33" s="75" t="b">
        <v>0</v>
      </c>
      <c r="H33" s="75" t="inlineStr">
        <is>
          <t>regulamento</t>
        </is>
      </c>
      <c r="I33" s="75" t="n">
        <v>787850</v>
      </c>
      <c r="J33" s="75" t="inlineStr">
        <is>
          <t>Regulamento</t>
        </is>
      </c>
      <c r="K33" s="75" t="inlineStr">
        <is>
          <t>22/11/2024</t>
        </is>
      </c>
      <c r="L33" s="75" t="n">
        <v>27</v>
      </c>
      <c r="M33" s="75" t="inlineStr">
        <is>
          <t>encontrado_explicito</t>
        </is>
      </c>
      <c r="N33" s="75" t="b">
        <v>1</v>
      </c>
      <c r="O33" s="75" t="inlineStr">
        <is>
          <t>.cache/carteira_101_document_scan/38376526000143/787850.json.gz</t>
        </is>
      </c>
      <c r="P33" s="75" t="inlineStr">
        <is>
          <t>https://fnet.bmfbovespa.com.br/fnet/publico/downloadDocumento?id=787850</t>
        </is>
      </c>
      <c r="Q33" s="75" t="inlineStr">
        <is>
          <t>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t>
        </is>
      </c>
    </row>
    <row r="34" ht="40.5" customHeight="1">
      <c r="A34" s="138" t="n">
        <v>38376526000143</v>
      </c>
      <c r="B34" s="74" t="inlineStr">
        <is>
          <t>38.376.526/0001-43</t>
        </is>
      </c>
      <c r="C34" s="74" t="inlineStr">
        <is>
          <t>Cotas Seniores</t>
        </is>
      </c>
      <c r="D34" s="74" t="inlineStr">
        <is>
          <t>R$1</t>
        </is>
      </c>
      <c r="E34" s="139" t="n">
        <v>1</v>
      </c>
      <c r="F34" s="74" t="inlineStr">
        <is>
          <t>valor nominal unitário (VNU)</t>
        </is>
      </c>
      <c r="G34" s="74" t="b">
        <v>0</v>
      </c>
      <c r="H34" s="74" t="inlineStr">
        <is>
          <t>emissao</t>
        </is>
      </c>
      <c r="I34" s="74" t="n">
        <v>628890</v>
      </c>
      <c r="J34" s="74" t="inlineStr">
        <is>
          <t>Oferta Pública de Distribuição de Cotas Anúncio de Início</t>
        </is>
      </c>
      <c r="K34" s="74" t="inlineStr">
        <is>
          <t>27/03/2024</t>
        </is>
      </c>
      <c r="L34" s="74" t="n">
        <v>1</v>
      </c>
      <c r="M34" s="74" t="inlineStr">
        <is>
          <t>encontrado_explicito</t>
        </is>
      </c>
      <c r="N34" s="74" t="b">
        <v>1</v>
      </c>
      <c r="O34" s="74" t="inlineStr">
        <is>
          <t>.cache/carteira_101_document_scan/38376526000143/628890.json.gz</t>
        </is>
      </c>
      <c r="P34" s="74" t="inlineStr">
        <is>
          <t>https://fnet.bmfbovespa.com.br/fnet/publico/downloadDocumento?id=628890</t>
        </is>
      </c>
      <c r="Q34" s="74" t="inlineStr">
        <is>
          <t>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t>
        </is>
      </c>
    </row>
    <row r="35" ht="40.5" customHeight="1">
      <c r="A35" s="142" t="n">
        <v>38385876000176</v>
      </c>
      <c r="B35" s="75" t="inlineStr">
        <is>
          <t>38.385.876/0001-76</t>
        </is>
      </c>
      <c r="C35" s="75" t="inlineStr">
        <is>
          <t>N/D</t>
        </is>
      </c>
      <c r="D35" s="75" t="inlineStr">
        <is>
          <t>R$1.000,00</t>
        </is>
      </c>
      <c r="E35" s="143" t="n">
        <v>1000</v>
      </c>
      <c r="F35" s="75" t="inlineStr">
        <is>
          <t>preço/valor unitário de emissão</t>
        </is>
      </c>
      <c r="G35" s="75" t="b">
        <v>1</v>
      </c>
      <c r="H35" s="75" t="inlineStr">
        <is>
          <t>regulamento</t>
        </is>
      </c>
      <c r="I35" s="75" t="n">
        <v>719764</v>
      </c>
      <c r="J35" s="75" t="inlineStr">
        <is>
          <t>Regulamento</t>
        </is>
      </c>
      <c r="K35" s="75" t="inlineStr">
        <is>
          <t>14/08/2024</t>
        </is>
      </c>
      <c r="L35" s="75" t="n">
        <v>29</v>
      </c>
      <c r="M35" s="75" t="inlineStr">
        <is>
          <t>encontrado_explicito</t>
        </is>
      </c>
      <c r="N35" s="75" t="b">
        <v>1</v>
      </c>
      <c r="O35" s="75" t="inlineStr">
        <is>
          <t>.cache/carteira_101_document_scan/38385876000176/719764.json.gz</t>
        </is>
      </c>
      <c r="P35" s="75" t="inlineStr">
        <is>
          <t>https://fnet.bmfbovespa.com.br/fnet/publico/downloadDocumento?id=719764</t>
        </is>
      </c>
      <c r="Q35" s="75" t="inlineStr">
        <is>
          <t>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t>
        </is>
      </c>
    </row>
    <row r="36" ht="40.5" customHeight="1">
      <c r="A36" s="138" t="n">
        <v>38385876000176</v>
      </c>
      <c r="B36" s="74" t="inlineStr">
        <is>
          <t>38.385.876/0001-76</t>
        </is>
      </c>
      <c r="C36" s="74" t="inlineStr">
        <is>
          <t>Cotas Subordinadas Júnior</t>
        </is>
      </c>
      <c r="D36" s="74" t="inlineStr">
        <is>
          <t>R$1.000,00</t>
        </is>
      </c>
      <c r="E36" s="139" t="n">
        <v>1000</v>
      </c>
      <c r="F36" s="74" t="inlineStr">
        <is>
          <t>valor nominal unitário (VNU)</t>
        </is>
      </c>
      <c r="G36" s="74" t="b">
        <v>0</v>
      </c>
      <c r="H36" s="74" t="inlineStr">
        <is>
          <t>emissao</t>
        </is>
      </c>
      <c r="I36" s="74" t="n">
        <v>224338</v>
      </c>
      <c r="J36" s="74" t="inlineStr">
        <is>
          <t>Atos de Deliberação do Administrador Instrumento Particular de Emissão de Cotas</t>
        </is>
      </c>
      <c r="K36" s="74" t="inlineStr">
        <is>
          <t>14/10/2021</t>
        </is>
      </c>
      <c r="L36" s="74" t="n">
        <v>1</v>
      </c>
      <c r="M36" s="74" t="inlineStr">
        <is>
          <t>encontrado_explicito</t>
        </is>
      </c>
      <c r="N36" s="74" t="b">
        <v>1</v>
      </c>
      <c r="O36" s="74" t="inlineStr">
        <is>
          <t>.cache/carteira_101_document_scan/38385876000176/224338.json.gz</t>
        </is>
      </c>
      <c r="P36" s="74" t="inlineStr">
        <is>
          <t>https://fnet.bmfbovespa.com.br/fnet/publico/downloadDocumento?id=224338</t>
        </is>
      </c>
      <c r="Q36" s="74" t="inlineStr">
        <is>
          <t>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t>
        </is>
      </c>
    </row>
    <row r="37" ht="40.5" customHeight="1">
      <c r="A37" s="142" t="n">
        <v>38385876000176</v>
      </c>
      <c r="B37" s="75" t="inlineStr">
        <is>
          <t>38.385.876/0001-76</t>
        </is>
      </c>
      <c r="C37" s="75" t="inlineStr">
        <is>
          <t>Cotas Subordinadas Mezanino</t>
        </is>
      </c>
      <c r="D37" s="75" t="inlineStr">
        <is>
          <t>R$ 1.000,00</t>
        </is>
      </c>
      <c r="E37" s="143" t="n">
        <v>1000</v>
      </c>
      <c r="F37" s="75" t="inlineStr">
        <is>
          <t>valor nominal unitário (VNU)</t>
        </is>
      </c>
      <c r="G37" s="75" t="b">
        <v>0</v>
      </c>
      <c r="H37" s="75" t="inlineStr">
        <is>
          <t>emissao</t>
        </is>
      </c>
      <c r="I37" s="75" t="n">
        <v>224338</v>
      </c>
      <c r="J37" s="75" t="inlineStr">
        <is>
          <t>Atos de Deliberação do Administrador Instrumento Particular de Emissão de Cotas</t>
        </is>
      </c>
      <c r="K37" s="75" t="inlineStr">
        <is>
          <t>14/10/2021</t>
        </is>
      </c>
      <c r="L37" s="75" t="n">
        <v>1</v>
      </c>
      <c r="M37" s="75" t="inlineStr">
        <is>
          <t>encontrado_explicito</t>
        </is>
      </c>
      <c r="N37" s="75" t="b">
        <v>1</v>
      </c>
      <c r="O37" s="75" t="inlineStr">
        <is>
          <t>.cache/carteira_101_document_scan/38385876000176/224338.json.gz</t>
        </is>
      </c>
      <c r="P37" s="75" t="inlineStr">
        <is>
          <t>https://fnet.bmfbovespa.com.br/fnet/publico/downloadDocumento?id=224338</t>
        </is>
      </c>
      <c r="Q37" s="75" t="inlineStr">
        <is>
          <t>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t>
        </is>
      </c>
    </row>
    <row r="38" ht="40.5" customHeight="1">
      <c r="A38" s="138" t="n">
        <v>38385876000176</v>
      </c>
      <c r="B38" s="74" t="inlineStr">
        <is>
          <t>38.385.876/0001-76</t>
        </is>
      </c>
      <c r="C38" s="74" t="inlineStr">
        <is>
          <t>N/D</t>
        </is>
      </c>
      <c r="D38" s="74" t="inlineStr">
        <is>
          <t>R$ 1.000,00</t>
        </is>
      </c>
      <c r="E38" s="139" t="n">
        <v>1000</v>
      </c>
      <c r="F38" s="74" t="inlineStr">
        <is>
          <t>valor nominal unitário (VNU)</t>
        </is>
      </c>
      <c r="G38" s="74" t="b">
        <v>1</v>
      </c>
      <c r="H38" s="74" t="inlineStr">
        <is>
          <t>emissao</t>
        </is>
      </c>
      <c r="I38" s="74" t="n">
        <v>224338</v>
      </c>
      <c r="J38" s="74" t="inlineStr">
        <is>
          <t>Atos de Deliberação do Administrador Instrumento Particular de Emissão de Cotas</t>
        </is>
      </c>
      <c r="K38" s="74" t="inlineStr">
        <is>
          <t>14/10/2021</t>
        </is>
      </c>
      <c r="L38" s="74" t="n">
        <v>1</v>
      </c>
      <c r="M38" s="74" t="inlineStr">
        <is>
          <t>encontrado_explicito</t>
        </is>
      </c>
      <c r="N38" s="74" t="b">
        <v>1</v>
      </c>
      <c r="O38" s="74" t="inlineStr">
        <is>
          <t>.cache/carteira_101_document_scan/38385876000176/224338.json.gz</t>
        </is>
      </c>
      <c r="P38" s="74" t="inlineStr">
        <is>
          <t>https://fnet.bmfbovespa.com.br/fnet/publico/downloadDocumento?id=224338</t>
        </is>
      </c>
      <c r="Q38" s="74" t="inlineStr">
        <is>
          <t>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t>
        </is>
      </c>
    </row>
    <row r="39" ht="40.5" customHeight="1">
      <c r="A39" s="142" t="n">
        <v>38658727000133</v>
      </c>
      <c r="B39" s="75" t="inlineStr">
        <is>
          <t>38.658.727/0001-33</t>
        </is>
      </c>
      <c r="C39" s="75" t="inlineStr">
        <is>
          <t>Cotas Seniores</t>
        </is>
      </c>
      <c r="D39" s="75" t="inlineStr">
        <is>
          <t>R$ 1.000,00</t>
        </is>
      </c>
      <c r="E39" s="143" t="n">
        <v>1000</v>
      </c>
      <c r="F39" s="75" t="inlineStr">
        <is>
          <t>preço/valor unitário de emissão</t>
        </is>
      </c>
      <c r="G39" s="75" t="b">
        <v>0</v>
      </c>
      <c r="H39" s="75" t="inlineStr">
        <is>
          <t>regulamento</t>
        </is>
      </c>
      <c r="I39" s="75" t="n">
        <v>691063</v>
      </c>
      <c r="J39" s="75" t="inlineStr">
        <is>
          <t>regulamento</t>
        </is>
      </c>
      <c r="K39" s="75" t="inlineStr">
        <is>
          <t>2024-06-13</t>
        </is>
      </c>
      <c r="L39" s="75" t="n">
        <v>15</v>
      </c>
      <c r="M39" s="75" t="inlineStr">
        <is>
          <t>encontrado_explicito</t>
        </is>
      </c>
      <c r="N39" s="75" t="b">
        <v>1</v>
      </c>
      <c r="O39" s="75" t="inlineStr">
        <is>
          <t>data/raw/38658727000133/691063_regulamento_regulamento_691063_2024-06-13.pdf</t>
        </is>
      </c>
      <c r="P39" s="75" t="inlineStr">
        <is>
          <t>https://fnet.bmfbovespa.com.br/fnet/publico/downloadDocumento?id=691063</t>
        </is>
      </c>
      <c r="Q39" s="75" t="inlineStr">
        <is>
          <t>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t>
        </is>
      </c>
    </row>
    <row r="40" ht="40.5" customHeight="1">
      <c r="A40" s="138" t="n">
        <v>38658727000133</v>
      </c>
      <c r="B40" s="74" t="inlineStr">
        <is>
          <t>38.658.727/0001-33</t>
        </is>
      </c>
      <c r="C40" s="74" t="inlineStr">
        <is>
          <t>Cotas Seniores</t>
        </is>
      </c>
      <c r="D40" s="74" t="inlineStr">
        <is>
          <t>R$ 1.000,00</t>
        </is>
      </c>
      <c r="E40" s="139" t="n">
        <v>1000</v>
      </c>
      <c r="F40" s="74" t="inlineStr">
        <is>
          <t>valor nominal unitário (VNU)</t>
        </is>
      </c>
      <c r="G40" s="74" t="b">
        <v>0</v>
      </c>
      <c r="H40" s="74" t="inlineStr">
        <is>
          <t>emissao</t>
        </is>
      </c>
      <c r="I40" s="74" t="n">
        <v>1223025</v>
      </c>
      <c r="J40" s="74" t="inlineStr">
        <is>
          <t>Oferta Pública de Distribuição de Cotas Anúncio de Início</t>
        </is>
      </c>
      <c r="K40" s="74" t="inlineStr">
        <is>
          <t>16/06/2026</t>
        </is>
      </c>
      <c r="L40" s="74" t="n">
        <v>2</v>
      </c>
      <c r="M40" s="74" t="inlineStr">
        <is>
          <t>encontrado_explicito</t>
        </is>
      </c>
      <c r="N40" s="74" t="b">
        <v>1</v>
      </c>
      <c r="O40" s="74" t="inlineStr">
        <is>
          <t>.cache/carteira_101_document_scan/38658727000133/1223025.json.gz</t>
        </is>
      </c>
      <c r="P40" s="74" t="inlineStr">
        <is>
          <t>https://fnet.bmfbovespa.com.br/fnet/publico/downloadDocumento?id=1223025</t>
        </is>
      </c>
      <c r="Q40" s="74" t="inlineStr">
        <is>
          <t>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t>
        </is>
      </c>
    </row>
    <row r="41" ht="40.5" customHeight="1">
      <c r="A41" s="142" t="n">
        <v>40919667000107</v>
      </c>
      <c r="B41" s="75" t="inlineStr">
        <is>
          <t>40.919.667/0001-07</t>
        </is>
      </c>
      <c r="C41" s="75" t="inlineStr">
        <is>
          <t>Cotas Seniores</t>
        </is>
      </c>
      <c r="D41" s="75" t="inlineStr">
        <is>
          <t>R$1.000,00</t>
        </is>
      </c>
      <c r="E41" s="143" t="n">
        <v>1000</v>
      </c>
      <c r="F41" s="75" t="inlineStr">
        <is>
          <t>valor nominal unitário (VNU)</t>
        </is>
      </c>
      <c r="G41" s="75" t="b">
        <v>0</v>
      </c>
      <c r="H41" s="75" t="inlineStr">
        <is>
          <t>emissao</t>
        </is>
      </c>
      <c r="I41" s="75" t="n">
        <v>574657</v>
      </c>
      <c r="J41" s="75" t="inlineStr">
        <is>
          <t>Oferta Pública de Distribuição de Cotas Anúncio de Início</t>
        </is>
      </c>
      <c r="K41" s="75" t="inlineStr">
        <is>
          <t>22/12/2023</t>
        </is>
      </c>
      <c r="L41" s="75" t="n">
        <v>2</v>
      </c>
      <c r="M41" s="75" t="inlineStr">
        <is>
          <t>encontrado_explicito</t>
        </is>
      </c>
      <c r="N41" s="75" t="b">
        <v>1</v>
      </c>
      <c r="O41" s="75" t="inlineStr">
        <is>
          <t>.cache/carteira_101_document_scan/40919667000107/574657.json.gz</t>
        </is>
      </c>
      <c r="P41" s="75" t="inlineStr">
        <is>
          <t>https://fnet.bmfbovespa.com.br/fnet/publico/downloadDocumento?id=574657</t>
        </is>
      </c>
      <c r="Q41" s="75" t="inlineStr">
        <is>
          <t>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t>
        </is>
      </c>
    </row>
    <row r="42" ht="40.5" customHeight="1">
      <c r="A42" s="138" t="n">
        <v>42085816000105</v>
      </c>
      <c r="B42" s="74" t="inlineStr">
        <is>
          <t>42.085.816/0001-05</t>
        </is>
      </c>
      <c r="C42" s="74" t="inlineStr">
        <is>
          <t>Cotas Subordinadas</t>
        </is>
      </c>
      <c r="D42" s="74" t="inlineStr">
        <is>
          <t>R$ 1.000,00</t>
        </is>
      </c>
      <c r="E42" s="139" t="n">
        <v>1000</v>
      </c>
      <c r="F42" s="74" t="inlineStr">
        <is>
          <t>valor nominal unitário (VNU)</t>
        </is>
      </c>
      <c r="G42" s="74" t="b">
        <v>0</v>
      </c>
      <c r="H42" s="74" t="inlineStr">
        <is>
          <t>assembleia</t>
        </is>
      </c>
      <c r="I42" s="74" t="n">
        <v>211003</v>
      </c>
      <c r="J42" s="74" t="inlineStr">
        <is>
          <t>assembleia</t>
        </is>
      </c>
      <c r="K42" s="74" t="inlineStr">
        <is>
          <t>2021-09-01</t>
        </is>
      </c>
      <c r="L42" s="74" t="n">
        <v>3</v>
      </c>
      <c r="M42" s="74" t="inlineStr">
        <is>
          <t>encontrado_explicito</t>
        </is>
      </c>
      <c r="N42" s="74" t="b">
        <v>1</v>
      </c>
      <c r="O42" s="74" t="inlineStr">
        <is>
          <t>data/raw/42085816000105/211003_assembleia_assembleia_211003_2021-09-01.pdf</t>
        </is>
      </c>
      <c r="P42" s="74" t="inlineStr">
        <is>
          <t>https://fnet.bmfbovespa.com.br/fnet/publico/downloadDocumento?id=211003</t>
        </is>
      </c>
      <c r="Q42" s="74" t="inlineStr">
        <is>
          <t>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t>
        </is>
      </c>
    </row>
    <row r="43" ht="40.5" customHeight="1">
      <c r="A43" s="142" t="n">
        <v>42085830000109</v>
      </c>
      <c r="B43" s="75" t="inlineStr">
        <is>
          <t>42.085.830/0001-09</t>
        </is>
      </c>
      <c r="C43" s="75" t="inlineStr">
        <is>
          <t>Cotas Seniores</t>
        </is>
      </c>
      <c r="D43" s="75" t="inlineStr">
        <is>
          <t>R$1.000</t>
        </is>
      </c>
      <c r="E43" s="143" t="n">
        <v>1000</v>
      </c>
      <c r="F43" s="75" t="inlineStr">
        <is>
          <t>valor nominal unitário (VNU)</t>
        </is>
      </c>
      <c r="G43" s="75" t="b">
        <v>0</v>
      </c>
      <c r="H43" s="75" t="inlineStr">
        <is>
          <t>regulamento</t>
        </is>
      </c>
      <c r="I43" s="75" t="n">
        <v>966441</v>
      </c>
      <c r="J43" s="75" t="inlineStr">
        <is>
          <t>regulamento</t>
        </is>
      </c>
      <c r="K43" s="75" t="inlineStr">
        <is>
          <t>2025-07-24</t>
        </is>
      </c>
      <c r="L43" s="75" t="n">
        <v>114</v>
      </c>
      <c r="M43" s="75" t="inlineStr">
        <is>
          <t>encontrado_explicito</t>
        </is>
      </c>
      <c r="N43" s="75" t="b">
        <v>1</v>
      </c>
      <c r="O43" s="75" t="inlineStr">
        <is>
          <t>data/raw/42085830000109/966441_regulamento_regulamento_966441_2025-07-24.pdf</t>
        </is>
      </c>
      <c r="P43" s="75" t="inlineStr">
        <is>
          <t>https://fnet.bmfbovespa.com.br/fnet/publico/downloadDocumento?id=966441</t>
        </is>
      </c>
      <c r="Q43" s="75" t="inlineStr">
        <is>
          <t>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t>
        </is>
      </c>
    </row>
    <row r="44" ht="40.5" customHeight="1">
      <c r="A44" s="138" t="n">
        <v>42085830000109</v>
      </c>
      <c r="B44" s="74" t="inlineStr">
        <is>
          <t>42.085.830/0001-09</t>
        </is>
      </c>
      <c r="C44" s="74" t="inlineStr">
        <is>
          <t>Cotas Subordinadas</t>
        </is>
      </c>
      <c r="D44" s="74" t="inlineStr">
        <is>
          <t>R$1.000</t>
        </is>
      </c>
      <c r="E44" s="139" t="n">
        <v>1000</v>
      </c>
      <c r="F44" s="74" t="inlineStr">
        <is>
          <t>valor nominal unitário (VNU)</t>
        </is>
      </c>
      <c r="G44" s="74" t="b">
        <v>0</v>
      </c>
      <c r="H44" s="74" t="inlineStr">
        <is>
          <t>regulamento</t>
        </is>
      </c>
      <c r="I44" s="74" t="n">
        <v>966441</v>
      </c>
      <c r="J44" s="74" t="inlineStr">
        <is>
          <t>regulamento</t>
        </is>
      </c>
      <c r="K44" s="74" t="inlineStr">
        <is>
          <t>2025-07-24</t>
        </is>
      </c>
      <c r="L44" s="74" t="n">
        <v>116</v>
      </c>
      <c r="M44" s="74" t="inlineStr">
        <is>
          <t>encontrado_explicito</t>
        </is>
      </c>
      <c r="N44" s="74" t="b">
        <v>1</v>
      </c>
      <c r="O44" s="74" t="inlineStr">
        <is>
          <t>data/raw/42085830000109/966441_regulamento_regulamento_966441_2025-07-24.pdf</t>
        </is>
      </c>
      <c r="P44" s="74" t="inlineStr">
        <is>
          <t>https://fnet.bmfbovespa.com.br/fnet/publico/downloadDocumento?id=966441</t>
        </is>
      </c>
      <c r="Q44" s="74" t="inlineStr">
        <is>
          <t>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t>
        </is>
      </c>
    </row>
    <row r="45" ht="40.5" customHeight="1">
      <c r="A45" s="142" t="n">
        <v>42102603000144</v>
      </c>
      <c r="B45" s="75" t="inlineStr">
        <is>
          <t>42.102.603/0001-44</t>
        </is>
      </c>
      <c r="C45" s="75" t="inlineStr">
        <is>
          <t>Cotas Seniores</t>
        </is>
      </c>
      <c r="D45" s="75" t="inlineStr">
        <is>
          <t>R$1.000</t>
        </is>
      </c>
      <c r="E45" s="143" t="n">
        <v>1000</v>
      </c>
      <c r="F45" s="75" t="inlineStr">
        <is>
          <t>valor nominal unitário (VNU)</t>
        </is>
      </c>
      <c r="G45" s="75" t="b">
        <v>0</v>
      </c>
      <c r="H45" s="75" t="inlineStr">
        <is>
          <t>regulamento</t>
        </is>
      </c>
      <c r="I45" s="75" t="n">
        <v>259049</v>
      </c>
      <c r="J45" s="75" t="inlineStr">
        <is>
          <t>regulamento</t>
        </is>
      </c>
      <c r="K45" s="75" t="inlineStr">
        <is>
          <t>2022-01-21</t>
        </is>
      </c>
      <c r="L45" s="75" t="n">
        <v>3</v>
      </c>
      <c r="M45" s="75" t="inlineStr">
        <is>
          <t>encontrado_explicito</t>
        </is>
      </c>
      <c r="N45" s="75" t="b">
        <v>1</v>
      </c>
      <c r="O45" s="75" t="inlineStr">
        <is>
          <t>data/raw/42102603000144/259049_regulamento_regulamento_259049_2022-01-21.pdf</t>
        </is>
      </c>
      <c r="P45" s="75" t="inlineStr">
        <is>
          <t>https://fnet.bmfbovespa.com.br/fnet/publico/downloadDocumento?id=259049</t>
        </is>
      </c>
      <c r="Q45" s="75" t="inlineStr">
        <is>
          <t>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t>
        </is>
      </c>
    </row>
    <row r="46" ht="40.5" customHeight="1">
      <c r="A46" s="138" t="n">
        <v>42102603000144</v>
      </c>
      <c r="B46" s="74" t="inlineStr">
        <is>
          <t>42.102.603/0001-44</t>
        </is>
      </c>
      <c r="C46" s="74" t="inlineStr">
        <is>
          <t>Cotas Seniores</t>
        </is>
      </c>
      <c r="D46" s="74" t="inlineStr">
        <is>
          <t>R$1.000,00</t>
        </is>
      </c>
      <c r="E46" s="139" t="n">
        <v>1000</v>
      </c>
      <c r="F46" s="74" t="inlineStr">
        <is>
          <t>valor nominal unitário (VNU)</t>
        </is>
      </c>
      <c r="G46" s="74" t="b">
        <v>0</v>
      </c>
      <c r="H46" s="74" t="inlineStr">
        <is>
          <t>regulamento</t>
        </is>
      </c>
      <c r="I46" s="74" t="n">
        <v>733239</v>
      </c>
      <c r="J46" s="74" t="inlineStr">
        <is>
          <t>regulamento</t>
        </is>
      </c>
      <c r="K46" s="74" t="inlineStr">
        <is>
          <t>2024-09-05</t>
        </is>
      </c>
      <c r="L46" s="74" t="n">
        <v>113</v>
      </c>
      <c r="M46" s="74" t="inlineStr">
        <is>
          <t>encontrado_explicito</t>
        </is>
      </c>
      <c r="N46" s="74" t="b">
        <v>1</v>
      </c>
      <c r="O46" s="74" t="inlineStr">
        <is>
          <t>data/raw/42102603000144/733239_regulamento_regulamento_733239_2024-09-05.pdf</t>
        </is>
      </c>
      <c r="P46" s="74" t="inlineStr">
        <is>
          <t>https://fnet.bmfbovespa.com.br/fnet/publico/downloadDocumento?id=733239</t>
        </is>
      </c>
      <c r="Q46" s="74" t="inlineStr">
        <is>
          <t>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t>
        </is>
      </c>
    </row>
    <row r="47" ht="40.5" customHeight="1">
      <c r="A47" s="142" t="n">
        <v>42102603000144</v>
      </c>
      <c r="B47" s="75" t="inlineStr">
        <is>
          <t>42.102.603/0001-44</t>
        </is>
      </c>
      <c r="C47" s="75" t="inlineStr">
        <is>
          <t>Cotas Subordinadas</t>
        </is>
      </c>
      <c r="D47" s="75" t="inlineStr">
        <is>
          <t>R$1.000,00</t>
        </is>
      </c>
      <c r="E47" s="143" t="n">
        <v>1000</v>
      </c>
      <c r="F47" s="75" t="inlineStr">
        <is>
          <t>valor nominal unitário (VNU)</t>
        </is>
      </c>
      <c r="G47" s="75" t="b">
        <v>0</v>
      </c>
      <c r="H47" s="75" t="inlineStr">
        <is>
          <t>regulamento</t>
        </is>
      </c>
      <c r="I47" s="75" t="n">
        <v>733239</v>
      </c>
      <c r="J47" s="75" t="inlineStr">
        <is>
          <t>regulamento</t>
        </is>
      </c>
      <c r="K47" s="75" t="inlineStr">
        <is>
          <t>2024-09-05</t>
        </is>
      </c>
      <c r="L47" s="75" t="n">
        <v>115</v>
      </c>
      <c r="M47" s="75" t="inlineStr">
        <is>
          <t>encontrado_explicito</t>
        </is>
      </c>
      <c r="N47" s="75" t="b">
        <v>1</v>
      </c>
      <c r="O47" s="75" t="inlineStr">
        <is>
          <t>data/raw/42102603000144/733239_regulamento_regulamento_733239_2024-09-05.pdf</t>
        </is>
      </c>
      <c r="P47" s="75" t="inlineStr">
        <is>
          <t>https://fnet.bmfbovespa.com.br/fnet/publico/downloadDocumento?id=733239</t>
        </is>
      </c>
      <c r="Q47" s="75" t="inlineStr">
        <is>
          <t>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t>
        </is>
      </c>
    </row>
    <row r="48" ht="40.5" customHeight="1">
      <c r="A48" s="138" t="n">
        <v>42154687000160</v>
      </c>
      <c r="B48" s="74" t="inlineStr">
        <is>
          <t>42.154.687/0001-60</t>
        </is>
      </c>
      <c r="C48" s="74" t="inlineStr">
        <is>
          <t>Cotas Subordinadas</t>
        </is>
      </c>
      <c r="D48" s="74" t="inlineStr">
        <is>
          <t>R$ 1.000,00</t>
        </is>
      </c>
      <c r="E48" s="139" t="n">
        <v>1000</v>
      </c>
      <c r="F48" s="74" t="inlineStr">
        <is>
          <t>preço/valor unitário de emissão</t>
        </is>
      </c>
      <c r="G48" s="74" t="b">
        <v>0</v>
      </c>
      <c r="H48" s="74" t="inlineStr">
        <is>
          <t>regulamento</t>
        </is>
      </c>
      <c r="I48" s="74" t="n">
        <v>1140137</v>
      </c>
      <c r="J48" s="74" t="inlineStr">
        <is>
          <t>regulamento</t>
        </is>
      </c>
      <c r="K48" s="74" t="inlineStr">
        <is>
          <t>2026-03-18</t>
        </is>
      </c>
      <c r="L48" s="74" t="n">
        <v>52</v>
      </c>
      <c r="M48" s="74" t="inlineStr">
        <is>
          <t>encontrado_explicito</t>
        </is>
      </c>
      <c r="N48" s="74" t="b">
        <v>1</v>
      </c>
      <c r="O48" s="74" t="inlineStr">
        <is>
          <t>data/raw/42154687000160/1140137_regulamento_regulamento_1140137_2026-03-18.pdf</t>
        </is>
      </c>
      <c r="P48" s="74" t="inlineStr">
        <is>
          <t>https://fnet.bmfbovespa.com.br/fnet/publico/downloadDocumento?id=1140137</t>
        </is>
      </c>
      <c r="Q48" s="74" t="inlineStr">
        <is>
          <t>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t>
        </is>
      </c>
    </row>
    <row r="49" ht="40.5" customHeight="1">
      <c r="A49" s="142" t="n">
        <v>42154687000160</v>
      </c>
      <c r="B49" s="75" t="inlineStr">
        <is>
          <t>42.154.687/0001-60</t>
        </is>
      </c>
      <c r="C49" s="75" t="inlineStr">
        <is>
          <t>Cotas Subordinadas Júnior</t>
        </is>
      </c>
      <c r="D49" s="75" t="inlineStr">
        <is>
          <t>R$ 1.000,00</t>
        </is>
      </c>
      <c r="E49" s="143" t="n">
        <v>1000</v>
      </c>
      <c r="F49" s="75" t="inlineStr">
        <is>
          <t>preço/valor unitário de emissão</t>
        </is>
      </c>
      <c r="G49" s="75" t="b">
        <v>0</v>
      </c>
      <c r="H49" s="75" t="inlineStr">
        <is>
          <t>regulamento</t>
        </is>
      </c>
      <c r="I49" s="75" t="n">
        <v>1140137</v>
      </c>
      <c r="J49" s="75" t="inlineStr">
        <is>
          <t>regulamento</t>
        </is>
      </c>
      <c r="K49" s="75" t="inlineStr">
        <is>
          <t>2026-03-18</t>
        </is>
      </c>
      <c r="L49" s="75" t="n">
        <v>53</v>
      </c>
      <c r="M49" s="75" t="inlineStr">
        <is>
          <t>encontrado_explicito</t>
        </is>
      </c>
      <c r="N49" s="75" t="b">
        <v>1</v>
      </c>
      <c r="O49" s="75" t="inlineStr">
        <is>
          <t>data/raw/42154687000160/1140137_regulamento_regulamento_1140137_2026-03-18.pdf</t>
        </is>
      </c>
      <c r="P49" s="75" t="inlineStr">
        <is>
          <t>https://fnet.bmfbovespa.com.br/fnet/publico/downloadDocumento?id=1140137</t>
        </is>
      </c>
      <c r="Q49" s="75" t="inlineStr">
        <is>
          <t>(i)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t>
        </is>
      </c>
    </row>
    <row r="50" ht="40.5" customHeight="1">
      <c r="A50" s="138" t="n">
        <v>42154687000160</v>
      </c>
      <c r="B50" s="74" t="inlineStr">
        <is>
          <t>42.154.687/0001-60</t>
        </is>
      </c>
      <c r="C50" s="74" t="inlineStr">
        <is>
          <t>Cotas Subordinadas Mezanino</t>
        </is>
      </c>
      <c r="D50" s="74" t="inlineStr">
        <is>
          <t>R$ 1.000,00</t>
        </is>
      </c>
      <c r="E50" s="139" t="n">
        <v>1000</v>
      </c>
      <c r="F50" s="74" t="inlineStr">
        <is>
          <t>preço/valor unitário de emissão</t>
        </is>
      </c>
      <c r="G50" s="74" t="b">
        <v>0</v>
      </c>
      <c r="H50" s="74" t="inlineStr">
        <is>
          <t>regulamento</t>
        </is>
      </c>
      <c r="I50" s="74" t="n">
        <v>1140137</v>
      </c>
      <c r="J50" s="74" t="inlineStr">
        <is>
          <t>regulamento</t>
        </is>
      </c>
      <c r="K50" s="74" t="inlineStr">
        <is>
          <t>2026-03-18</t>
        </is>
      </c>
      <c r="L50" s="74" t="n">
        <v>54</v>
      </c>
      <c r="M50" s="74" t="inlineStr">
        <is>
          <t>encontrado_explicito</t>
        </is>
      </c>
      <c r="N50" s="74" t="b">
        <v>1</v>
      </c>
      <c r="O50" s="74" t="inlineStr">
        <is>
          <t>data/raw/42154687000160/1140137_regulamento_regulamento_1140137_2026-03-18.pdf</t>
        </is>
      </c>
      <c r="P50" s="74" t="inlineStr">
        <is>
          <t>https://fnet.bmfbovespa.com.br/fnet/publico/downloadDocumento?id=1140137</t>
        </is>
      </c>
      <c r="Q50" s="74" t="inlineStr">
        <is>
          <t>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t>
        </is>
      </c>
    </row>
    <row r="51" ht="40.5" customHeight="1">
      <c r="A51" s="142" t="n">
        <v>42154687000160</v>
      </c>
      <c r="B51" s="75" t="inlineStr">
        <is>
          <t>42.154.687/0001-60</t>
        </is>
      </c>
      <c r="C51" s="75" t="inlineStr">
        <is>
          <t>N/D</t>
        </is>
      </c>
      <c r="D51" s="75" t="inlineStr">
        <is>
          <t>R$ 1.000,00</t>
        </is>
      </c>
      <c r="E51" s="143" t="n">
        <v>1000</v>
      </c>
      <c r="F51" s="75" t="inlineStr">
        <is>
          <t>preço/valor unitário de emissão</t>
        </is>
      </c>
      <c r="G51" s="75" t="b">
        <v>1</v>
      </c>
      <c r="H51" s="75" t="inlineStr">
        <is>
          <t>emissao</t>
        </is>
      </c>
      <c r="I51" s="75" t="n">
        <v>1237430</v>
      </c>
      <c r="J51" s="75" t="inlineStr">
        <is>
          <t>Atos de Deliberação do Administrador Instrumento Particular de Emissão de Cotas</t>
        </is>
      </c>
      <c r="K51" s="75" t="inlineStr">
        <is>
          <t>30/06/2026</t>
        </is>
      </c>
      <c r="L51" s="75" t="n">
        <v>4</v>
      </c>
      <c r="M51" s="75" t="inlineStr">
        <is>
          <t>encontrado_explicito</t>
        </is>
      </c>
      <c r="N51" s="75" t="b">
        <v>1</v>
      </c>
      <c r="O51" s="75" t="inlineStr">
        <is>
          <t>.cache/carteira_101_document_scan/42154687000160/1237430.json.gz</t>
        </is>
      </c>
      <c r="P51" s="75" t="inlineStr">
        <is>
          <t>https://fnet.bmfbovespa.com.br/fnet/publico/downloadDocumento?id=1237430</t>
        </is>
      </c>
      <c r="Q51" s="75" t="inlineStr">
        <is>
          <t>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t>
        </is>
      </c>
    </row>
    <row r="52" ht="40.5" customHeight="1">
      <c r="A52" s="138" t="n">
        <v>42154687000160</v>
      </c>
      <c r="B52" s="74" t="inlineStr">
        <is>
          <t>42.154.687/0001-60</t>
        </is>
      </c>
      <c r="C52" s="74" t="inlineStr">
        <is>
          <t>Série de Cotas Subordinadas Mezanino</t>
        </is>
      </c>
      <c r="D52" s="74" t="inlineStr">
        <is>
          <t>R$ 1.000,00</t>
        </is>
      </c>
      <c r="E52" s="139" t="n">
        <v>1000</v>
      </c>
      <c r="F52" s="74" t="inlineStr">
        <is>
          <t>preço/valor unitário de emissão</t>
        </is>
      </c>
      <c r="G52" s="74" t="b">
        <v>0</v>
      </c>
      <c r="H52" s="74" t="inlineStr">
        <is>
          <t>emissao</t>
        </is>
      </c>
      <c r="I52" s="74" t="n">
        <v>1237430</v>
      </c>
      <c r="J52" s="74" t="inlineStr">
        <is>
          <t>Atos de Deliberação do Administrador Instrumento Particular de Emissão de Cotas</t>
        </is>
      </c>
      <c r="K52" s="74" t="inlineStr">
        <is>
          <t>30/06/2026</t>
        </is>
      </c>
      <c r="L52" s="74" t="n">
        <v>2</v>
      </c>
      <c r="M52" s="74" t="inlineStr">
        <is>
          <t>encontrado_explicito</t>
        </is>
      </c>
      <c r="N52" s="74" t="b">
        <v>1</v>
      </c>
      <c r="O52" s="74" t="inlineStr">
        <is>
          <t>.cache/carteira_101_document_scan/42154687000160/1237430.json.gz</t>
        </is>
      </c>
      <c r="P52" s="74" t="inlineStr">
        <is>
          <t>https://fnet.bmfbovespa.com.br/fnet/publico/downloadDocumento?id=1237430</t>
        </is>
      </c>
      <c r="Q52" s="74" t="inlineStr">
        <is>
          <t>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53" ht="40.5" customHeight="1">
      <c r="A53" s="142" t="n">
        <v>43193260000133</v>
      </c>
      <c r="B53" s="75" t="inlineStr">
        <is>
          <t>43.193.260/0001-33</t>
        </is>
      </c>
      <c r="C53" s="75" t="inlineStr">
        <is>
          <t>cotas subordinadas mezanino</t>
        </is>
      </c>
      <c r="D53" s="75" t="inlineStr">
        <is>
          <t>R$ 1.000,00</t>
        </is>
      </c>
      <c r="E53" s="143" t="n">
        <v>1000</v>
      </c>
      <c r="F53" s="75" t="inlineStr">
        <is>
          <t>valor nominal unitário (VNU)</t>
        </is>
      </c>
      <c r="G53" s="75" t="b">
        <v>0</v>
      </c>
      <c r="H53" s="75" t="inlineStr">
        <is>
          <t>emissao</t>
        </is>
      </c>
      <c r="I53" s="75" t="n">
        <v>455909</v>
      </c>
      <c r="J53" s="75" t="inlineStr">
        <is>
          <t>Oferta Pública de Distribuição de Cotas Anúncio de Início</t>
        </is>
      </c>
      <c r="K53" s="75" t="inlineStr">
        <is>
          <t>03/05/2023</t>
        </is>
      </c>
      <c r="L53" s="75" t="n">
        <v>1</v>
      </c>
      <c r="M53" s="75" t="inlineStr">
        <is>
          <t>encontrado_explicito</t>
        </is>
      </c>
      <c r="N53" s="75" t="b">
        <v>1</v>
      </c>
      <c r="O53" s="75" t="inlineStr">
        <is>
          <t>.cache/carteira_101_document_scan/43193260000133/455909.json.gz</t>
        </is>
      </c>
      <c r="P53" s="75" t="inlineStr">
        <is>
          <t>https://fnet.bmfbovespa.com.br/fnet/publico/downloadDocumento?id=455909</t>
        </is>
      </c>
      <c r="Q53" s="75" t="inlineStr">
        <is>
          <t>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t>
        </is>
      </c>
    </row>
    <row r="54" ht="40.5" customHeight="1">
      <c r="A54" s="138" t="n">
        <v>43193260000133</v>
      </c>
      <c r="B54" s="74" t="inlineStr">
        <is>
          <t>43.193.260/0001-33</t>
        </is>
      </c>
      <c r="C54" s="74" t="inlineStr">
        <is>
          <t>Cotas Seniores</t>
        </is>
      </c>
      <c r="D54" s="74" t="inlineStr">
        <is>
          <t>R$ 1.000,00</t>
        </is>
      </c>
      <c r="E54" s="139" t="n">
        <v>1000</v>
      </c>
      <c r="F54" s="74" t="inlineStr">
        <is>
          <t>valor nominal unitário (VNU)</t>
        </is>
      </c>
      <c r="G54" s="74" t="b">
        <v>0</v>
      </c>
      <c r="H54" s="74" t="inlineStr">
        <is>
          <t>emissao</t>
        </is>
      </c>
      <c r="I54" s="74" t="n">
        <v>470871</v>
      </c>
      <c r="J54" s="74" t="inlineStr">
        <is>
          <t>Oferta Pública de Distribuição de Cotas Aviso ao Mercado</t>
        </is>
      </c>
      <c r="K54" s="74" t="inlineStr">
        <is>
          <t>29/05/2023</t>
        </is>
      </c>
      <c r="L54" s="74" t="n">
        <v>1</v>
      </c>
      <c r="M54" s="74" t="inlineStr">
        <is>
          <t>encontrado_explicito</t>
        </is>
      </c>
      <c r="N54" s="74" t="b">
        <v>1</v>
      </c>
      <c r="O54" s="74" t="inlineStr">
        <is>
          <t>.cache/carteira_101_document_scan/43193260000133/470871.json.gz</t>
        </is>
      </c>
      <c r="P54" s="74" t="inlineStr">
        <is>
          <t>https://fnet.bmfbovespa.com.br/fnet/publico/downloadDocumento?id=470871</t>
        </is>
      </c>
      <c r="Q54" s="74" t="inlineStr">
        <is>
          <t>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t>
        </is>
      </c>
    </row>
    <row r="55" ht="40.5" customHeight="1">
      <c r="A55" s="142" t="n">
        <v>43309233000183</v>
      </c>
      <c r="B55" s="75" t="inlineStr">
        <is>
          <t>43.309.233/0001-83</t>
        </is>
      </c>
      <c r="C55" s="75" t="inlineStr">
        <is>
          <t>Cotas Subordinadas</t>
        </is>
      </c>
      <c r="D55" s="75" t="inlineStr">
        <is>
          <t>R$ 1.000,00</t>
        </is>
      </c>
      <c r="E55" s="143" t="n">
        <v>1000</v>
      </c>
      <c r="F55" s="75" t="inlineStr">
        <is>
          <t>preço/valor unitário de emissão</t>
        </is>
      </c>
      <c r="G55" s="75" t="b">
        <v>0</v>
      </c>
      <c r="H55" s="75" t="inlineStr">
        <is>
          <t>regulamento</t>
        </is>
      </c>
      <c r="I55" s="75" t="n">
        <v>943032</v>
      </c>
      <c r="J55" s="75" t="inlineStr">
        <is>
          <t>Regulamento</t>
        </is>
      </c>
      <c r="K55" s="75" t="inlineStr">
        <is>
          <t>09/07/2025</t>
        </is>
      </c>
      <c r="L55" s="75" t="n">
        <v>71</v>
      </c>
      <c r="M55" s="75" t="inlineStr">
        <is>
          <t>encontrado_explicito</t>
        </is>
      </c>
      <c r="N55" s="75" t="b">
        <v>1</v>
      </c>
      <c r="O55" s="75" t="inlineStr">
        <is>
          <t>.cache/carteira_101_document_scan/43309233000183/943032.json.gz</t>
        </is>
      </c>
      <c r="P55" s="75" t="inlineStr">
        <is>
          <t>https://fnet.bmfbovespa.com.br/fnet/publico/downloadDocumento?id=943032</t>
        </is>
      </c>
      <c r="Q55" s="75" t="inlineStr">
        <is>
          <t>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t>
        </is>
      </c>
    </row>
    <row r="56" ht="40.5" customHeight="1">
      <c r="A56" s="138" t="n">
        <v>43616659000180</v>
      </c>
      <c r="B56" s="74" t="inlineStr">
        <is>
          <t>43.616.659/0001-80</t>
        </is>
      </c>
      <c r="C56" s="74" t="inlineStr">
        <is>
          <t>Cotas Subordinadas</t>
        </is>
      </c>
      <c r="D56" s="74" t="inlineStr">
        <is>
          <t>R$ 1.000,00</t>
        </is>
      </c>
      <c r="E56" s="139" t="n">
        <v>1000</v>
      </c>
      <c r="F56" s="74" t="inlineStr">
        <is>
          <t>preço/valor unitário de emissão</t>
        </is>
      </c>
      <c r="G56" s="74" t="b">
        <v>0</v>
      </c>
      <c r="H56" s="74" t="inlineStr">
        <is>
          <t>regulamento</t>
        </is>
      </c>
      <c r="I56" s="74" t="n">
        <v>791844</v>
      </c>
      <c r="J56" s="74" t="inlineStr">
        <is>
          <t>Regulamento</t>
        </is>
      </c>
      <c r="K56" s="74" t="inlineStr">
        <is>
          <t>28/11/2024</t>
        </is>
      </c>
      <c r="L56" s="74" t="n">
        <v>68</v>
      </c>
      <c r="M56" s="74" t="inlineStr">
        <is>
          <t>encontrado_explicito</t>
        </is>
      </c>
      <c r="N56" s="74" t="b">
        <v>1</v>
      </c>
      <c r="O56" s="74" t="inlineStr">
        <is>
          <t>.cache/carteira_101_document_scan/43616659000180/791844.json.gz</t>
        </is>
      </c>
      <c r="P56" s="74" t="inlineStr">
        <is>
          <t>https://fnet.bmfbovespa.com.br/fnet/publico/downloadDocumento?id=791844</t>
        </is>
      </c>
      <c r="Q56" s="74" t="inlineStr">
        <is>
          <t>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t>
        </is>
      </c>
    </row>
    <row r="57" ht="40.5" customHeight="1">
      <c r="A57" s="142" t="n">
        <v>43866348000179</v>
      </c>
      <c r="B57" s="75" t="inlineStr">
        <is>
          <t>43.866.348/0001-79</t>
        </is>
      </c>
      <c r="C57" s="75" t="inlineStr">
        <is>
          <t>Cotas Subordinadas</t>
        </is>
      </c>
      <c r="D57" s="75" t="inlineStr">
        <is>
          <t>R$ 1,00</t>
        </is>
      </c>
      <c r="E57" s="143" t="n">
        <v>1</v>
      </c>
      <c r="F57" s="75" t="inlineStr">
        <is>
          <t>preço/valor unitário de emissão</t>
        </is>
      </c>
      <c r="G57" s="75" t="b">
        <v>0</v>
      </c>
      <c r="H57" s="75" t="inlineStr">
        <is>
          <t>regulamento</t>
        </is>
      </c>
      <c r="I57" s="75" t="n">
        <v>741138</v>
      </c>
      <c r="J57" s="75" t="inlineStr">
        <is>
          <t>Atos de Deliberação do Administrador Instrumento Particular de Alteração do Regulamento</t>
        </is>
      </c>
      <c r="K57" s="75" t="inlineStr">
        <is>
          <t>17/09/2024</t>
        </is>
      </c>
      <c r="L57" s="75" t="n">
        <v>106</v>
      </c>
      <c r="M57" s="75" t="inlineStr">
        <is>
          <t>encontrado_explicito</t>
        </is>
      </c>
      <c r="N57" s="75" t="b">
        <v>1</v>
      </c>
      <c r="O57" s="75" t="inlineStr">
        <is>
          <t>.cache/carteira_101_document_scan/43866348000179/741138.json.gz</t>
        </is>
      </c>
      <c r="P57" s="75" t="inlineStr">
        <is>
          <t>https://fnet.bmfbovespa.com.br/fnet/publico/downloadDocumento?id=741138</t>
        </is>
      </c>
      <c r="Q57" s="75" t="inlineStr">
        <is>
          <t>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t>
        </is>
      </c>
    </row>
    <row r="58" ht="40.5" customHeight="1">
      <c r="A58" s="138" t="n">
        <v>43866348000179</v>
      </c>
      <c r="B58" s="74" t="inlineStr">
        <is>
          <t>43.866.348/0001-79</t>
        </is>
      </c>
      <c r="C58" s="74" t="inlineStr">
        <is>
          <t>Cotas Subordinadas Júnior</t>
        </is>
      </c>
      <c r="D58" s="74" t="inlineStr">
        <is>
          <t>R$ 1,00</t>
        </is>
      </c>
      <c r="E58" s="139" t="n">
        <v>1</v>
      </c>
      <c r="F58" s="74" t="inlineStr">
        <is>
          <t>valor nominal unitário (VNU)</t>
        </is>
      </c>
      <c r="G58" s="74" t="b">
        <v>0</v>
      </c>
      <c r="H58" s="74" t="inlineStr">
        <is>
          <t>emissao</t>
        </is>
      </c>
      <c r="I58" s="74" t="n">
        <v>1010694</v>
      </c>
      <c r="J58" s="74" t="inlineStr">
        <is>
          <t>Atos de Deliberação do Administrador Instrumento Particular de Emissão de Cotas</t>
        </is>
      </c>
      <c r="K58" s="74" t="inlineStr">
        <is>
          <t>10/10/2025</t>
        </is>
      </c>
      <c r="L58" s="74" t="n">
        <v>1</v>
      </c>
      <c r="M58" s="74" t="inlineStr">
        <is>
          <t>encontrado_explicito</t>
        </is>
      </c>
      <c r="N58" s="74" t="b">
        <v>1</v>
      </c>
      <c r="O58" s="74" t="inlineStr">
        <is>
          <t>.cache/carteira_101_document_scan/43866348000179/1010694.json.gz</t>
        </is>
      </c>
      <c r="P58" s="74" t="inlineStr">
        <is>
          <t>https://fnet.bmfbovespa.com.br/fnet/publico/downloadDocumento?id=1010694</t>
        </is>
      </c>
      <c r="Q58" s="74" t="inlineStr">
        <is>
          <t>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t>
        </is>
      </c>
    </row>
    <row r="59" ht="40.5" customHeight="1">
      <c r="A59" s="142" t="n">
        <v>43866348000179</v>
      </c>
      <c r="B59" s="75" t="inlineStr">
        <is>
          <t>43.866.348/0001-79</t>
        </is>
      </c>
      <c r="C59" s="75" t="inlineStr">
        <is>
          <t>Cotas Subordinadas Júnior</t>
        </is>
      </c>
      <c r="D59" s="75" t="inlineStr">
        <is>
          <t>R$ 0,84</t>
        </is>
      </c>
      <c r="E59" s="143" t="n">
        <v>0.84</v>
      </c>
      <c r="F59" s="75" t="inlineStr">
        <is>
          <t>valor nominal unitário (VNU)</t>
        </is>
      </c>
      <c r="G59" s="75" t="b">
        <v>0</v>
      </c>
      <c r="H59" s="75" t="inlineStr">
        <is>
          <t>emissao</t>
        </is>
      </c>
      <c r="I59" s="75" t="n">
        <v>1098853</v>
      </c>
      <c r="J59" s="75" t="inlineStr">
        <is>
          <t>Atos de Deliberação do Administrador Instrumento Particular de Emissão de Cotas</t>
        </is>
      </c>
      <c r="K59" s="75" t="inlineStr">
        <is>
          <t>23/01/2026</t>
        </is>
      </c>
      <c r="L59" s="75" t="n">
        <v>1</v>
      </c>
      <c r="M59" s="75" t="inlineStr">
        <is>
          <t>encontrado_explicito</t>
        </is>
      </c>
      <c r="N59" s="75" t="b">
        <v>1</v>
      </c>
      <c r="O59" s="75" t="inlineStr">
        <is>
          <t>.cache/carteira_101_document_scan/43866348000179/1098853.json.gz</t>
        </is>
      </c>
      <c r="P59" s="75" t="inlineStr">
        <is>
          <t>https://fnet.bmfbovespa.com.br/fnet/publico/downloadDocumento?id=1098853</t>
        </is>
      </c>
      <c r="Q59" s="75" t="inlineStr">
        <is>
          <t>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t>
        </is>
      </c>
    </row>
    <row r="60" ht="40.5" customHeight="1">
      <c r="A60" s="138" t="n">
        <v>44124617000194</v>
      </c>
      <c r="B60" s="74" t="inlineStr">
        <is>
          <t>44.124.617/0001-94</t>
        </is>
      </c>
      <c r="C60" s="74" t="inlineStr">
        <is>
          <t>Cotas Seniores</t>
        </is>
      </c>
      <c r="D60" s="74" t="inlineStr">
        <is>
          <t>R$1.000</t>
        </is>
      </c>
      <c r="E60" s="139" t="n">
        <v>1000</v>
      </c>
      <c r="F60" s="74" t="inlineStr">
        <is>
          <t>valor nominal unitário (VNU)</t>
        </is>
      </c>
      <c r="G60" s="74" t="b">
        <v>0</v>
      </c>
      <c r="H60" s="74" t="inlineStr">
        <is>
          <t>regulamento</t>
        </is>
      </c>
      <c r="I60" s="74" t="n">
        <v>851798</v>
      </c>
      <c r="J60" s="74" t="inlineStr">
        <is>
          <t>regulamento</t>
        </is>
      </c>
      <c r="K60" s="74" t="inlineStr">
        <is>
          <t>2025-02-28</t>
        </is>
      </c>
      <c r="L60" s="74" t="n">
        <v>117</v>
      </c>
      <c r="M60" s="74" t="inlineStr">
        <is>
          <t>encontrado_explicito</t>
        </is>
      </c>
      <c r="N60" s="74" t="b">
        <v>1</v>
      </c>
      <c r="O60" s="74" t="inlineStr">
        <is>
          <t>data/raw/44124617000194/851798_regulamento_regulamento_851798_2025-02-28.pdf</t>
        </is>
      </c>
      <c r="P60" s="74" t="inlineStr">
        <is>
          <t>https://fnet.bmfbovespa.com.br/fnet/publico/downloadDocumento?id=851798</t>
        </is>
      </c>
      <c r="Q60" s="74" t="inlineStr">
        <is>
          <t>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t>
        </is>
      </c>
    </row>
    <row r="61" ht="40.5" customHeight="1">
      <c r="A61" s="142" t="n">
        <v>44173467000109</v>
      </c>
      <c r="B61" s="75" t="inlineStr">
        <is>
          <t>44.173.467/0001-09</t>
        </is>
      </c>
      <c r="C61" s="75" t="inlineStr">
        <is>
          <t>Cotas Seniores</t>
        </is>
      </c>
      <c r="D61" s="75" t="inlineStr">
        <is>
          <t>R$ 1.000,00</t>
        </is>
      </c>
      <c r="E61" s="143" t="n">
        <v>1000</v>
      </c>
      <c r="F61" s="75" t="inlineStr">
        <is>
          <t>preço/valor unitário de emissão</t>
        </is>
      </c>
      <c r="G61" s="75" t="b">
        <v>0</v>
      </c>
      <c r="H61" s="75" t="inlineStr">
        <is>
          <t>regulamento</t>
        </is>
      </c>
      <c r="I61" s="75" t="n">
        <v>791513</v>
      </c>
      <c r="J61" s="75" t="inlineStr">
        <is>
          <t>regulamento</t>
        </is>
      </c>
      <c r="K61" s="75" t="inlineStr">
        <is>
          <t>2024-11-28</t>
        </is>
      </c>
      <c r="L61" s="75" t="n">
        <v>17</v>
      </c>
      <c r="M61" s="75" t="inlineStr">
        <is>
          <t>encontrado_explicito</t>
        </is>
      </c>
      <c r="N61" s="75" t="b">
        <v>1</v>
      </c>
      <c r="O61" s="75" t="inlineStr">
        <is>
          <t>data/raw/44173467000109/791513_regulamento_regulamento_791513_2024-11-28.pdf</t>
        </is>
      </c>
      <c r="P61" s="75" t="inlineStr">
        <is>
          <t>https://fnet.bmfbovespa.com.br/fnet/publico/downloadDocumento?id=791513</t>
        </is>
      </c>
      <c r="Q61" s="75" t="inlineStr">
        <is>
          <t>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t>
        </is>
      </c>
    </row>
    <row r="62" ht="40.5" customHeight="1">
      <c r="A62" s="138" t="n">
        <v>44173467000109</v>
      </c>
      <c r="B62" s="74" t="inlineStr">
        <is>
          <t>44.173.467/0001-09</t>
        </is>
      </c>
      <c r="C62" s="74" t="inlineStr">
        <is>
          <t>Cotas Subordinadas Júnior</t>
        </is>
      </c>
      <c r="D62" s="74" t="inlineStr">
        <is>
          <t>R$ 1.000,00</t>
        </is>
      </c>
      <c r="E62" s="139" t="n">
        <v>1000</v>
      </c>
      <c r="F62" s="74" t="inlineStr">
        <is>
          <t>preço/valor unitário de emissão</t>
        </is>
      </c>
      <c r="G62" s="74" t="b">
        <v>0</v>
      </c>
      <c r="H62" s="74" t="inlineStr">
        <is>
          <t>regulamento</t>
        </is>
      </c>
      <c r="I62" s="74" t="n">
        <v>791513</v>
      </c>
      <c r="J62" s="74" t="inlineStr">
        <is>
          <t>regulamento</t>
        </is>
      </c>
      <c r="K62" s="74" t="inlineStr">
        <is>
          <t>2024-11-28</t>
        </is>
      </c>
      <c r="L62" s="74" t="n">
        <v>17</v>
      </c>
      <c r="M62" s="74" t="inlineStr">
        <is>
          <t>encontrado_explicito</t>
        </is>
      </c>
      <c r="N62" s="74" t="b">
        <v>1</v>
      </c>
      <c r="O62" s="74" t="inlineStr">
        <is>
          <t>data/raw/44173467000109/791513_regulamento_regulamento_791513_2024-11-28.pdf</t>
        </is>
      </c>
      <c r="P62" s="74" t="inlineStr">
        <is>
          <t>https://fnet.bmfbovespa.com.br/fnet/publico/downloadDocumento?id=791513</t>
        </is>
      </c>
      <c r="Q62" s="74" t="inlineStr">
        <is>
          <t>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t>
        </is>
      </c>
    </row>
    <row r="63" ht="40.5" customHeight="1">
      <c r="A63" s="142" t="n">
        <v>44173467000109</v>
      </c>
      <c r="B63" s="75" t="inlineStr">
        <is>
          <t>44.173.467/0001-09</t>
        </is>
      </c>
      <c r="C63" s="75" t="inlineStr">
        <is>
          <t>Cotas Subordinadas Mezanino</t>
        </is>
      </c>
      <c r="D63" s="75" t="inlineStr">
        <is>
          <t>R$ 1.000,00</t>
        </is>
      </c>
      <c r="E63" s="143" t="n">
        <v>1000</v>
      </c>
      <c r="F63" s="75" t="inlineStr">
        <is>
          <t>preço/valor unitário de emissão</t>
        </is>
      </c>
      <c r="G63" s="75" t="b">
        <v>0</v>
      </c>
      <c r="H63" s="75" t="inlineStr">
        <is>
          <t>regulamento</t>
        </is>
      </c>
      <c r="I63" s="75" t="n">
        <v>791513</v>
      </c>
      <c r="J63" s="75" t="inlineStr">
        <is>
          <t>regulamento</t>
        </is>
      </c>
      <c r="K63" s="75" t="inlineStr">
        <is>
          <t>2024-11-28</t>
        </is>
      </c>
      <c r="L63" s="75" t="n">
        <v>17</v>
      </c>
      <c r="M63" s="75" t="inlineStr">
        <is>
          <t>encontrado_explicito</t>
        </is>
      </c>
      <c r="N63" s="75" t="b">
        <v>1</v>
      </c>
      <c r="O63" s="75" t="inlineStr">
        <is>
          <t>data/raw/44173467000109/791513_regulamento_regulamento_791513_2024-11-28.pdf</t>
        </is>
      </c>
      <c r="P63" s="75" t="inlineStr">
        <is>
          <t>https://fnet.bmfbovespa.com.br/fnet/publico/downloadDocumento?id=791513</t>
        </is>
      </c>
      <c r="Q63" s="75" t="inlineStr">
        <is>
          <t>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t>
        </is>
      </c>
    </row>
    <row r="64" ht="40.5" customHeight="1">
      <c r="A64" s="138" t="n">
        <v>44272584000120</v>
      </c>
      <c r="B64" s="74" t="inlineStr">
        <is>
          <t>44.272.584/0001-20</t>
        </is>
      </c>
      <c r="C64" s="74" t="inlineStr">
        <is>
          <t>N/D</t>
        </is>
      </c>
      <c r="D64" s="74" t="inlineStr">
        <is>
          <t>R$1.000,00</t>
        </is>
      </c>
      <c r="E64" s="139" t="n">
        <v>1000</v>
      </c>
      <c r="F64" s="74" t="inlineStr">
        <is>
          <t>preço/valor unitário de emissão</t>
        </is>
      </c>
      <c r="G64" s="74" t="b">
        <v>1</v>
      </c>
      <c r="H64" s="74" t="inlineStr">
        <is>
          <t>regulamento</t>
        </is>
      </c>
      <c r="I64" s="74" t="n">
        <v>1003267</v>
      </c>
      <c r="J64" s="74" t="inlineStr">
        <is>
          <t>Atos de Deliberação do Administrador Instrumento Particular de Alteração do Regulamento</t>
        </is>
      </c>
      <c r="K64" s="74" t="inlineStr">
        <is>
          <t>30/09/2025</t>
        </is>
      </c>
      <c r="L64" s="74" t="n">
        <v>115</v>
      </c>
      <c r="M64" s="74" t="inlineStr">
        <is>
          <t>encontrado_explicito</t>
        </is>
      </c>
      <c r="N64" s="74" t="b">
        <v>1</v>
      </c>
      <c r="O64" s="74" t="inlineStr">
        <is>
          <t>.cache/carteira_101_document_scan/44272584000120/1003267.json.gz</t>
        </is>
      </c>
      <c r="P64" s="74" t="inlineStr">
        <is>
          <t>https://fnet.bmfbovespa.com.br/fnet/publico/downloadDocumento?id=1003267</t>
        </is>
      </c>
      <c r="Q64" s="74" t="inlineStr">
        <is>
          <t>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t>
        </is>
      </c>
    </row>
    <row r="65" ht="40.5" customHeight="1">
      <c r="A65" s="142" t="n">
        <v>44574361000117</v>
      </c>
      <c r="B65" s="75" t="inlineStr">
        <is>
          <t>44.574.361/0001-17</t>
        </is>
      </c>
      <c r="C65" s="75" t="inlineStr">
        <is>
          <t>Cotas Subordinadas</t>
        </is>
      </c>
      <c r="D65" s="75" t="inlineStr">
        <is>
          <t>R$ 1.000,00</t>
        </is>
      </c>
      <c r="E65" s="143" t="n">
        <v>1000</v>
      </c>
      <c r="F65" s="75" t="inlineStr">
        <is>
          <t>preço/valor unitário de emissão</t>
        </is>
      </c>
      <c r="G65" s="75" t="b">
        <v>0</v>
      </c>
      <c r="H65" s="75" t="inlineStr">
        <is>
          <t>regulamento</t>
        </is>
      </c>
      <c r="I65" s="75" t="n">
        <v>883109</v>
      </c>
      <c r="J65" s="75" t="inlineStr">
        <is>
          <t>Regulamento</t>
        </is>
      </c>
      <c r="K65" s="75" t="inlineStr">
        <is>
          <t>16/04/2025</t>
        </is>
      </c>
      <c r="L65" s="75" t="n">
        <v>41</v>
      </c>
      <c r="M65" s="75" t="inlineStr">
        <is>
          <t>encontrado_explicito</t>
        </is>
      </c>
      <c r="N65" s="75" t="b">
        <v>1</v>
      </c>
      <c r="O65" s="75" t="inlineStr">
        <is>
          <t>.cache/carteira_101_document_scan/44574361000117/883109.json.gz</t>
        </is>
      </c>
      <c r="P65" s="75" t="inlineStr">
        <is>
          <t>https://fnet.bmfbovespa.com.br/fnet/publico/downloadDocumento?id=883109</t>
        </is>
      </c>
      <c r="Q65" s="75" t="inlineStr">
        <is>
          <t>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t>
        </is>
      </c>
    </row>
    <row r="66" ht="40.5" customHeight="1">
      <c r="A66" s="138" t="n">
        <v>45523699000102</v>
      </c>
      <c r="B66" s="74" t="inlineStr">
        <is>
          <t>45.523.699/0001-02</t>
        </is>
      </c>
      <c r="C66" s="74" t="inlineStr">
        <is>
          <t>N/D</t>
        </is>
      </c>
      <c r="D66" s="74" t="inlineStr">
        <is>
          <t>R$ 1.000,00</t>
        </is>
      </c>
      <c r="E66" s="139" t="n">
        <v>1000</v>
      </c>
      <c r="F66" s="74" t="inlineStr">
        <is>
          <t>preço/valor unitário de emissão</t>
        </is>
      </c>
      <c r="G66" s="74" t="b">
        <v>1</v>
      </c>
      <c r="H66" s="74" t="inlineStr">
        <is>
          <t>regulamento</t>
        </is>
      </c>
      <c r="I66" s="74" t="n">
        <v>1024756</v>
      </c>
      <c r="J66" s="74" t="inlineStr">
        <is>
          <t>regulamento</t>
        </is>
      </c>
      <c r="K66" s="74" t="inlineStr">
        <is>
          <t>2025-10-30</t>
        </is>
      </c>
      <c r="L66" s="74" t="n">
        <v>56</v>
      </c>
      <c r="M66" s="74" t="inlineStr">
        <is>
          <t>encontrado_explicito</t>
        </is>
      </c>
      <c r="N66" s="74" t="b">
        <v>1</v>
      </c>
      <c r="O66" s="74" t="inlineStr">
        <is>
          <t>data/raw/45523699000102/1024756_regulamento_regulamento_1024756_2025-10-30_2025-10-30.pdf</t>
        </is>
      </c>
      <c r="P66" s="74" t="inlineStr">
        <is>
          <t>https://fnet.bmfbovespa.com.br/fnet/publico/downloadDocumento?id=1024756</t>
        </is>
      </c>
      <c r="Q66" s="74" t="inlineStr">
        <is>
          <t>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t>
        </is>
      </c>
    </row>
    <row r="67" ht="40.5" customHeight="1">
      <c r="A67" s="142" t="n">
        <v>45523699000102</v>
      </c>
      <c r="B67" s="75" t="inlineStr">
        <is>
          <t>45.523.699/0001-02</t>
        </is>
      </c>
      <c r="C67" s="75" t="inlineStr">
        <is>
          <t>Cotas Subordinadas Junior</t>
        </is>
      </c>
      <c r="D67" s="75" t="inlineStr">
        <is>
          <t>R$ 1.000,00</t>
        </is>
      </c>
      <c r="E67" s="143" t="n">
        <v>1000</v>
      </c>
      <c r="F67" s="75" t="inlineStr">
        <is>
          <t>preço/valor unitário de emissão</t>
        </is>
      </c>
      <c r="G67" s="75" t="b">
        <v>0</v>
      </c>
      <c r="H67" s="75" t="inlineStr">
        <is>
          <t>assembleia</t>
        </is>
      </c>
      <c r="I67" s="75" t="n">
        <v>1166146</v>
      </c>
      <c r="J67" s="75" t="inlineStr">
        <is>
          <t>Assembleia AGE Ata da Assembleia</t>
        </is>
      </c>
      <c r="K67" s="75" t="inlineStr">
        <is>
          <t>13/04/2026 18:00</t>
        </is>
      </c>
      <c r="L67" s="75" t="n">
        <v>2</v>
      </c>
      <c r="M67" s="75" t="inlineStr">
        <is>
          <t>encontrado_explicito</t>
        </is>
      </c>
      <c r="N67" s="75" t="b">
        <v>1</v>
      </c>
      <c r="O67" s="75" t="inlineStr">
        <is>
          <t>.cache/carteira_101_document_scan/45523699000102/1166146.json.gz</t>
        </is>
      </c>
      <c r="P67" s="75" t="inlineStr">
        <is>
          <t>https://fnet.bmfbovespa.com.br/fnet/publico/downloadDocumento?id=1166146</t>
        </is>
      </c>
      <c r="Q67" s="75" t="inlineStr">
        <is>
          <t>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68" ht="40.5" customHeight="1">
      <c r="A68" s="138" t="n">
        <v>45598747000121</v>
      </c>
      <c r="B68" s="74" t="inlineStr">
        <is>
          <t>45.598.747/0001-21</t>
        </is>
      </c>
      <c r="C68" s="74" t="inlineStr">
        <is>
          <t>Cotas Subordinadas Junior</t>
        </is>
      </c>
      <c r="D68" s="74" t="inlineStr">
        <is>
          <t>R$1</t>
        </is>
      </c>
      <c r="E68" s="139" t="n">
        <v>1</v>
      </c>
      <c r="F68" s="74" t="inlineStr">
        <is>
          <t>preço/valor unitário de emissão</t>
        </is>
      </c>
      <c r="G68" s="74" t="b">
        <v>0</v>
      </c>
      <c r="H68" s="74" t="inlineStr">
        <is>
          <t>regulamento</t>
        </is>
      </c>
      <c r="I68" s="74" t="n">
        <v>883977</v>
      </c>
      <c r="J68" s="74" t="inlineStr">
        <is>
          <t>regulamento</t>
        </is>
      </c>
      <c r="K68" s="74" t="inlineStr">
        <is>
          <t>2025-04-22</t>
        </is>
      </c>
      <c r="L68" s="74" t="inlineStr">
        <is>
          <t>N/D</t>
        </is>
      </c>
      <c r="M68" s="74" t="inlineStr">
        <is>
          <t>encontrado_explicito</t>
        </is>
      </c>
      <c r="N68" s="74" t="b">
        <v>1</v>
      </c>
      <c r="O68" s="74" t="inlineStr">
        <is>
          <t>outputs/fidc_director_deep_diagnostic_20260609/pdf_text_cache/45598747000121_883977_regulamento_regulamento_883977_2025-04-22.txt</t>
        </is>
      </c>
      <c r="P68" s="74" t="inlineStr">
        <is>
          <t>https://fnet.bmfbovespa.com.br/fnet/publico/downloadDocumento?id=883977</t>
        </is>
      </c>
      <c r="Q68" s="74" t="inlineStr">
        <is>
          <t>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t>
        </is>
      </c>
    </row>
    <row r="69" ht="40.5" customHeight="1">
      <c r="A69" s="142" t="n">
        <v>45598747000121</v>
      </c>
      <c r="B69" s="75" t="inlineStr">
        <is>
          <t>45.598.747/0001-21</t>
        </is>
      </c>
      <c r="C69" s="75" t="inlineStr">
        <is>
          <t>Cotas Seniores</t>
        </is>
      </c>
      <c r="D69" s="75" t="inlineStr">
        <is>
          <t>R$1.000,00</t>
        </is>
      </c>
      <c r="E69" s="143" t="n">
        <v>1000</v>
      </c>
      <c r="F69" s="75" t="inlineStr">
        <is>
          <t>preço/valor unitário de emissão</t>
        </is>
      </c>
      <c r="G69" s="75" t="b">
        <v>0</v>
      </c>
      <c r="H69" s="75" t="inlineStr">
        <is>
          <t>emissao</t>
        </is>
      </c>
      <c r="I69" s="75" t="n">
        <v>903840</v>
      </c>
      <c r="J69" s="75" t="inlineStr">
        <is>
          <t>emissao</t>
        </is>
      </c>
      <c r="K69" s="75" t="inlineStr">
        <is>
          <t>2025-05-14</t>
        </is>
      </c>
      <c r="L69" s="75" t="n">
        <v>1</v>
      </c>
      <c r="M69" s="75" t="inlineStr">
        <is>
          <t>encontrado_explicito</t>
        </is>
      </c>
      <c r="N69" s="75" t="b">
        <v>1</v>
      </c>
      <c r="O69" s="75" t="inlineStr">
        <is>
          <t>data/raw/45598747000121/903840_emissao_emissao_903840_2025-05-14.pdf</t>
        </is>
      </c>
      <c r="P69" s="75" t="inlineStr">
        <is>
          <t>https://fnet.bmfbovespa.com.br/fnet/publico/downloadDocumento?id=903840</t>
        </is>
      </c>
      <c r="Q69" s="75" t="inlineStr">
        <is>
          <t>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t>
        </is>
      </c>
    </row>
    <row r="70" ht="40.5" customHeight="1">
      <c r="A70" s="138" t="n">
        <v>47280025000150</v>
      </c>
      <c r="B70" s="74" t="inlineStr">
        <is>
          <t>47.280.025/0001-50</t>
        </is>
      </c>
      <c r="C70" s="74" t="inlineStr">
        <is>
          <t>N/D</t>
        </is>
      </c>
      <c r="D70" s="74" t="inlineStr">
        <is>
          <t>R$ 1.000,00</t>
        </is>
      </c>
      <c r="E70" s="139" t="n">
        <v>1000</v>
      </c>
      <c r="F70" s="74" t="inlineStr">
        <is>
          <t>valor nominal unitário (VNU)</t>
        </is>
      </c>
      <c r="G70" s="74" t="b">
        <v>1</v>
      </c>
      <c r="H70" s="74" t="inlineStr">
        <is>
          <t>emissao</t>
        </is>
      </c>
      <c r="I70" s="74" t="n">
        <v>1053778</v>
      </c>
      <c r="J70" s="74" t="inlineStr">
        <is>
          <t>Oferta Pública de Distribuição de Cotas Anúncio de Encerramento</t>
        </is>
      </c>
      <c r="K70" s="74" t="inlineStr">
        <is>
          <t>04/12/2025</t>
        </is>
      </c>
      <c r="L70" s="74" t="n">
        <v>1</v>
      </c>
      <c r="M70" s="74" t="inlineStr">
        <is>
          <t>encontrado_explicito</t>
        </is>
      </c>
      <c r="N70" s="74" t="b">
        <v>1</v>
      </c>
      <c r="O70" s="74" t="inlineStr">
        <is>
          <t>.cache/carteira_101_document_scan/47280025000150/1053778.json.gz</t>
        </is>
      </c>
      <c r="P70" s="74" t="inlineStr">
        <is>
          <t>https://fnet.bmfbovespa.com.br/fnet/publico/downloadDocumento?id=1053778</t>
        </is>
      </c>
      <c r="Q70" s="74" t="inlineStr">
        <is>
          <t>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t>
        </is>
      </c>
    </row>
    <row r="71" ht="40.5" customHeight="1">
      <c r="A71" s="142" t="n">
        <v>47640584000123</v>
      </c>
      <c r="B71" s="75" t="inlineStr">
        <is>
          <t>47.640.584/0001-23</t>
        </is>
      </c>
      <c r="C71" s="75" t="inlineStr">
        <is>
          <t>Cotas Seniores</t>
        </is>
      </c>
      <c r="D71" s="75" t="inlineStr">
        <is>
          <t>R$1.000,00</t>
        </is>
      </c>
      <c r="E71" s="143" t="n">
        <v>1000</v>
      </c>
      <c r="F71" s="75" t="inlineStr">
        <is>
          <t>preço/valor unitário de emissão</t>
        </is>
      </c>
      <c r="G71" s="75" t="b">
        <v>0</v>
      </c>
      <c r="H71" s="75" t="inlineStr">
        <is>
          <t>regulamento</t>
        </is>
      </c>
      <c r="I71" s="75" t="n">
        <v>930974</v>
      </c>
      <c r="J71" s="75" t="inlineStr">
        <is>
          <t>Regulamento</t>
        </is>
      </c>
      <c r="K71" s="75" t="inlineStr">
        <is>
          <t>13/06/2025</t>
        </is>
      </c>
      <c r="L71" s="75" t="n">
        <v>108</v>
      </c>
      <c r="M71" s="75" t="inlineStr">
        <is>
          <t>encontrado_explicito</t>
        </is>
      </c>
      <c r="N71" s="75" t="b">
        <v>1</v>
      </c>
      <c r="O71" s="75" t="inlineStr">
        <is>
          <t>.cache/carteira_101_document_scan/47640584000123/930974.json.gz</t>
        </is>
      </c>
      <c r="P71" s="75" t="inlineStr">
        <is>
          <t>https://fnet.bmfbovespa.com.br/fnet/publico/downloadDocumento?id=930974</t>
        </is>
      </c>
      <c r="Q71" s="75" t="inlineStr">
        <is>
          <t>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t>
        </is>
      </c>
    </row>
    <row r="72" ht="40.5" customHeight="1">
      <c r="A72" s="138" t="n">
        <v>47936340000192</v>
      </c>
      <c r="B72" s="74" t="inlineStr">
        <is>
          <t>47.936.340/0001-92</t>
        </is>
      </c>
      <c r="C72" s="74" t="inlineStr">
        <is>
          <t>Cotas Seniores</t>
        </is>
      </c>
      <c r="D72" s="74" t="inlineStr">
        <is>
          <t>R$ 1.000,00</t>
        </is>
      </c>
      <c r="E72" s="139" t="n">
        <v>1000</v>
      </c>
      <c r="F72" s="74" t="inlineStr">
        <is>
          <t>preço/valor unitário de emissão</t>
        </is>
      </c>
      <c r="G72" s="74" t="b">
        <v>0</v>
      </c>
      <c r="H72" s="74" t="inlineStr">
        <is>
          <t>regulamento</t>
        </is>
      </c>
      <c r="I72" s="74" t="n">
        <v>801978</v>
      </c>
      <c r="J72" s="74" t="inlineStr">
        <is>
          <t>Regulamento</t>
        </is>
      </c>
      <c r="K72" s="74" t="inlineStr">
        <is>
          <t>12/12/2024</t>
        </is>
      </c>
      <c r="L72" s="74" t="n">
        <v>28</v>
      </c>
      <c r="M72" s="74" t="inlineStr">
        <is>
          <t>encontrado_explicito</t>
        </is>
      </c>
      <c r="N72" s="74" t="b">
        <v>1</v>
      </c>
      <c r="O72" s="74" t="inlineStr">
        <is>
          <t>.cache/carteira_101_document_scan/47936340000192/801978.json.gz</t>
        </is>
      </c>
      <c r="P72" s="74" t="inlineStr">
        <is>
          <t>https://fnet.bmfbovespa.com.br/fnet/publico/downloadDocumento?id=801978</t>
        </is>
      </c>
      <c r="Q72" s="74" t="inlineStr">
        <is>
          <t>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t>
        </is>
      </c>
    </row>
    <row r="73" ht="40.5" customHeight="1">
      <c r="A73" s="142" t="n">
        <v>47936340000192</v>
      </c>
      <c r="B73" s="75" t="inlineStr">
        <is>
          <t>47.936.340/0001-92</t>
        </is>
      </c>
      <c r="C73" s="75" t="inlineStr">
        <is>
          <t>Cotas Subordinadas Mezanino</t>
        </is>
      </c>
      <c r="D73" s="75" t="inlineStr">
        <is>
          <t>R$ 1.000,00</t>
        </is>
      </c>
      <c r="E73" s="143" t="n">
        <v>1000</v>
      </c>
      <c r="F73" s="75" t="inlineStr">
        <is>
          <t>preço/valor unitário de emissão</t>
        </is>
      </c>
      <c r="G73" s="75" t="b">
        <v>0</v>
      </c>
      <c r="H73" s="75" t="inlineStr">
        <is>
          <t>regulamento</t>
        </is>
      </c>
      <c r="I73" s="75" t="n">
        <v>862072</v>
      </c>
      <c r="J73" s="75" t="inlineStr">
        <is>
          <t>regulamento</t>
        </is>
      </c>
      <c r="K73" s="75" t="inlineStr">
        <is>
          <t>2025-03-11</t>
        </is>
      </c>
      <c r="L73" s="75" t="n">
        <v>3</v>
      </c>
      <c r="M73" s="75" t="inlineStr">
        <is>
          <t>encontrado_explicito</t>
        </is>
      </c>
      <c r="N73" s="75" t="b">
        <v>1</v>
      </c>
      <c r="O73" s="75" t="inlineStr">
        <is>
          <t>data/raw/47936340000192/862072_regulamento_regulamento_862072_2025-03-11_2025-03-11.pdf</t>
        </is>
      </c>
      <c r="P73" s="75" t="inlineStr">
        <is>
          <t>https://fnet.bmfbovespa.com.br/fnet/publico/downloadDocumento?id=862072</t>
        </is>
      </c>
      <c r="Q73" s="75" t="inlineStr">
        <is>
          <t>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t>
        </is>
      </c>
    </row>
    <row r="74" ht="40.5" customHeight="1">
      <c r="A74" s="138" t="n">
        <v>47936340000192</v>
      </c>
      <c r="B74" s="74" t="inlineStr">
        <is>
          <t>47.936.340/0001-92</t>
        </is>
      </c>
      <c r="C74" s="74" t="inlineStr">
        <is>
          <t>Cotas Seniores</t>
        </is>
      </c>
      <c r="D74" s="74" t="inlineStr">
        <is>
          <t>R$ 1.000,00</t>
        </is>
      </c>
      <c r="E74" s="139" t="n">
        <v>1000</v>
      </c>
      <c r="F74" s="74" t="inlineStr">
        <is>
          <t>valor nominal unitário (VNU)</t>
        </is>
      </c>
      <c r="G74" s="74" t="b">
        <v>0</v>
      </c>
      <c r="H74" s="74" t="inlineStr">
        <is>
          <t>assembleia</t>
        </is>
      </c>
      <c r="I74" s="74" t="n">
        <v>1021066</v>
      </c>
      <c r="J74" s="74" t="inlineStr">
        <is>
          <t>Assembleia AGE Ata da Assembleia</t>
        </is>
      </c>
      <c r="K74" s="74" t="inlineStr">
        <is>
          <t>24/10/2025 23:59</t>
        </is>
      </c>
      <c r="L74" s="74" t="n">
        <v>2</v>
      </c>
      <c r="M74" s="74" t="inlineStr">
        <is>
          <t>encontrado_explicito</t>
        </is>
      </c>
      <c r="N74" s="74" t="b">
        <v>1</v>
      </c>
      <c r="O74" s="74" t="inlineStr">
        <is>
          <t>.cache/carteira_101_document_scan/47936340000192/1021066.json.gz</t>
        </is>
      </c>
      <c r="P74" s="74" t="inlineStr">
        <is>
          <t>https://fnet.bmfbovespa.com.br/fnet/publico/downloadDocumento?id=1021066</t>
        </is>
      </c>
      <c r="Q74" s="74" t="inlineStr">
        <is>
          <t>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t>
        </is>
      </c>
    </row>
    <row r="75" ht="40.5" customHeight="1">
      <c r="A75" s="142" t="n">
        <v>47936340000192</v>
      </c>
      <c r="B75" s="75" t="inlineStr">
        <is>
          <t>47.936.340/0001-92</t>
        </is>
      </c>
      <c r="C75" s="75" t="inlineStr">
        <is>
          <t>Cotas Subordinadas Júnior</t>
        </is>
      </c>
      <c r="D75" s="75" t="inlineStr">
        <is>
          <t>R$ 1.000,00</t>
        </is>
      </c>
      <c r="E75" s="143" t="n">
        <v>1000</v>
      </c>
      <c r="F75" s="75" t="inlineStr">
        <is>
          <t>preço/valor unitário de emissão</t>
        </is>
      </c>
      <c r="G75" s="75" t="b">
        <v>0</v>
      </c>
      <c r="H75" s="75" t="inlineStr">
        <is>
          <t>assembleia</t>
        </is>
      </c>
      <c r="I75" s="75" t="n">
        <v>1021066</v>
      </c>
      <c r="J75" s="75" t="inlineStr">
        <is>
          <t>Assembleia AGE Ata da Assembleia</t>
        </is>
      </c>
      <c r="K75" s="75" t="inlineStr">
        <is>
          <t>24/10/2025 23:59</t>
        </is>
      </c>
      <c r="L75" s="75" t="n">
        <v>13</v>
      </c>
      <c r="M75" s="75" t="inlineStr">
        <is>
          <t>encontrado_explicito</t>
        </is>
      </c>
      <c r="N75" s="75" t="b">
        <v>1</v>
      </c>
      <c r="O75" s="75" t="inlineStr">
        <is>
          <t>.cache/carteira_101_document_scan/47936340000192/1021066.json.gz</t>
        </is>
      </c>
      <c r="P75" s="75" t="inlineStr">
        <is>
          <t>https://fnet.bmfbovespa.com.br/fnet/publico/downloadDocumento?id=1021066</t>
        </is>
      </c>
      <c r="Q75" s="75" t="inlineStr">
        <is>
          <t>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t>
        </is>
      </c>
    </row>
    <row r="76" ht="40.5" customHeight="1">
      <c r="A76" s="138" t="n">
        <v>48313595000161</v>
      </c>
      <c r="B76" s="74" t="inlineStr">
        <is>
          <t>48.313.595/0001-61</t>
        </is>
      </c>
      <c r="C76" s="74" t="inlineStr">
        <is>
          <t>Cotas Seniores</t>
        </is>
      </c>
      <c r="D76" s="74" t="inlineStr">
        <is>
          <t>R$1.000,00</t>
        </is>
      </c>
      <c r="E76" s="139" t="n">
        <v>1000</v>
      </c>
      <c r="F76" s="74" t="inlineStr">
        <is>
          <t>valor nominal unitário (VNU)</t>
        </is>
      </c>
      <c r="G76" s="74" t="b">
        <v>0</v>
      </c>
      <c r="H76" s="74" t="inlineStr">
        <is>
          <t>regulamento</t>
        </is>
      </c>
      <c r="I76" s="74" t="n">
        <v>976737</v>
      </c>
      <c r="J76" s="74" t="inlineStr">
        <is>
          <t>Regulamento</t>
        </is>
      </c>
      <c r="K76" s="74" t="inlineStr">
        <is>
          <t>22/08/2025</t>
        </is>
      </c>
      <c r="L76" s="74" t="n">
        <v>5</v>
      </c>
      <c r="M76" s="74" t="inlineStr">
        <is>
          <t>encontrado_explicito</t>
        </is>
      </c>
      <c r="N76" s="74" t="b">
        <v>1</v>
      </c>
      <c r="O76" s="74" t="inlineStr">
        <is>
          <t>.cache/carteira_101_document_scan/48313595000161/976737.json.gz</t>
        </is>
      </c>
      <c r="P76" s="74" t="inlineStr">
        <is>
          <t>https://fnet.bmfbovespa.com.br/fnet/publico/downloadDocumento?id=976737</t>
        </is>
      </c>
      <c r="Q76" s="74" t="inlineStr">
        <is>
          <t>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7" ht="40.5" customHeight="1">
      <c r="A77" s="142" t="n">
        <v>48313595000161</v>
      </c>
      <c r="B77" s="75" t="inlineStr">
        <is>
          <t>48.313.595/0001-61</t>
        </is>
      </c>
      <c r="C77" s="75" t="inlineStr">
        <is>
          <t>Cotas Subordinadas Mezanino</t>
        </is>
      </c>
      <c r="D77" s="75" t="inlineStr">
        <is>
          <t>R$1.000,00</t>
        </is>
      </c>
      <c r="E77" s="143" t="n">
        <v>1000</v>
      </c>
      <c r="F77" s="75" t="inlineStr">
        <is>
          <t>valor nominal unitário (VNU)</t>
        </is>
      </c>
      <c r="G77" s="75" t="b">
        <v>0</v>
      </c>
      <c r="H77" s="75" t="inlineStr">
        <is>
          <t>regulamento</t>
        </is>
      </c>
      <c r="I77" s="75" t="n">
        <v>976737</v>
      </c>
      <c r="J77" s="75" t="inlineStr">
        <is>
          <t>Regulamento</t>
        </is>
      </c>
      <c r="K77" s="75" t="inlineStr">
        <is>
          <t>22/08/2025</t>
        </is>
      </c>
      <c r="L77" s="75" t="n">
        <v>7</v>
      </c>
      <c r="M77" s="75" t="inlineStr">
        <is>
          <t>encontrado_explicito</t>
        </is>
      </c>
      <c r="N77" s="75" t="b">
        <v>1</v>
      </c>
      <c r="O77" s="75" t="inlineStr">
        <is>
          <t>.cache/carteira_101_document_scan/48313595000161/976737.json.gz</t>
        </is>
      </c>
      <c r="P77" s="75" t="inlineStr">
        <is>
          <t>https://fnet.bmfbovespa.com.br/fnet/publico/downloadDocumento?id=976737</t>
        </is>
      </c>
      <c r="Q77" s="75" t="inlineStr">
        <is>
          <t>(ii)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8" ht="40.5" customHeight="1">
      <c r="A78" s="138" t="n">
        <v>48946335000123</v>
      </c>
      <c r="B78" s="74" t="inlineStr">
        <is>
          <t>48.946.335/0001-23</t>
        </is>
      </c>
      <c r="C78" s="74" t="inlineStr">
        <is>
          <t>Cotas Subordinadas Júnior</t>
        </is>
      </c>
      <c r="D78" s="74" t="inlineStr">
        <is>
          <t>R$ 1.000,00</t>
        </is>
      </c>
      <c r="E78" s="139" t="n">
        <v>1000</v>
      </c>
      <c r="F78" s="74" t="inlineStr">
        <is>
          <t>preço/valor unitário de emissão</t>
        </is>
      </c>
      <c r="G78" s="74" t="b">
        <v>0</v>
      </c>
      <c r="H78" s="74" t="inlineStr">
        <is>
          <t>regulamento</t>
        </is>
      </c>
      <c r="I78" s="74" t="n">
        <v>1000248</v>
      </c>
      <c r="J78" s="74" t="inlineStr">
        <is>
          <t>Regulamento</t>
        </is>
      </c>
      <c r="K78" s="74" t="inlineStr">
        <is>
          <t>29/09/2025</t>
        </is>
      </c>
      <c r="L78" s="74" t="n">
        <v>48</v>
      </c>
      <c r="M78" s="74" t="inlineStr">
        <is>
          <t>encontrado_explicito</t>
        </is>
      </c>
      <c r="N78" s="74" t="b">
        <v>1</v>
      </c>
      <c r="O78" s="74" t="inlineStr">
        <is>
          <t>.cache/carteira_101_document_scan/48946335000123/1000248.json.gz</t>
        </is>
      </c>
      <c r="P78" s="74" t="inlineStr">
        <is>
          <t>https://fnet.bmfbovespa.com.br/fnet/publico/downloadDocumento?id=1000248</t>
        </is>
      </c>
      <c r="Q78" s="74" t="inlineStr">
        <is>
          <t>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t>
        </is>
      </c>
    </row>
    <row r="79" ht="40.5" customHeight="1">
      <c r="A79" s="142" t="n">
        <v>48946335000123</v>
      </c>
      <c r="B79" s="75" t="inlineStr">
        <is>
          <t>48.946.335/0001-23</t>
        </is>
      </c>
      <c r="C79" s="75" t="inlineStr">
        <is>
          <t>Cotas Subordinadas mezanino</t>
        </is>
      </c>
      <c r="D79" s="75" t="inlineStr">
        <is>
          <t>R$ 1.000,00</t>
        </is>
      </c>
      <c r="E79" s="143" t="n">
        <v>1000</v>
      </c>
      <c r="F79" s="75" t="inlineStr">
        <is>
          <t>preço/valor unitário de emissão</t>
        </is>
      </c>
      <c r="G79" s="75" t="b">
        <v>0</v>
      </c>
      <c r="H79" s="75" t="inlineStr">
        <is>
          <t>regulamento</t>
        </is>
      </c>
      <c r="I79" s="75" t="n">
        <v>1000248</v>
      </c>
      <c r="J79" s="75" t="inlineStr">
        <is>
          <t>Regulamento</t>
        </is>
      </c>
      <c r="K79" s="75" t="inlineStr">
        <is>
          <t>29/09/2025</t>
        </is>
      </c>
      <c r="L79" s="75" t="n">
        <v>49</v>
      </c>
      <c r="M79" s="75" t="inlineStr">
        <is>
          <t>encontrado_explicito</t>
        </is>
      </c>
      <c r="N79" s="75" t="b">
        <v>1</v>
      </c>
      <c r="O79" s="75" t="inlineStr">
        <is>
          <t>.cache/carteira_101_document_scan/48946335000123/1000248.json.gz</t>
        </is>
      </c>
      <c r="P79" s="75" t="inlineStr">
        <is>
          <t>https://fnet.bmfbovespa.com.br/fnet/publico/downloadDocumento?id=1000248</t>
        </is>
      </c>
      <c r="Q79" s="75" t="inlineStr">
        <is>
          <t>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t>
        </is>
      </c>
    </row>
    <row r="80" ht="40.5" customHeight="1">
      <c r="A80" s="138" t="n">
        <v>48946335000123</v>
      </c>
      <c r="B80" s="74" t="inlineStr">
        <is>
          <t>48.946.335/0001-23</t>
        </is>
      </c>
      <c r="C80" s="74" t="inlineStr">
        <is>
          <t>Cotas Seniores</t>
        </is>
      </c>
      <c r="D80" s="74" t="inlineStr">
        <is>
          <t>R$ 1.000</t>
        </is>
      </c>
      <c r="E80" s="139" t="n">
        <v>1000</v>
      </c>
      <c r="F80" s="74" t="inlineStr">
        <is>
          <t>preço/valor unitário de emissão</t>
        </is>
      </c>
      <c r="G80" s="74" t="b">
        <v>0</v>
      </c>
      <c r="H80" s="74" t="inlineStr">
        <is>
          <t>emissao</t>
        </is>
      </c>
      <c r="I80" s="74" t="n">
        <v>737336</v>
      </c>
      <c r="J80" s="74" t="inlineStr">
        <is>
          <t>Atos de Deliberação do Administrador Instrumento Particular de Emissão de Cotas</t>
        </is>
      </c>
      <c r="K80" s="74" t="inlineStr">
        <is>
          <t>12/09/2024</t>
        </is>
      </c>
      <c r="L80" s="74" t="n">
        <v>4</v>
      </c>
      <c r="M80" s="74" t="inlineStr">
        <is>
          <t>encontrado_explicito</t>
        </is>
      </c>
      <c r="N80" s="74" t="b">
        <v>1</v>
      </c>
      <c r="O80" s="74" t="inlineStr">
        <is>
          <t>.cache/carteira_101_document_scan/48946335000123/737336.json.gz</t>
        </is>
      </c>
      <c r="P80" s="74" t="inlineStr">
        <is>
          <t>https://fnet.bmfbovespa.com.br/fnet/publico/downloadDocumento?id=737336</t>
        </is>
      </c>
      <c r="Q80" s="74" t="inlineStr">
        <is>
          <t>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t>
        </is>
      </c>
    </row>
    <row r="81" ht="40.5" customHeight="1">
      <c r="A81" s="142" t="n">
        <v>48946335000123</v>
      </c>
      <c r="B81" s="75" t="inlineStr">
        <is>
          <t>48.946.335/0001-23</t>
        </is>
      </c>
      <c r="C81" s="75" t="inlineStr">
        <is>
          <t>Cotas Subordinadas Júnior</t>
        </is>
      </c>
      <c r="D81" s="75" t="inlineStr">
        <is>
          <t>R$ 1.000</t>
        </is>
      </c>
      <c r="E81" s="143" t="n">
        <v>1000</v>
      </c>
      <c r="F81" s="75" t="inlineStr">
        <is>
          <t>preço/valor unitário de emissão</t>
        </is>
      </c>
      <c r="G81" s="75" t="b">
        <v>0</v>
      </c>
      <c r="H81" s="75" t="inlineStr">
        <is>
          <t>emissao</t>
        </is>
      </c>
      <c r="I81" s="75" t="n">
        <v>737336</v>
      </c>
      <c r="J81" s="75" t="inlineStr">
        <is>
          <t>Atos de Deliberação do Administrador Instrumento Particular de Emissão de Cotas</t>
        </is>
      </c>
      <c r="K81" s="75" t="inlineStr">
        <is>
          <t>12/09/2024</t>
        </is>
      </c>
      <c r="L81" s="75" t="n">
        <v>19</v>
      </c>
      <c r="M81" s="75" t="inlineStr">
        <is>
          <t>encontrado_explicito</t>
        </is>
      </c>
      <c r="N81" s="75" t="b">
        <v>1</v>
      </c>
      <c r="O81" s="75" t="inlineStr">
        <is>
          <t>.cache/carteira_101_document_scan/48946335000123/737336.json.gz</t>
        </is>
      </c>
      <c r="P81" s="75" t="inlineStr">
        <is>
          <t>https://fnet.bmfbovespa.com.br/fnet/publico/downloadDocumento?id=737336</t>
        </is>
      </c>
      <c r="Q81" s="75" t="inlineStr">
        <is>
          <t>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t>
        </is>
      </c>
    </row>
    <row r="82" ht="40.5" customHeight="1">
      <c r="A82" s="138" t="n">
        <v>48946335000123</v>
      </c>
      <c r="B82" s="74" t="inlineStr">
        <is>
          <t>48.946.335/0001-23</t>
        </is>
      </c>
      <c r="C82" s="74" t="inlineStr">
        <is>
          <t>Cotas Subordinadas Mezanino</t>
        </is>
      </c>
      <c r="D82" s="74" t="inlineStr">
        <is>
          <t>R$ 1.000</t>
        </is>
      </c>
      <c r="E82" s="139" t="n">
        <v>1000</v>
      </c>
      <c r="F82" s="74" t="inlineStr">
        <is>
          <t>preço/valor unitário de emissão</t>
        </is>
      </c>
      <c r="G82" s="74" t="b">
        <v>0</v>
      </c>
      <c r="H82" s="74" t="inlineStr">
        <is>
          <t>emissao</t>
        </is>
      </c>
      <c r="I82" s="74" t="n">
        <v>737336</v>
      </c>
      <c r="J82" s="74" t="inlineStr">
        <is>
          <t>Atos de Deliberação do Administrador Instrumento Particular de Emissão de Cotas</t>
        </is>
      </c>
      <c r="K82" s="74" t="inlineStr">
        <is>
          <t>12/09/2024</t>
        </is>
      </c>
      <c r="L82" s="74" t="n">
        <v>13</v>
      </c>
      <c r="M82" s="74" t="inlineStr">
        <is>
          <t>encontrado_explicito</t>
        </is>
      </c>
      <c r="N82" s="74" t="b">
        <v>1</v>
      </c>
      <c r="O82" s="74" t="inlineStr">
        <is>
          <t>.cache/carteira_101_document_scan/48946335000123/737336.json.gz</t>
        </is>
      </c>
      <c r="P82" s="74" t="inlineStr">
        <is>
          <t>https://fnet.bmfbovespa.com.br/fnet/publico/downloadDocumento?id=737336</t>
        </is>
      </c>
      <c r="Q82" s="74" t="inlineStr">
        <is>
          <t>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t>
        </is>
      </c>
    </row>
    <row r="83" ht="40.5" customHeight="1">
      <c r="A83" s="142" t="n">
        <v>48953864000154</v>
      </c>
      <c r="B83" s="75" t="inlineStr">
        <is>
          <t>48.953.864/0001-54</t>
        </is>
      </c>
      <c r="C83" s="75" t="inlineStr">
        <is>
          <t>Cotas Seniores</t>
        </is>
      </c>
      <c r="D83" s="75" t="inlineStr">
        <is>
          <t>R$1.000,00</t>
        </is>
      </c>
      <c r="E83" s="143" t="n">
        <v>1000</v>
      </c>
      <c r="F83" s="75" t="inlineStr">
        <is>
          <t>valor nominal unitário (VNU)</t>
        </is>
      </c>
      <c r="G83" s="75" t="b">
        <v>0</v>
      </c>
      <c r="H83" s="75" t="inlineStr">
        <is>
          <t>regulamento</t>
        </is>
      </c>
      <c r="I83" s="75" t="n">
        <v>473796</v>
      </c>
      <c r="J83" s="75" t="inlineStr">
        <is>
          <t>Regulamento</t>
        </is>
      </c>
      <c r="K83" s="75" t="inlineStr">
        <is>
          <t>01/06/2023</t>
        </is>
      </c>
      <c r="L83" s="75" t="n">
        <v>100</v>
      </c>
      <c r="M83" s="75" t="inlineStr">
        <is>
          <t>encontrado_explicito</t>
        </is>
      </c>
      <c r="N83" s="75" t="b">
        <v>1</v>
      </c>
      <c r="O83" s="75" t="inlineStr">
        <is>
          <t>.cache/carteira_101_document_scan/48953864000154/473796.json.gz</t>
        </is>
      </c>
      <c r="P83" s="75" t="inlineStr">
        <is>
          <t>https://fnet.bmfbovespa.com.br/fnet/publico/downloadDocumento?id=473796</t>
        </is>
      </c>
      <c r="Q83" s="75" t="inlineStr">
        <is>
          <t>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t>
        </is>
      </c>
    </row>
    <row r="84" ht="40.5" customHeight="1">
      <c r="A84" s="138" t="n">
        <v>48967719000122</v>
      </c>
      <c r="B84" s="74" t="inlineStr">
        <is>
          <t>48.967.719/0001-22</t>
        </is>
      </c>
      <c r="C84" s="74" t="inlineStr">
        <is>
          <t>Cotas Seniores</t>
        </is>
      </c>
      <c r="D84" s="74" t="inlineStr">
        <is>
          <t>R$1.000,00</t>
        </is>
      </c>
      <c r="E84" s="139" t="n">
        <v>1000</v>
      </c>
      <c r="F84" s="74" t="inlineStr">
        <is>
          <t>valor nominal unitário (VNU)</t>
        </is>
      </c>
      <c r="G84" s="74" t="b">
        <v>0</v>
      </c>
      <c r="H84" s="74" t="inlineStr">
        <is>
          <t>emissao</t>
        </is>
      </c>
      <c r="I84" s="74" t="n">
        <v>445363</v>
      </c>
      <c r="J84" s="74" t="inlineStr">
        <is>
          <t>Atos de Deliberação do Administrador Instrumento Particular de Emissão de Cotas</t>
        </is>
      </c>
      <c r="K84" s="74" t="inlineStr">
        <is>
          <t>12/04/2023</t>
        </is>
      </c>
      <c r="L84" s="74" t="n">
        <v>2</v>
      </c>
      <c r="M84" s="74" t="inlineStr">
        <is>
          <t>encontrado_explicito</t>
        </is>
      </c>
      <c r="N84" s="74" t="b">
        <v>1</v>
      </c>
      <c r="O84" s="74" t="inlineStr">
        <is>
          <t>.cache/carteira_101_document_scan/48967719000122/445363.json.gz</t>
        </is>
      </c>
      <c r="P84" s="74" t="inlineStr">
        <is>
          <t>https://fnet.bmfbovespa.com.br/fnet/publico/downloadDocumento?id=445363</t>
        </is>
      </c>
      <c r="Q84" s="74" t="inlineStr">
        <is>
          <t>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t>
        </is>
      </c>
    </row>
    <row r="85" ht="40.5" customHeight="1">
      <c r="A85" s="142" t="n">
        <v>49113994000141</v>
      </c>
      <c r="B85" s="75" t="inlineStr">
        <is>
          <t>49.113.994/0001-41</t>
        </is>
      </c>
      <c r="C85" s="75" t="inlineStr">
        <is>
          <t>Cotas Subordinadas Júnior</t>
        </is>
      </c>
      <c r="D85" s="75" t="inlineStr">
        <is>
          <t>R$ 1.000,00</t>
        </is>
      </c>
      <c r="E85" s="143" t="n">
        <v>1000</v>
      </c>
      <c r="F85" s="75" t="inlineStr">
        <is>
          <t>preço/valor unitário de emissão</t>
        </is>
      </c>
      <c r="G85" s="75" t="b">
        <v>0</v>
      </c>
      <c r="H85" s="75" t="inlineStr">
        <is>
          <t>regulamento</t>
        </is>
      </c>
      <c r="I85" s="75" t="n">
        <v>788104</v>
      </c>
      <c r="J85" s="75" t="inlineStr">
        <is>
          <t>Regulamento</t>
        </is>
      </c>
      <c r="K85" s="75" t="inlineStr">
        <is>
          <t>22/11/2024</t>
        </is>
      </c>
      <c r="L85" s="75" t="n">
        <v>50</v>
      </c>
      <c r="M85" s="75" t="inlineStr">
        <is>
          <t>encontrado_explicito</t>
        </is>
      </c>
      <c r="N85" s="75" t="b">
        <v>1</v>
      </c>
      <c r="O85" s="75" t="inlineStr">
        <is>
          <t>.cache/carteira_101_document_scan/49113994000141/788104.json.gz</t>
        </is>
      </c>
      <c r="P85" s="75" t="inlineStr">
        <is>
          <t>https://fnet.bmfbovespa.com.br/fnet/publico/downloadDocumento?id=788104</t>
        </is>
      </c>
      <c r="Q85" s="75" t="inlineStr">
        <is>
          <t>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t>
        </is>
      </c>
    </row>
    <row r="86" ht="40.5" customHeight="1">
      <c r="A86" s="138" t="n">
        <v>50089559000108</v>
      </c>
      <c r="B86" s="74" t="inlineStr">
        <is>
          <t>50.089.559/0001-08</t>
        </is>
      </c>
      <c r="C86" s="74" t="inlineStr">
        <is>
          <t>Cotas Subordinadas Júnior</t>
        </is>
      </c>
      <c r="D86" s="74" t="inlineStr">
        <is>
          <t>R$1.000,00</t>
        </is>
      </c>
      <c r="E86" s="139" t="n">
        <v>1000</v>
      </c>
      <c r="F86" s="74" t="inlineStr">
        <is>
          <t>valor nominal unitário (VNU)</t>
        </is>
      </c>
      <c r="G86" s="74" t="b">
        <v>0</v>
      </c>
      <c r="H86" s="74" t="inlineStr">
        <is>
          <t>assembleia</t>
        </is>
      </c>
      <c r="I86" s="74" t="n">
        <v>789349</v>
      </c>
      <c r="J86" s="74" t="inlineStr">
        <is>
          <t>Assembleia AGE Ata da Assembleia</t>
        </is>
      </c>
      <c r="K86" s="74" t="inlineStr">
        <is>
          <t>27/11/2024 11:00</t>
        </is>
      </c>
      <c r="L86" s="74" t="n">
        <v>8</v>
      </c>
      <c r="M86" s="74" t="inlineStr">
        <is>
          <t>encontrado_explicito</t>
        </is>
      </c>
      <c r="N86" s="74" t="b">
        <v>1</v>
      </c>
      <c r="O86" s="74" t="inlineStr">
        <is>
          <t>.cache/carteira_101_document_scan/50089559000108/789349.json.gz</t>
        </is>
      </c>
      <c r="P86" s="74" t="inlineStr">
        <is>
          <t>https://fnet.bmfbovespa.com.br/fnet/publico/downloadDocumento?id=789349</t>
        </is>
      </c>
      <c r="Q86" s="74" t="inlineStr">
        <is>
          <t>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t>
        </is>
      </c>
    </row>
    <row r="87" ht="40.5" customHeight="1">
      <c r="A87" s="142" t="n">
        <v>50098465000103</v>
      </c>
      <c r="B87" s="75" t="inlineStr">
        <is>
          <t>50.098.465/0001-03</t>
        </is>
      </c>
      <c r="C87" s="75" t="inlineStr">
        <is>
          <t>N/D</t>
        </is>
      </c>
      <c r="D87" s="75" t="inlineStr">
        <is>
          <t>R$1.000,00</t>
        </is>
      </c>
      <c r="E87" s="143" t="n">
        <v>1000</v>
      </c>
      <c r="F87" s="75" t="inlineStr">
        <is>
          <t>preço/valor unitário de emissão</t>
        </is>
      </c>
      <c r="G87" s="75" t="b">
        <v>1</v>
      </c>
      <c r="H87" s="75" t="inlineStr">
        <is>
          <t>regulamento</t>
        </is>
      </c>
      <c r="I87" s="75" t="n">
        <v>690567</v>
      </c>
      <c r="J87" s="75" t="inlineStr">
        <is>
          <t>Regulamento</t>
        </is>
      </c>
      <c r="K87" s="75" t="inlineStr">
        <is>
          <t>01/07/2024</t>
        </is>
      </c>
      <c r="L87" s="75" t="n">
        <v>103</v>
      </c>
      <c r="M87" s="75" t="inlineStr">
        <is>
          <t>encontrado_explicito</t>
        </is>
      </c>
      <c r="N87" s="75" t="b">
        <v>1</v>
      </c>
      <c r="O87" s="75" t="inlineStr">
        <is>
          <t>.cache/carteira_101_document_scan/50098465000103/690567.json.gz</t>
        </is>
      </c>
      <c r="P87" s="75" t="inlineStr">
        <is>
          <t>https://fnet.bmfbovespa.com.br/fnet/publico/downloadDocumento?id=690567</t>
        </is>
      </c>
      <c r="Q87" s="75" t="inlineStr">
        <is>
          <t>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t>
        </is>
      </c>
    </row>
    <row r="88" ht="40.5" customHeight="1">
      <c r="A88" s="138" t="n">
        <v>50473039000102</v>
      </c>
      <c r="B88" s="74" t="inlineStr">
        <is>
          <t>50.473.039/0001-02</t>
        </is>
      </c>
      <c r="C88" s="74" t="inlineStr">
        <is>
          <t>Cotas Seniores</t>
        </is>
      </c>
      <c r="D88" s="74" t="inlineStr">
        <is>
          <t>R$ 1.000,00</t>
        </is>
      </c>
      <c r="E88" s="139" t="n">
        <v>1000</v>
      </c>
      <c r="F88" s="74" t="inlineStr">
        <is>
          <t>valor nominal unitário (VNU)</t>
        </is>
      </c>
      <c r="G88" s="74" t="b">
        <v>0</v>
      </c>
      <c r="H88" s="74" t="inlineStr">
        <is>
          <t>regulamento</t>
        </is>
      </c>
      <c r="I88" s="74" t="n">
        <v>909547</v>
      </c>
      <c r="J88" s="74" t="inlineStr">
        <is>
          <t>regulamento</t>
        </is>
      </c>
      <c r="K88" s="74" t="inlineStr">
        <is>
          <t>2025-05-19</t>
        </is>
      </c>
      <c r="L88" s="74" t="n">
        <v>150</v>
      </c>
      <c r="M88" s="74" t="inlineStr">
        <is>
          <t>encontrado_explicito</t>
        </is>
      </c>
      <c r="N88" s="74" t="b">
        <v>1</v>
      </c>
      <c r="O88" s="74" t="inlineStr">
        <is>
          <t>data/raw/50473039000102/909547_regulamento_regulamento_909547_2025-05-19_2025-05-19.pdf</t>
        </is>
      </c>
      <c r="P88" s="74" t="inlineStr">
        <is>
          <t>https://fnet.bmfbovespa.com.br/fnet/publico/downloadDocumento?id=909547</t>
        </is>
      </c>
      <c r="Q88" s="74" t="inlineStr">
        <is>
          <t>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t>
        </is>
      </c>
    </row>
    <row r="89" ht="40.5" customHeight="1">
      <c r="A89" s="142" t="n">
        <v>50473039000102</v>
      </c>
      <c r="B89" s="75" t="inlineStr">
        <is>
          <t>50.473.039/0001-02</t>
        </is>
      </c>
      <c r="C89" s="75" t="inlineStr">
        <is>
          <t>Cotas Seniores</t>
        </is>
      </c>
      <c r="D89" s="75" t="inlineStr">
        <is>
          <t>R$1.000,00</t>
        </is>
      </c>
      <c r="E89" s="143" t="n">
        <v>1000</v>
      </c>
      <c r="F89" s="75" t="inlineStr">
        <is>
          <t>preço/valor unitário de emissão</t>
        </is>
      </c>
      <c r="G89" s="75" t="b">
        <v>0</v>
      </c>
      <c r="H89" s="75" t="inlineStr">
        <is>
          <t>emissao</t>
        </is>
      </c>
      <c r="I89" s="75" t="n">
        <v>932137</v>
      </c>
      <c r="J89" s="75" t="inlineStr">
        <is>
          <t>Oferta Pública de Distribuição de Cotas Anúncio de Encerramento</t>
        </is>
      </c>
      <c r="K89" s="75" t="inlineStr">
        <is>
          <t>04/06/2025</t>
        </is>
      </c>
      <c r="L89" s="75" t="n">
        <v>2</v>
      </c>
      <c r="M89" s="75" t="inlineStr">
        <is>
          <t>encontrado_explicito</t>
        </is>
      </c>
      <c r="N89" s="75" t="b">
        <v>1</v>
      </c>
      <c r="O89" s="75" t="inlineStr">
        <is>
          <t>.cache/carteira_101_document_scan/50473039000102/932137.json.gz</t>
        </is>
      </c>
      <c r="P89" s="75" t="inlineStr">
        <is>
          <t>https://fnet.bmfbovespa.com.br/fnet/publico/downloadDocumento?id=932137</t>
        </is>
      </c>
      <c r="Q89" s="75" t="inlineStr">
        <is>
          <t>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t>
        </is>
      </c>
    </row>
    <row r="90" ht="40.5" customHeight="1">
      <c r="A90" s="138" t="n">
        <v>50536324000117</v>
      </c>
      <c r="B90" s="74" t="inlineStr">
        <is>
          <t>50.536.324/0001-17</t>
        </is>
      </c>
      <c r="C90" s="74" t="inlineStr">
        <is>
          <t>N/D</t>
        </is>
      </c>
      <c r="D90" s="74" t="inlineStr">
        <is>
          <t>R$ 1.000,00</t>
        </is>
      </c>
      <c r="E90" s="139" t="n">
        <v>1000</v>
      </c>
      <c r="F90" s="74" t="inlineStr">
        <is>
          <t>preço/valor unitário de emissão</t>
        </is>
      </c>
      <c r="G90" s="74" t="b">
        <v>1</v>
      </c>
      <c r="H90" s="74" t="inlineStr">
        <is>
          <t>regulamento</t>
        </is>
      </c>
      <c r="I90" s="74" t="n">
        <v>756476</v>
      </c>
      <c r="J90" s="74" t="inlineStr">
        <is>
          <t>Regulamento</t>
        </is>
      </c>
      <c r="K90" s="74" t="inlineStr">
        <is>
          <t>09/10/2024</t>
        </is>
      </c>
      <c r="L90" s="74" t="n">
        <v>29</v>
      </c>
      <c r="M90" s="74" t="inlineStr">
        <is>
          <t>encontrado_explicito</t>
        </is>
      </c>
      <c r="N90" s="74" t="b">
        <v>1</v>
      </c>
      <c r="O90" s="74" t="inlineStr">
        <is>
          <t>.cache/carteira_101_document_scan/50536324000117/756476.json.gz</t>
        </is>
      </c>
      <c r="P90" s="74" t="inlineStr">
        <is>
          <t>https://fnet.bmfbovespa.com.br/fnet/publico/downloadDocumento?id=756476</t>
        </is>
      </c>
      <c r="Q90" s="74" t="inlineStr">
        <is>
          <t>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t>
        </is>
      </c>
    </row>
    <row r="91" ht="40.5" customHeight="1">
      <c r="A91" s="142" t="n">
        <v>50536324000117</v>
      </c>
      <c r="B91" s="75" t="inlineStr">
        <is>
          <t>50.536.324/0001-17</t>
        </is>
      </c>
      <c r="C91" s="75" t="inlineStr">
        <is>
          <t>Cotas Seniores</t>
        </is>
      </c>
      <c r="D91" s="75" t="inlineStr">
        <is>
          <t>R$1.000,00</t>
        </is>
      </c>
      <c r="E91" s="143" t="n">
        <v>1000</v>
      </c>
      <c r="F91" s="75" t="inlineStr">
        <is>
          <t>valor nominal unitário (VNU)</t>
        </is>
      </c>
      <c r="G91" s="75" t="b">
        <v>0</v>
      </c>
      <c r="H91" s="75" t="inlineStr">
        <is>
          <t>emissao</t>
        </is>
      </c>
      <c r="I91" s="75" t="n">
        <v>938955</v>
      </c>
      <c r="J91" s="75" t="inlineStr">
        <is>
          <t>Oferta Pública de Distribuição de Cotas Anúncio de Encerramento</t>
        </is>
      </c>
      <c r="K91" s="75" t="inlineStr">
        <is>
          <t>02/07/2025</t>
        </is>
      </c>
      <c r="L91" s="75" t="n">
        <v>2</v>
      </c>
      <c r="M91" s="75" t="inlineStr">
        <is>
          <t>encontrado_explicito</t>
        </is>
      </c>
      <c r="N91" s="75" t="b">
        <v>1</v>
      </c>
      <c r="O91" s="75" t="inlineStr">
        <is>
          <t>.cache/carteira_101_document_scan/50536324000117/938955.json.gz</t>
        </is>
      </c>
      <c r="P91" s="75" t="inlineStr">
        <is>
          <t>https://fnet.bmfbovespa.com.br/fnet/publico/downloadDocumento?id=938955</t>
        </is>
      </c>
      <c r="Q91" s="75" t="inlineStr">
        <is>
          <t>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t>
        </is>
      </c>
    </row>
    <row r="92" ht="40.5" customHeight="1">
      <c r="A92" s="138" t="n">
        <v>50832746000130</v>
      </c>
      <c r="B92" s="74" t="inlineStr">
        <is>
          <t>50.832.746/0001-30</t>
        </is>
      </c>
      <c r="C92" s="74" t="inlineStr">
        <is>
          <t>Cotas Seniores</t>
        </is>
      </c>
      <c r="D92" s="74" t="inlineStr">
        <is>
          <t>R$1.000,00</t>
        </is>
      </c>
      <c r="E92" s="139" t="n">
        <v>1000</v>
      </c>
      <c r="F92" s="74" t="inlineStr">
        <is>
          <t>preço/valor unitário de emissão</t>
        </is>
      </c>
      <c r="G92" s="74" t="b">
        <v>0</v>
      </c>
      <c r="H92" s="74" t="inlineStr">
        <is>
          <t>emissao</t>
        </is>
      </c>
      <c r="I92" s="74" t="n">
        <v>542399</v>
      </c>
      <c r="J92" s="74" t="inlineStr">
        <is>
          <t>Oferta Pública de Distribuição de Cotas Aviso ao Mercado</t>
        </is>
      </c>
      <c r="K92" s="74" t="inlineStr">
        <is>
          <t>17/10/2023</t>
        </is>
      </c>
      <c r="L92" s="74" t="n">
        <v>1</v>
      </c>
      <c r="M92" s="74" t="inlineStr">
        <is>
          <t>encontrado_explicito</t>
        </is>
      </c>
      <c r="N92" s="74" t="b">
        <v>1</v>
      </c>
      <c r="O92" s="74" t="inlineStr">
        <is>
          <t>.cache/carteira_101_document_scan/50832746000130/542399.json.gz</t>
        </is>
      </c>
      <c r="P92" s="74" t="inlineStr">
        <is>
          <t>https://fnet.bmfbovespa.com.br/fnet/publico/downloadDocumento?id=542399</t>
        </is>
      </c>
      <c r="Q92" s="74" t="inlineStr">
        <is>
          <t>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t>
        </is>
      </c>
    </row>
    <row r="93" ht="40.5" customHeight="1">
      <c r="A93" s="142" t="n">
        <v>50832746000130</v>
      </c>
      <c r="B93" s="75" t="inlineStr">
        <is>
          <t>50.832.746/0001-30</t>
        </is>
      </c>
      <c r="C93" s="75" t="inlineStr">
        <is>
          <t>Cotas Subordinadas Mezanino</t>
        </is>
      </c>
      <c r="D93" s="75" t="inlineStr">
        <is>
          <t>R$1.000,00</t>
        </is>
      </c>
      <c r="E93" s="143" t="n">
        <v>1000</v>
      </c>
      <c r="F93" s="75" t="inlineStr">
        <is>
          <t>preço/valor unitário de emissão</t>
        </is>
      </c>
      <c r="G93" s="75" t="b">
        <v>0</v>
      </c>
      <c r="H93" s="75" t="inlineStr">
        <is>
          <t>emissao</t>
        </is>
      </c>
      <c r="I93" s="75" t="n">
        <v>542399</v>
      </c>
      <c r="J93" s="75" t="inlineStr">
        <is>
          <t>Oferta Pública de Distribuição de Cotas Aviso ao Mercado</t>
        </is>
      </c>
      <c r="K93" s="75" t="inlineStr">
        <is>
          <t>17/10/2023</t>
        </is>
      </c>
      <c r="L93" s="75" t="n">
        <v>1</v>
      </c>
      <c r="M93" s="75" t="inlineStr">
        <is>
          <t>encontrado_explicito</t>
        </is>
      </c>
      <c r="N93" s="75" t="b">
        <v>1</v>
      </c>
      <c r="O93" s="75" t="inlineStr">
        <is>
          <t>.cache/carteira_101_document_scan/50832746000130/542399.json.gz</t>
        </is>
      </c>
      <c r="P93" s="75" t="inlineStr">
        <is>
          <t>https://fnet.bmfbovespa.com.br/fnet/publico/downloadDocumento?id=542399</t>
        </is>
      </c>
      <c r="Q93" s="75" t="inlineStr">
        <is>
          <t>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t>
        </is>
      </c>
    </row>
    <row r="94" ht="40.5" customHeight="1">
      <c r="A94" s="138" t="n">
        <v>50832746000130</v>
      </c>
      <c r="B94" s="74" t="inlineStr">
        <is>
          <t>50.832.746/0001-30</t>
        </is>
      </c>
      <c r="C94" s="74" t="inlineStr">
        <is>
          <t>Cotas Seniores</t>
        </is>
      </c>
      <c r="D94" s="74" t="inlineStr">
        <is>
          <t>R$1.000,00</t>
        </is>
      </c>
      <c r="E94" s="139" t="n">
        <v>1000</v>
      </c>
      <c r="F94" s="74" t="inlineStr">
        <is>
          <t>valor nominal unitário (VNU)</t>
        </is>
      </c>
      <c r="G94" s="74" t="b">
        <v>0</v>
      </c>
      <c r="H94" s="74" t="inlineStr">
        <is>
          <t>emissao</t>
        </is>
      </c>
      <c r="I94" s="74" t="n">
        <v>622509</v>
      </c>
      <c r="J94" s="74" t="inlineStr">
        <is>
          <t>Oferta Pública de Distribuição de Cotas Anúncio de Encerramento</t>
        </is>
      </c>
      <c r="K94" s="74" t="inlineStr">
        <is>
          <t>18/03/2024</t>
        </is>
      </c>
      <c r="L94" s="74" t="n">
        <v>1</v>
      </c>
      <c r="M94" s="74" t="inlineStr">
        <is>
          <t>encontrado_explicito</t>
        </is>
      </c>
      <c r="N94" s="74" t="b">
        <v>1</v>
      </c>
      <c r="O94" s="74" t="inlineStr">
        <is>
          <t>.cache/carteira_101_document_scan/50832746000130/622509.json.gz</t>
        </is>
      </c>
      <c r="P94" s="74" t="inlineStr">
        <is>
          <t>https://fnet.bmfbovespa.com.br/fnet/publico/downloadDocumento?id=622509</t>
        </is>
      </c>
      <c r="Q94" s="74" t="inlineStr">
        <is>
          <t>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t>
        </is>
      </c>
    </row>
    <row r="95" ht="40.5" customHeight="1">
      <c r="A95" s="142" t="n">
        <v>50857998000113</v>
      </c>
      <c r="B95" s="75" t="inlineStr">
        <is>
          <t>50.857.998/0001-13</t>
        </is>
      </c>
      <c r="C95" s="75" t="inlineStr">
        <is>
          <t>Cotas Seniores</t>
        </is>
      </c>
      <c r="D95" s="75" t="inlineStr">
        <is>
          <t>R$1.000,00</t>
        </is>
      </c>
      <c r="E95" s="143" t="n">
        <v>1000</v>
      </c>
      <c r="F95" s="75" t="inlineStr">
        <is>
          <t>valor nominal unitário (VNU)</t>
        </is>
      </c>
      <c r="G95" s="75" t="b">
        <v>0</v>
      </c>
      <c r="H95" s="75" t="inlineStr">
        <is>
          <t>regulamento</t>
        </is>
      </c>
      <c r="I95" s="75" t="n">
        <v>910444</v>
      </c>
      <c r="J95" s="75" t="inlineStr">
        <is>
          <t>Regulamento</t>
        </is>
      </c>
      <c r="K95" s="75" t="inlineStr">
        <is>
          <t>22/05/2025</t>
        </is>
      </c>
      <c r="L95" s="75" t="n">
        <v>73</v>
      </c>
      <c r="M95" s="75" t="inlineStr">
        <is>
          <t>encontrado_explicito</t>
        </is>
      </c>
      <c r="N95" s="75" t="b">
        <v>1</v>
      </c>
      <c r="O95" s="75" t="inlineStr">
        <is>
          <t>.cache/carteira_101_document_scan/50857998000113/910444.json.gz</t>
        </is>
      </c>
      <c r="P95" s="75" t="inlineStr">
        <is>
          <t>https://fnet.bmfbovespa.com.br/fnet/publico/downloadDocumento?id=910444</t>
        </is>
      </c>
      <c r="Q95" s="75" t="inlineStr">
        <is>
          <t>),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t>
        </is>
      </c>
    </row>
    <row r="96" ht="40.5" customHeight="1">
      <c r="A96" s="138" t="n">
        <v>50857998000113</v>
      </c>
      <c r="B96" s="74" t="inlineStr">
        <is>
          <t>50.857.998/0001-13</t>
        </is>
      </c>
      <c r="C96" s="74" t="inlineStr">
        <is>
          <t>Cotas Seniores</t>
        </is>
      </c>
      <c r="D96" s="74" t="inlineStr">
        <is>
          <t>R$ 1.000,00</t>
        </is>
      </c>
      <c r="E96" s="139" t="n">
        <v>1000</v>
      </c>
      <c r="F96" s="74" t="inlineStr">
        <is>
          <t>preço/valor unitário de emissão</t>
        </is>
      </c>
      <c r="G96" s="74" t="b">
        <v>0</v>
      </c>
      <c r="H96" s="74" t="inlineStr">
        <is>
          <t>emissao</t>
        </is>
      </c>
      <c r="I96" s="74" t="n">
        <v>1019278</v>
      </c>
      <c r="J96" s="74" t="inlineStr">
        <is>
          <t>Oferta Pública de Distribuição de Cotas Aviso ao Mercado</t>
        </is>
      </c>
      <c r="K96" s="74" t="inlineStr">
        <is>
          <t>24/10/2025</t>
        </is>
      </c>
      <c r="L96" s="74" t="n">
        <v>1</v>
      </c>
      <c r="M96" s="74" t="inlineStr">
        <is>
          <t>encontrado_explicito</t>
        </is>
      </c>
      <c r="N96" s="74" t="b">
        <v>1</v>
      </c>
      <c r="O96" s="74" t="inlineStr">
        <is>
          <t>.cache/carteira_101_document_scan/50857998000113/1019278.json.gz</t>
        </is>
      </c>
      <c r="P96" s="74" t="inlineStr">
        <is>
          <t>https://fnet.bmfbovespa.com.br/fnet/publico/downloadDocumento?id=1019278</t>
        </is>
      </c>
      <c r="Q96" s="74" t="inlineStr">
        <is>
          <t>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t>
        </is>
      </c>
    </row>
    <row r="97" ht="40.5" customHeight="1">
      <c r="A97" s="142" t="n">
        <v>50988212000105</v>
      </c>
      <c r="B97" s="75" t="inlineStr">
        <is>
          <t>50.988.212/0001-05</t>
        </is>
      </c>
      <c r="C97" s="75" t="inlineStr">
        <is>
          <t>Cotas Seniores</t>
        </is>
      </c>
      <c r="D97" s="75" t="inlineStr">
        <is>
          <t>R$ 1.000,00</t>
        </is>
      </c>
      <c r="E97" s="143" t="n">
        <v>1000</v>
      </c>
      <c r="F97" s="75" t="inlineStr">
        <is>
          <t>valor nominal unitário (VNU)</t>
        </is>
      </c>
      <c r="G97" s="75" t="b">
        <v>0</v>
      </c>
      <c r="H97" s="75" t="inlineStr">
        <is>
          <t>emissao</t>
        </is>
      </c>
      <c r="I97" s="75" t="n">
        <v>532694</v>
      </c>
      <c r="J97" s="75" t="inlineStr">
        <is>
          <t>emissao</t>
        </is>
      </c>
      <c r="K97" s="75" t="inlineStr">
        <is>
          <t>2023-10-06</t>
        </is>
      </c>
      <c r="L97" s="75" t="n">
        <v>1</v>
      </c>
      <c r="M97" s="75" t="inlineStr">
        <is>
          <t>encontrado_explicito</t>
        </is>
      </c>
      <c r="N97" s="75" t="b">
        <v>1</v>
      </c>
      <c r="O97" s="75" t="inlineStr">
        <is>
          <t>data/raw/50988212000105/532694_emissao_emissao_532694_2023-10-06.pdf</t>
        </is>
      </c>
      <c r="P97" s="75" t="inlineStr">
        <is>
          <t>https://fnet.bmfbovespa.com.br/fnet/publico/downloadDocumento?id=532694</t>
        </is>
      </c>
      <c r="Q97" s="75" t="inlineStr">
        <is>
          <t>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t>
        </is>
      </c>
    </row>
    <row r="98" ht="40.5" customHeight="1">
      <c r="A98" s="138" t="n">
        <v>51554551000138</v>
      </c>
      <c r="B98" s="74" t="inlineStr">
        <is>
          <t>51.554.551/0001-38</t>
        </is>
      </c>
      <c r="C98" s="74" t="inlineStr">
        <is>
          <t>Cotas Subordinadas</t>
        </is>
      </c>
      <c r="D98" s="74" t="inlineStr">
        <is>
          <t>R$1.000,00</t>
        </is>
      </c>
      <c r="E98" s="139" t="n">
        <v>1000</v>
      </c>
      <c r="F98" s="74" t="inlineStr">
        <is>
          <t>preço/valor unitário de emissão</t>
        </is>
      </c>
      <c r="G98" s="74" t="b">
        <v>0</v>
      </c>
      <c r="H98" s="74" t="inlineStr">
        <is>
          <t>regulamento</t>
        </is>
      </c>
      <c r="I98" s="74" t="n">
        <v>1261911</v>
      </c>
      <c r="J98" s="74" t="inlineStr">
        <is>
          <t>Regulamento</t>
        </is>
      </c>
      <c r="K98" s="74" t="inlineStr">
        <is>
          <t>18/06/2026</t>
        </is>
      </c>
      <c r="L98" s="74" t="n">
        <v>96</v>
      </c>
      <c r="M98" s="74" t="inlineStr">
        <is>
          <t>encontrado_explicito</t>
        </is>
      </c>
      <c r="N98" s="74" t="b">
        <v>1</v>
      </c>
      <c r="O98" s="74" t="inlineStr">
        <is>
          <t>.cache/carteira_101_document_scan/51554551000138/1261911.json.gz</t>
        </is>
      </c>
      <c r="P98" s="74" t="inlineStr">
        <is>
          <t>https://fnet.bmfbovespa.com.br/fnet/publico/downloadDocumento?id=1261911</t>
        </is>
      </c>
      <c r="Q98" s="74"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99" ht="40.5" customHeight="1">
      <c r="A99" s="142" t="n">
        <v>51554551000138</v>
      </c>
      <c r="B99" s="75" t="inlineStr">
        <is>
          <t>51.554.551/0001-38</t>
        </is>
      </c>
      <c r="C99" s="75" t="inlineStr">
        <is>
          <t>Cotas Seniores</t>
        </is>
      </c>
      <c r="D99" s="75" t="inlineStr">
        <is>
          <t>R$1.000,00</t>
        </is>
      </c>
      <c r="E99" s="143" t="n">
        <v>1000</v>
      </c>
      <c r="F99" s="75" t="inlineStr">
        <is>
          <t>preço/valor unitário de emissão</t>
        </is>
      </c>
      <c r="G99" s="75" t="b">
        <v>0</v>
      </c>
      <c r="H99" s="75" t="inlineStr">
        <is>
          <t>emissao</t>
        </is>
      </c>
      <c r="I99" s="75" t="n">
        <v>1126481</v>
      </c>
      <c r="J99" s="75" t="inlineStr">
        <is>
          <t>Atos de Deliberação do Administrador Instrumento Particular de Emissão de Cotas</t>
        </is>
      </c>
      <c r="K99" s="75" t="inlineStr">
        <is>
          <t>23/02/2026</t>
        </is>
      </c>
      <c r="L99" s="75" t="n">
        <v>5</v>
      </c>
      <c r="M99" s="75" t="inlineStr">
        <is>
          <t>encontrado_explicito</t>
        </is>
      </c>
      <c r="N99" s="75" t="b">
        <v>1</v>
      </c>
      <c r="O99" s="75" t="inlineStr">
        <is>
          <t>.cache/carteira_101_document_scan/51554551000138/1126481.json.gz</t>
        </is>
      </c>
      <c r="P99" s="75" t="inlineStr">
        <is>
          <t>https://fnet.bmfbovespa.com.br/fnet/publico/downloadDocumento?id=1126481</t>
        </is>
      </c>
      <c r="Q99" s="75" t="inlineStr">
        <is>
          <t>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t>
        </is>
      </c>
    </row>
    <row r="100" ht="40.5" customHeight="1">
      <c r="A100" s="138" t="n">
        <v>51554551000138</v>
      </c>
      <c r="B100" s="74" t="inlineStr">
        <is>
          <t>51.554.551/0001-38</t>
        </is>
      </c>
      <c r="C100" s="74" t="inlineStr">
        <is>
          <t>Cotas Seniores</t>
        </is>
      </c>
      <c r="D100" s="74" t="inlineStr">
        <is>
          <t>R$1.000,00</t>
        </is>
      </c>
      <c r="E100" s="139" t="n">
        <v>1000</v>
      </c>
      <c r="F100" s="74" t="inlineStr">
        <is>
          <t>valor nominal unitário (VNU)</t>
        </is>
      </c>
      <c r="G100" s="74" t="b">
        <v>0</v>
      </c>
      <c r="H100" s="74" t="inlineStr">
        <is>
          <t>emissao</t>
        </is>
      </c>
      <c r="I100" s="74" t="n">
        <v>1020986</v>
      </c>
      <c r="J100" s="74" t="inlineStr">
        <is>
          <t>Oferta Pública de Distribuição de Cotas Anúncio de Início</t>
        </is>
      </c>
      <c r="K100" s="74" t="inlineStr">
        <is>
          <t>24/10/2025</t>
        </is>
      </c>
      <c r="L100" s="74" t="n">
        <v>2</v>
      </c>
      <c r="M100" s="74" t="inlineStr">
        <is>
          <t>encontrado_explicito</t>
        </is>
      </c>
      <c r="N100" s="74" t="b">
        <v>1</v>
      </c>
      <c r="O100" s="74" t="inlineStr">
        <is>
          <t>.cache/carteira_101_document_scan/51554551000138/1020986.json.gz</t>
        </is>
      </c>
      <c r="P100" s="74" t="inlineStr">
        <is>
          <t>https://fnet.bmfbovespa.com.br/fnet/publico/downloadDocumento?id=1020986</t>
        </is>
      </c>
      <c r="Q100" s="74" t="inlineStr">
        <is>
          <t>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t>
        </is>
      </c>
    </row>
    <row r="101" ht="40.5" customHeight="1">
      <c r="A101" s="142" t="n">
        <v>52100879000147</v>
      </c>
      <c r="B101" s="75" t="inlineStr">
        <is>
          <t>52.100.879/0001-47</t>
        </is>
      </c>
      <c r="C101" s="75" t="inlineStr">
        <is>
          <t>Cotas Subordinadas</t>
        </is>
      </c>
      <c r="D101" s="75" t="inlineStr">
        <is>
          <t>R$1.000,00</t>
        </is>
      </c>
      <c r="E101" s="143" t="n">
        <v>1000</v>
      </c>
      <c r="F101" s="75" t="inlineStr">
        <is>
          <t>preço/valor unitário de emissão</t>
        </is>
      </c>
      <c r="G101" s="75" t="b">
        <v>0</v>
      </c>
      <c r="H101" s="75" t="inlineStr">
        <is>
          <t>regulamento</t>
        </is>
      </c>
      <c r="I101" s="75" t="n">
        <v>740367</v>
      </c>
      <c r="J101" s="75" t="inlineStr">
        <is>
          <t>Regulamento</t>
        </is>
      </c>
      <c r="K101" s="75" t="inlineStr">
        <is>
          <t>17/09/2024</t>
        </is>
      </c>
      <c r="L101" s="75" t="n">
        <v>87</v>
      </c>
      <c r="M101" s="75" t="inlineStr">
        <is>
          <t>encontrado_explicito</t>
        </is>
      </c>
      <c r="N101" s="75" t="b">
        <v>1</v>
      </c>
      <c r="O101" s="75" t="inlineStr">
        <is>
          <t>.cache/carteira_101_document_scan/52100879000147/740367.json.gz</t>
        </is>
      </c>
      <c r="P101" s="75" t="inlineStr">
        <is>
          <t>https://fnet.bmfbovespa.com.br/fnet/publico/downloadDocumento?id=740367</t>
        </is>
      </c>
      <c r="Q10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t>
        </is>
      </c>
    </row>
    <row r="102" ht="40.5" customHeight="1">
      <c r="A102" s="138" t="n">
        <v>52100879000147</v>
      </c>
      <c r="B102" s="74" t="inlineStr">
        <is>
          <t>52.100.879/0001-47</t>
        </is>
      </c>
      <c r="C102" s="74" t="inlineStr">
        <is>
          <t>Cotas Subordinadas Júnior</t>
        </is>
      </c>
      <c r="D102" s="74" t="inlineStr">
        <is>
          <t>R$1.000,00</t>
        </is>
      </c>
      <c r="E102" s="139" t="n">
        <v>1000</v>
      </c>
      <c r="F102" s="74" t="inlineStr">
        <is>
          <t>preço/valor unitário de emissão</t>
        </is>
      </c>
      <c r="G102" s="74" t="b">
        <v>0</v>
      </c>
      <c r="H102" s="74" t="inlineStr">
        <is>
          <t>regulamento</t>
        </is>
      </c>
      <c r="I102" s="74" t="n">
        <v>740367</v>
      </c>
      <c r="J102" s="74" t="inlineStr">
        <is>
          <t>Regulamento</t>
        </is>
      </c>
      <c r="K102" s="74" t="inlineStr">
        <is>
          <t>17/09/2024</t>
        </is>
      </c>
      <c r="L102" s="74" t="n">
        <v>175</v>
      </c>
      <c r="M102" s="74" t="inlineStr">
        <is>
          <t>encontrado_explicito</t>
        </is>
      </c>
      <c r="N102" s="74" t="b">
        <v>1</v>
      </c>
      <c r="O102" s="74" t="inlineStr">
        <is>
          <t>.cache/carteira_101_document_scan/52100879000147/740367.json.gz</t>
        </is>
      </c>
      <c r="P102" s="74" t="inlineStr">
        <is>
          <t>https://fnet.bmfbovespa.com.br/fnet/publico/downloadDocumento?id=740367</t>
        </is>
      </c>
      <c r="Q102" s="74" t="inlineStr">
        <is>
          <t>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t>
        </is>
      </c>
    </row>
    <row r="103" ht="40.5" customHeight="1">
      <c r="A103" s="142" t="n">
        <v>52100879000147</v>
      </c>
      <c r="B103" s="75" t="inlineStr">
        <is>
          <t>52.100.879/0001-47</t>
        </is>
      </c>
      <c r="C103" s="75" t="inlineStr">
        <is>
          <t>Cotas Seniores</t>
        </is>
      </c>
      <c r="D103" s="75" t="inlineStr">
        <is>
          <t>R$ 1.000,00</t>
        </is>
      </c>
      <c r="E103" s="143" t="n">
        <v>1000</v>
      </c>
      <c r="F103" s="75" t="inlineStr">
        <is>
          <t>preço/valor unitário de emissão</t>
        </is>
      </c>
      <c r="G103" s="75" t="b">
        <v>0</v>
      </c>
      <c r="H103" s="75" t="inlineStr">
        <is>
          <t>emissao</t>
        </is>
      </c>
      <c r="I103" s="75" t="n">
        <v>529559</v>
      </c>
      <c r="J103" s="75" t="inlineStr">
        <is>
          <t>Oferta Pública de Distribuição de Cotas Anúncio de Início</t>
        </is>
      </c>
      <c r="K103" s="75" t="inlineStr">
        <is>
          <t>28/09/2023</t>
        </is>
      </c>
      <c r="L103" s="75" t="n">
        <v>1</v>
      </c>
      <c r="M103" s="75" t="inlineStr">
        <is>
          <t>encontrado_explicito</t>
        </is>
      </c>
      <c r="N103" s="75" t="b">
        <v>1</v>
      </c>
      <c r="O103" s="75" t="inlineStr">
        <is>
          <t>.cache/carteira_101_document_scan/52100879000147/529559.json.gz</t>
        </is>
      </c>
      <c r="P103" s="75" t="inlineStr">
        <is>
          <t>https://fnet.bmfbovespa.com.br/fnet/publico/downloadDocumento?id=529559</t>
        </is>
      </c>
      <c r="Q103" s="75" t="inlineStr">
        <is>
          <t>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t>
        </is>
      </c>
    </row>
    <row r="104" ht="40.5" customHeight="1">
      <c r="A104" s="138" t="n">
        <v>52271464000136</v>
      </c>
      <c r="B104" s="74" t="inlineStr">
        <is>
          <t>52.271.464/0001-36</t>
        </is>
      </c>
      <c r="C104" s="74" t="inlineStr">
        <is>
          <t>Cotas Seniores</t>
        </is>
      </c>
      <c r="D104" s="74" t="inlineStr">
        <is>
          <t>R$1</t>
        </is>
      </c>
      <c r="E104" s="139" t="n">
        <v>1</v>
      </c>
      <c r="F104" s="74" t="inlineStr">
        <is>
          <t>valor nominal unitário (VNU)</t>
        </is>
      </c>
      <c r="G104" s="74" t="b">
        <v>0</v>
      </c>
      <c r="H104" s="74" t="inlineStr">
        <is>
          <t>emissao</t>
        </is>
      </c>
      <c r="I104" s="74" t="n">
        <v>1022282</v>
      </c>
      <c r="J104" s="74" t="inlineStr">
        <is>
          <t>Oferta Pública de Distribuição de Cotas Anúncio de Início</t>
        </is>
      </c>
      <c r="K104" s="74" t="inlineStr">
        <is>
          <t>28/10/2025</t>
        </is>
      </c>
      <c r="L104" s="74" t="n">
        <v>1</v>
      </c>
      <c r="M104" s="74" t="inlineStr">
        <is>
          <t>encontrado_explicito</t>
        </is>
      </c>
      <c r="N104" s="74" t="b">
        <v>1</v>
      </c>
      <c r="O104" s="74" t="inlineStr">
        <is>
          <t>.cache/carteira_101_document_scan/52271464000136/1022282.json.gz</t>
        </is>
      </c>
      <c r="P104" s="74" t="inlineStr">
        <is>
          <t>https://fnet.bmfbovespa.com.br/fnet/publico/downloadDocumento?id=1022282</t>
        </is>
      </c>
      <c r="Q104" s="74" t="inlineStr">
        <is>
          <t>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t>
        </is>
      </c>
    </row>
    <row r="105" ht="40.5" customHeight="1">
      <c r="A105" s="142" t="n">
        <v>52271464000136</v>
      </c>
      <c r="B105" s="75" t="inlineStr">
        <is>
          <t>52.271.464/0001-36</t>
        </is>
      </c>
      <c r="C105" s="75" t="inlineStr">
        <is>
          <t>Cotas Seniores</t>
        </is>
      </c>
      <c r="D105" s="75" t="inlineStr">
        <is>
          <t>R$1.000,00</t>
        </is>
      </c>
      <c r="E105" s="143" t="n">
        <v>1000</v>
      </c>
      <c r="F105" s="75" t="inlineStr">
        <is>
          <t>valor nominal unitário (VNU)</t>
        </is>
      </c>
      <c r="G105" s="75" t="b">
        <v>0</v>
      </c>
      <c r="H105" s="75" t="inlineStr">
        <is>
          <t>emissao</t>
        </is>
      </c>
      <c r="I105" s="75" t="n">
        <v>1072777</v>
      </c>
      <c r="J105" s="75" t="inlineStr">
        <is>
          <t>Oferta Pública de Distribuição de Cotas Anúncio de Encerramento</t>
        </is>
      </c>
      <c r="K105" s="75" t="inlineStr">
        <is>
          <t>29/12/2025</t>
        </is>
      </c>
      <c r="L105" s="75" t="n">
        <v>1</v>
      </c>
      <c r="M105" s="75" t="inlineStr">
        <is>
          <t>encontrado_explicito</t>
        </is>
      </c>
      <c r="N105" s="75" t="b">
        <v>1</v>
      </c>
      <c r="O105" s="75" t="inlineStr">
        <is>
          <t>.cache/carteira_101_document_scan/52271464000136/1072777.json.gz</t>
        </is>
      </c>
      <c r="P105" s="75" t="inlineStr">
        <is>
          <t>https://fnet.bmfbovespa.com.br/fnet/publico/downloadDocumento?id=1072777</t>
        </is>
      </c>
      <c r="Q105" s="75" t="inlineStr">
        <is>
          <t>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t>
        </is>
      </c>
    </row>
    <row r="106" ht="40.5" customHeight="1">
      <c r="A106" s="138" t="n">
        <v>52340225000190</v>
      </c>
      <c r="B106" s="74" t="inlineStr">
        <is>
          <t>52.340.225/0001-90</t>
        </is>
      </c>
      <c r="C106" s="74" t="inlineStr">
        <is>
          <t>N/D</t>
        </is>
      </c>
      <c r="D106" s="74" t="inlineStr">
        <is>
          <t>R$ 1.000,00</t>
        </is>
      </c>
      <c r="E106" s="139" t="n">
        <v>1000</v>
      </c>
      <c r="F106" s="74" t="inlineStr">
        <is>
          <t>preço/valor unitário de emissão</t>
        </is>
      </c>
      <c r="G106" s="74" t="b">
        <v>1</v>
      </c>
      <c r="H106" s="74" t="inlineStr">
        <is>
          <t>rating_report</t>
        </is>
      </c>
      <c r="I106" s="74" t="n">
        <v>1010103</v>
      </c>
      <c r="J106" s="74" t="inlineStr">
        <is>
          <t>Relatórios Relatório de Agência de Rating</t>
        </is>
      </c>
      <c r="K106" s="74" t="inlineStr">
        <is>
          <t>30/09/2025</t>
        </is>
      </c>
      <c r="L106" s="74" t="n">
        <v>6</v>
      </c>
      <c r="M106" s="74" t="inlineStr">
        <is>
          <t>encontrado_explicito</t>
        </is>
      </c>
      <c r="N106" s="74" t="b">
        <v>1</v>
      </c>
      <c r="O106" s="74" t="inlineStr">
        <is>
          <t>.cache/carteira_101_document_scan/52340225000190/1010103.json.gz</t>
        </is>
      </c>
      <c r="P106" s="74" t="inlineStr">
        <is>
          <t>https://fnet.bmfbovespa.com.br/fnet/publico/downloadDocumento?id=1010103</t>
        </is>
      </c>
      <c r="Q106" s="74" t="inlineStr">
        <is>
          <t>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t>
        </is>
      </c>
    </row>
    <row r="107" ht="40.5" customHeight="1">
      <c r="A107" s="142" t="n">
        <v>52340225000190</v>
      </c>
      <c r="B107" s="75" t="inlineStr">
        <is>
          <t>52.340.225/0001-90</t>
        </is>
      </c>
      <c r="C107" s="75" t="inlineStr">
        <is>
          <t>Cotas Seniores</t>
        </is>
      </c>
      <c r="D107" s="75" t="inlineStr">
        <is>
          <t>R$ 1.000,00</t>
        </is>
      </c>
      <c r="E107" s="143" t="n">
        <v>1000</v>
      </c>
      <c r="F107" s="75" t="inlineStr">
        <is>
          <t>preço/valor unitário de emissão</t>
        </is>
      </c>
      <c r="G107" s="75" t="b">
        <v>0</v>
      </c>
      <c r="H107" s="75" t="inlineStr">
        <is>
          <t>emissao</t>
        </is>
      </c>
      <c r="I107" s="75" t="n">
        <v>1047378</v>
      </c>
      <c r="J107" s="75" t="inlineStr">
        <is>
          <t>emissao</t>
        </is>
      </c>
      <c r="K107" s="75" t="inlineStr">
        <is>
          <t>2025-11-17</t>
        </is>
      </c>
      <c r="L107" s="75" t="n">
        <v>1</v>
      </c>
      <c r="M107" s="75" t="inlineStr">
        <is>
          <t>encontrado_explicito</t>
        </is>
      </c>
      <c r="N107" s="75" t="b">
        <v>1</v>
      </c>
      <c r="O107" s="75" t="inlineStr">
        <is>
          <t>data/raw/52340225000190/1047378_emissao_emissao_1047378_2025-11-17.pdf</t>
        </is>
      </c>
      <c r="P107" s="75" t="inlineStr">
        <is>
          <t>https://fnet.bmfbovespa.com.br/fnet/publico/downloadDocumento?id=1047378</t>
        </is>
      </c>
      <c r="Q107" s="75" t="inlineStr">
        <is>
          <t>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t>
        </is>
      </c>
    </row>
    <row r="108" ht="40.5" customHeight="1">
      <c r="A108" s="138" t="n">
        <v>52340225000190</v>
      </c>
      <c r="B108" s="74" t="inlineStr">
        <is>
          <t>52.340.225/0001-90</t>
        </is>
      </c>
      <c r="C108" s="74" t="inlineStr">
        <is>
          <t>cotas subordinadas mezanino</t>
        </is>
      </c>
      <c r="D108" s="74" t="inlineStr">
        <is>
          <t>R$ 1.000,00</t>
        </is>
      </c>
      <c r="E108" s="139" t="n">
        <v>1000</v>
      </c>
      <c r="F108" s="74" t="inlineStr">
        <is>
          <t>preço/valor unitário de emissão</t>
        </is>
      </c>
      <c r="G108" s="74" t="b">
        <v>0</v>
      </c>
      <c r="H108" s="74" t="inlineStr">
        <is>
          <t>emissao</t>
        </is>
      </c>
      <c r="I108" s="74" t="n">
        <v>1047378</v>
      </c>
      <c r="J108" s="74" t="inlineStr">
        <is>
          <t>emissao</t>
        </is>
      </c>
      <c r="K108" s="74" t="inlineStr">
        <is>
          <t>2025-11-17</t>
        </is>
      </c>
      <c r="L108" s="74" t="n">
        <v>1</v>
      </c>
      <c r="M108" s="74" t="inlineStr">
        <is>
          <t>encontrado_explicito</t>
        </is>
      </c>
      <c r="N108" s="74" t="b">
        <v>1</v>
      </c>
      <c r="O108" s="74" t="inlineStr">
        <is>
          <t>data/raw/52340225000190/1047378_emissao_emissao_1047378_2025-11-17.pdf</t>
        </is>
      </c>
      <c r="P108" s="74" t="inlineStr">
        <is>
          <t>https://fnet.bmfbovespa.com.br/fnet/publico/downloadDocumento?id=1047378</t>
        </is>
      </c>
      <c r="Q108" s="74" t="inlineStr">
        <is>
          <t>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t>
        </is>
      </c>
    </row>
    <row r="109" ht="40.5" customHeight="1">
      <c r="A109" s="142" t="n">
        <v>52343195000176</v>
      </c>
      <c r="B109" s="75" t="inlineStr">
        <is>
          <t>52.343.195/0001-76</t>
        </is>
      </c>
      <c r="C109" s="75" t="inlineStr">
        <is>
          <t>Cotas Subordinadas</t>
        </is>
      </c>
      <c r="D109" s="75" t="inlineStr">
        <is>
          <t>R$ 1.000,00</t>
        </is>
      </c>
      <c r="E109" s="143" t="n">
        <v>1000</v>
      </c>
      <c r="F109" s="75" t="inlineStr">
        <is>
          <t>preço/valor unitário de emissão</t>
        </is>
      </c>
      <c r="G109" s="75" t="b">
        <v>0</v>
      </c>
      <c r="H109" s="75" t="inlineStr">
        <is>
          <t>regulamento</t>
        </is>
      </c>
      <c r="I109" s="75" t="n">
        <v>791944</v>
      </c>
      <c r="J109" s="75" t="inlineStr">
        <is>
          <t>Regulamento</t>
        </is>
      </c>
      <c r="K109" s="75" t="inlineStr">
        <is>
          <t>27/11/2024</t>
        </is>
      </c>
      <c r="L109" s="75" t="n">
        <v>68</v>
      </c>
      <c r="M109" s="75" t="inlineStr">
        <is>
          <t>encontrado_explicito</t>
        </is>
      </c>
      <c r="N109" s="75" t="b">
        <v>1</v>
      </c>
      <c r="O109" s="75" t="inlineStr">
        <is>
          <t>.cache/carteira_101_document_scan/52343195000176/791944.json.gz</t>
        </is>
      </c>
      <c r="P109" s="75" t="inlineStr">
        <is>
          <t>https://fnet.bmfbovespa.com.br/fnet/publico/downloadDocumento?id=791944</t>
        </is>
      </c>
      <c r="Q109" s="75" t="inlineStr">
        <is>
          <t>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t>
        </is>
      </c>
    </row>
    <row r="110" ht="40.5" customHeight="1">
      <c r="A110" s="138" t="n">
        <v>52343195000176</v>
      </c>
      <c r="B110" s="74" t="inlineStr">
        <is>
          <t>52.343.195/0001-76</t>
        </is>
      </c>
      <c r="C110" s="74" t="inlineStr">
        <is>
          <t>cotas seniores</t>
        </is>
      </c>
      <c r="D110" s="74" t="inlineStr">
        <is>
          <t>R$ 1.000,00</t>
        </is>
      </c>
      <c r="E110" s="139" t="n">
        <v>1000</v>
      </c>
      <c r="F110" s="74" t="inlineStr">
        <is>
          <t>preço/valor unitário de emissão</t>
        </is>
      </c>
      <c r="G110" s="74" t="b">
        <v>0</v>
      </c>
      <c r="H110" s="74" t="inlineStr">
        <is>
          <t>emissao</t>
        </is>
      </c>
      <c r="I110" s="74" t="n">
        <v>701245</v>
      </c>
      <c r="J110" s="74" t="inlineStr">
        <is>
          <t>Oferta Pública de Distribuição de Cotas Anúncio de Início</t>
        </is>
      </c>
      <c r="K110" s="74" t="inlineStr">
        <is>
          <t>18/07/2024</t>
        </is>
      </c>
      <c r="L110" s="74" t="n">
        <v>1</v>
      </c>
      <c r="M110" s="74" t="inlineStr">
        <is>
          <t>encontrado_explicito</t>
        </is>
      </c>
      <c r="N110" s="74" t="b">
        <v>1</v>
      </c>
      <c r="O110" s="74" t="inlineStr">
        <is>
          <t>.cache/carteira_101_document_scan/52343195000176/701245.json.gz</t>
        </is>
      </c>
      <c r="P110" s="74" t="inlineStr">
        <is>
          <t>https://fnet.bmfbovespa.com.br/fnet/publico/downloadDocumento?id=701245</t>
        </is>
      </c>
      <c r="Q110" s="74" t="inlineStr">
        <is>
          <t>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t>
        </is>
      </c>
    </row>
    <row r="111" ht="40.5" customHeight="1">
      <c r="A111" s="142" t="n">
        <v>52968533000165</v>
      </c>
      <c r="B111" s="75" t="inlineStr">
        <is>
          <t>52.968.533/0001-65</t>
        </is>
      </c>
      <c r="C111" s="75" t="inlineStr">
        <is>
          <t>Cotas Subordinadas</t>
        </is>
      </c>
      <c r="D111" s="75" t="inlineStr">
        <is>
          <t>R$1.000,00</t>
        </is>
      </c>
      <c r="E111" s="143" t="n">
        <v>1000</v>
      </c>
      <c r="F111" s="75" t="inlineStr">
        <is>
          <t>preço/valor unitário de emissão</t>
        </is>
      </c>
      <c r="G111" s="75" t="b">
        <v>0</v>
      </c>
      <c r="H111" s="75" t="inlineStr">
        <is>
          <t>regulamento</t>
        </is>
      </c>
      <c r="I111" s="75" t="n">
        <v>1049185</v>
      </c>
      <c r="J111" s="75" t="inlineStr">
        <is>
          <t>Regulamento</t>
        </is>
      </c>
      <c r="K111" s="75" t="inlineStr">
        <is>
          <t>14/10/2025</t>
        </is>
      </c>
      <c r="L111" s="75" t="n">
        <v>93</v>
      </c>
      <c r="M111" s="75" t="inlineStr">
        <is>
          <t>encontrado_explicito</t>
        </is>
      </c>
      <c r="N111" s="75" t="b">
        <v>1</v>
      </c>
      <c r="O111" s="75" t="inlineStr">
        <is>
          <t>.cache/carteira_101_document_scan/52968533000165/1049185.json.gz</t>
        </is>
      </c>
      <c r="P111" s="75" t="inlineStr">
        <is>
          <t>https://fnet.bmfbovespa.com.br/fnet/publico/downloadDocumento?id=1049185</t>
        </is>
      </c>
      <c r="Q11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112" ht="40.5" customHeight="1">
      <c r="A112" s="138" t="n">
        <v>52968533000165</v>
      </c>
      <c r="B112" s="74" t="inlineStr">
        <is>
          <t>52.968.533/0001-65</t>
        </is>
      </c>
      <c r="C112" s="74" t="inlineStr">
        <is>
          <t>Cotas Subordinadas Júnior</t>
        </is>
      </c>
      <c r="D112" s="74" t="inlineStr">
        <is>
          <t>R$1.000,00</t>
        </is>
      </c>
      <c r="E112" s="139" t="n">
        <v>1000</v>
      </c>
      <c r="F112" s="74" t="inlineStr">
        <is>
          <t>preço/valor unitário de emissão</t>
        </is>
      </c>
      <c r="G112" s="74" t="b">
        <v>0</v>
      </c>
      <c r="H112" s="74" t="inlineStr">
        <is>
          <t>regulamento</t>
        </is>
      </c>
      <c r="I112" s="74" t="n">
        <v>1049185</v>
      </c>
      <c r="J112" s="74" t="inlineStr">
        <is>
          <t>Regulamento</t>
        </is>
      </c>
      <c r="K112" s="74" t="inlineStr">
        <is>
          <t>14/10/2025</t>
        </is>
      </c>
      <c r="L112" s="74" t="n">
        <v>173</v>
      </c>
      <c r="M112" s="74" t="inlineStr">
        <is>
          <t>encontrado_explicito</t>
        </is>
      </c>
      <c r="N112" s="74" t="b">
        <v>1</v>
      </c>
      <c r="O112" s="74" t="inlineStr">
        <is>
          <t>.cache/carteira_101_document_scan/52968533000165/1049185.json.gz</t>
        </is>
      </c>
      <c r="P112" s="74" t="inlineStr">
        <is>
          <t>https://fnet.bmfbovespa.com.br/fnet/publico/downloadDocumento?id=1049185</t>
        </is>
      </c>
      <c r="Q112" s="74"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13" ht="40.5" customHeight="1">
      <c r="A113" s="142" t="n">
        <v>52968533000165</v>
      </c>
      <c r="B113" s="75" t="inlineStr">
        <is>
          <t>52.968.533/0001-65</t>
        </is>
      </c>
      <c r="C113" s="75" t="inlineStr">
        <is>
          <t>N/D</t>
        </is>
      </c>
      <c r="D113" s="75" t="inlineStr">
        <is>
          <t>R$1.000,00</t>
        </is>
      </c>
      <c r="E113" s="143" t="n">
        <v>1000</v>
      </c>
      <c r="F113" s="75" t="inlineStr">
        <is>
          <t>preço/valor unitário de emissão</t>
        </is>
      </c>
      <c r="G113" s="75" t="b">
        <v>1</v>
      </c>
      <c r="H113" s="75" t="inlineStr">
        <is>
          <t>regulamento</t>
        </is>
      </c>
      <c r="I113" s="75" t="n">
        <v>1049185</v>
      </c>
      <c r="J113" s="75" t="inlineStr">
        <is>
          <t>Regulamento</t>
        </is>
      </c>
      <c r="K113" s="75" t="inlineStr">
        <is>
          <t>14/10/2025</t>
        </is>
      </c>
      <c r="L113" s="75" t="n">
        <v>79</v>
      </c>
      <c r="M113" s="75" t="inlineStr">
        <is>
          <t>encontrado_explicito</t>
        </is>
      </c>
      <c r="N113" s="75" t="b">
        <v>1</v>
      </c>
      <c r="O113" s="75" t="inlineStr">
        <is>
          <t>.cache/carteira_101_document_scan/52968533000165/1049185.json.gz</t>
        </is>
      </c>
      <c r="P113" s="75" t="inlineStr">
        <is>
          <t>https://fnet.bmfbovespa.com.br/fnet/publico/downloadDocumento?id=1049185</t>
        </is>
      </c>
      <c r="Q113" s="75"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14" ht="40.5" customHeight="1">
      <c r="A114" s="138" t="n">
        <v>52968533000165</v>
      </c>
      <c r="B114" s="74" t="inlineStr">
        <is>
          <t>52.968.533/0001-65</t>
        </is>
      </c>
      <c r="C114" s="74" t="inlineStr">
        <is>
          <t>Cotas Seniores</t>
        </is>
      </c>
      <c r="D114" s="74" t="inlineStr">
        <is>
          <t>R$1.000,00</t>
        </is>
      </c>
      <c r="E114" s="139" t="n">
        <v>1000</v>
      </c>
      <c r="F114" s="74" t="inlineStr">
        <is>
          <t>valor nominal unitário (VNU)</t>
        </is>
      </c>
      <c r="G114" s="74" t="b">
        <v>0</v>
      </c>
      <c r="H114" s="74" t="inlineStr">
        <is>
          <t>emissao</t>
        </is>
      </c>
      <c r="I114" s="74" t="n">
        <v>586257</v>
      </c>
      <c r="J114" s="74" t="inlineStr">
        <is>
          <t>Oferta Pública de Distribuição de Cotas Anúncio de Encerramento</t>
        </is>
      </c>
      <c r="K114" s="74" t="inlineStr">
        <is>
          <t>16/01/2024</t>
        </is>
      </c>
      <c r="L114" s="74" t="n">
        <v>1</v>
      </c>
      <c r="M114" s="74" t="inlineStr">
        <is>
          <t>encontrado_explicito</t>
        </is>
      </c>
      <c r="N114" s="74" t="b">
        <v>1</v>
      </c>
      <c r="O114" s="74" t="inlineStr">
        <is>
          <t>.cache/carteira_101_document_scan/52968533000165/586257.json.gz</t>
        </is>
      </c>
      <c r="P114" s="74" t="inlineStr">
        <is>
          <t>https://fnet.bmfbovespa.com.br/fnet/publico/downloadDocumento?id=586257</t>
        </is>
      </c>
      <c r="Q114" s="74" t="inlineStr">
        <is>
          <t>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t>
        </is>
      </c>
    </row>
    <row r="115" ht="40.5" customHeight="1">
      <c r="A115" s="142" t="n">
        <v>53270983000142</v>
      </c>
      <c r="B115" s="75" t="inlineStr">
        <is>
          <t>53.270.983/0001-42</t>
        </is>
      </c>
      <c r="C115" s="75" t="inlineStr">
        <is>
          <t>Cotas Seniores</t>
        </is>
      </c>
      <c r="D115" s="75" t="inlineStr">
        <is>
          <t>R$ 1.000,00</t>
        </is>
      </c>
      <c r="E115" s="143" t="n">
        <v>1000</v>
      </c>
      <c r="F115" s="75" t="inlineStr">
        <is>
          <t>preço/valor unitário de emissão</t>
        </is>
      </c>
      <c r="G115" s="75" t="b">
        <v>0</v>
      </c>
      <c r="H115" s="75" t="inlineStr">
        <is>
          <t>regulamento</t>
        </is>
      </c>
      <c r="I115" s="75" t="n">
        <v>617093</v>
      </c>
      <c r="J115" s="75" t="inlineStr">
        <is>
          <t>Regulamento</t>
        </is>
      </c>
      <c r="K115" s="75" t="inlineStr">
        <is>
          <t>06/03/2024</t>
        </is>
      </c>
      <c r="L115" s="75" t="n">
        <v>76</v>
      </c>
      <c r="M115" s="75" t="inlineStr">
        <is>
          <t>encontrado_explicito</t>
        </is>
      </c>
      <c r="N115" s="75" t="b">
        <v>1</v>
      </c>
      <c r="O115" s="75" t="inlineStr">
        <is>
          <t>.cache/carteira_101_document_scan/53270983000142/617093.json.gz</t>
        </is>
      </c>
      <c r="P115" s="75" t="inlineStr">
        <is>
          <t>https://fnet.bmfbovespa.com.br/fnet/publico/downloadDocumento?id=617093</t>
        </is>
      </c>
      <c r="Q11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t>
        </is>
      </c>
    </row>
    <row r="116" ht="40.5" customHeight="1">
      <c r="A116" s="138" t="n">
        <v>53270983000142</v>
      </c>
      <c r="B116" s="74" t="inlineStr">
        <is>
          <t>53.270.983/0001-42</t>
        </is>
      </c>
      <c r="C116" s="74" t="inlineStr">
        <is>
          <t>Cotas Subordinadas Junior</t>
        </is>
      </c>
      <c r="D116" s="74" t="inlineStr">
        <is>
          <t>R$ 1.000,00</t>
        </is>
      </c>
      <c r="E116" s="139" t="n">
        <v>1000</v>
      </c>
      <c r="F116" s="74" t="inlineStr">
        <is>
          <t>preço/valor unitário de emissão</t>
        </is>
      </c>
      <c r="G116" s="74" t="b">
        <v>0</v>
      </c>
      <c r="H116" s="74" t="inlineStr">
        <is>
          <t>regulamento</t>
        </is>
      </c>
      <c r="I116" s="74" t="n">
        <v>617093</v>
      </c>
      <c r="J116" s="74" t="inlineStr">
        <is>
          <t>Regulamento</t>
        </is>
      </c>
      <c r="K116" s="74" t="inlineStr">
        <is>
          <t>06/03/2024</t>
        </is>
      </c>
      <c r="L116" s="74" t="n">
        <v>87</v>
      </c>
      <c r="M116" s="74" t="inlineStr">
        <is>
          <t>encontrado_explicito</t>
        </is>
      </c>
      <c r="N116" s="74" t="b">
        <v>1</v>
      </c>
      <c r="O116" s="74" t="inlineStr">
        <is>
          <t>.cache/carteira_101_document_scan/53270983000142/617093.json.gz</t>
        </is>
      </c>
      <c r="P116" s="74" t="inlineStr">
        <is>
          <t>https://fnet.bmfbovespa.com.br/fnet/publico/downloadDocumento?id=617093</t>
        </is>
      </c>
      <c r="Q11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17" ht="40.5" customHeight="1">
      <c r="A117" s="142" t="n">
        <v>53270983000142</v>
      </c>
      <c r="B117" s="75" t="inlineStr">
        <is>
          <t>53.270.983/0001-42</t>
        </is>
      </c>
      <c r="C117" s="75" t="inlineStr">
        <is>
          <t>Cotas Subordinadas Mezanino</t>
        </is>
      </c>
      <c r="D117" s="75" t="inlineStr">
        <is>
          <t>R$ 1.000,00</t>
        </is>
      </c>
      <c r="E117" s="143" t="n">
        <v>1000</v>
      </c>
      <c r="F117" s="75" t="inlineStr">
        <is>
          <t>preço/valor unitário de emissão</t>
        </is>
      </c>
      <c r="G117" s="75" t="b">
        <v>0</v>
      </c>
      <c r="H117" s="75" t="inlineStr">
        <is>
          <t>regulamento</t>
        </is>
      </c>
      <c r="I117" s="75" t="n">
        <v>617093</v>
      </c>
      <c r="J117" s="75" t="inlineStr">
        <is>
          <t>Regulamento</t>
        </is>
      </c>
      <c r="K117" s="75" t="inlineStr">
        <is>
          <t>06/03/2024</t>
        </is>
      </c>
      <c r="L117" s="75" t="n">
        <v>81</v>
      </c>
      <c r="M117" s="75" t="inlineStr">
        <is>
          <t>encontrado_explicito</t>
        </is>
      </c>
      <c r="N117" s="75" t="b">
        <v>1</v>
      </c>
      <c r="O117" s="75" t="inlineStr">
        <is>
          <t>.cache/carteira_101_document_scan/53270983000142/617093.json.gz</t>
        </is>
      </c>
      <c r="P117" s="75" t="inlineStr">
        <is>
          <t>https://fnet.bmfbovespa.com.br/fnet/publico/downloadDocumento?id=617093</t>
        </is>
      </c>
      <c r="Q117" s="75" t="inlineStr">
        <is>
          <t>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t>
        </is>
      </c>
    </row>
    <row r="118" ht="40.5" customHeight="1">
      <c r="A118" s="138" t="n">
        <v>53577135000180</v>
      </c>
      <c r="B118" s="74" t="inlineStr">
        <is>
          <t>53.577.135/0001-80</t>
        </is>
      </c>
      <c r="C118" s="74" t="inlineStr">
        <is>
          <t>Cotas Seniores</t>
        </is>
      </c>
      <c r="D118" s="74" t="inlineStr">
        <is>
          <t>R$ 1.000,00</t>
        </is>
      </c>
      <c r="E118" s="139" t="n">
        <v>1000</v>
      </c>
      <c r="F118" s="74" t="inlineStr">
        <is>
          <t>preço/valor unitário de emissão</t>
        </is>
      </c>
      <c r="G118" s="74" t="b">
        <v>0</v>
      </c>
      <c r="H118" s="74" t="inlineStr">
        <is>
          <t>regulamento</t>
        </is>
      </c>
      <c r="I118" s="74" t="n">
        <v>1224059</v>
      </c>
      <c r="J118" s="74" t="inlineStr">
        <is>
          <t>Regulamento</t>
        </is>
      </c>
      <c r="K118" s="74" t="inlineStr">
        <is>
          <t>18/06/2026</t>
        </is>
      </c>
      <c r="L118" s="74" t="n">
        <v>79</v>
      </c>
      <c r="M118" s="74" t="inlineStr">
        <is>
          <t>encontrado_explicito</t>
        </is>
      </c>
      <c r="N118" s="74" t="b">
        <v>1</v>
      </c>
      <c r="O118" s="74" t="inlineStr">
        <is>
          <t>.cache/carteira_101_document_scan/53577135000180/1224059.json.gz</t>
        </is>
      </c>
      <c r="P118" s="74" t="inlineStr">
        <is>
          <t>https://fnet.bmfbovespa.com.br/fnet/publico/downloadDocumento?id=1224059</t>
        </is>
      </c>
      <c r="Q118"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t>
        </is>
      </c>
    </row>
    <row r="119" ht="40.5" customHeight="1">
      <c r="A119" s="142" t="n">
        <v>53577135000180</v>
      </c>
      <c r="B119" s="75" t="inlineStr">
        <is>
          <t>53.577.135/0001-80</t>
        </is>
      </c>
      <c r="C119" s="75" t="inlineStr">
        <is>
          <t>Cotas Subordinadas Junior</t>
        </is>
      </c>
      <c r="D119" s="75" t="inlineStr">
        <is>
          <t>R$ 1.000,00</t>
        </is>
      </c>
      <c r="E119" s="143" t="n">
        <v>1000</v>
      </c>
      <c r="F119" s="75" t="inlineStr">
        <is>
          <t>preço/valor unitário de emissão</t>
        </is>
      </c>
      <c r="G119" s="75" t="b">
        <v>0</v>
      </c>
      <c r="H119" s="75" t="inlineStr">
        <is>
          <t>regulamento</t>
        </is>
      </c>
      <c r="I119" s="75" t="n">
        <v>1224059</v>
      </c>
      <c r="J119" s="75" t="inlineStr">
        <is>
          <t>Regulamento</t>
        </is>
      </c>
      <c r="K119" s="75" t="inlineStr">
        <is>
          <t>18/06/2026</t>
        </is>
      </c>
      <c r="L119" s="75" t="n">
        <v>91</v>
      </c>
      <c r="M119" s="75" t="inlineStr">
        <is>
          <t>encontrado_explicito</t>
        </is>
      </c>
      <c r="N119" s="75" t="b">
        <v>1</v>
      </c>
      <c r="O119" s="75" t="inlineStr">
        <is>
          <t>.cache/carteira_101_document_scan/53577135000180/1224059.json.gz</t>
        </is>
      </c>
      <c r="P119" s="75" t="inlineStr">
        <is>
          <t>https://fnet.bmfbovespa.com.br/fnet/publico/downloadDocumento?id=1224059</t>
        </is>
      </c>
      <c r="Q119" s="75"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20" ht="40.5" customHeight="1">
      <c r="A120" s="138" t="n">
        <v>53577135000180</v>
      </c>
      <c r="B120" s="74" t="inlineStr">
        <is>
          <t>53.577.135/0001-80</t>
        </is>
      </c>
      <c r="C120" s="74" t="inlineStr">
        <is>
          <t>Cotas Subordinadas Mezanino</t>
        </is>
      </c>
      <c r="D120" s="74" t="inlineStr">
        <is>
          <t>R$ 1.000,00</t>
        </is>
      </c>
      <c r="E120" s="139" t="n">
        <v>1000</v>
      </c>
      <c r="F120" s="74" t="inlineStr">
        <is>
          <t>preço/valor unitário de emissão</t>
        </is>
      </c>
      <c r="G120" s="74" t="b">
        <v>0</v>
      </c>
      <c r="H120" s="74" t="inlineStr">
        <is>
          <t>regulamento</t>
        </is>
      </c>
      <c r="I120" s="74" t="n">
        <v>1224059</v>
      </c>
      <c r="J120" s="74" t="inlineStr">
        <is>
          <t>Regulamento</t>
        </is>
      </c>
      <c r="K120" s="74" t="inlineStr">
        <is>
          <t>18/06/2026</t>
        </is>
      </c>
      <c r="L120" s="74" t="n">
        <v>85</v>
      </c>
      <c r="M120" s="74" t="inlineStr">
        <is>
          <t>encontrado_explicito</t>
        </is>
      </c>
      <c r="N120" s="74" t="b">
        <v>1</v>
      </c>
      <c r="O120" s="74" t="inlineStr">
        <is>
          <t>.cache/carteira_101_document_scan/53577135000180/1224059.json.gz</t>
        </is>
      </c>
      <c r="P120" s="74" t="inlineStr">
        <is>
          <t>https://fnet.bmfbovespa.com.br/fnet/publico/downloadDocumento?id=1224059</t>
        </is>
      </c>
      <c r="Q120" s="74" t="inlineStr">
        <is>
          <t>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t>
        </is>
      </c>
    </row>
    <row r="121" ht="40.5" customHeight="1">
      <c r="A121" s="142" t="n">
        <v>53662209000187</v>
      </c>
      <c r="B121" s="75" t="inlineStr">
        <is>
          <t>53.662.209/0001-87</t>
        </is>
      </c>
      <c r="C121" s="75" t="inlineStr">
        <is>
          <t>Cotas Subordinadas Junior</t>
        </is>
      </c>
      <c r="D121" s="75" t="inlineStr">
        <is>
          <t>R$ 1.000,00</t>
        </is>
      </c>
      <c r="E121" s="143" t="n">
        <v>1000</v>
      </c>
      <c r="F121" s="75" t="inlineStr">
        <is>
          <t>preço/valor unitário de emissão</t>
        </is>
      </c>
      <c r="G121" s="75" t="b">
        <v>0</v>
      </c>
      <c r="H121" s="75" t="inlineStr">
        <is>
          <t>regulamento</t>
        </is>
      </c>
      <c r="I121" s="75" t="n">
        <v>1239751</v>
      </c>
      <c r="J121" s="75" t="inlineStr">
        <is>
          <t>Regulamento</t>
        </is>
      </c>
      <c r="K121" s="75" t="inlineStr">
        <is>
          <t>30/06/2026</t>
        </is>
      </c>
      <c r="L121" s="75" t="n">
        <v>82</v>
      </c>
      <c r="M121" s="75" t="inlineStr">
        <is>
          <t>encontrado_explicito</t>
        </is>
      </c>
      <c r="N121" s="75" t="b">
        <v>1</v>
      </c>
      <c r="O121" s="75" t="inlineStr">
        <is>
          <t>.cache/carteira_101_document_scan/53662209000187/1239751.json.gz</t>
        </is>
      </c>
      <c r="P121" s="75" t="inlineStr">
        <is>
          <t>https://fnet.bmfbovespa.com.br/fnet/publico/downloadDocumento?id=1239751</t>
        </is>
      </c>
      <c r="Q121" s="75" t="inlineStr">
        <is>
          <t>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t>
        </is>
      </c>
    </row>
    <row r="122" ht="40.5" customHeight="1">
      <c r="A122" s="138" t="n">
        <v>53662209000187</v>
      </c>
      <c r="B122" s="74" t="inlineStr">
        <is>
          <t>53.662.209/0001-87</t>
        </is>
      </c>
      <c r="C122" s="74" t="inlineStr">
        <is>
          <t>Cotas Subordinadas Mezanino</t>
        </is>
      </c>
      <c r="D122" s="74" t="inlineStr">
        <is>
          <t>R$ 1.000,00</t>
        </is>
      </c>
      <c r="E122" s="139" t="n">
        <v>1000</v>
      </c>
      <c r="F122" s="74" t="inlineStr">
        <is>
          <t>preço/valor unitário de emissão</t>
        </is>
      </c>
      <c r="G122" s="74" t="b">
        <v>0</v>
      </c>
      <c r="H122" s="74" t="inlineStr">
        <is>
          <t>regulamento</t>
        </is>
      </c>
      <c r="I122" s="74" t="n">
        <v>1239751</v>
      </c>
      <c r="J122" s="74" t="inlineStr">
        <is>
          <t>Regulamento</t>
        </is>
      </c>
      <c r="K122" s="74" t="inlineStr">
        <is>
          <t>30/06/2026</t>
        </is>
      </c>
      <c r="L122" s="74" t="n">
        <v>75</v>
      </c>
      <c r="M122" s="74" t="inlineStr">
        <is>
          <t>encontrado_explicito</t>
        </is>
      </c>
      <c r="N122" s="74" t="b">
        <v>1</v>
      </c>
      <c r="O122" s="74" t="inlineStr">
        <is>
          <t>.cache/carteira_101_document_scan/53662209000187/1239751.json.gz</t>
        </is>
      </c>
      <c r="P122" s="74" t="inlineStr">
        <is>
          <t>https://fnet.bmfbovespa.com.br/fnet/publico/downloadDocumento?id=1239751</t>
        </is>
      </c>
      <c r="Q122" s="74" t="inlineStr">
        <is>
          <t>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t>
        </is>
      </c>
    </row>
    <row r="123" ht="40.5" customHeight="1">
      <c r="A123" s="142" t="n">
        <v>53662209000187</v>
      </c>
      <c r="B123" s="75" t="inlineStr">
        <is>
          <t>53.662.209/0001-87</t>
        </is>
      </c>
      <c r="C123" s="75" t="inlineStr">
        <is>
          <t>Série Cotas Seniores</t>
        </is>
      </c>
      <c r="D123" s="75" t="inlineStr">
        <is>
          <t>R$ 1.000,00</t>
        </is>
      </c>
      <c r="E123" s="143" t="n">
        <v>1000</v>
      </c>
      <c r="F123" s="75" t="inlineStr">
        <is>
          <t>preço/valor unitário de emissão</t>
        </is>
      </c>
      <c r="G123" s="75" t="b">
        <v>0</v>
      </c>
      <c r="H123" s="75" t="inlineStr">
        <is>
          <t>regulamento</t>
        </is>
      </c>
      <c r="I123" s="75" t="n">
        <v>1239751</v>
      </c>
      <c r="J123" s="75" t="inlineStr">
        <is>
          <t>Regulamento</t>
        </is>
      </c>
      <c r="K123" s="75" t="inlineStr">
        <is>
          <t>30/06/2026</t>
        </is>
      </c>
      <c r="L123" s="75" t="n">
        <v>73</v>
      </c>
      <c r="M123" s="75" t="inlineStr">
        <is>
          <t>encontrado_explicito</t>
        </is>
      </c>
      <c r="N123" s="75" t="b">
        <v>1</v>
      </c>
      <c r="O123" s="75" t="inlineStr">
        <is>
          <t>.cache/carteira_101_document_scan/53662209000187/1239751.json.gz</t>
        </is>
      </c>
      <c r="P123" s="75" t="inlineStr">
        <is>
          <t>https://fnet.bmfbovespa.com.br/fnet/publico/downloadDocumento?id=1239751</t>
        </is>
      </c>
      <c r="Q123" s="75" t="inlineStr">
        <is>
          <t>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t>
        </is>
      </c>
    </row>
    <row r="124" ht="40.5" customHeight="1">
      <c r="A124" s="138" t="n">
        <v>53662209000187</v>
      </c>
      <c r="B124" s="74" t="inlineStr">
        <is>
          <t>53.662.209/0001-87</t>
        </is>
      </c>
      <c r="C124" s="74" t="inlineStr">
        <is>
          <t>cotas seniores</t>
        </is>
      </c>
      <c r="D124" s="74" t="inlineStr">
        <is>
          <t>R$ 1.000,00</t>
        </is>
      </c>
      <c r="E124" s="139" t="n">
        <v>1000</v>
      </c>
      <c r="F124" s="74" t="inlineStr">
        <is>
          <t>valor nominal unitário (VNU)</t>
        </is>
      </c>
      <c r="G124" s="74" t="b">
        <v>0</v>
      </c>
      <c r="H124" s="74" t="inlineStr">
        <is>
          <t>emissao</t>
        </is>
      </c>
      <c r="I124" s="74" t="n">
        <v>924981</v>
      </c>
      <c r="J124" s="74" t="inlineStr">
        <is>
          <t>Oferta Pública de Distribuição de Cotas Anúncio de Encerramento</t>
        </is>
      </c>
      <c r="K124" s="74" t="inlineStr">
        <is>
          <t>13/06/2025</t>
        </is>
      </c>
      <c r="L124" s="74" t="n">
        <v>1</v>
      </c>
      <c r="M124" s="74" t="inlineStr">
        <is>
          <t>encontrado_explicito</t>
        </is>
      </c>
      <c r="N124" s="74" t="b">
        <v>1</v>
      </c>
      <c r="O124" s="74" t="inlineStr">
        <is>
          <t>.cache/carteira_101_document_scan/53662209000187/924981.json.gz</t>
        </is>
      </c>
      <c r="P124" s="74" t="inlineStr">
        <is>
          <t>https://fnet.bmfbovespa.com.br/fnet/publico/downloadDocumento?id=924981</t>
        </is>
      </c>
      <c r="Q124" s="74" t="inlineStr">
        <is>
          <t>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t>
        </is>
      </c>
    </row>
    <row r="125" ht="40.5" customHeight="1">
      <c r="A125" s="142" t="n">
        <v>53662209000187</v>
      </c>
      <c r="B125" s="75" t="inlineStr">
        <is>
          <t>53.662.209/0001-87</t>
        </is>
      </c>
      <c r="C125" s="75" t="inlineStr">
        <is>
          <t>cotas subordinadas mezanino</t>
        </is>
      </c>
      <c r="D125" s="75" t="inlineStr">
        <is>
          <t>R$ 1.000,00</t>
        </is>
      </c>
      <c r="E125" s="143" t="n">
        <v>1000</v>
      </c>
      <c r="F125" s="75" t="inlineStr">
        <is>
          <t>valor nominal unitário (VNU)</t>
        </is>
      </c>
      <c r="G125" s="75" t="b">
        <v>0</v>
      </c>
      <c r="H125" s="75" t="inlineStr">
        <is>
          <t>emissao</t>
        </is>
      </c>
      <c r="I125" s="75" t="n">
        <v>924981</v>
      </c>
      <c r="J125" s="75" t="inlineStr">
        <is>
          <t>Oferta Pública de Distribuição de Cotas Anúncio de Encerramento</t>
        </is>
      </c>
      <c r="K125" s="75" t="inlineStr">
        <is>
          <t>13/06/2025</t>
        </is>
      </c>
      <c r="L125" s="75" t="n">
        <v>1</v>
      </c>
      <c r="M125" s="75" t="inlineStr">
        <is>
          <t>encontrado_explicito</t>
        </is>
      </c>
      <c r="N125" s="75" t="b">
        <v>1</v>
      </c>
      <c r="O125" s="75" t="inlineStr">
        <is>
          <t>.cache/carteira_101_document_scan/53662209000187/924981.json.gz</t>
        </is>
      </c>
      <c r="P125" s="75" t="inlineStr">
        <is>
          <t>https://fnet.bmfbovespa.com.br/fnet/publico/downloadDocumento?id=924981</t>
        </is>
      </c>
      <c r="Q125" s="75" t="inlineStr">
        <is>
          <t>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t>
        </is>
      </c>
    </row>
    <row r="126" ht="40.5" customHeight="1">
      <c r="A126" s="138" t="n">
        <v>54252144000164</v>
      </c>
      <c r="B126" s="74" t="inlineStr">
        <is>
          <t>54.252.144/0001-64</t>
        </is>
      </c>
      <c r="C126" s="74" t="inlineStr">
        <is>
          <t>Cotas Seniores</t>
        </is>
      </c>
      <c r="D126" s="74" t="inlineStr">
        <is>
          <t>R$ 1.000,00</t>
        </is>
      </c>
      <c r="E126" s="139" t="n">
        <v>1000</v>
      </c>
      <c r="F126" s="74" t="inlineStr">
        <is>
          <t>preço/valor unitário de emissão</t>
        </is>
      </c>
      <c r="G126" s="74" t="b">
        <v>0</v>
      </c>
      <c r="H126" s="74" t="inlineStr">
        <is>
          <t>regulamento</t>
        </is>
      </c>
      <c r="I126" s="74" t="n">
        <v>1072289</v>
      </c>
      <c r="J126" s="74" t="inlineStr">
        <is>
          <t>regulamento</t>
        </is>
      </c>
      <c r="K126" s="74" t="inlineStr">
        <is>
          <t>2025-12-29</t>
        </is>
      </c>
      <c r="L126" s="74" t="n">
        <v>155</v>
      </c>
      <c r="M126" s="74" t="inlineStr">
        <is>
          <t>encontrado_explicito</t>
        </is>
      </c>
      <c r="N126" s="74" t="b">
        <v>1</v>
      </c>
      <c r="O126" s="74" t="inlineStr">
        <is>
          <t>data/raw/54252144000164/1072289_regulamento_regulamento_1072289_2025-12-29.pdf</t>
        </is>
      </c>
      <c r="P126" s="74" t="inlineStr">
        <is>
          <t>https://fnet.bmfbovespa.com.br/fnet/publico/downloadDocumento?id=1072289</t>
        </is>
      </c>
      <c r="Q126" s="74" t="inlineStr">
        <is>
          <t>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t>
        </is>
      </c>
    </row>
    <row r="127" ht="40.5" customHeight="1">
      <c r="A127" s="142" t="n">
        <v>54252144000164</v>
      </c>
      <c r="B127" s="75" t="inlineStr">
        <is>
          <t>54.252.144/0001-64</t>
        </is>
      </c>
      <c r="C127" s="75" t="inlineStr">
        <is>
          <t>Cotas Subordinadas Júnior</t>
        </is>
      </c>
      <c r="D127" s="75" t="inlineStr">
        <is>
          <t>R$ 1.000,00</t>
        </is>
      </c>
      <c r="E127" s="143" t="n">
        <v>1000</v>
      </c>
      <c r="F127" s="75" t="inlineStr">
        <is>
          <t>preço/valor unitário de emissão</t>
        </is>
      </c>
      <c r="G127" s="75" t="b">
        <v>0</v>
      </c>
      <c r="H127" s="75" t="inlineStr">
        <is>
          <t>regulamento</t>
        </is>
      </c>
      <c r="I127" s="75" t="n">
        <v>1072289</v>
      </c>
      <c r="J127" s="75" t="inlineStr">
        <is>
          <t>regulamento</t>
        </is>
      </c>
      <c r="K127" s="75" t="inlineStr">
        <is>
          <t>2025-12-29</t>
        </is>
      </c>
      <c r="L127" s="75" t="n">
        <v>183</v>
      </c>
      <c r="M127" s="75" t="inlineStr">
        <is>
          <t>encontrado_explicito</t>
        </is>
      </c>
      <c r="N127" s="75" t="b">
        <v>1</v>
      </c>
      <c r="O127" s="75" t="inlineStr">
        <is>
          <t>data/raw/54252144000164/1072289_regulamento_regulamento_1072289_2025-12-29.pdf</t>
        </is>
      </c>
      <c r="P127" s="75" t="inlineStr">
        <is>
          <t>https://fnet.bmfbovespa.com.br/fnet/publico/downloadDocumento?id=1072289</t>
        </is>
      </c>
      <c r="Q127" s="75" t="inlineStr">
        <is>
          <t>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t>
        </is>
      </c>
    </row>
    <row r="128" ht="40.5" customHeight="1">
      <c r="A128" s="138" t="n">
        <v>54252144000164</v>
      </c>
      <c r="B128" s="74" t="inlineStr">
        <is>
          <t>54.252.144/0001-64</t>
        </is>
      </c>
      <c r="C128" s="74" t="inlineStr">
        <is>
          <t>Cotas Subordinadas Mezanino</t>
        </is>
      </c>
      <c r="D128" s="74" t="inlineStr">
        <is>
          <t>R$1.000,00</t>
        </is>
      </c>
      <c r="E128" s="139" t="n">
        <v>1000</v>
      </c>
      <c r="F128" s="74" t="inlineStr">
        <is>
          <t>preço/valor unitário de emissão</t>
        </is>
      </c>
      <c r="G128" s="74" t="b">
        <v>0</v>
      </c>
      <c r="H128" s="74" t="inlineStr">
        <is>
          <t>regulamento</t>
        </is>
      </c>
      <c r="I128" s="74" t="n">
        <v>1072289</v>
      </c>
      <c r="J128" s="74" t="inlineStr">
        <is>
          <t>regulamento</t>
        </is>
      </c>
      <c r="K128" s="74" t="inlineStr">
        <is>
          <t>2025-12-29</t>
        </is>
      </c>
      <c r="L128" s="74" t="n">
        <v>82</v>
      </c>
      <c r="M128" s="74" t="inlineStr">
        <is>
          <t>encontrado_explicito</t>
        </is>
      </c>
      <c r="N128" s="74" t="b">
        <v>1</v>
      </c>
      <c r="O128" s="74" t="inlineStr">
        <is>
          <t>data/raw/54252144000164/1072289_regulamento_regulamento_1072289_2025-12-29.pdf</t>
        </is>
      </c>
      <c r="P128" s="74" t="inlineStr">
        <is>
          <t>https://fnet.bmfbovespa.com.br/fnet/publico/downloadDocumento?id=1072289</t>
        </is>
      </c>
      <c r="Q128" s="74" t="inlineStr">
        <is>
          <t>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t>
        </is>
      </c>
    </row>
    <row r="129" ht="40.5" customHeight="1">
      <c r="A129" s="142" t="n">
        <v>54464892000100</v>
      </c>
      <c r="B129" s="75" t="inlineStr">
        <is>
          <t>54.464.892/0001-00</t>
        </is>
      </c>
      <c r="C129" s="75" t="inlineStr">
        <is>
          <t>Cotas Subordinadas Mezanino</t>
        </is>
      </c>
      <c r="D129" s="75" t="inlineStr">
        <is>
          <t>R$ 1.000,00</t>
        </is>
      </c>
      <c r="E129" s="143" t="n">
        <v>1000</v>
      </c>
      <c r="F129" s="75" t="inlineStr">
        <is>
          <t>valor nominal unitário (VNU)</t>
        </is>
      </c>
      <c r="G129" s="75" t="b">
        <v>0</v>
      </c>
      <c r="H129" s="75" t="inlineStr">
        <is>
          <t>regulamento</t>
        </is>
      </c>
      <c r="I129" s="75" t="n">
        <v>1033290</v>
      </c>
      <c r="J129" s="75" t="inlineStr">
        <is>
          <t>Atos de Deliberação do Administrador Instrumento Particular de Alteração do Regulamento</t>
        </is>
      </c>
      <c r="K129" s="75" t="inlineStr">
        <is>
          <t>10/11/2025</t>
        </is>
      </c>
      <c r="L129" s="75" t="n">
        <v>1</v>
      </c>
      <c r="M129" s="75" t="inlineStr">
        <is>
          <t>encontrado_explicito</t>
        </is>
      </c>
      <c r="N129" s="75" t="b">
        <v>1</v>
      </c>
      <c r="O129" s="75" t="inlineStr">
        <is>
          <t>.cache/carteira_101_document_scan/54464892000100/1033290.json.gz</t>
        </is>
      </c>
      <c r="P129" s="75" t="inlineStr">
        <is>
          <t>https://fnet.bmfbovespa.com.br/fnet/publico/downloadDocumento?id=1033290</t>
        </is>
      </c>
      <c r="Q129" s="75" t="inlineStr">
        <is>
          <t>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t>
        </is>
      </c>
    </row>
    <row r="130" ht="40.5" customHeight="1">
      <c r="A130" s="138" t="n">
        <v>54559035000194</v>
      </c>
      <c r="B130" s="74" t="inlineStr">
        <is>
          <t>54.559.035/0001-94</t>
        </is>
      </c>
      <c r="C130" s="74" t="inlineStr">
        <is>
          <t>Cotas Seniores</t>
        </is>
      </c>
      <c r="D130" s="74" t="inlineStr">
        <is>
          <t>R$ 1,00</t>
        </is>
      </c>
      <c r="E130" s="139" t="n">
        <v>1</v>
      </c>
      <c r="F130" s="74" t="inlineStr">
        <is>
          <t>preço/valor unitário de emissão</t>
        </is>
      </c>
      <c r="G130" s="74" t="b">
        <v>0</v>
      </c>
      <c r="H130" s="74" t="inlineStr">
        <is>
          <t>regulamento</t>
        </is>
      </c>
      <c r="I130" s="74" t="n">
        <v>634437</v>
      </c>
      <c r="J130" s="74" t="inlineStr">
        <is>
          <t>regulamento</t>
        </is>
      </c>
      <c r="K130" s="74" t="inlineStr">
        <is>
          <t>2024-04-05</t>
        </is>
      </c>
      <c r="L130" s="74" t="n">
        <v>126</v>
      </c>
      <c r="M130" s="74" t="inlineStr">
        <is>
          <t>encontrado_explicito</t>
        </is>
      </c>
      <c r="N130" s="74" t="b">
        <v>1</v>
      </c>
      <c r="O130" s="74" t="inlineStr">
        <is>
          <t>data/raw/54559035000194/634437_regulamento_regulamento_634437_2024-04-05.pdf</t>
        </is>
      </c>
      <c r="P130" s="74" t="inlineStr">
        <is>
          <t>https://fnet.bmfbovespa.com.br/fnet/publico/downloadDocumento?id=634437</t>
        </is>
      </c>
      <c r="Q130" s="74" t="inlineStr">
        <is>
          <t>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t>
        </is>
      </c>
    </row>
    <row r="131" ht="40.5" customHeight="1">
      <c r="A131" s="142" t="n">
        <v>54559035000194</v>
      </c>
      <c r="B131" s="75" t="inlineStr">
        <is>
          <t>54.559.035/0001-94</t>
        </is>
      </c>
      <c r="C131" s="75" t="inlineStr">
        <is>
          <t>Cotas Subordinadas</t>
        </is>
      </c>
      <c r="D131" s="75" t="inlineStr">
        <is>
          <t>R$1,00</t>
        </is>
      </c>
      <c r="E131" s="143" t="n">
        <v>1</v>
      </c>
      <c r="F131" s="75" t="inlineStr">
        <is>
          <t>preço/valor unitário de emissão</t>
        </is>
      </c>
      <c r="G131" s="75" t="b">
        <v>0</v>
      </c>
      <c r="H131" s="75" t="inlineStr">
        <is>
          <t>regulamento</t>
        </is>
      </c>
      <c r="I131" s="75" t="n">
        <v>634437</v>
      </c>
      <c r="J131" s="75" t="inlineStr">
        <is>
          <t>regulamento</t>
        </is>
      </c>
      <c r="K131" s="75" t="inlineStr">
        <is>
          <t>2024-04-05</t>
        </is>
      </c>
      <c r="L131" s="75" t="n">
        <v>63</v>
      </c>
      <c r="M131" s="75" t="inlineStr">
        <is>
          <t>encontrado_explicito</t>
        </is>
      </c>
      <c r="N131" s="75" t="b">
        <v>1</v>
      </c>
      <c r="O131" s="75" t="inlineStr">
        <is>
          <t>data/raw/54559035000194/634437_regulamento_regulamento_634437_2024-04-05.pdf</t>
        </is>
      </c>
      <c r="P131" s="75" t="inlineStr">
        <is>
          <t>https://fnet.bmfbovespa.com.br/fnet/publico/downloadDocumento?id=634437</t>
        </is>
      </c>
      <c r="Q131" s="75" t="inlineStr">
        <is>
          <t>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t>
        </is>
      </c>
    </row>
    <row r="132" ht="40.5" customHeight="1">
      <c r="A132" s="138" t="n">
        <v>54559035000194</v>
      </c>
      <c r="B132" s="74" t="inlineStr">
        <is>
          <t>54.559.035/0001-94</t>
        </is>
      </c>
      <c r="C132" s="74" t="inlineStr">
        <is>
          <t>N/D</t>
        </is>
      </c>
      <c r="D132" s="74" t="inlineStr">
        <is>
          <t>R$ 1,00</t>
        </is>
      </c>
      <c r="E132" s="139" t="n">
        <v>1</v>
      </c>
      <c r="F132" s="74" t="inlineStr">
        <is>
          <t>valor nominal unitário (VNU)</t>
        </is>
      </c>
      <c r="G132" s="74" t="b">
        <v>1</v>
      </c>
      <c r="H132" s="74" t="inlineStr">
        <is>
          <t>regulamento</t>
        </is>
      </c>
      <c r="I132" s="74" t="n">
        <v>634437</v>
      </c>
      <c r="J132" s="74" t="inlineStr">
        <is>
          <t>regulamento</t>
        </is>
      </c>
      <c r="K132" s="74" t="inlineStr">
        <is>
          <t>2024-04-05</t>
        </is>
      </c>
      <c r="L132" s="74" t="n">
        <v>1</v>
      </c>
      <c r="M132" s="74" t="inlineStr">
        <is>
          <t>encontrado_explicito</t>
        </is>
      </c>
      <c r="N132" s="74" t="b">
        <v>1</v>
      </c>
      <c r="O132" s="74" t="inlineStr">
        <is>
          <t>data/raw/54559035000194/634437_regulamento_regulamento_634437_2024-04-05.pdf</t>
        </is>
      </c>
      <c r="P132" s="74" t="inlineStr">
        <is>
          <t>https://fnet.bmfbovespa.com.br/fnet/publico/downloadDocumento?id=634437</t>
        </is>
      </c>
      <c r="Q132" s="74" t="inlineStr">
        <is>
          <t>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t>
        </is>
      </c>
    </row>
    <row r="133" ht="40.5" customHeight="1">
      <c r="A133" s="142" t="n">
        <v>54559035000194</v>
      </c>
      <c r="B133" s="75" t="inlineStr">
        <is>
          <t>54.559.035/0001-94</t>
        </is>
      </c>
      <c r="C133" s="75" t="inlineStr">
        <is>
          <t>cotas subordinadas júnior</t>
        </is>
      </c>
      <c r="D133" s="75" t="inlineStr">
        <is>
          <t>R$ 1,00</t>
        </is>
      </c>
      <c r="E133" s="143" t="n">
        <v>1</v>
      </c>
      <c r="F133" s="75" t="inlineStr">
        <is>
          <t>valor nominal unitário (VNU)</t>
        </is>
      </c>
      <c r="G133" s="75" t="b">
        <v>0</v>
      </c>
      <c r="H133" s="75" t="inlineStr">
        <is>
          <t>regulamento</t>
        </is>
      </c>
      <c r="I133" s="75" t="n">
        <v>634437</v>
      </c>
      <c r="J133" s="75" t="inlineStr">
        <is>
          <t>regulamento</t>
        </is>
      </c>
      <c r="K133" s="75" t="inlineStr">
        <is>
          <t>2024-04-05</t>
        </is>
      </c>
      <c r="L133" s="75" t="n">
        <v>1</v>
      </c>
      <c r="M133" s="75" t="inlineStr">
        <is>
          <t>encontrado_explicito</t>
        </is>
      </c>
      <c r="N133" s="75" t="b">
        <v>1</v>
      </c>
      <c r="O133" s="75" t="inlineStr">
        <is>
          <t>data/raw/54559035000194/634437_regulamento_regulamento_634437_2024-04-05.pdf</t>
        </is>
      </c>
      <c r="P133" s="75" t="inlineStr">
        <is>
          <t>https://fnet.bmfbovespa.com.br/fnet/publico/downloadDocumento?id=634437</t>
        </is>
      </c>
      <c r="Q133" s="75" t="inlineStr">
        <is>
          <t>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t>
        </is>
      </c>
    </row>
    <row r="134" ht="40.5" customHeight="1">
      <c r="A134" s="138" t="n">
        <v>54559035000194</v>
      </c>
      <c r="B134" s="74" t="inlineStr">
        <is>
          <t>54.559.035/0001-94</t>
        </is>
      </c>
      <c r="C134" s="74" t="inlineStr">
        <is>
          <t>Cotas Subordinadas Júnior</t>
        </is>
      </c>
      <c r="D134" s="74" t="inlineStr">
        <is>
          <t>R$ 1,00</t>
        </is>
      </c>
      <c r="E134" s="139" t="n">
        <v>1</v>
      </c>
      <c r="F134" s="74" t="inlineStr">
        <is>
          <t>preço/valor unitário de emissão</t>
        </is>
      </c>
      <c r="G134" s="74" t="b">
        <v>0</v>
      </c>
      <c r="H134" s="74" t="inlineStr">
        <is>
          <t>emissao</t>
        </is>
      </c>
      <c r="I134" s="74" t="n">
        <v>634469</v>
      </c>
      <c r="J134" s="74" t="inlineStr">
        <is>
          <t>emissao</t>
        </is>
      </c>
      <c r="K134" s="74" t="inlineStr">
        <is>
          <t>2024-04-05</t>
        </is>
      </c>
      <c r="L134" s="74" t="n">
        <v>2</v>
      </c>
      <c r="M134" s="74" t="inlineStr">
        <is>
          <t>encontrado_explicito</t>
        </is>
      </c>
      <c r="N134" s="74" t="b">
        <v>1</v>
      </c>
      <c r="O134" s="74" t="inlineStr">
        <is>
          <t>data/raw/54559035000194/634469_emissao_emissao_634469_2024-04-05.pdf</t>
        </is>
      </c>
      <c r="P134" s="74" t="inlineStr">
        <is>
          <t>https://fnet.bmfbovespa.com.br/fnet/publico/downloadDocumento?id=634469</t>
        </is>
      </c>
      <c r="Q134" s="74" t="inlineStr">
        <is>
          <t>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t>
        </is>
      </c>
    </row>
    <row r="135" ht="40.5" customHeight="1">
      <c r="A135" s="142" t="n">
        <v>54810968000102</v>
      </c>
      <c r="B135" s="75" t="inlineStr">
        <is>
          <t>54.810.968/0001-02</t>
        </is>
      </c>
      <c r="C135" s="75" t="inlineStr">
        <is>
          <t>Cotas Seniores</t>
        </is>
      </c>
      <c r="D135" s="75" t="inlineStr">
        <is>
          <t>R$ 1.000,00</t>
        </is>
      </c>
      <c r="E135" s="143" t="n">
        <v>1000</v>
      </c>
      <c r="F135" s="75" t="inlineStr">
        <is>
          <t>preço/valor unitário de emissão</t>
        </is>
      </c>
      <c r="G135" s="75" t="b">
        <v>0</v>
      </c>
      <c r="H135" s="75" t="inlineStr">
        <is>
          <t>regulamento</t>
        </is>
      </c>
      <c r="I135" s="75" t="n">
        <v>937760</v>
      </c>
      <c r="J135" s="75" t="inlineStr">
        <is>
          <t>regulamento</t>
        </is>
      </c>
      <c r="K135" s="75" t="inlineStr">
        <is>
          <t>2025-04-22</t>
        </is>
      </c>
      <c r="L135" s="75" t="inlineStr">
        <is>
          <t>N/D</t>
        </is>
      </c>
      <c r="M135" s="75" t="inlineStr">
        <is>
          <t>encontrado_explicito</t>
        </is>
      </c>
      <c r="N135" s="75" t="b">
        <v>1</v>
      </c>
      <c r="O135" s="75" t="inlineStr">
        <is>
          <t>outputs/fidc_director_deep_diagnostic_20260609/pdf_text_cache/54810968000102_937760_regulamento_regulamento_937760_2025-04-22.txt</t>
        </is>
      </c>
      <c r="P135" s="75" t="inlineStr">
        <is>
          <t>https://fnet.bmfbovespa.com.br/fnet/publico/downloadDocumento?id=937760</t>
        </is>
      </c>
      <c r="Q13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t>
        </is>
      </c>
    </row>
    <row r="136" ht="40.5" customHeight="1">
      <c r="A136" s="138" t="n">
        <v>54810968000102</v>
      </c>
      <c r="B136" s="74" t="inlineStr">
        <is>
          <t>54.810.968/0001-02</t>
        </is>
      </c>
      <c r="C136" s="74" t="inlineStr">
        <is>
          <t>Cotas Subordinadas Junior</t>
        </is>
      </c>
      <c r="D136" s="74" t="inlineStr">
        <is>
          <t>R$ 1.000,00</t>
        </is>
      </c>
      <c r="E136" s="139" t="n">
        <v>1000</v>
      </c>
      <c r="F136" s="74" t="inlineStr">
        <is>
          <t>preço/valor unitário de emissão</t>
        </is>
      </c>
      <c r="G136" s="74" t="b">
        <v>0</v>
      </c>
      <c r="H136" s="74" t="inlineStr">
        <is>
          <t>regulamento</t>
        </is>
      </c>
      <c r="I136" s="74" t="n">
        <v>937760</v>
      </c>
      <c r="J136" s="74" t="inlineStr">
        <is>
          <t>regulamento</t>
        </is>
      </c>
      <c r="K136" s="74" t="inlineStr">
        <is>
          <t>2025-04-22</t>
        </is>
      </c>
      <c r="L136" s="74" t="inlineStr">
        <is>
          <t>N/D</t>
        </is>
      </c>
      <c r="M136" s="74" t="inlineStr">
        <is>
          <t>encontrado_explicito</t>
        </is>
      </c>
      <c r="N136" s="74" t="b">
        <v>1</v>
      </c>
      <c r="O136" s="74" t="inlineStr">
        <is>
          <t>outputs/fidc_director_deep_diagnostic_20260609/pdf_text_cache/54810968000102_937760_regulamento_regulamento_937760_2025-04-22.txt</t>
        </is>
      </c>
      <c r="P136" s="74" t="inlineStr">
        <is>
          <t>https://fnet.bmfbovespa.com.br/fnet/publico/downloadDocumento?id=937760</t>
        </is>
      </c>
      <c r="Q13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t>
        </is>
      </c>
    </row>
    <row r="137" ht="40.5" customHeight="1">
      <c r="A137" s="142" t="n">
        <v>54810968000102</v>
      </c>
      <c r="B137" s="75" t="inlineStr">
        <is>
          <t>54.810.968/0001-02</t>
        </is>
      </c>
      <c r="C137" s="75" t="inlineStr">
        <is>
          <t>N/D</t>
        </is>
      </c>
      <c r="D137" s="75" t="inlineStr">
        <is>
          <t>R$ 1.000,00</t>
        </is>
      </c>
      <c r="E137" s="143" t="n">
        <v>1000</v>
      </c>
      <c r="F137" s="75" t="inlineStr">
        <is>
          <t>preço/valor unitário de emissão</t>
        </is>
      </c>
      <c r="G137" s="75" t="b">
        <v>1</v>
      </c>
      <c r="H137" s="75" t="inlineStr">
        <is>
          <t>regulamento</t>
        </is>
      </c>
      <c r="I137" s="75" t="n">
        <v>937760</v>
      </c>
      <c r="J137" s="75" t="inlineStr">
        <is>
          <t>regulamento</t>
        </is>
      </c>
      <c r="K137" s="75" t="inlineStr">
        <is>
          <t>2025-04-22</t>
        </is>
      </c>
      <c r="L137" s="75" t="inlineStr">
        <is>
          <t>N/D</t>
        </is>
      </c>
      <c r="M137" s="75" t="inlineStr">
        <is>
          <t>encontrado_explicito</t>
        </is>
      </c>
      <c r="N137" s="75" t="b">
        <v>1</v>
      </c>
      <c r="O137" s="75" t="inlineStr">
        <is>
          <t>outputs/fidc_director_deep_diagnostic_20260609/pdf_text_cache/54810968000102_937760_regulamento_regulamento_937760_2025-04-22.txt</t>
        </is>
      </c>
      <c r="P137" s="75" t="inlineStr">
        <is>
          <t>https://fnet.bmfbovespa.com.br/fnet/publico/downloadDocumento?id=937760</t>
        </is>
      </c>
      <c r="Q137" s="75" t="inlineStr">
        <is>
          <t>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t>
        </is>
      </c>
    </row>
    <row r="138" ht="40.5" customHeight="1">
      <c r="A138" s="138" t="n">
        <v>54857414000160</v>
      </c>
      <c r="B138" s="74" t="inlineStr">
        <is>
          <t>54.857.414/0001-60</t>
        </is>
      </c>
      <c r="C138" s="74" t="inlineStr">
        <is>
          <t>Cotas Subordinadas</t>
        </is>
      </c>
      <c r="D138" s="74" t="inlineStr">
        <is>
          <t>R$1.000,00</t>
        </is>
      </c>
      <c r="E138" s="139" t="n">
        <v>1000</v>
      </c>
      <c r="F138" s="74" t="inlineStr">
        <is>
          <t>preço/valor unitário de emissão</t>
        </is>
      </c>
      <c r="G138" s="74" t="b">
        <v>0</v>
      </c>
      <c r="H138" s="74" t="inlineStr">
        <is>
          <t>regulamento</t>
        </is>
      </c>
      <c r="I138" s="74" t="n">
        <v>975459</v>
      </c>
      <c r="J138" s="74" t="inlineStr">
        <is>
          <t>Regulamento</t>
        </is>
      </c>
      <c r="K138" s="74" t="inlineStr">
        <is>
          <t>20/08/2025</t>
        </is>
      </c>
      <c r="L138" s="74" t="n">
        <v>101</v>
      </c>
      <c r="M138" s="74" t="inlineStr">
        <is>
          <t>encontrado_explicito</t>
        </is>
      </c>
      <c r="N138" s="74" t="b">
        <v>1</v>
      </c>
      <c r="O138" s="74" t="inlineStr">
        <is>
          <t>.cache/carteira_101_document_scan/54857414000160/975459.json.gz</t>
        </is>
      </c>
      <c r="P138" s="74" t="inlineStr">
        <is>
          <t>https://fnet.bmfbovespa.com.br/fnet/publico/downloadDocumento?id=975459</t>
        </is>
      </c>
      <c r="Q138" s="74" t="inlineStr">
        <is>
          <t>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t>
        </is>
      </c>
    </row>
    <row r="139" ht="40.5" customHeight="1">
      <c r="A139" s="142" t="n">
        <v>54857414000160</v>
      </c>
      <c r="B139" s="75" t="inlineStr">
        <is>
          <t>54.857.414/0001-60</t>
        </is>
      </c>
      <c r="C139" s="75" t="inlineStr">
        <is>
          <t>Cotas Subordinadas Júnior</t>
        </is>
      </c>
      <c r="D139" s="75" t="inlineStr">
        <is>
          <t>R$1.000,00</t>
        </is>
      </c>
      <c r="E139" s="143" t="n">
        <v>1000</v>
      </c>
      <c r="F139" s="75" t="inlineStr">
        <is>
          <t>preço/valor unitário de emissão</t>
        </is>
      </c>
      <c r="G139" s="75" t="b">
        <v>0</v>
      </c>
      <c r="H139" s="75" t="inlineStr">
        <is>
          <t>regulamento</t>
        </is>
      </c>
      <c r="I139" s="75" t="n">
        <v>975459</v>
      </c>
      <c r="J139" s="75" t="inlineStr">
        <is>
          <t>Regulamento</t>
        </is>
      </c>
      <c r="K139" s="75" t="inlineStr">
        <is>
          <t>20/08/2025</t>
        </is>
      </c>
      <c r="L139" s="75" t="n">
        <v>170</v>
      </c>
      <c r="M139" s="75" t="inlineStr">
        <is>
          <t>encontrado_explicito</t>
        </is>
      </c>
      <c r="N139" s="75" t="b">
        <v>1</v>
      </c>
      <c r="O139" s="75" t="inlineStr">
        <is>
          <t>.cache/carteira_101_document_scan/54857414000160/975459.json.gz</t>
        </is>
      </c>
      <c r="P139" s="75" t="inlineStr">
        <is>
          <t>https://fnet.bmfbovespa.com.br/fnet/publico/downloadDocumento?id=975459</t>
        </is>
      </c>
      <c r="Q139" s="75" t="inlineStr">
        <is>
          <t>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t>
        </is>
      </c>
    </row>
    <row r="140" ht="40.5" customHeight="1">
      <c r="A140" s="138" t="n">
        <v>54857414000160</v>
      </c>
      <c r="B140" s="74" t="inlineStr">
        <is>
          <t>54.857.414/0001-60</t>
        </is>
      </c>
      <c r="C140" s="74" t="inlineStr">
        <is>
          <t>N/D</t>
        </is>
      </c>
      <c r="D140" s="74" t="inlineStr">
        <is>
          <t>R$1.000,00</t>
        </is>
      </c>
      <c r="E140" s="139" t="n">
        <v>1000</v>
      </c>
      <c r="F140" s="74" t="inlineStr">
        <is>
          <t>preço/valor unitário de emissão</t>
        </is>
      </c>
      <c r="G140" s="74" t="b">
        <v>1</v>
      </c>
      <c r="H140" s="74" t="inlineStr">
        <is>
          <t>regulamento</t>
        </is>
      </c>
      <c r="I140" s="74" t="n">
        <v>975459</v>
      </c>
      <c r="J140" s="74" t="inlineStr">
        <is>
          <t>Regulamento</t>
        </is>
      </c>
      <c r="K140" s="74" t="inlineStr">
        <is>
          <t>20/08/2025</t>
        </is>
      </c>
      <c r="L140" s="74" t="n">
        <v>82</v>
      </c>
      <c r="M140" s="74" t="inlineStr">
        <is>
          <t>encontrado_explicito</t>
        </is>
      </c>
      <c r="N140" s="74" t="b">
        <v>1</v>
      </c>
      <c r="O140" s="74" t="inlineStr">
        <is>
          <t>.cache/carteira_101_document_scan/54857414000160/975459.json.gz</t>
        </is>
      </c>
      <c r="P140" s="74" t="inlineStr">
        <is>
          <t>https://fnet.bmfbovespa.com.br/fnet/publico/downloadDocumento?id=975459</t>
        </is>
      </c>
      <c r="Q140" s="74" t="inlineStr">
        <is>
          <t>“Valor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t>
        </is>
      </c>
    </row>
    <row r="141" ht="40.5" customHeight="1">
      <c r="A141" s="142" t="n">
        <v>54857414000160</v>
      </c>
      <c r="B141" s="75" t="inlineStr">
        <is>
          <t>54.857.414/0001-60</t>
        </is>
      </c>
      <c r="C141" s="75" t="inlineStr">
        <is>
          <t>Cotas Seniores</t>
        </is>
      </c>
      <c r="D141" s="75" t="inlineStr">
        <is>
          <t>R$1.000,00</t>
        </is>
      </c>
      <c r="E141" s="143" t="n">
        <v>1000</v>
      </c>
      <c r="F141" s="75" t="inlineStr">
        <is>
          <t>valor nominal unitário (VNU)</t>
        </is>
      </c>
      <c r="G141" s="75" t="b">
        <v>0</v>
      </c>
      <c r="H141" s="75" t="inlineStr">
        <is>
          <t>emissao</t>
        </is>
      </c>
      <c r="I141" s="75" t="n">
        <v>688943</v>
      </c>
      <c r="J141" s="75" t="inlineStr">
        <is>
          <t>Oferta Pública de Distribuição de Cotas Anúncio de Início</t>
        </is>
      </c>
      <c r="K141" s="75" t="inlineStr">
        <is>
          <t>27/06/2024</t>
        </is>
      </c>
      <c r="L141" s="75" t="n">
        <v>2</v>
      </c>
      <c r="M141" s="75" t="inlineStr">
        <is>
          <t>encontrado_explicito</t>
        </is>
      </c>
      <c r="N141" s="75" t="b">
        <v>1</v>
      </c>
      <c r="O141" s="75" t="inlineStr">
        <is>
          <t>.cache/carteira_101_document_scan/54857414000160/688943.json.gz</t>
        </is>
      </c>
      <c r="P141" s="75" t="inlineStr">
        <is>
          <t>https://fnet.bmfbovespa.com.br/fnet/publico/downloadDocumento?id=688943</t>
        </is>
      </c>
      <c r="Q141" s="75" t="inlineStr">
        <is>
          <t>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t>
        </is>
      </c>
    </row>
    <row r="142" ht="40.5" customHeight="1">
      <c r="A142" s="138" t="n">
        <v>54857414000160</v>
      </c>
      <c r="B142" s="74" t="inlineStr">
        <is>
          <t>54.857.414/0001-60</t>
        </is>
      </c>
      <c r="C142" s="74" t="inlineStr">
        <is>
          <t>Cotas Subordinadas Mezanino</t>
        </is>
      </c>
      <c r="D142" s="74" t="inlineStr">
        <is>
          <t>R$1.000,00</t>
        </is>
      </c>
      <c r="E142" s="139" t="n">
        <v>1000</v>
      </c>
      <c r="F142" s="74" t="inlineStr">
        <is>
          <t>valor nominal unitário (VNU)</t>
        </is>
      </c>
      <c r="G142" s="74" t="b">
        <v>0</v>
      </c>
      <c r="H142" s="74" t="inlineStr">
        <is>
          <t>emissao</t>
        </is>
      </c>
      <c r="I142" s="74" t="n">
        <v>688943</v>
      </c>
      <c r="J142" s="74" t="inlineStr">
        <is>
          <t>Oferta Pública de Distribuição de Cotas Anúncio de Início</t>
        </is>
      </c>
      <c r="K142" s="74" t="inlineStr">
        <is>
          <t>27/06/2024</t>
        </is>
      </c>
      <c r="L142" s="74" t="n">
        <v>2</v>
      </c>
      <c r="M142" s="74" t="inlineStr">
        <is>
          <t>encontrado_explicito</t>
        </is>
      </c>
      <c r="N142" s="74" t="b">
        <v>1</v>
      </c>
      <c r="O142" s="74" t="inlineStr">
        <is>
          <t>.cache/carteira_101_document_scan/54857414000160/688943.json.gz</t>
        </is>
      </c>
      <c r="P142" s="74" t="inlineStr">
        <is>
          <t>https://fnet.bmfbovespa.com.br/fnet/publico/downloadDocumento?id=688943</t>
        </is>
      </c>
      <c r="Q142" s="74" t="inlineStr">
        <is>
          <t>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t>
        </is>
      </c>
    </row>
    <row r="143" ht="40.5" customHeight="1">
      <c r="A143" s="142" t="n">
        <v>55070804000159</v>
      </c>
      <c r="B143" s="75" t="inlineStr">
        <is>
          <t>55.070.804/0001-59</t>
        </is>
      </c>
      <c r="C143" s="75" t="inlineStr">
        <is>
          <t>Cotas Seniores</t>
        </is>
      </c>
      <c r="D143" s="75" t="inlineStr">
        <is>
          <t>R$ 1,00</t>
        </is>
      </c>
      <c r="E143" s="143" t="n">
        <v>1</v>
      </c>
      <c r="F143" s="75" t="inlineStr">
        <is>
          <t>preço/valor unitário de emissão</t>
        </is>
      </c>
      <c r="G143" s="75" t="b">
        <v>0</v>
      </c>
      <c r="H143" s="75" t="inlineStr">
        <is>
          <t>regulamento</t>
        </is>
      </c>
      <c r="I143" s="75" t="n">
        <v>667195</v>
      </c>
      <c r="J143" s="75" t="inlineStr">
        <is>
          <t>regulamento</t>
        </is>
      </c>
      <c r="K143" s="75" t="inlineStr">
        <is>
          <t>2024-05-22</t>
        </is>
      </c>
      <c r="L143" s="75" t="n">
        <v>137</v>
      </c>
      <c r="M143" s="75" t="inlineStr">
        <is>
          <t>encontrado_explicito</t>
        </is>
      </c>
      <c r="N143" s="75" t="b">
        <v>1</v>
      </c>
      <c r="O143" s="75" t="inlineStr">
        <is>
          <t>data/raw/55070804000159/667195_regulamento_regulamento_667195_2024-05-22.pdf</t>
        </is>
      </c>
      <c r="P143" s="75" t="inlineStr">
        <is>
          <t>https://fnet.bmfbovespa.com.br/fnet/publico/downloadDocumento?id=667195</t>
        </is>
      </c>
      <c r="Q143" s="75" t="inlineStr">
        <is>
          <t>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t>
        </is>
      </c>
    </row>
    <row r="144" ht="40.5" customHeight="1">
      <c r="A144" s="138" t="n">
        <v>55070804000159</v>
      </c>
      <c r="B144" s="74" t="inlineStr">
        <is>
          <t>55.070.804/0001-59</t>
        </is>
      </c>
      <c r="C144" s="74" t="inlineStr">
        <is>
          <t>Cotas Subordinadas Júnior</t>
        </is>
      </c>
      <c r="D144" s="74" t="inlineStr">
        <is>
          <t>R$ 1,00</t>
        </is>
      </c>
      <c r="E144" s="139" t="n">
        <v>1</v>
      </c>
      <c r="F144" s="74" t="inlineStr">
        <is>
          <t>preço/valor unitário de emissão</t>
        </is>
      </c>
      <c r="G144" s="74" t="b">
        <v>0</v>
      </c>
      <c r="H144" s="74" t="inlineStr">
        <is>
          <t>regulamento</t>
        </is>
      </c>
      <c r="I144" s="74" t="n">
        <v>667195</v>
      </c>
      <c r="J144" s="74" t="inlineStr">
        <is>
          <t>regulamento</t>
        </is>
      </c>
      <c r="K144" s="74" t="inlineStr">
        <is>
          <t>2024-05-22</t>
        </is>
      </c>
      <c r="L144" s="74" t="n">
        <v>140</v>
      </c>
      <c r="M144" s="74" t="inlineStr">
        <is>
          <t>encontrado_explicito</t>
        </is>
      </c>
      <c r="N144" s="74" t="b">
        <v>1</v>
      </c>
      <c r="O144" s="74" t="inlineStr">
        <is>
          <t>data/raw/55070804000159/667195_regulamento_regulamento_667195_2024-05-22.pdf</t>
        </is>
      </c>
      <c r="P144" s="74" t="inlineStr">
        <is>
          <t>https://fnet.bmfbovespa.com.br/fnet/publico/downloadDocumento?id=667195</t>
        </is>
      </c>
      <c r="Q144" s="74" t="inlineStr">
        <is>
          <t>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t>
        </is>
      </c>
    </row>
    <row r="145" ht="40.5" customHeight="1">
      <c r="A145" s="142" t="n">
        <v>55374251000128</v>
      </c>
      <c r="B145" s="75" t="inlineStr">
        <is>
          <t>55.374.251/0001-28</t>
        </is>
      </c>
      <c r="C145" s="75" t="inlineStr">
        <is>
          <t>Cotas Seniores</t>
        </is>
      </c>
      <c r="D145" s="75" t="inlineStr">
        <is>
          <t>R$1.000,00</t>
        </is>
      </c>
      <c r="E145" s="143" t="n">
        <v>1000</v>
      </c>
      <c r="F145" s="75" t="inlineStr">
        <is>
          <t>preço/valor unitário de emissão</t>
        </is>
      </c>
      <c r="G145" s="75" t="b">
        <v>0</v>
      </c>
      <c r="H145" s="75" t="inlineStr">
        <is>
          <t>regulamento</t>
        </is>
      </c>
      <c r="I145" s="75" t="n">
        <v>686750</v>
      </c>
      <c r="J145" s="75" t="inlineStr">
        <is>
          <t>Regulamento</t>
        </is>
      </c>
      <c r="K145" s="75" t="inlineStr">
        <is>
          <t>25/06/2024</t>
        </is>
      </c>
      <c r="L145" s="75" t="n">
        <v>68</v>
      </c>
      <c r="M145" s="75" t="inlineStr">
        <is>
          <t>encontrado_explicito</t>
        </is>
      </c>
      <c r="N145" s="75" t="b">
        <v>1</v>
      </c>
      <c r="O145" s="75" t="inlineStr">
        <is>
          <t>.cache/carteira_101_document_scan/55374251000128/686750.json.gz</t>
        </is>
      </c>
      <c r="P145" s="75" t="inlineStr">
        <is>
          <t>https://fnet.bmfbovespa.com.br/fnet/publico/downloadDocumento?id=686750</t>
        </is>
      </c>
      <c r="Q145" s="75" t="inlineStr">
        <is>
          <t>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t>
        </is>
      </c>
    </row>
    <row r="146" ht="40.5" customHeight="1">
      <c r="A146" s="138" t="n">
        <v>55374251000128</v>
      </c>
      <c r="B146" s="74" t="inlineStr">
        <is>
          <t>55.374.251/0001-28</t>
        </is>
      </c>
      <c r="C146" s="74" t="inlineStr">
        <is>
          <t>Cotas Subordinadas Júnior</t>
        </is>
      </c>
      <c r="D146" s="74" t="inlineStr">
        <is>
          <t>R$ 1.000,00</t>
        </is>
      </c>
      <c r="E146" s="139" t="n">
        <v>1000</v>
      </c>
      <c r="F146" s="74" t="inlineStr">
        <is>
          <t>preço/valor unitário de emissão</t>
        </is>
      </c>
      <c r="G146" s="74" t="b">
        <v>0</v>
      </c>
      <c r="H146" s="74" t="inlineStr">
        <is>
          <t>regulamento</t>
        </is>
      </c>
      <c r="I146" s="74" t="n">
        <v>686750</v>
      </c>
      <c r="J146" s="74" t="inlineStr">
        <is>
          <t>Regulamento</t>
        </is>
      </c>
      <c r="K146" s="74" t="inlineStr">
        <is>
          <t>25/06/2024</t>
        </is>
      </c>
      <c r="L146" s="74" t="n">
        <v>80</v>
      </c>
      <c r="M146" s="74" t="inlineStr">
        <is>
          <t>encontrado_explicito</t>
        </is>
      </c>
      <c r="N146" s="74" t="b">
        <v>1</v>
      </c>
      <c r="O146" s="74" t="inlineStr">
        <is>
          <t>.cache/carteira_101_document_scan/55374251000128/686750.json.gz</t>
        </is>
      </c>
      <c r="P146" s="74" t="inlineStr">
        <is>
          <t>https://fnet.bmfbovespa.com.br/fnet/publico/downloadDocumento?id=686750</t>
        </is>
      </c>
      <c r="Q146" s="74" t="inlineStr">
        <is>
          <t>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t>
        </is>
      </c>
    </row>
    <row r="147" ht="40.5" customHeight="1">
      <c r="A147" s="142" t="n">
        <v>55374251000128</v>
      </c>
      <c r="B147" s="75" t="inlineStr">
        <is>
          <t>55.374.251/0001-28</t>
        </is>
      </c>
      <c r="C147" s="75" t="inlineStr">
        <is>
          <t>Cotas Subordinadas Mezanino</t>
        </is>
      </c>
      <c r="D147" s="75" t="inlineStr">
        <is>
          <t>R$ 1.000,00</t>
        </is>
      </c>
      <c r="E147" s="143" t="n">
        <v>1000</v>
      </c>
      <c r="F147" s="75" t="inlineStr">
        <is>
          <t>preço/valor unitário de emissão</t>
        </is>
      </c>
      <c r="G147" s="75" t="b">
        <v>0</v>
      </c>
      <c r="H147" s="75" t="inlineStr">
        <is>
          <t>regulamento</t>
        </is>
      </c>
      <c r="I147" s="75" t="n">
        <v>686750</v>
      </c>
      <c r="J147" s="75" t="inlineStr">
        <is>
          <t>Regulamento</t>
        </is>
      </c>
      <c r="K147" s="75" t="inlineStr">
        <is>
          <t>25/06/2024</t>
        </is>
      </c>
      <c r="L147" s="75" t="n">
        <v>72</v>
      </c>
      <c r="M147" s="75" t="inlineStr">
        <is>
          <t>encontrado_explicito</t>
        </is>
      </c>
      <c r="N147" s="75" t="b">
        <v>1</v>
      </c>
      <c r="O147" s="75" t="inlineStr">
        <is>
          <t>.cache/carteira_101_document_scan/55374251000128/686750.json.gz</t>
        </is>
      </c>
      <c r="P147" s="75" t="inlineStr">
        <is>
          <t>https://fnet.bmfbovespa.com.br/fnet/publico/downloadDocumento?id=686750</t>
        </is>
      </c>
      <c r="Q147" s="75" t="inlineStr">
        <is>
          <t>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t>
        </is>
      </c>
    </row>
    <row r="148" ht="40.5" customHeight="1">
      <c r="A148" s="138" t="n">
        <v>55374251000128</v>
      </c>
      <c r="B148" s="74" t="inlineStr">
        <is>
          <t>55.374.251/0001-28</t>
        </is>
      </c>
      <c r="C148" s="74" t="inlineStr">
        <is>
          <t>Cotas Seniores</t>
        </is>
      </c>
      <c r="D148" s="74" t="inlineStr">
        <is>
          <t>R$1.000,00</t>
        </is>
      </c>
      <c r="E148" s="139" t="n">
        <v>1000</v>
      </c>
      <c r="F148" s="74" t="inlineStr">
        <is>
          <t>valor nominal unitário (VNU)</t>
        </is>
      </c>
      <c r="G148" s="74" t="b">
        <v>0</v>
      </c>
      <c r="H148" s="74" t="inlineStr">
        <is>
          <t>emissao</t>
        </is>
      </c>
      <c r="I148" s="74" t="n">
        <v>686288</v>
      </c>
      <c r="J148" s="74" t="inlineStr">
        <is>
          <t>Oferta Pública de Distribuição de Cotas Anúncio de Início</t>
        </is>
      </c>
      <c r="K148" s="74" t="inlineStr">
        <is>
          <t>24/06/2024</t>
        </is>
      </c>
      <c r="L148" s="74" t="n">
        <v>2</v>
      </c>
      <c r="M148" s="74" t="inlineStr">
        <is>
          <t>encontrado_explicito</t>
        </is>
      </c>
      <c r="N148" s="74" t="b">
        <v>1</v>
      </c>
      <c r="O148" s="74" t="inlineStr">
        <is>
          <t>.cache/carteira_101_document_scan/55374251000128/686288.json.gz</t>
        </is>
      </c>
      <c r="P148" s="74" t="inlineStr">
        <is>
          <t>https://fnet.bmfbovespa.com.br/fnet/publico/downloadDocumento?id=686288</t>
        </is>
      </c>
      <c r="Q148" s="74" t="inlineStr">
        <is>
          <t>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t>
        </is>
      </c>
    </row>
    <row r="149" ht="40.5" customHeight="1">
      <c r="A149" s="142" t="n">
        <v>55374251000128</v>
      </c>
      <c r="B149" s="75" t="inlineStr">
        <is>
          <t>55.374.251/0001-28</t>
        </is>
      </c>
      <c r="C149" s="75" t="inlineStr">
        <is>
          <t>Cotas Subordinadas Mezanino</t>
        </is>
      </c>
      <c r="D149" s="75" t="inlineStr">
        <is>
          <t>R$1.000,00</t>
        </is>
      </c>
      <c r="E149" s="143" t="n">
        <v>1000</v>
      </c>
      <c r="F149" s="75" t="inlineStr">
        <is>
          <t>valor nominal unitário (VNU)</t>
        </is>
      </c>
      <c r="G149" s="75" t="b">
        <v>0</v>
      </c>
      <c r="H149" s="75" t="inlineStr">
        <is>
          <t>emissao</t>
        </is>
      </c>
      <c r="I149" s="75" t="n">
        <v>686288</v>
      </c>
      <c r="J149" s="75" t="inlineStr">
        <is>
          <t>Oferta Pública de Distribuição de Cotas Anúncio de Início</t>
        </is>
      </c>
      <c r="K149" s="75" t="inlineStr">
        <is>
          <t>24/06/2024</t>
        </is>
      </c>
      <c r="L149" s="75" t="n">
        <v>2</v>
      </c>
      <c r="M149" s="75" t="inlineStr">
        <is>
          <t>encontrado_explicito</t>
        </is>
      </c>
      <c r="N149" s="75" t="b">
        <v>1</v>
      </c>
      <c r="O149" s="75" t="inlineStr">
        <is>
          <t>.cache/carteira_101_document_scan/55374251000128/686288.json.gz</t>
        </is>
      </c>
      <c r="P149" s="75" t="inlineStr">
        <is>
          <t>https://fnet.bmfbovespa.com.br/fnet/publico/downloadDocumento?id=686288</t>
        </is>
      </c>
      <c r="Q149" s="75" t="inlineStr">
        <is>
          <t>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t>
        </is>
      </c>
    </row>
    <row r="150" ht="40.5" customHeight="1">
      <c r="A150" s="138" t="n">
        <v>55401645000128</v>
      </c>
      <c r="B150" s="74" t="inlineStr">
        <is>
          <t>55.401.645/0001-28</t>
        </is>
      </c>
      <c r="C150" s="74" t="inlineStr">
        <is>
          <t>N/D</t>
        </is>
      </c>
      <c r="D150" s="74" t="inlineStr">
        <is>
          <t>R$ 1.000,00</t>
        </is>
      </c>
      <c r="E150" s="139" t="n">
        <v>1000</v>
      </c>
      <c r="F150" s="74" t="inlineStr">
        <is>
          <t>preço/valor unitário de emissão</t>
        </is>
      </c>
      <c r="G150" s="74" t="b">
        <v>1</v>
      </c>
      <c r="H150" s="74" t="inlineStr">
        <is>
          <t>regulamento</t>
        </is>
      </c>
      <c r="I150" s="74" t="n">
        <v>793132</v>
      </c>
      <c r="J150" s="74" t="inlineStr">
        <is>
          <t>regulamento</t>
        </is>
      </c>
      <c r="K150" s="74" t="inlineStr">
        <is>
          <t>2024-12-02</t>
        </is>
      </c>
      <c r="L150" s="74" t="n">
        <v>44</v>
      </c>
      <c r="M150" s="74" t="inlineStr">
        <is>
          <t>encontrado_explicito</t>
        </is>
      </c>
      <c r="N150" s="74" t="b">
        <v>1</v>
      </c>
      <c r="O150" s="74" t="inlineStr">
        <is>
          <t>data/raw/55401645000128/793132_regulamento_regulamento_793132_2024-12-02.pdf</t>
        </is>
      </c>
      <c r="P150" s="74" t="inlineStr">
        <is>
          <t>https://fnet.bmfbovespa.com.br/fnet/publico/downloadDocumento?id=793132</t>
        </is>
      </c>
      <c r="Q150" s="74" t="inlineStr">
        <is>
          <t>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t>
        </is>
      </c>
    </row>
    <row r="151" ht="40.5" customHeight="1">
      <c r="A151" s="142" t="n">
        <v>55401645000128</v>
      </c>
      <c r="B151" s="75" t="inlineStr">
        <is>
          <t>55.401.645/0001-28</t>
        </is>
      </c>
      <c r="C151" s="75" t="inlineStr">
        <is>
          <t>Série de Cotas Seniores</t>
        </is>
      </c>
      <c r="D151" s="75" t="inlineStr">
        <is>
          <t>R$ 1.000,00</t>
        </is>
      </c>
      <c r="E151" s="143" t="n">
        <v>1000</v>
      </c>
      <c r="F151" s="75" t="inlineStr">
        <is>
          <t>preço/valor unitário de emissão</t>
        </is>
      </c>
      <c r="G151" s="75" t="b">
        <v>0</v>
      </c>
      <c r="H151" s="75" t="inlineStr">
        <is>
          <t>regulamento</t>
        </is>
      </c>
      <c r="I151" s="75" t="n">
        <v>793132</v>
      </c>
      <c r="J151" s="75" t="inlineStr">
        <is>
          <t>regulamento</t>
        </is>
      </c>
      <c r="K151" s="75" t="inlineStr">
        <is>
          <t>2024-12-02</t>
        </is>
      </c>
      <c r="L151" s="75" t="n">
        <v>82</v>
      </c>
      <c r="M151" s="75" t="inlineStr">
        <is>
          <t>encontrado_explicito</t>
        </is>
      </c>
      <c r="N151" s="75" t="b">
        <v>1</v>
      </c>
      <c r="O151" s="75" t="inlineStr">
        <is>
          <t>data/raw/55401645000128/793132_regulamento_regulamento_793132_2024-12-02.pdf</t>
        </is>
      </c>
      <c r="P151" s="75" t="inlineStr">
        <is>
          <t>https://fnet.bmfbovespa.com.br/fnet/publico/downloadDocumento?id=793132</t>
        </is>
      </c>
      <c r="Q151" s="75" t="inlineStr">
        <is>
          <t>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2" ht="40.5" customHeight="1">
      <c r="A152" s="138" t="n">
        <v>55401645000128</v>
      </c>
      <c r="B152" s="74" t="inlineStr">
        <is>
          <t>55.401.645/0001-28</t>
        </is>
      </c>
      <c r="C152" s="74" t="inlineStr">
        <is>
          <t>Série de Cotas Subordinadas Junior</t>
        </is>
      </c>
      <c r="D152" s="74" t="inlineStr">
        <is>
          <t>R$ 1.000,00</t>
        </is>
      </c>
      <c r="E152" s="139" t="n">
        <v>1000</v>
      </c>
      <c r="F152" s="74" t="inlineStr">
        <is>
          <t>preço/valor unitário de emissão</t>
        </is>
      </c>
      <c r="G152" s="74" t="b">
        <v>0</v>
      </c>
      <c r="H152" s="74" t="inlineStr">
        <is>
          <t>regulamento</t>
        </is>
      </c>
      <c r="I152" s="74" t="n">
        <v>793132</v>
      </c>
      <c r="J152" s="74" t="inlineStr">
        <is>
          <t>regulamento</t>
        </is>
      </c>
      <c r="K152" s="74" t="inlineStr">
        <is>
          <t>2024-12-02</t>
        </is>
      </c>
      <c r="L152" s="74" t="n">
        <v>86</v>
      </c>
      <c r="M152" s="74" t="inlineStr">
        <is>
          <t>encontrado_explicito</t>
        </is>
      </c>
      <c r="N152" s="74" t="b">
        <v>1</v>
      </c>
      <c r="O152" s="74" t="inlineStr">
        <is>
          <t>data/raw/55401645000128/793132_regulamento_regulamento_793132_2024-12-02.pdf</t>
        </is>
      </c>
      <c r="P152" s="74" t="inlineStr">
        <is>
          <t>https://fnet.bmfbovespa.com.br/fnet/publico/downloadDocumento?id=793132</t>
        </is>
      </c>
      <c r="Q152" s="74" t="inlineStr">
        <is>
          <t>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3" ht="40.5" customHeight="1">
      <c r="A153" s="142" t="n">
        <v>55401645000128</v>
      </c>
      <c r="B153" s="75" t="inlineStr">
        <is>
          <t>55.401.645/0001-28</t>
        </is>
      </c>
      <c r="C153" s="75" t="inlineStr">
        <is>
          <t>Série de Cotas Subordinadas Mezanino</t>
        </is>
      </c>
      <c r="D153" s="75" t="inlineStr">
        <is>
          <t>R$ 1.000,00</t>
        </is>
      </c>
      <c r="E153" s="143" t="n">
        <v>1000</v>
      </c>
      <c r="F153" s="75" t="inlineStr">
        <is>
          <t>preço/valor unitário de emissão</t>
        </is>
      </c>
      <c r="G153" s="75" t="b">
        <v>0</v>
      </c>
      <c r="H153" s="75" t="inlineStr">
        <is>
          <t>regulamento</t>
        </is>
      </c>
      <c r="I153" s="75" t="n">
        <v>793132</v>
      </c>
      <c r="J153" s="75" t="inlineStr">
        <is>
          <t>regulamento</t>
        </is>
      </c>
      <c r="K153" s="75" t="inlineStr">
        <is>
          <t>2024-12-02</t>
        </is>
      </c>
      <c r="L153" s="75" t="n">
        <v>84</v>
      </c>
      <c r="M153" s="75" t="inlineStr">
        <is>
          <t>encontrado_explicito</t>
        </is>
      </c>
      <c r="N153" s="75" t="b">
        <v>1</v>
      </c>
      <c r="O153" s="75" t="inlineStr">
        <is>
          <t>data/raw/55401645000128/793132_regulamento_regulamento_793132_2024-12-02.pdf</t>
        </is>
      </c>
      <c r="P153" s="75" t="inlineStr">
        <is>
          <t>https://fnet.bmfbovespa.com.br/fnet/publico/downloadDocumento?id=793132</t>
        </is>
      </c>
      <c r="Q153" s="75" t="inlineStr">
        <is>
          <t>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t>
        </is>
      </c>
    </row>
    <row r="154" ht="40.5" customHeight="1">
      <c r="A154" s="138" t="n">
        <v>55401645000128</v>
      </c>
      <c r="B154" s="74" t="inlineStr">
        <is>
          <t>55.401.645/0001-28</t>
        </is>
      </c>
      <c r="C154" s="74" t="inlineStr">
        <is>
          <t>Cotas Seniores</t>
        </is>
      </c>
      <c r="D154" s="74" t="inlineStr">
        <is>
          <t>R$ 1.000,00</t>
        </is>
      </c>
      <c r="E154" s="139" t="n">
        <v>1000</v>
      </c>
      <c r="F154" s="74" t="inlineStr">
        <is>
          <t>preço/valor unitário de emissão</t>
        </is>
      </c>
      <c r="G154" s="74" t="b">
        <v>0</v>
      </c>
      <c r="H154" s="74" t="inlineStr">
        <is>
          <t>regulamento</t>
        </is>
      </c>
      <c r="I154" s="74" t="n">
        <v>1051890</v>
      </c>
      <c r="J154" s="74" t="inlineStr">
        <is>
          <t>regulamento</t>
        </is>
      </c>
      <c r="K154" s="74" t="inlineStr">
        <is>
          <t>2025-12-01</t>
        </is>
      </c>
      <c r="L154" s="74" t="inlineStr">
        <is>
          <t>N/D</t>
        </is>
      </c>
      <c r="M154" s="74" t="inlineStr">
        <is>
          <t>encontrado_explicito</t>
        </is>
      </c>
      <c r="N154" s="74" t="b">
        <v>1</v>
      </c>
      <c r="O154" s="74" t="inlineStr">
        <is>
          <t>outputs/fidc_director_deep_diagnostic_20260609/pdf_text_cache/55401645000128_1051890_regulamento_regulamento_1051890_2025-12-01.txt</t>
        </is>
      </c>
      <c r="P154" s="74" t="inlineStr">
        <is>
          <t>https://fnet.bmfbovespa.com.br/fnet/publico/downloadDocumento?id=1051890</t>
        </is>
      </c>
      <c r="Q154"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t>
        </is>
      </c>
    </row>
    <row r="155" ht="40.5" customHeight="1">
      <c r="A155" s="142" t="n">
        <v>55401645000128</v>
      </c>
      <c r="B155" s="75" t="inlineStr">
        <is>
          <t>55.401.645/0001-28</t>
        </is>
      </c>
      <c r="C155" s="75" t="inlineStr">
        <is>
          <t>Cotas Subordinadas Júnior</t>
        </is>
      </c>
      <c r="D155" s="75" t="inlineStr">
        <is>
          <t>R$ 1.000,00</t>
        </is>
      </c>
      <c r="E155" s="143" t="n">
        <v>1000</v>
      </c>
      <c r="F155" s="75" t="inlineStr">
        <is>
          <t>preço/valor unitário de emissão</t>
        </is>
      </c>
      <c r="G155" s="75" t="b">
        <v>0</v>
      </c>
      <c r="H155" s="75" t="inlineStr">
        <is>
          <t>regulamento</t>
        </is>
      </c>
      <c r="I155" s="75" t="n">
        <v>1051890</v>
      </c>
      <c r="J155" s="75" t="inlineStr">
        <is>
          <t>regulamento</t>
        </is>
      </c>
      <c r="K155" s="75" t="inlineStr">
        <is>
          <t>2025-12-01</t>
        </is>
      </c>
      <c r="L155" s="75" t="inlineStr">
        <is>
          <t>N/D</t>
        </is>
      </c>
      <c r="M155" s="75" t="inlineStr">
        <is>
          <t>encontrado_explicito</t>
        </is>
      </c>
      <c r="N155" s="75" t="b">
        <v>1</v>
      </c>
      <c r="O155" s="75" t="inlineStr">
        <is>
          <t>outputs/fidc_director_deep_diagnostic_20260609/pdf_text_cache/55401645000128_1051890_regulamento_regulamento_1051890_2025-12-01.txt</t>
        </is>
      </c>
      <c r="P155" s="75" t="inlineStr">
        <is>
          <t>https://fnet.bmfbovespa.com.br/fnet/publico/downloadDocumento?id=1051890</t>
        </is>
      </c>
      <c r="Q155" s="75" t="inlineStr">
        <is>
          <t>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t>
        </is>
      </c>
    </row>
    <row r="156" ht="40.5" customHeight="1">
      <c r="A156" s="138" t="n">
        <v>55401645000128</v>
      </c>
      <c r="B156" s="74" t="inlineStr">
        <is>
          <t>55.401.645/0001-28</t>
        </is>
      </c>
      <c r="C156" s="74" t="inlineStr">
        <is>
          <t>Cotas Subordinadas Mezanino</t>
        </is>
      </c>
      <c r="D156" s="74" t="inlineStr">
        <is>
          <t>R$ 1.000,00</t>
        </is>
      </c>
      <c r="E156" s="139" t="n">
        <v>1000</v>
      </c>
      <c r="F156" s="74" t="inlineStr">
        <is>
          <t>preço/valor unitário de emissão</t>
        </is>
      </c>
      <c r="G156" s="74" t="b">
        <v>0</v>
      </c>
      <c r="H156" s="74" t="inlineStr">
        <is>
          <t>regulamento</t>
        </is>
      </c>
      <c r="I156" s="74" t="n">
        <v>1051890</v>
      </c>
      <c r="J156" s="74" t="inlineStr">
        <is>
          <t>regulamento</t>
        </is>
      </c>
      <c r="K156" s="74" t="inlineStr">
        <is>
          <t>2025-12-01</t>
        </is>
      </c>
      <c r="L156" s="74" t="inlineStr">
        <is>
          <t>N/D</t>
        </is>
      </c>
      <c r="M156" s="74" t="inlineStr">
        <is>
          <t>encontrado_explicito</t>
        </is>
      </c>
      <c r="N156" s="74" t="b">
        <v>1</v>
      </c>
      <c r="O156" s="74" t="inlineStr">
        <is>
          <t>outputs/fidc_director_deep_diagnostic_20260609/pdf_text_cache/55401645000128_1051890_regulamento_regulamento_1051890_2025-12-01.txt</t>
        </is>
      </c>
      <c r="P156" s="74" t="inlineStr">
        <is>
          <t>https://fnet.bmfbovespa.com.br/fnet/publico/downloadDocumento?id=1051890</t>
        </is>
      </c>
      <c r="Q156" s="74" t="inlineStr">
        <is>
          <t>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t>
        </is>
      </c>
    </row>
    <row r="157" ht="40.5" customHeight="1">
      <c r="A157" s="142" t="n">
        <v>55401645000128</v>
      </c>
      <c r="B157" s="75" t="inlineStr">
        <is>
          <t>55.401.645/0001-28</t>
        </is>
      </c>
      <c r="C157" s="75" t="inlineStr">
        <is>
          <t>Cotas Seniores</t>
        </is>
      </c>
      <c r="D157" s="75" t="inlineStr">
        <is>
          <t>R$ 1,00</t>
        </is>
      </c>
      <c r="E157" s="143" t="n">
        <v>1</v>
      </c>
      <c r="F157" s="75" t="inlineStr">
        <is>
          <t>valor nominal unitário (VNU)</t>
        </is>
      </c>
      <c r="G157" s="75" t="b">
        <v>0</v>
      </c>
      <c r="H157" s="75" t="inlineStr">
        <is>
          <t>emissao</t>
        </is>
      </c>
      <c r="I157" s="75" t="n">
        <v>987420</v>
      </c>
      <c r="J157" s="75" t="inlineStr">
        <is>
          <t>emissao</t>
        </is>
      </c>
      <c r="K157" s="75" t="inlineStr">
        <is>
          <t>2025-09-09</t>
        </is>
      </c>
      <c r="L157" s="75" t="n">
        <v>2</v>
      </c>
      <c r="M157" s="75" t="inlineStr">
        <is>
          <t>encontrado_explicito</t>
        </is>
      </c>
      <c r="N157" s="75" t="b">
        <v>1</v>
      </c>
      <c r="O157" s="75" t="inlineStr">
        <is>
          <t>data/raw/55401645000128/987420_emissao_emissao_987420_2025-09-09.pdf</t>
        </is>
      </c>
      <c r="P157" s="75" t="inlineStr">
        <is>
          <t>https://fnet.bmfbovespa.com.br/fnet/publico/downloadDocumento?id=987420</t>
        </is>
      </c>
      <c r="Q157" s="75" t="inlineStr">
        <is>
          <t>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t>
        </is>
      </c>
    </row>
    <row r="158" ht="40.5" customHeight="1">
      <c r="A158" s="138" t="n">
        <v>55401645000128</v>
      </c>
      <c r="B158" s="74" t="inlineStr">
        <is>
          <t>55.401.645/0001-28</t>
        </is>
      </c>
      <c r="C158" s="74" t="inlineStr">
        <is>
          <t>Cotas Seniores</t>
        </is>
      </c>
      <c r="D158" s="74" t="inlineStr">
        <is>
          <t>R$ 1,00</t>
        </is>
      </c>
      <c r="E158" s="139" t="n">
        <v>1</v>
      </c>
      <c r="F158" s="74" t="inlineStr">
        <is>
          <t>preço/valor unitário de emissão</t>
        </is>
      </c>
      <c r="G158" s="74" t="b">
        <v>0</v>
      </c>
      <c r="H158" s="74" t="inlineStr">
        <is>
          <t>assembleia</t>
        </is>
      </c>
      <c r="I158" s="74" t="n">
        <v>984904</v>
      </c>
      <c r="J158" s="74" t="inlineStr">
        <is>
          <t>assembleia</t>
        </is>
      </c>
      <c r="K158" s="74" t="inlineStr">
        <is>
          <t>2025-09-04</t>
        </is>
      </c>
      <c r="L158" s="74" t="n">
        <v>9</v>
      </c>
      <c r="M158" s="74" t="inlineStr">
        <is>
          <t>encontrado_explicito</t>
        </is>
      </c>
      <c r="N158" s="74" t="b">
        <v>1</v>
      </c>
      <c r="O158" s="74" t="inlineStr">
        <is>
          <t>data/raw/55401645000128/984904_assembleia_assembleia_984904_2025-09-04.pdf</t>
        </is>
      </c>
      <c r="P158" s="74" t="inlineStr">
        <is>
          <t>https://fnet.bmfbovespa.com.br/fnet/publico/downloadDocumento?id=984904</t>
        </is>
      </c>
      <c r="Q158" s="74" t="inlineStr">
        <is>
          <t>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t>
        </is>
      </c>
    </row>
    <row r="159" ht="40.5" customHeight="1">
      <c r="A159" s="142" t="n">
        <v>55401645000128</v>
      </c>
      <c r="B159" s="75" t="inlineStr">
        <is>
          <t>55.401.645/0001-28</t>
        </is>
      </c>
      <c r="C159" s="75" t="inlineStr">
        <is>
          <t>Cotas Subordinadas Júnior</t>
        </is>
      </c>
      <c r="D159" s="75" t="inlineStr">
        <is>
          <t>R$ 1,00</t>
        </is>
      </c>
      <c r="E159" s="143" t="n">
        <v>1</v>
      </c>
      <c r="F159" s="75" t="inlineStr">
        <is>
          <t>preço/valor unitário de emissão</t>
        </is>
      </c>
      <c r="G159" s="75" t="b">
        <v>0</v>
      </c>
      <c r="H159" s="75" t="inlineStr">
        <is>
          <t>assembleia</t>
        </is>
      </c>
      <c r="I159" s="75" t="n">
        <v>984904</v>
      </c>
      <c r="J159" s="75" t="inlineStr">
        <is>
          <t>assembleia</t>
        </is>
      </c>
      <c r="K159" s="75" t="inlineStr">
        <is>
          <t>2025-09-04</t>
        </is>
      </c>
      <c r="L159" s="75" t="n">
        <v>16</v>
      </c>
      <c r="M159" s="75" t="inlineStr">
        <is>
          <t>encontrado_explicito</t>
        </is>
      </c>
      <c r="N159" s="75" t="b">
        <v>1</v>
      </c>
      <c r="O159" s="75" t="inlineStr">
        <is>
          <t>data/raw/55401645000128/984904_assembleia_assembleia_984904_2025-09-04.pdf</t>
        </is>
      </c>
      <c r="P159" s="75" t="inlineStr">
        <is>
          <t>https://fnet.bmfbovespa.com.br/fnet/publico/downloadDocumento?id=984904</t>
        </is>
      </c>
      <c r="Q159" s="75" t="inlineStr">
        <is>
          <t>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t>
        </is>
      </c>
    </row>
    <row r="160" ht="40.5" customHeight="1">
      <c r="A160" s="138" t="n">
        <v>55401645000128</v>
      </c>
      <c r="B160" s="74" t="inlineStr">
        <is>
          <t>55.401.645/0001-28</t>
        </is>
      </c>
      <c r="C160" s="74" t="inlineStr">
        <is>
          <t>Cotas Subordinadas Mezanino</t>
        </is>
      </c>
      <c r="D160" s="74" t="inlineStr">
        <is>
          <t>R$ 1</t>
        </is>
      </c>
      <c r="E160" s="139" t="n">
        <v>1</v>
      </c>
      <c r="F160" s="74" t="inlineStr">
        <is>
          <t>preço/valor unitário de emissão</t>
        </is>
      </c>
      <c r="G160" s="74" t="b">
        <v>0</v>
      </c>
      <c r="H160" s="74" t="inlineStr">
        <is>
          <t>assembleia</t>
        </is>
      </c>
      <c r="I160" s="74" t="n">
        <v>984904</v>
      </c>
      <c r="J160" s="74" t="inlineStr">
        <is>
          <t>assembleia</t>
        </is>
      </c>
      <c r="K160" s="74" t="inlineStr">
        <is>
          <t>2025-09-04</t>
        </is>
      </c>
      <c r="L160" s="74" t="n">
        <v>14</v>
      </c>
      <c r="M160" s="74" t="inlineStr">
        <is>
          <t>encontrado_explicito</t>
        </is>
      </c>
      <c r="N160" s="74" t="b">
        <v>1</v>
      </c>
      <c r="O160" s="74" t="inlineStr">
        <is>
          <t>data/raw/55401645000128/984904_assembleia_assembleia_984904_2025-09-04.pdf</t>
        </is>
      </c>
      <c r="P160" s="74" t="inlineStr">
        <is>
          <t>https://fnet.bmfbovespa.com.br/fnet/publico/downloadDocumento?id=984904</t>
        </is>
      </c>
      <c r="Q160" s="74" t="inlineStr">
        <is>
          <t>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t>
        </is>
      </c>
    </row>
    <row r="161" ht="40.5" customHeight="1">
      <c r="A161" s="142" t="n">
        <v>55476342000174</v>
      </c>
      <c r="B161" s="75" t="inlineStr">
        <is>
          <t>55.476.342/0001-74</t>
        </is>
      </c>
      <c r="C161" s="75" t="inlineStr">
        <is>
          <t>N/D</t>
        </is>
      </c>
      <c r="D161" s="75" t="inlineStr">
        <is>
          <t>R$1.000,00</t>
        </is>
      </c>
      <c r="E161" s="143" t="n">
        <v>1000</v>
      </c>
      <c r="F161" s="75" t="inlineStr">
        <is>
          <t>preço/valor unitário de emissão</t>
        </is>
      </c>
      <c r="G161" s="75" t="b">
        <v>1</v>
      </c>
      <c r="H161" s="75" t="inlineStr">
        <is>
          <t>regulamento</t>
        </is>
      </c>
      <c r="I161" s="75" t="n">
        <v>1003104</v>
      </c>
      <c r="J161" s="75" t="inlineStr">
        <is>
          <t>Atos de Deliberação do Administrador Instrumento Particular de Alteração do Regulamento</t>
        </is>
      </c>
      <c r="K161" s="75" t="inlineStr">
        <is>
          <t>30/09/2025</t>
        </is>
      </c>
      <c r="L161" s="75" t="n">
        <v>109</v>
      </c>
      <c r="M161" s="75" t="inlineStr">
        <is>
          <t>encontrado_explicito</t>
        </is>
      </c>
      <c r="N161" s="75" t="b">
        <v>1</v>
      </c>
      <c r="O161" s="75" t="inlineStr">
        <is>
          <t>.cache/carteira_101_document_scan/55476342000174/1003104.json.gz</t>
        </is>
      </c>
      <c r="P161" s="75" t="inlineStr">
        <is>
          <t>https://fnet.bmfbovespa.com.br/fnet/publico/downloadDocumento?id=1003104</t>
        </is>
      </c>
      <c r="Q161" s="75" t="inlineStr">
        <is>
          <t>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t>
        </is>
      </c>
    </row>
    <row r="162" ht="40.5" customHeight="1">
      <c r="A162" s="138" t="n">
        <v>55476342000174</v>
      </c>
      <c r="B162" s="74" t="inlineStr">
        <is>
          <t>55.476.342/0001-74</t>
        </is>
      </c>
      <c r="C162" s="74" t="inlineStr">
        <is>
          <t>cotas seniores</t>
        </is>
      </c>
      <c r="D162" s="74" t="inlineStr">
        <is>
          <t>R$ 1.000,00</t>
        </is>
      </c>
      <c r="E162" s="139" t="n">
        <v>1000</v>
      </c>
      <c r="F162" s="74" t="inlineStr">
        <is>
          <t>valor nominal unitário (VNU)</t>
        </is>
      </c>
      <c r="G162" s="74" t="b">
        <v>0</v>
      </c>
      <c r="H162" s="74" t="inlineStr">
        <is>
          <t>emissao</t>
        </is>
      </c>
      <c r="I162" s="74" t="n">
        <v>767190</v>
      </c>
      <c r="J162" s="74" t="inlineStr">
        <is>
          <t>Atos de Deliberação do Administrador Instrumento Particular de Emissão de Cotas</t>
        </is>
      </c>
      <c r="K162" s="74" t="inlineStr">
        <is>
          <t>22/10/2024</t>
        </is>
      </c>
      <c r="L162" s="74" t="n">
        <v>1</v>
      </c>
      <c r="M162" s="74" t="inlineStr">
        <is>
          <t>encontrado_explicito</t>
        </is>
      </c>
      <c r="N162" s="74" t="b">
        <v>1</v>
      </c>
      <c r="O162" s="74" t="inlineStr">
        <is>
          <t>.cache/carteira_101_document_scan/55476342000174/767190.json.gz</t>
        </is>
      </c>
      <c r="P162" s="74" t="inlineStr">
        <is>
          <t>https://fnet.bmfbovespa.com.br/fnet/publico/downloadDocumento?id=767190</t>
        </is>
      </c>
      <c r="Q162" s="74" t="inlineStr">
        <is>
          <t>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t>
        </is>
      </c>
    </row>
    <row r="163" ht="40.5" customHeight="1">
      <c r="A163" s="142" t="n">
        <v>55476342000174</v>
      </c>
      <c r="B163" s="75" t="inlineStr">
        <is>
          <t>55.476.342/0001-74</t>
        </is>
      </c>
      <c r="C163" s="75" t="inlineStr">
        <is>
          <t>cotas subordinadas</t>
        </is>
      </c>
      <c r="D163" s="75" t="inlineStr">
        <is>
          <t>R$ 1.000,00</t>
        </is>
      </c>
      <c r="E163" s="143" t="n">
        <v>1000</v>
      </c>
      <c r="F163" s="75" t="inlineStr">
        <is>
          <t>valor nominal unitário (VNU)</t>
        </is>
      </c>
      <c r="G163" s="75" t="b">
        <v>0</v>
      </c>
      <c r="H163" s="75" t="inlineStr">
        <is>
          <t>emissao</t>
        </is>
      </c>
      <c r="I163" s="75" t="n">
        <v>767190</v>
      </c>
      <c r="J163" s="75" t="inlineStr">
        <is>
          <t>Atos de Deliberação do Administrador Instrumento Particular de Emissão de Cotas</t>
        </is>
      </c>
      <c r="K163" s="75" t="inlineStr">
        <is>
          <t>22/10/2024</t>
        </is>
      </c>
      <c r="L163" s="75" t="n">
        <v>2</v>
      </c>
      <c r="M163" s="75" t="inlineStr">
        <is>
          <t>encontrado_explicito</t>
        </is>
      </c>
      <c r="N163" s="75" t="b">
        <v>1</v>
      </c>
      <c r="O163" s="75" t="inlineStr">
        <is>
          <t>.cache/carteira_101_document_scan/55476342000174/767190.json.gz</t>
        </is>
      </c>
      <c r="P163" s="75" t="inlineStr">
        <is>
          <t>https://fnet.bmfbovespa.com.br/fnet/publico/downloadDocumento?id=767190</t>
        </is>
      </c>
      <c r="Q163" s="75" t="inlineStr">
        <is>
          <t>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t>
        </is>
      </c>
    </row>
    <row r="164" ht="40.5" customHeight="1">
      <c r="A164" s="138" t="n">
        <v>55476342000174</v>
      </c>
      <c r="B164" s="74" t="inlineStr">
        <is>
          <t>55.476.342/0001-74</t>
        </is>
      </c>
      <c r="C164" s="74" t="inlineStr">
        <is>
          <t>Cotas Subordinadas</t>
        </is>
      </c>
      <c r="D164" s="74" t="inlineStr">
        <is>
          <t>R$ 1.000,00</t>
        </is>
      </c>
      <c r="E164" s="139" t="n">
        <v>1000</v>
      </c>
      <c r="F164" s="74" t="inlineStr">
        <is>
          <t>preço/valor unitário de emissão</t>
        </is>
      </c>
      <c r="G164" s="74" t="b">
        <v>0</v>
      </c>
      <c r="H164" s="74" t="inlineStr">
        <is>
          <t>emissao</t>
        </is>
      </c>
      <c r="I164" s="74" t="n">
        <v>763709</v>
      </c>
      <c r="J164" s="74" t="inlineStr">
        <is>
          <t>Atos de Deliberação do Administrador Instrumento Particular de Emissão de Cotas</t>
        </is>
      </c>
      <c r="K164" s="74" t="inlineStr">
        <is>
          <t>24/10/2024</t>
        </is>
      </c>
      <c r="L164" s="74" t="n">
        <v>2</v>
      </c>
      <c r="M164" s="74" t="inlineStr">
        <is>
          <t>encontrado_explicito</t>
        </is>
      </c>
      <c r="N164" s="74" t="b">
        <v>1</v>
      </c>
      <c r="O164" s="74" t="inlineStr">
        <is>
          <t>.cache/carteira_101_document_scan/55476342000174/763709.json.gz</t>
        </is>
      </c>
      <c r="P164" s="74" t="inlineStr">
        <is>
          <t>https://fnet.bmfbovespa.com.br/fnet/publico/downloadDocumento?id=763709</t>
        </is>
      </c>
      <c r="Q164" s="74" t="inlineStr">
        <is>
          <t>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t>
        </is>
      </c>
    </row>
    <row r="165" ht="40.5" customHeight="1">
      <c r="A165" s="142" t="n">
        <v>55476342000174</v>
      </c>
      <c r="B165" s="75" t="inlineStr">
        <is>
          <t>55.476.342/0001-74</t>
        </is>
      </c>
      <c r="C165" s="75" t="inlineStr">
        <is>
          <t>N/D</t>
        </is>
      </c>
      <c r="D165" s="75" t="inlineStr">
        <is>
          <t>R$1.000,00</t>
        </is>
      </c>
      <c r="E165" s="143" t="n">
        <v>1000</v>
      </c>
      <c r="F165" s="75" t="inlineStr">
        <is>
          <t>valor nominal unitário (VNU)</t>
        </is>
      </c>
      <c r="G165" s="75" t="b">
        <v>1</v>
      </c>
      <c r="H165" s="75" t="inlineStr">
        <is>
          <t>emissao</t>
        </is>
      </c>
      <c r="I165" s="75" t="n">
        <v>763709</v>
      </c>
      <c r="J165" s="75" t="inlineStr">
        <is>
          <t>Atos de Deliberação do Administrador Instrumento Particular de Emissão de Cotas</t>
        </is>
      </c>
      <c r="K165" s="75" t="inlineStr">
        <is>
          <t>24/10/2024</t>
        </is>
      </c>
      <c r="L165" s="75" t="n">
        <v>1</v>
      </c>
      <c r="M165" s="75" t="inlineStr">
        <is>
          <t>encontrado_explicito</t>
        </is>
      </c>
      <c r="N165" s="75" t="b">
        <v>1</v>
      </c>
      <c r="O165" s="75" t="inlineStr">
        <is>
          <t>.cache/carteira_101_document_scan/55476342000174/763709.json.gz</t>
        </is>
      </c>
      <c r="P165" s="75" t="inlineStr">
        <is>
          <t>https://fnet.bmfbovespa.com.br/fnet/publico/downloadDocumento?id=763709</t>
        </is>
      </c>
      <c r="Q165" s="75" t="inlineStr">
        <is>
          <t>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t>
        </is>
      </c>
    </row>
    <row r="166" ht="40.5" customHeight="1">
      <c r="A166" s="138" t="n">
        <v>56936116000191</v>
      </c>
      <c r="B166" s="74" t="inlineStr">
        <is>
          <t>56.936.116/0001-91</t>
        </is>
      </c>
      <c r="C166" s="74" t="inlineStr">
        <is>
          <t>Cotas Subordinadas Júnior</t>
        </is>
      </c>
      <c r="D166" s="74" t="inlineStr">
        <is>
          <t>R$ 658,96</t>
        </is>
      </c>
      <c r="E166" s="139" t="n">
        <v>658.96</v>
      </c>
      <c r="F166" s="74" t="inlineStr">
        <is>
          <t>valor nominal unitário (VNU)</t>
        </is>
      </c>
      <c r="G166" s="74" t="b">
        <v>0</v>
      </c>
      <c r="H166" s="74" t="inlineStr">
        <is>
          <t>emissao</t>
        </is>
      </c>
      <c r="I166" s="74" t="n">
        <v>1030090</v>
      </c>
      <c r="J166" s="74" t="inlineStr">
        <is>
          <t>Oferta Pública de Distribuição de Cotas Anúncio de Início</t>
        </is>
      </c>
      <c r="K166" s="74" t="inlineStr">
        <is>
          <t>06/11/2025</t>
        </is>
      </c>
      <c r="L166" s="74" t="n">
        <v>2</v>
      </c>
      <c r="M166" s="74" t="inlineStr">
        <is>
          <t>encontrado_explicito</t>
        </is>
      </c>
      <c r="N166" s="74" t="b">
        <v>1</v>
      </c>
      <c r="O166" s="74" t="inlineStr">
        <is>
          <t>.cache/carteira_101_document_scan/56936116000191/1030090.json.gz</t>
        </is>
      </c>
      <c r="P166" s="74" t="inlineStr">
        <is>
          <t>https://fnet.bmfbovespa.com.br/fnet/publico/downloadDocumento?id=1030090</t>
        </is>
      </c>
      <c r="Q166" s="74" t="inlineStr">
        <is>
          <t>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t>
        </is>
      </c>
    </row>
    <row r="167" ht="40.5" customHeight="1">
      <c r="A167" s="142" t="n">
        <v>56936116000191</v>
      </c>
      <c r="B167" s="75" t="inlineStr">
        <is>
          <t>56.936.116/0001-91</t>
        </is>
      </c>
      <c r="C167" s="75" t="inlineStr">
        <is>
          <t>Cotas Subordinadas Mezanino</t>
        </is>
      </c>
      <c r="D167" s="75" t="inlineStr">
        <is>
          <t>R$ 1.000,00</t>
        </is>
      </c>
      <c r="E167" s="143" t="n">
        <v>1000</v>
      </c>
      <c r="F167" s="75" t="inlineStr">
        <is>
          <t>valor nominal unitário (VNU)</t>
        </is>
      </c>
      <c r="G167" s="75" t="b">
        <v>0</v>
      </c>
      <c r="H167" s="75" t="inlineStr">
        <is>
          <t>emissao</t>
        </is>
      </c>
      <c r="I167" s="75" t="n">
        <v>1030090</v>
      </c>
      <c r="J167" s="75" t="inlineStr">
        <is>
          <t>Oferta Pública de Distribuição de Cotas Anúncio de Início</t>
        </is>
      </c>
      <c r="K167" s="75" t="inlineStr">
        <is>
          <t>06/11/2025</t>
        </is>
      </c>
      <c r="L167" s="75" t="n">
        <v>2</v>
      </c>
      <c r="M167" s="75" t="inlineStr">
        <is>
          <t>encontrado_explicito</t>
        </is>
      </c>
      <c r="N167" s="75" t="b">
        <v>1</v>
      </c>
      <c r="O167" s="75" t="inlineStr">
        <is>
          <t>.cache/carteira_101_document_scan/56936116000191/1030090.json.gz</t>
        </is>
      </c>
      <c r="P167" s="75" t="inlineStr">
        <is>
          <t>https://fnet.bmfbovespa.com.br/fnet/publico/downloadDocumento?id=1030090</t>
        </is>
      </c>
      <c r="Q167" s="75" t="inlineStr">
        <is>
          <t>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
        </is>
      </c>
    </row>
    <row r="168" ht="40.5" customHeight="1">
      <c r="A168" s="138" t="n">
        <v>57028406000108</v>
      </c>
      <c r="B168" s="74" t="inlineStr">
        <is>
          <t>57.028.406/0001-08</t>
        </is>
      </c>
      <c r="C168" s="74" t="inlineStr">
        <is>
          <t>Cotas Seniores</t>
        </is>
      </c>
      <c r="D168" s="74" t="inlineStr">
        <is>
          <t>R$ 1.000,00</t>
        </is>
      </c>
      <c r="E168" s="139" t="n">
        <v>1000</v>
      </c>
      <c r="F168" s="74" t="inlineStr">
        <is>
          <t>preço/valor unitário de emissão</t>
        </is>
      </c>
      <c r="G168" s="74" t="b">
        <v>0</v>
      </c>
      <c r="H168" s="74" t="inlineStr">
        <is>
          <t>emissao</t>
        </is>
      </c>
      <c r="I168" s="74" t="n">
        <v>796086</v>
      </c>
      <c r="J168" s="74" t="inlineStr">
        <is>
          <t>Oferta Pública de Distribuição de Cotas Anúncio de Encerramento</t>
        </is>
      </c>
      <c r="K168" s="74" t="inlineStr">
        <is>
          <t>06/12/2024</t>
        </is>
      </c>
      <c r="L168" s="74" t="n">
        <v>2</v>
      </c>
      <c r="M168" s="74" t="inlineStr">
        <is>
          <t>encontrado_explicito</t>
        </is>
      </c>
      <c r="N168" s="74" t="b">
        <v>1</v>
      </c>
      <c r="O168" s="74" t="inlineStr">
        <is>
          <t>.cache/carteira_101_document_scan/57028406000108/796086.json.gz</t>
        </is>
      </c>
      <c r="P168" s="74" t="inlineStr">
        <is>
          <t>https://fnet.bmfbovespa.com.br/fnet/publico/downloadDocumento?id=796086</t>
        </is>
      </c>
      <c r="Q168" s="74" t="inlineStr">
        <is>
          <t>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t>
        </is>
      </c>
    </row>
    <row r="169" ht="40.5" customHeight="1">
      <c r="A169" s="142" t="n">
        <v>57028406000108</v>
      </c>
      <c r="B169" s="75" t="inlineStr">
        <is>
          <t>57.028.406/0001-08</t>
        </is>
      </c>
      <c r="C169" s="75" t="inlineStr">
        <is>
          <t>Cotas Subordinadas Mezanino</t>
        </is>
      </c>
      <c r="D169" s="75" t="inlineStr">
        <is>
          <t>R$ 1.000,00</t>
        </is>
      </c>
      <c r="E169" s="143" t="n">
        <v>1000</v>
      </c>
      <c r="F169" s="75" t="inlineStr">
        <is>
          <t>preço/valor unitário de emissão</t>
        </is>
      </c>
      <c r="G169" s="75" t="b">
        <v>0</v>
      </c>
      <c r="H169" s="75" t="inlineStr">
        <is>
          <t>emissao</t>
        </is>
      </c>
      <c r="I169" s="75" t="n">
        <v>796086</v>
      </c>
      <c r="J169" s="75" t="inlineStr">
        <is>
          <t>Oferta Pública de Distribuição de Cotas Anúncio de Encerramento</t>
        </is>
      </c>
      <c r="K169" s="75" t="inlineStr">
        <is>
          <t>06/12/2024</t>
        </is>
      </c>
      <c r="L169" s="75" t="n">
        <v>2</v>
      </c>
      <c r="M169" s="75" t="inlineStr">
        <is>
          <t>encontrado_explicito</t>
        </is>
      </c>
      <c r="N169" s="75" t="b">
        <v>1</v>
      </c>
      <c r="O169" s="75" t="inlineStr">
        <is>
          <t>.cache/carteira_101_document_scan/57028406000108/796086.json.gz</t>
        </is>
      </c>
      <c r="P169" s="75" t="inlineStr">
        <is>
          <t>https://fnet.bmfbovespa.com.br/fnet/publico/downloadDocumento?id=796086</t>
        </is>
      </c>
      <c r="Q169" s="75" t="inlineStr">
        <is>
          <t>(setecentos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t>
        </is>
      </c>
    </row>
    <row r="170" ht="40.5" customHeight="1">
      <c r="A170" s="138" t="n">
        <v>57259989000170</v>
      </c>
      <c r="B170" s="74" t="inlineStr">
        <is>
          <t>57.259.989/0001-70</t>
        </is>
      </c>
      <c r="C170" s="74" t="inlineStr">
        <is>
          <t>Cotas Subordinadas</t>
        </is>
      </c>
      <c r="D170" s="74" t="inlineStr">
        <is>
          <t>R$ 1.000,00</t>
        </is>
      </c>
      <c r="E170" s="139" t="n">
        <v>1000</v>
      </c>
      <c r="F170" s="74" t="inlineStr">
        <is>
          <t>preço/valor unitário de emissão</t>
        </is>
      </c>
      <c r="G170" s="74" t="b">
        <v>0</v>
      </c>
      <c r="H170" s="74" t="inlineStr">
        <is>
          <t>regulamento</t>
        </is>
      </c>
      <c r="I170" s="74" t="n">
        <v>1016583</v>
      </c>
      <c r="J170" s="74" t="inlineStr">
        <is>
          <t>regulamento</t>
        </is>
      </c>
      <c r="K170" s="74" t="inlineStr">
        <is>
          <t>2025-10-16</t>
        </is>
      </c>
      <c r="L170" s="74" t="n">
        <v>79</v>
      </c>
      <c r="M170" s="74" t="inlineStr">
        <is>
          <t>encontrado_explicito</t>
        </is>
      </c>
      <c r="N170" s="74" t="b">
        <v>1</v>
      </c>
      <c r="O170" s="74" t="inlineStr">
        <is>
          <t>data/raw/57259989000170/1016583_regulamento_regulamento_1016583_2025-10-16_2025-10-16.pdf</t>
        </is>
      </c>
      <c r="P170" s="74" t="inlineStr">
        <is>
          <t>https://fnet.bmfbovespa.com.br/fnet/publico/downloadDocumento?id=1016583</t>
        </is>
      </c>
      <c r="Q170" s="74"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t>
        </is>
      </c>
    </row>
    <row r="171" ht="40.5" customHeight="1">
      <c r="A171" s="142" t="n">
        <v>57259989000170</v>
      </c>
      <c r="B171" s="75" t="inlineStr">
        <is>
          <t>57.259.989/0001-70</t>
        </is>
      </c>
      <c r="C171" s="75" t="inlineStr">
        <is>
          <t>Cotas Subordinadas Júnior</t>
        </is>
      </c>
      <c r="D171" s="75" t="inlineStr">
        <is>
          <t>R$1.000,00</t>
        </is>
      </c>
      <c r="E171" s="143" t="n">
        <v>1000</v>
      </c>
      <c r="F171" s="75" t="inlineStr">
        <is>
          <t>preço/valor unitário de emissão</t>
        </is>
      </c>
      <c r="G171" s="75" t="b">
        <v>0</v>
      </c>
      <c r="H171" s="75" t="inlineStr">
        <is>
          <t>regulamento</t>
        </is>
      </c>
      <c r="I171" s="75" t="n">
        <v>1016583</v>
      </c>
      <c r="J171" s="75" t="inlineStr">
        <is>
          <t>regulamento</t>
        </is>
      </c>
      <c r="K171" s="75" t="inlineStr">
        <is>
          <t>2025-10-16</t>
        </is>
      </c>
      <c r="L171" s="75" t="n">
        <v>154</v>
      </c>
      <c r="M171" s="75" t="inlineStr">
        <is>
          <t>encontrado_explicito</t>
        </is>
      </c>
      <c r="N171" s="75" t="b">
        <v>1</v>
      </c>
      <c r="O171" s="75" t="inlineStr">
        <is>
          <t>data/raw/57259989000170/1016583_regulamento_regulamento_1016583_2025-10-16_2025-10-16.pdf</t>
        </is>
      </c>
      <c r="P171" s="75" t="inlineStr">
        <is>
          <t>https://fnet.bmfbovespa.com.br/fnet/publico/downloadDocumento?id=1016583</t>
        </is>
      </c>
      <c r="Q171"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72" ht="40.5" customHeight="1">
      <c r="A172" s="138" t="n">
        <v>57259989000170</v>
      </c>
      <c r="B172" s="74" t="inlineStr">
        <is>
          <t>57.259.989/0001-70</t>
        </is>
      </c>
      <c r="C172" s="74" t="inlineStr">
        <is>
          <t>N/D</t>
        </is>
      </c>
      <c r="D172" s="74" t="inlineStr">
        <is>
          <t>R$1.000,00</t>
        </is>
      </c>
      <c r="E172" s="139" t="n">
        <v>1000</v>
      </c>
      <c r="F172" s="74" t="inlineStr">
        <is>
          <t>preço/valor unitário de emissão</t>
        </is>
      </c>
      <c r="G172" s="74" t="b">
        <v>1</v>
      </c>
      <c r="H172" s="74" t="inlineStr">
        <is>
          <t>regulamento</t>
        </is>
      </c>
      <c r="I172" s="74" t="n">
        <v>1016583</v>
      </c>
      <c r="J172" s="74" t="inlineStr">
        <is>
          <t>regulamento</t>
        </is>
      </c>
      <c r="K172" s="74" t="inlineStr">
        <is>
          <t>2025-10-16</t>
        </is>
      </c>
      <c r="L172" s="74" t="n">
        <v>64</v>
      </c>
      <c r="M172" s="74" t="inlineStr">
        <is>
          <t>encontrado_explicito</t>
        </is>
      </c>
      <c r="N172" s="74" t="b">
        <v>1</v>
      </c>
      <c r="O172" s="74" t="inlineStr">
        <is>
          <t>data/raw/57259989000170/1016583_regulamento_regulamento_1016583_2025-10-16_2025-10-16.pdf</t>
        </is>
      </c>
      <c r="P172" s="74" t="inlineStr">
        <is>
          <t>https://fnet.bmfbovespa.com.br/fnet/publico/downloadDocumento?id=1016583</t>
        </is>
      </c>
      <c r="Q172"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t>
        </is>
      </c>
    </row>
    <row r="173" ht="40.5" customHeight="1">
      <c r="A173" s="142" t="n">
        <v>57259989000170</v>
      </c>
      <c r="B173" s="75" t="inlineStr">
        <is>
          <t>57.259.989/0001-70</t>
        </is>
      </c>
      <c r="C173" s="75" t="inlineStr">
        <is>
          <t>Cotas Seniores</t>
        </is>
      </c>
      <c r="D173" s="75" t="inlineStr">
        <is>
          <t>R$1.000,00</t>
        </is>
      </c>
      <c r="E173" s="143" t="n">
        <v>1000</v>
      </c>
      <c r="F173" s="75" t="inlineStr">
        <is>
          <t>valor nominal unitário (VNU)</t>
        </is>
      </c>
      <c r="G173" s="75" t="b">
        <v>0</v>
      </c>
      <c r="H173" s="75" t="inlineStr">
        <is>
          <t>emissao</t>
        </is>
      </c>
      <c r="I173" s="75" t="n">
        <v>1021246</v>
      </c>
      <c r="J173" s="75" t="inlineStr">
        <is>
          <t>Oferta Pública de Distribuição de Cotas Anúncio de Início</t>
        </is>
      </c>
      <c r="K173" s="75" t="inlineStr">
        <is>
          <t>27/10/2025</t>
        </is>
      </c>
      <c r="L173" s="75" t="n">
        <v>1</v>
      </c>
      <c r="M173" s="75" t="inlineStr">
        <is>
          <t>encontrado_explicito</t>
        </is>
      </c>
      <c r="N173" s="75" t="b">
        <v>1</v>
      </c>
      <c r="O173" s="75" t="inlineStr">
        <is>
          <t>.cache/carteira_101_document_scan/57259989000170/1021246.json.gz</t>
        </is>
      </c>
      <c r="P173" s="75" t="inlineStr">
        <is>
          <t>https://fnet.bmfbovespa.com.br/fnet/publico/downloadDocumento?id=1021246</t>
        </is>
      </c>
      <c r="Q173" s="75" t="inlineStr">
        <is>
          <t>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t>
        </is>
      </c>
    </row>
    <row r="174" ht="40.5" customHeight="1">
      <c r="A174" s="138" t="n">
        <v>57259989000170</v>
      </c>
      <c r="B174" s="74" t="inlineStr">
        <is>
          <t>57.259.989/0001-70</t>
        </is>
      </c>
      <c r="C174" s="74" t="inlineStr">
        <is>
          <t>Cotas Seniores</t>
        </is>
      </c>
      <c r="D174" s="74" t="inlineStr">
        <is>
          <t>R$ 1.000,00</t>
        </is>
      </c>
      <c r="E174" s="139" t="n">
        <v>1000</v>
      </c>
      <c r="F174" s="74" t="inlineStr">
        <is>
          <t>preço/valor unitário de emissão</t>
        </is>
      </c>
      <c r="G174" s="74" t="b">
        <v>0</v>
      </c>
      <c r="H174" s="74" t="inlineStr">
        <is>
          <t>assembleia</t>
        </is>
      </c>
      <c r="I174" s="74" t="n">
        <v>1016581</v>
      </c>
      <c r="J174" s="74" t="inlineStr">
        <is>
          <t>Assembleia AGO/E Ata da Assembleia</t>
        </is>
      </c>
      <c r="K174" s="74" t="inlineStr">
        <is>
          <t>16/10/2025 10:00</t>
        </is>
      </c>
      <c r="L174" s="74" t="n">
        <v>5</v>
      </c>
      <c r="M174" s="74" t="inlineStr">
        <is>
          <t>encontrado_explicito</t>
        </is>
      </c>
      <c r="N174" s="74" t="b">
        <v>1</v>
      </c>
      <c r="O174" s="74" t="inlineStr">
        <is>
          <t>.cache/carteira_101_document_scan/57259989000170/1016581.json.gz</t>
        </is>
      </c>
      <c r="P174" s="74" t="inlineStr">
        <is>
          <t>https://fnet.bmfbovespa.com.br/fnet/publico/downloadDocumento?id=1016581</t>
        </is>
      </c>
      <c r="Q174" s="74" t="inlineStr">
        <is>
          <t>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t>
        </is>
      </c>
    </row>
    <row r="175" ht="40.5" customHeight="1">
      <c r="A175" s="142" t="n">
        <v>57259989000170</v>
      </c>
      <c r="B175" s="75" t="inlineStr">
        <is>
          <t>57.259.989/0001-70</t>
        </is>
      </c>
      <c r="C175" s="75" t="inlineStr">
        <is>
          <t>Cotas Subordinadas Mezanino</t>
        </is>
      </c>
      <c r="D175" s="75" t="inlineStr">
        <is>
          <t>R$1.000,00</t>
        </is>
      </c>
      <c r="E175" s="143" t="n">
        <v>1000</v>
      </c>
      <c r="F175" s="75" t="inlineStr">
        <is>
          <t>valor nominal unitário (VNU)</t>
        </is>
      </c>
      <c r="G175" s="75" t="b">
        <v>0</v>
      </c>
      <c r="H175" s="75" t="inlineStr">
        <is>
          <t>assembleia</t>
        </is>
      </c>
      <c r="I175" s="75" t="n">
        <v>1016581</v>
      </c>
      <c r="J175" s="75" t="inlineStr">
        <is>
          <t>Assembleia AGO/E Ata da Assembleia</t>
        </is>
      </c>
      <c r="K175" s="75" t="inlineStr">
        <is>
          <t>16/10/2025 10:00</t>
        </is>
      </c>
      <c r="L175" s="75" t="n">
        <v>2</v>
      </c>
      <c r="M175" s="75" t="inlineStr">
        <is>
          <t>encontrado_explicito</t>
        </is>
      </c>
      <c r="N175" s="75" t="b">
        <v>1</v>
      </c>
      <c r="O175" s="75" t="inlineStr">
        <is>
          <t>.cache/carteira_101_document_scan/57259989000170/1016581.json.gz</t>
        </is>
      </c>
      <c r="P175" s="75" t="inlineStr">
        <is>
          <t>https://fnet.bmfbovespa.com.br/fnet/publico/downloadDocumento?id=1016581</t>
        </is>
      </c>
      <c r="Q175" s="75" t="inlineStr">
        <is>
          <t>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t>
        </is>
      </c>
    </row>
    <row r="176" ht="40.5" customHeight="1">
      <c r="A176" s="138" t="n">
        <v>57259989000170</v>
      </c>
      <c r="B176" s="74" t="inlineStr">
        <is>
          <t>57.259.989/0001-70</t>
        </is>
      </c>
      <c r="C176" s="74" t="inlineStr">
        <is>
          <t>série de Cotas Seniores</t>
        </is>
      </c>
      <c r="D176" s="74" t="inlineStr">
        <is>
          <t>R$1.000,00</t>
        </is>
      </c>
      <c r="E176" s="139" t="n">
        <v>1000</v>
      </c>
      <c r="F176" s="74" t="inlineStr">
        <is>
          <t>valor nominal unitário (VNU)</t>
        </is>
      </c>
      <c r="G176" s="74" t="b">
        <v>0</v>
      </c>
      <c r="H176" s="74" t="inlineStr">
        <is>
          <t>assembleia</t>
        </is>
      </c>
      <c r="I176" s="74" t="n">
        <v>1016581</v>
      </c>
      <c r="J176" s="74" t="inlineStr">
        <is>
          <t>Assembleia AGO/E Ata da Assembleia</t>
        </is>
      </c>
      <c r="K176" s="74" t="inlineStr">
        <is>
          <t>16/10/2025 10:00</t>
        </is>
      </c>
      <c r="L176" s="74" t="n">
        <v>2</v>
      </c>
      <c r="M176" s="74" t="inlineStr">
        <is>
          <t>encontrado_explicito</t>
        </is>
      </c>
      <c r="N176" s="74" t="b">
        <v>1</v>
      </c>
      <c r="O176" s="74" t="inlineStr">
        <is>
          <t>.cache/carteira_101_document_scan/57259989000170/1016581.json.gz</t>
        </is>
      </c>
      <c r="P176" s="74" t="inlineStr">
        <is>
          <t>https://fnet.bmfbovespa.com.br/fnet/publico/downloadDocumento?id=1016581</t>
        </is>
      </c>
      <c r="Q176" s="74" t="inlineStr">
        <is>
          <t>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t>
        </is>
      </c>
    </row>
    <row r="177" ht="40.5" customHeight="1">
      <c r="A177" s="142" t="n">
        <v>57270666000187</v>
      </c>
      <c r="B177" s="75" t="inlineStr">
        <is>
          <t>57.270.666/0001-87</t>
        </is>
      </c>
      <c r="C177" s="75" t="inlineStr">
        <is>
          <t>Cotas Seniores</t>
        </is>
      </c>
      <c r="D177" s="75" t="inlineStr">
        <is>
          <t>R$ 1.000,00</t>
        </is>
      </c>
      <c r="E177" s="143" t="n">
        <v>1000</v>
      </c>
      <c r="F177" s="75" t="inlineStr">
        <is>
          <t>preço/valor unitário de emissão</t>
        </is>
      </c>
      <c r="G177" s="75" t="b">
        <v>0</v>
      </c>
      <c r="H177" s="75" t="inlineStr">
        <is>
          <t>regulamento</t>
        </is>
      </c>
      <c r="I177" s="75" t="n">
        <v>769275</v>
      </c>
      <c r="J177" s="75" t="inlineStr">
        <is>
          <t>Atos de Deliberação do Administrador Instrumento Particular de Alteração do Regulamento</t>
        </is>
      </c>
      <c r="K177" s="75" t="inlineStr">
        <is>
          <t>31/10/2024</t>
        </is>
      </c>
      <c r="L177" s="75" t="n">
        <v>5</v>
      </c>
      <c r="M177" s="75" t="inlineStr">
        <is>
          <t>encontrado_explicito</t>
        </is>
      </c>
      <c r="N177" s="75" t="b">
        <v>1</v>
      </c>
      <c r="O177" s="75" t="inlineStr">
        <is>
          <t>.cache/carteira_101_document_scan/57270666000187/769275.json.gz</t>
        </is>
      </c>
      <c r="P177" s="75" t="inlineStr">
        <is>
          <t>https://fnet.bmfbovespa.com.br/fnet/publico/downloadDocumento?id=769275</t>
        </is>
      </c>
      <c r="Q177" s="75" t="inlineStr">
        <is>
          <t>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t>
        </is>
      </c>
    </row>
    <row r="178" ht="40.5" customHeight="1">
      <c r="A178" s="138" t="n">
        <v>57816252000100</v>
      </c>
      <c r="B178" s="74" t="inlineStr">
        <is>
          <t>57.816.252/0001-00</t>
        </is>
      </c>
      <c r="C178" s="74" t="inlineStr">
        <is>
          <t>Cotas Seniores</t>
        </is>
      </c>
      <c r="D178" s="74" t="inlineStr">
        <is>
          <t>R$ 1.000,00</t>
        </is>
      </c>
      <c r="E178" s="139" t="n">
        <v>1000</v>
      </c>
      <c r="F178" s="74" t="inlineStr">
        <is>
          <t>preço/valor unitário de emissão</t>
        </is>
      </c>
      <c r="G178" s="74" t="b">
        <v>0</v>
      </c>
      <c r="H178" s="74" t="inlineStr">
        <is>
          <t>assembleia</t>
        </is>
      </c>
      <c r="I178" s="74" t="n">
        <v>1150911</v>
      </c>
      <c r="J178" s="74" t="inlineStr">
        <is>
          <t>Assembleia AGE Ata da Assembleia</t>
        </is>
      </c>
      <c r="K178" s="74" t="inlineStr">
        <is>
          <t>30/03/2026 18:00</t>
        </is>
      </c>
      <c r="L178" s="74" t="n">
        <v>7</v>
      </c>
      <c r="M178" s="74" t="inlineStr">
        <is>
          <t>encontrado_explicito</t>
        </is>
      </c>
      <c r="N178" s="74" t="b">
        <v>1</v>
      </c>
      <c r="O178" s="74" t="inlineStr">
        <is>
          <t>.cache/carteira_101_document_scan/57816252000100/1150911.json.gz</t>
        </is>
      </c>
      <c r="P178" s="74" t="inlineStr">
        <is>
          <t>https://fnet.bmfbovespa.com.br/fnet/publico/downloadDocumento?id=1150911</t>
        </is>
      </c>
      <c r="Q178" s="74" t="inlineStr">
        <is>
          <t>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t>
        </is>
      </c>
    </row>
    <row r="179" ht="40.5" customHeight="1">
      <c r="A179" s="142" t="n">
        <v>58171340000165</v>
      </c>
      <c r="B179" s="75" t="inlineStr">
        <is>
          <t>58.171.340/0001-65</t>
        </is>
      </c>
      <c r="C179" s="75" t="inlineStr">
        <is>
          <t>Cotas Seniores</t>
        </is>
      </c>
      <c r="D179" s="75" t="inlineStr">
        <is>
          <t>R$1.000,00</t>
        </is>
      </c>
      <c r="E179" s="143" t="n">
        <v>1000</v>
      </c>
      <c r="F179" s="75" t="inlineStr">
        <is>
          <t>valor nominal unitário (VNU)</t>
        </is>
      </c>
      <c r="G179" s="75" t="b">
        <v>0</v>
      </c>
      <c r="H179" s="75" t="inlineStr">
        <is>
          <t>emissao</t>
        </is>
      </c>
      <c r="I179" s="75" t="n">
        <v>1067840</v>
      </c>
      <c r="J179" s="75" t="inlineStr">
        <is>
          <t>Oferta Pública de Distribuição de Cotas Anúncio de Início</t>
        </is>
      </c>
      <c r="K179" s="75" t="inlineStr">
        <is>
          <t>22/12/2025</t>
        </is>
      </c>
      <c r="L179" s="75" t="n">
        <v>2</v>
      </c>
      <c r="M179" s="75" t="inlineStr">
        <is>
          <t>encontrado_explicito</t>
        </is>
      </c>
      <c r="N179" s="75" t="b">
        <v>1</v>
      </c>
      <c r="O179" s="75" t="inlineStr">
        <is>
          <t>.cache/carteira_101_document_scan/58171340000165/1067840.json.gz</t>
        </is>
      </c>
      <c r="P179" s="75" t="inlineStr">
        <is>
          <t>https://fnet.bmfbovespa.com.br/fnet/publico/downloadDocumento?id=1067840</t>
        </is>
      </c>
      <c r="Q179" s="75" t="inlineStr">
        <is>
          <t>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t>
        </is>
      </c>
    </row>
    <row r="180" ht="40.5" customHeight="1">
      <c r="A180" s="138" t="n">
        <v>58171340000165</v>
      </c>
      <c r="B180" s="74" t="inlineStr">
        <is>
          <t>58.171.340/0001-65</t>
        </is>
      </c>
      <c r="C180" s="74" t="inlineStr">
        <is>
          <t>Cotas Subordinadas Mezanino</t>
        </is>
      </c>
      <c r="D180" s="74" t="inlineStr">
        <is>
          <t>R$ 1.000,00</t>
        </is>
      </c>
      <c r="E180" s="139" t="n">
        <v>1000</v>
      </c>
      <c r="F180" s="74" t="inlineStr">
        <is>
          <t>preço/valor unitário de emissão</t>
        </is>
      </c>
      <c r="G180" s="74" t="b">
        <v>0</v>
      </c>
      <c r="H180" s="74" t="inlineStr">
        <is>
          <t>assembleia</t>
        </is>
      </c>
      <c r="I180" s="74" t="n">
        <v>1206367</v>
      </c>
      <c r="J180" s="74" t="inlineStr">
        <is>
          <t>Assembleia AGE Ata da Assembleia</t>
        </is>
      </c>
      <c r="K180" s="74" t="inlineStr">
        <is>
          <t>20/05/2026 23:59</t>
        </is>
      </c>
      <c r="L180" s="74" t="n">
        <v>5</v>
      </c>
      <c r="M180" s="74" t="inlineStr">
        <is>
          <t>encontrado_explicito</t>
        </is>
      </c>
      <c r="N180" s="74" t="b">
        <v>1</v>
      </c>
      <c r="O180" s="74" t="inlineStr">
        <is>
          <t>.cache/carteira_101_document_scan/58171340000165/1206367.json.gz</t>
        </is>
      </c>
      <c r="P180" s="74" t="inlineStr">
        <is>
          <t>https://fnet.bmfbovespa.com.br/fnet/publico/downloadDocumento?id=1206367</t>
        </is>
      </c>
      <c r="Q180" s="74" t="inlineStr">
        <is>
          <t>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t>
        </is>
      </c>
    </row>
    <row r="181" ht="40.5" customHeight="1">
      <c r="A181" s="142" t="n">
        <v>58288437000152</v>
      </c>
      <c r="B181" s="75" t="inlineStr">
        <is>
          <t>58.288.437/0001-52</t>
        </is>
      </c>
      <c r="C181" s="75" t="inlineStr">
        <is>
          <t>cotas subordinadas júnior</t>
        </is>
      </c>
      <c r="D181" s="75" t="inlineStr">
        <is>
          <t>R$ 1.000,00</t>
        </is>
      </c>
      <c r="E181" s="143" t="n">
        <v>1000</v>
      </c>
      <c r="F181" s="75" t="inlineStr">
        <is>
          <t>valor nominal unitário (VNU)</t>
        </is>
      </c>
      <c r="G181" s="75" t="b">
        <v>0</v>
      </c>
      <c r="H181" s="75" t="inlineStr">
        <is>
          <t>emissao</t>
        </is>
      </c>
      <c r="I181" s="75" t="n">
        <v>978340</v>
      </c>
      <c r="J181" s="75" t="inlineStr">
        <is>
          <t>emissao</t>
        </is>
      </c>
      <c r="K181" s="75" t="inlineStr">
        <is>
          <t>2025-08-26</t>
        </is>
      </c>
      <c r="L181" s="75" t="n">
        <v>1</v>
      </c>
      <c r="M181" s="75" t="inlineStr">
        <is>
          <t>encontrado_explicito</t>
        </is>
      </c>
      <c r="N181" s="75" t="b">
        <v>1</v>
      </c>
      <c r="O181" s="75" t="inlineStr">
        <is>
          <t>data/raw/58288437000152/978340_emissao_emissao_978340_2025-08-26.pdf</t>
        </is>
      </c>
      <c r="P181" s="75" t="inlineStr">
        <is>
          <t>https://fnet.bmfbovespa.com.br/fnet/publico/downloadDocumento?id=978340</t>
        </is>
      </c>
      <c r="Q181" s="75" t="inlineStr">
        <is>
          <t>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t>
        </is>
      </c>
    </row>
    <row r="182" ht="40.5" customHeight="1">
      <c r="A182" s="138" t="n">
        <v>58291962000127</v>
      </c>
      <c r="B182" s="74" t="inlineStr">
        <is>
          <t>58.291.962/0001-27</t>
        </is>
      </c>
      <c r="C182" s="74" t="inlineStr">
        <is>
          <t>Cotas Subordinadas</t>
        </is>
      </c>
      <c r="D182" s="74" t="inlineStr">
        <is>
          <t>R$1.000,00</t>
        </is>
      </c>
      <c r="E182" s="139" t="n">
        <v>1000</v>
      </c>
      <c r="F182" s="74" t="inlineStr">
        <is>
          <t>preço/valor unitário de emissão</t>
        </is>
      </c>
      <c r="G182" s="74" t="b">
        <v>0</v>
      </c>
      <c r="H182" s="74" t="inlineStr">
        <is>
          <t>regulamento</t>
        </is>
      </c>
      <c r="I182" s="74" t="n">
        <v>949047</v>
      </c>
      <c r="J182" s="74" t="inlineStr">
        <is>
          <t>Regulamento</t>
        </is>
      </c>
      <c r="K182" s="74" t="inlineStr">
        <is>
          <t>11/07/2025</t>
        </is>
      </c>
      <c r="L182" s="74" t="n">
        <v>69</v>
      </c>
      <c r="M182" s="74" t="inlineStr">
        <is>
          <t>encontrado_explicito</t>
        </is>
      </c>
      <c r="N182" s="74" t="b">
        <v>1</v>
      </c>
      <c r="O182" s="74" t="inlineStr">
        <is>
          <t>.cache/carteira_101_document_scan/58291962000127/949047.json.gz</t>
        </is>
      </c>
      <c r="P182" s="74" t="inlineStr">
        <is>
          <t>https://fnet.bmfbovespa.com.br/fnet/publico/downloadDocumento?id=949047</t>
        </is>
      </c>
      <c r="Q182" s="74" t="inlineStr">
        <is>
          <t>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t>
        </is>
      </c>
    </row>
    <row r="183" ht="40.5" customHeight="1">
      <c r="A183" s="142" t="n">
        <v>58291962000127</v>
      </c>
      <c r="B183" s="75" t="inlineStr">
        <is>
          <t>58.291.962/0001-27</t>
        </is>
      </c>
      <c r="C183" s="75" t="inlineStr">
        <is>
          <t>Cotas Subordinadas Júnior</t>
        </is>
      </c>
      <c r="D183" s="75" t="inlineStr">
        <is>
          <t>R$1.000,00</t>
        </is>
      </c>
      <c r="E183" s="143" t="n">
        <v>1000</v>
      </c>
      <c r="F183" s="75" t="inlineStr">
        <is>
          <t>preço/valor unitário de emissão</t>
        </is>
      </c>
      <c r="G183" s="75" t="b">
        <v>0</v>
      </c>
      <c r="H183" s="75" t="inlineStr">
        <is>
          <t>regulamento</t>
        </is>
      </c>
      <c r="I183" s="75" t="n">
        <v>957854</v>
      </c>
      <c r="J183" s="75" t="inlineStr">
        <is>
          <t>regulamento</t>
        </is>
      </c>
      <c r="K183" s="75" t="inlineStr">
        <is>
          <t>2025-07-30</t>
        </is>
      </c>
      <c r="L183" s="75" t="n">
        <v>148</v>
      </c>
      <c r="M183" s="75" t="inlineStr">
        <is>
          <t>encontrado_explicito</t>
        </is>
      </c>
      <c r="N183" s="75" t="b">
        <v>1</v>
      </c>
      <c r="O183" s="75" t="inlineStr">
        <is>
          <t>data/raw/58291962000127/957854_regulamento_regulamento_957854_2025-07-30_2025-07-30.pdf</t>
        </is>
      </c>
      <c r="P183" s="75" t="inlineStr">
        <is>
          <t>https://fnet.bmfbovespa.com.br/fnet/publico/downloadDocumento?id=957854</t>
        </is>
      </c>
      <c r="Q183"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t>
        </is>
      </c>
    </row>
    <row r="184" ht="40.5" customHeight="1">
      <c r="A184" s="138" t="n">
        <v>58291962000127</v>
      </c>
      <c r="B184" s="74" t="inlineStr">
        <is>
          <t>58.291.962/0001-27</t>
        </is>
      </c>
      <c r="C184" s="74" t="inlineStr">
        <is>
          <t>N/D</t>
        </is>
      </c>
      <c r="D184" s="74" t="inlineStr">
        <is>
          <t>R$1.000,00</t>
        </is>
      </c>
      <c r="E184" s="139" t="n">
        <v>1000</v>
      </c>
      <c r="F184" s="74" t="inlineStr">
        <is>
          <t>preço/valor unitário de emissão</t>
        </is>
      </c>
      <c r="G184" s="74" t="b">
        <v>1</v>
      </c>
      <c r="H184" s="74" t="inlineStr">
        <is>
          <t>regulamento</t>
        </is>
      </c>
      <c r="I184" s="74" t="n">
        <v>957854</v>
      </c>
      <c r="J184" s="74" t="inlineStr">
        <is>
          <t>regulamento</t>
        </is>
      </c>
      <c r="K184" s="74" t="inlineStr">
        <is>
          <t>2025-07-30</t>
        </is>
      </c>
      <c r="L184" s="74" t="n">
        <v>59</v>
      </c>
      <c r="M184" s="74" t="inlineStr">
        <is>
          <t>encontrado_explicito</t>
        </is>
      </c>
      <c r="N184" s="74" t="b">
        <v>1</v>
      </c>
      <c r="O184" s="74" t="inlineStr">
        <is>
          <t>data/raw/58291962000127/957854_regulamento_regulamento_957854_2025-07-30_2025-07-30.pdf</t>
        </is>
      </c>
      <c r="P184" s="74" t="inlineStr">
        <is>
          <t>https://fnet.bmfbovespa.com.br/fnet/publico/downloadDocumento?id=957854</t>
        </is>
      </c>
      <c r="Q184"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85" ht="40.5" customHeight="1">
      <c r="A185" s="142" t="n">
        <v>58291962000127</v>
      </c>
      <c r="B185" s="75" t="inlineStr">
        <is>
          <t>58.291.962/0001-27</t>
        </is>
      </c>
      <c r="C185" s="75" t="inlineStr">
        <is>
          <t>Cotas Seniores</t>
        </is>
      </c>
      <c r="D185" s="75" t="inlineStr">
        <is>
          <t>R$ 1.000,00</t>
        </is>
      </c>
      <c r="E185" s="143" t="n">
        <v>1000</v>
      </c>
      <c r="F185" s="75" t="inlineStr">
        <is>
          <t>preço/valor unitário de emissão</t>
        </is>
      </c>
      <c r="G185" s="75" t="b">
        <v>0</v>
      </c>
      <c r="H185" s="75" t="inlineStr">
        <is>
          <t>assembleia</t>
        </is>
      </c>
      <c r="I185" s="75" t="n">
        <v>957853</v>
      </c>
      <c r="J185" s="75" t="inlineStr">
        <is>
          <t>Assembleia AGE Ata da Assembleia</t>
        </is>
      </c>
      <c r="K185" s="75" t="inlineStr">
        <is>
          <t>30/07/2025 10:00</t>
        </is>
      </c>
      <c r="L185" s="75" t="n">
        <v>4</v>
      </c>
      <c r="M185" s="75" t="inlineStr">
        <is>
          <t>encontrado_explicito</t>
        </is>
      </c>
      <c r="N185" s="75" t="b">
        <v>1</v>
      </c>
      <c r="O185" s="75" t="inlineStr">
        <is>
          <t>.cache/carteira_101_document_scan/58291962000127/957853.json.gz</t>
        </is>
      </c>
      <c r="P185" s="75" t="inlineStr">
        <is>
          <t>https://fnet.bmfbovespa.com.br/fnet/publico/downloadDocumento?id=957853</t>
        </is>
      </c>
      <c r="Q185" s="75" t="inlineStr">
        <is>
          <t>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t>
        </is>
      </c>
    </row>
    <row r="186" ht="40.5" customHeight="1">
      <c r="A186" s="138" t="n">
        <v>58349979000198</v>
      </c>
      <c r="B186" s="74" t="inlineStr">
        <is>
          <t>58.349.979/0001-98</t>
        </is>
      </c>
      <c r="C186" s="74" t="inlineStr">
        <is>
          <t>Cotas Seniores</t>
        </is>
      </c>
      <c r="D186" s="74" t="inlineStr">
        <is>
          <t>R$1.000,00</t>
        </is>
      </c>
      <c r="E186" s="139" t="n">
        <v>1000</v>
      </c>
      <c r="F186" s="74" t="inlineStr">
        <is>
          <t>preço/valor unitário de emissão</t>
        </is>
      </c>
      <c r="G186" s="74" t="b">
        <v>0</v>
      </c>
      <c r="H186" s="74" t="inlineStr">
        <is>
          <t>regulamento</t>
        </is>
      </c>
      <c r="I186" s="74" t="n">
        <v>826212</v>
      </c>
      <c r="J186" s="74" t="inlineStr">
        <is>
          <t>Atos de Deliberação do Administrador Instrumento Particular de Alteração do Regulamento</t>
        </is>
      </c>
      <c r="K186" s="74" t="inlineStr">
        <is>
          <t>28/01/2025</t>
        </is>
      </c>
      <c r="L186" s="74" t="n">
        <v>51</v>
      </c>
      <c r="M186" s="74" t="inlineStr">
        <is>
          <t>encontrado_explicito</t>
        </is>
      </c>
      <c r="N186" s="74" t="b">
        <v>1</v>
      </c>
      <c r="O186" s="74" t="inlineStr">
        <is>
          <t>.cache/carteira_101_document_scan/58349979000198/826212.json.gz</t>
        </is>
      </c>
      <c r="P186" s="74" t="inlineStr">
        <is>
          <t>https://fnet.bmfbovespa.com.br/fnet/publico/downloadDocumento?id=826212</t>
        </is>
      </c>
      <c r="Q186" s="74" t="inlineStr">
        <is>
          <t>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t>
        </is>
      </c>
    </row>
    <row r="187" ht="40.5" customHeight="1">
      <c r="A187" s="142" t="n">
        <v>58476088000100</v>
      </c>
      <c r="B187" s="75" t="inlineStr">
        <is>
          <t>58.476.088/0001-00</t>
        </is>
      </c>
      <c r="C187" s="75" t="inlineStr">
        <is>
          <t>Cotas Seniores</t>
        </is>
      </c>
      <c r="D187" s="75" t="inlineStr">
        <is>
          <t>R$ 1.000,00</t>
        </is>
      </c>
      <c r="E187" s="143" t="n">
        <v>1000</v>
      </c>
      <c r="F187" s="75" t="inlineStr">
        <is>
          <t>preço/valor unitário de emissão</t>
        </is>
      </c>
      <c r="G187" s="75" t="b">
        <v>0</v>
      </c>
      <c r="H187" s="75" t="inlineStr">
        <is>
          <t>regulamento</t>
        </is>
      </c>
      <c r="I187" s="75" t="n">
        <v>852325</v>
      </c>
      <c r="J187" s="75" t="inlineStr">
        <is>
          <t>Regulamento</t>
        </is>
      </c>
      <c r="K187" s="75" t="inlineStr">
        <is>
          <t>25/02/2025</t>
        </is>
      </c>
      <c r="L187" s="75" t="n">
        <v>71</v>
      </c>
      <c r="M187" s="75" t="inlineStr">
        <is>
          <t>encontrado_explicito</t>
        </is>
      </c>
      <c r="N187" s="75" t="b">
        <v>1</v>
      </c>
      <c r="O187" s="75" t="inlineStr">
        <is>
          <t>.cache/carteira_101_document_scan/58476088000100/852325.json.gz</t>
        </is>
      </c>
      <c r="P187" s="75" t="inlineStr">
        <is>
          <t>https://fnet.bmfbovespa.com.br/fnet/publico/downloadDocumento?id=852325</t>
        </is>
      </c>
      <c r="Q187" s="75"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t>
        </is>
      </c>
    </row>
    <row r="188" ht="40.5" customHeight="1">
      <c r="A188" s="138" t="n">
        <v>58476088000100</v>
      </c>
      <c r="B188" s="74" t="inlineStr">
        <is>
          <t>58.476.088/0001-00</t>
        </is>
      </c>
      <c r="C188" s="74" t="inlineStr">
        <is>
          <t>N/D</t>
        </is>
      </c>
      <c r="D188" s="74" t="inlineStr">
        <is>
          <t>R$1.000,00</t>
        </is>
      </c>
      <c r="E188" s="139" t="n">
        <v>1000</v>
      </c>
      <c r="F188" s="74" t="inlineStr">
        <is>
          <t>preço/valor unitário de emissão</t>
        </is>
      </c>
      <c r="G188" s="74" t="b">
        <v>1</v>
      </c>
      <c r="H188" s="74" t="inlineStr">
        <is>
          <t>regulamento</t>
        </is>
      </c>
      <c r="I188" s="74" t="n">
        <v>852325</v>
      </c>
      <c r="J188" s="74" t="inlineStr">
        <is>
          <t>Regulamento</t>
        </is>
      </c>
      <c r="K188" s="74" t="inlineStr">
        <is>
          <t>25/02/2025</t>
        </is>
      </c>
      <c r="L188" s="74" t="n">
        <v>25</v>
      </c>
      <c r="M188" s="74" t="inlineStr">
        <is>
          <t>encontrado_explicito</t>
        </is>
      </c>
      <c r="N188" s="74" t="b">
        <v>1</v>
      </c>
      <c r="O188" s="74" t="inlineStr">
        <is>
          <t>.cache/carteira_101_document_scan/58476088000100/852325.json.gz</t>
        </is>
      </c>
      <c r="P188" s="74" t="inlineStr">
        <is>
          <t>https://fnet.bmfbovespa.com.br/fnet/publico/downloadDocumento?id=852325</t>
        </is>
      </c>
      <c r="Q188" s="74" t="inlineStr">
        <is>
          <t>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t>
        </is>
      </c>
    </row>
    <row r="189" ht="40.5" customHeight="1">
      <c r="A189" s="142" t="n">
        <v>58476088000100</v>
      </c>
      <c r="B189" s="75" t="inlineStr">
        <is>
          <t>58.476.088/0001-00</t>
        </is>
      </c>
      <c r="C189" s="75" t="inlineStr">
        <is>
          <t>Cotas Seniores</t>
        </is>
      </c>
      <c r="D189" s="75" t="inlineStr">
        <is>
          <t>R$ 1.000,00</t>
        </is>
      </c>
      <c r="E189" s="143" t="n">
        <v>1000</v>
      </c>
      <c r="F189" s="75" t="inlineStr">
        <is>
          <t>valor nominal unitário (VNU)</t>
        </is>
      </c>
      <c r="G189" s="75" t="b">
        <v>0</v>
      </c>
      <c r="H189" s="75" t="inlineStr">
        <is>
          <t>emissao</t>
        </is>
      </c>
      <c r="I189" s="75" t="n">
        <v>833533</v>
      </c>
      <c r="J189" s="75" t="inlineStr">
        <is>
          <t>Oferta Pública de Distribuição de Cotas Anúncio de Início</t>
        </is>
      </c>
      <c r="K189" s="75" t="inlineStr">
        <is>
          <t>07/02/2025</t>
        </is>
      </c>
      <c r="L189" s="75" t="n">
        <v>2</v>
      </c>
      <c r="M189" s="75" t="inlineStr">
        <is>
          <t>encontrado_explicito</t>
        </is>
      </c>
      <c r="N189" s="75" t="b">
        <v>1</v>
      </c>
      <c r="O189" s="75" t="inlineStr">
        <is>
          <t>.cache/carteira_101_document_scan/58476088000100/833533.json.gz</t>
        </is>
      </c>
      <c r="P189" s="75" t="inlineStr">
        <is>
          <t>https://fnet.bmfbovespa.com.br/fnet/publico/downloadDocumento?id=833533</t>
        </is>
      </c>
      <c r="Q189" s="75" t="inlineStr">
        <is>
          <t>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t>
        </is>
      </c>
    </row>
    <row r="190" ht="40.5" customHeight="1">
      <c r="A190" s="138" t="n">
        <v>61288838000117</v>
      </c>
      <c r="B190" s="74" t="inlineStr">
        <is>
          <t>61.288.838/0001-17</t>
        </is>
      </c>
      <c r="C190" s="74" t="inlineStr">
        <is>
          <t>Cotas Seniores</t>
        </is>
      </c>
      <c r="D190" s="74" t="inlineStr">
        <is>
          <t>R$1.000,00</t>
        </is>
      </c>
      <c r="E190" s="139" t="n">
        <v>1000</v>
      </c>
      <c r="F190" s="74" t="inlineStr">
        <is>
          <t>valor nominal unitário (VNU)</t>
        </is>
      </c>
      <c r="G190" s="74" t="b">
        <v>0</v>
      </c>
      <c r="H190" s="74" t="inlineStr">
        <is>
          <t>emissao</t>
        </is>
      </c>
      <c r="I190" s="74" t="n">
        <v>1244649</v>
      </c>
      <c r="J190" s="74" t="inlineStr">
        <is>
          <t>Oferta Pública de Distribuição de Cotas Anúncio de Início</t>
        </is>
      </c>
      <c r="K190" s="74" t="inlineStr">
        <is>
          <t>10/07/2026</t>
        </is>
      </c>
      <c r="L190" s="74" t="n">
        <v>1</v>
      </c>
      <c r="M190" s="74" t="inlineStr">
        <is>
          <t>encontrado_explicito</t>
        </is>
      </c>
      <c r="N190" s="74" t="b">
        <v>1</v>
      </c>
      <c r="O190" s="74" t="inlineStr">
        <is>
          <t>.cache/carteira_101_document_scan/61288838000117/1244649.json.gz</t>
        </is>
      </c>
      <c r="P190" s="74" t="inlineStr">
        <is>
          <t>https://fnet.bmfbovespa.com.br/fnet/publico/downloadDocumento?id=1244649</t>
        </is>
      </c>
      <c r="Q190" s="74" t="inlineStr">
        <is>
          <t>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t>
        </is>
      </c>
    </row>
    <row r="191" ht="40.5" customHeight="1">
      <c r="A191" s="142" t="n">
        <v>61288838000117</v>
      </c>
      <c r="B191" s="75" t="inlineStr">
        <is>
          <t>61.288.838/0001-17</t>
        </is>
      </c>
      <c r="C191" s="75" t="inlineStr">
        <is>
          <t>Cotas Seniores</t>
        </is>
      </c>
      <c r="D191" s="75" t="inlineStr">
        <is>
          <t>R$ 1.000,00</t>
        </is>
      </c>
      <c r="E191" s="143" t="n">
        <v>1000</v>
      </c>
      <c r="F191" s="75" t="inlineStr">
        <is>
          <t>preço/valor unitário de emissão</t>
        </is>
      </c>
      <c r="G191" s="75" t="b">
        <v>0</v>
      </c>
      <c r="H191" s="75" t="inlineStr">
        <is>
          <t>emissao</t>
        </is>
      </c>
      <c r="I191" s="75" t="n">
        <v>1247950</v>
      </c>
      <c r="J191" s="75" t="inlineStr">
        <is>
          <t>Oferta Pública de Distribuição de Cotas Anúncio de Encerramento</t>
        </is>
      </c>
      <c r="K191" s="75" t="inlineStr">
        <is>
          <t>14/07/2026</t>
        </is>
      </c>
      <c r="L191" s="75" t="n">
        <v>1</v>
      </c>
      <c r="M191" s="75" t="inlineStr">
        <is>
          <t>encontrado_explicito</t>
        </is>
      </c>
      <c r="N191" s="75" t="b">
        <v>1</v>
      </c>
      <c r="O191" s="75" t="inlineStr">
        <is>
          <t>.cache/carteira_101_document_scan/61288838000117/1247950.json.gz</t>
        </is>
      </c>
      <c r="P191" s="75" t="inlineStr">
        <is>
          <t>https://fnet.bmfbovespa.com.br/fnet/publico/downloadDocumento?id=1247950</t>
        </is>
      </c>
      <c r="Q191" s="75" t="inlineStr">
        <is>
          <t>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t>
        </is>
      </c>
    </row>
    <row r="192" ht="40.5" customHeight="1">
      <c r="A192" s="138" t="n">
        <v>62393829000159</v>
      </c>
      <c r="B192" s="74" t="inlineStr">
        <is>
          <t>62.393.829/0001-59</t>
        </is>
      </c>
      <c r="C192" s="74" t="inlineStr">
        <is>
          <t>cotas seniores</t>
        </is>
      </c>
      <c r="D192" s="74" t="inlineStr">
        <is>
          <t>R$1.000,00</t>
        </is>
      </c>
      <c r="E192" s="139" t="n">
        <v>1000</v>
      </c>
      <c r="F192" s="74" t="inlineStr">
        <is>
          <t>valor nominal unitário (VNU)</t>
        </is>
      </c>
      <c r="G192" s="74" t="b">
        <v>0</v>
      </c>
      <c r="H192" s="74" t="inlineStr">
        <is>
          <t>emissao</t>
        </is>
      </c>
      <c r="I192" s="74" t="n">
        <v>1089672</v>
      </c>
      <c r="J192" s="74" t="inlineStr">
        <is>
          <t>Oferta Pública de Distribuição de Cotas Anúncio de Início</t>
        </is>
      </c>
      <c r="K192" s="74" t="inlineStr">
        <is>
          <t>21/01/2026</t>
        </is>
      </c>
      <c r="L192" s="74" t="n">
        <v>1</v>
      </c>
      <c r="M192" s="74" t="inlineStr">
        <is>
          <t>encontrado_explicito</t>
        </is>
      </c>
      <c r="N192" s="74" t="b">
        <v>1</v>
      </c>
      <c r="O192" s="74" t="inlineStr">
        <is>
          <t>.cache/carteira_101_document_scan/62393829000159/1089672.json.gz</t>
        </is>
      </c>
      <c r="P192" s="74" t="inlineStr">
        <is>
          <t>https://fnet.bmfbovespa.com.br/fnet/publico/downloadDocumento?id=1089672</t>
        </is>
      </c>
      <c r="Q192" s="74" t="inlineStr">
        <is>
          <t>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t>
        </is>
      </c>
    </row>
    <row r="193" ht="40.5" customHeight="1">
      <c r="A193" s="142" t="n">
        <v>62588266000154</v>
      </c>
      <c r="B193" s="75" t="inlineStr">
        <is>
          <t>62.588.266/0001-54</t>
        </is>
      </c>
      <c r="C193" s="75" t="inlineStr">
        <is>
          <t>N/D</t>
        </is>
      </c>
      <c r="D193" s="75" t="inlineStr">
        <is>
          <t>R$ 1.000,00</t>
        </is>
      </c>
      <c r="E193" s="143" t="n">
        <v>1000</v>
      </c>
      <c r="F193" s="75" t="inlineStr">
        <is>
          <t>preço/valor unitário de emissão</t>
        </is>
      </c>
      <c r="G193" s="75" t="b">
        <v>1</v>
      </c>
      <c r="H193" s="75" t="inlineStr">
        <is>
          <t>regulamento</t>
        </is>
      </c>
      <c r="I193" s="75" t="n">
        <v>1002580</v>
      </c>
      <c r="J193" s="75" t="inlineStr">
        <is>
          <t>regulamento</t>
        </is>
      </c>
      <c r="K193" s="75" t="inlineStr">
        <is>
          <t>2025-09-29</t>
        </is>
      </c>
      <c r="L193" s="75" t="n">
        <v>34</v>
      </c>
      <c r="M193" s="75" t="inlineStr">
        <is>
          <t>encontrado_explicito</t>
        </is>
      </c>
      <c r="N193" s="75" t="b">
        <v>1</v>
      </c>
      <c r="O193" s="75" t="inlineStr">
        <is>
          <t>data/raw/62588266000154/1002580_regulamento_regulamento_1002580_2025-09-29.pdf</t>
        </is>
      </c>
      <c r="P193" s="75" t="inlineStr">
        <is>
          <t>https://fnet.bmfbovespa.com.br/fnet/publico/downloadDocumento?id=1002580</t>
        </is>
      </c>
      <c r="Q193" s="75" t="inlineStr">
        <is>
          <t>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t>
        </is>
      </c>
    </row>
    <row r="194" ht="40.5" customHeight="1">
      <c r="A194" s="138" t="n">
        <v>62588266000154</v>
      </c>
      <c r="B194" s="74" t="inlineStr">
        <is>
          <t>62.588.266/0001-54</t>
        </is>
      </c>
      <c r="C194" s="74" t="inlineStr">
        <is>
          <t>Cotas Seniores</t>
        </is>
      </c>
      <c r="D194" s="74" t="inlineStr">
        <is>
          <t>R$ 1.000,00</t>
        </is>
      </c>
      <c r="E194" s="139" t="n">
        <v>1000</v>
      </c>
      <c r="F194" s="74" t="inlineStr">
        <is>
          <t>valor nominal unitário (VNU)</t>
        </is>
      </c>
      <c r="G194" s="74" t="b">
        <v>0</v>
      </c>
      <c r="H194" s="74" t="inlineStr">
        <is>
          <t>emissao</t>
        </is>
      </c>
      <c r="I194" s="74" t="n">
        <v>992652</v>
      </c>
      <c r="J194" s="74" t="inlineStr">
        <is>
          <t>emissao</t>
        </is>
      </c>
      <c r="K194" s="74" t="inlineStr">
        <is>
          <t>2025-09-15</t>
        </is>
      </c>
      <c r="L194" s="74" t="n">
        <v>1</v>
      </c>
      <c r="M194" s="74" t="inlineStr">
        <is>
          <t>encontrado_explicito</t>
        </is>
      </c>
      <c r="N194" s="74" t="b">
        <v>1</v>
      </c>
      <c r="O194" s="74" t="inlineStr">
        <is>
          <t>data/raw/62588266000154/992652_emissao_emissao_992652_2025-09-15.pdf</t>
        </is>
      </c>
      <c r="P194" s="74" t="inlineStr">
        <is>
          <t>https://fnet.bmfbovespa.com.br/fnet/publico/downloadDocumento?id=992652</t>
        </is>
      </c>
      <c r="Q194" s="74" t="inlineStr">
        <is>
          <t>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t>
        </is>
      </c>
    </row>
    <row r="195" ht="40.5" customHeight="1">
      <c r="A195" s="142" t="n">
        <v>62588266000154</v>
      </c>
      <c r="B195" s="75" t="inlineStr">
        <is>
          <t>62.588.266/0001-54</t>
        </is>
      </c>
      <c r="C195" s="75" t="inlineStr">
        <is>
          <t>Cotas Subordinadas Mezanino</t>
        </is>
      </c>
      <c r="D195" s="75" t="inlineStr">
        <is>
          <t>R$1.000,00</t>
        </is>
      </c>
      <c r="E195" s="143" t="n">
        <v>1000</v>
      </c>
      <c r="F195" s="75" t="inlineStr">
        <is>
          <t>valor nominal unitário (VNU)</t>
        </is>
      </c>
      <c r="G195" s="75" t="b">
        <v>0</v>
      </c>
      <c r="H195" s="75" t="inlineStr">
        <is>
          <t>emissao</t>
        </is>
      </c>
      <c r="I195" s="75" t="n">
        <v>1126575</v>
      </c>
      <c r="J195" s="75" t="inlineStr">
        <is>
          <t>emissao</t>
        </is>
      </c>
      <c r="K195" s="75" t="inlineStr">
        <is>
          <t>2026-02-27</t>
        </is>
      </c>
      <c r="L195" s="75" t="n">
        <v>1</v>
      </c>
      <c r="M195" s="75" t="inlineStr">
        <is>
          <t>encontrado_explicito</t>
        </is>
      </c>
      <c r="N195" s="75" t="b">
        <v>1</v>
      </c>
      <c r="O195" s="75" t="inlineStr">
        <is>
          <t>data/raw/62588266000154/1126575_emissao_emissao_1126575_2026-02-27.pdf</t>
        </is>
      </c>
      <c r="P195" s="75" t="inlineStr">
        <is>
          <t>https://fnet.bmfbovespa.com.br/fnet/publico/downloadDocumento?id=1126575</t>
        </is>
      </c>
      <c r="Q195" s="75" t="inlineStr">
        <is>
          <t>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t>
        </is>
      </c>
    </row>
    <row r="196" ht="40.5" customHeight="1">
      <c r="A196" s="138" t="n">
        <v>62626887000185</v>
      </c>
      <c r="B196" s="74" t="inlineStr">
        <is>
          <t>62.626.887/0001-85</t>
        </is>
      </c>
      <c r="C196" s="74" t="inlineStr">
        <is>
          <t>Cotas Seniores</t>
        </is>
      </c>
      <c r="D196" s="74" t="inlineStr">
        <is>
          <t>R$1.000,00</t>
        </is>
      </c>
      <c r="E196" s="139" t="n">
        <v>1000</v>
      </c>
      <c r="F196" s="74" t="inlineStr">
        <is>
          <t>valor nominal unitário (VNU)</t>
        </is>
      </c>
      <c r="G196" s="74" t="b">
        <v>0</v>
      </c>
      <c r="H196" s="74" t="inlineStr">
        <is>
          <t>regulamento</t>
        </is>
      </c>
      <c r="I196" s="74" t="n">
        <v>1152823</v>
      </c>
      <c r="J196" s="74" t="inlineStr">
        <is>
          <t>regulamento</t>
        </is>
      </c>
      <c r="K196" s="74" t="inlineStr">
        <is>
          <t>2026-03-31</t>
        </is>
      </c>
      <c r="L196" s="74" t="n">
        <v>111</v>
      </c>
      <c r="M196" s="74" t="inlineStr">
        <is>
          <t>encontrado_explicito</t>
        </is>
      </c>
      <c r="N196" s="74" t="b">
        <v>1</v>
      </c>
      <c r="O196" s="74" t="inlineStr">
        <is>
          <t>data/raw/62626887000185/1152823_regulamento_regulamento_1152823_2026-03-31.pdf</t>
        </is>
      </c>
      <c r="P196" s="74" t="inlineStr">
        <is>
          <t>https://fnet.bmfbovespa.com.br/fnet/publico/downloadDocumento?id=1152823</t>
        </is>
      </c>
      <c r="Q196" s="74" t="inlineStr">
        <is>
          <t>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t>
        </is>
      </c>
    </row>
    <row r="197" ht="40.5" customHeight="1">
      <c r="A197" s="142" t="n">
        <v>62626887000185</v>
      </c>
      <c r="B197" s="75" t="inlineStr">
        <is>
          <t>62.626.887/0001-85</t>
        </is>
      </c>
      <c r="C197" s="75" t="inlineStr">
        <is>
          <t>Cotas Subordinadas Junior</t>
        </is>
      </c>
      <c r="D197" s="75" t="inlineStr">
        <is>
          <t>R$1.000,00</t>
        </is>
      </c>
      <c r="E197" s="143" t="n">
        <v>1000</v>
      </c>
      <c r="F197" s="75" t="inlineStr">
        <is>
          <t>valor nominal unitário (VNU)</t>
        </is>
      </c>
      <c r="G197" s="75" t="b">
        <v>0</v>
      </c>
      <c r="H197" s="75" t="inlineStr">
        <is>
          <t>regulamento</t>
        </is>
      </c>
      <c r="I197" s="75" t="n">
        <v>1152823</v>
      </c>
      <c r="J197" s="75" t="inlineStr">
        <is>
          <t>regulamento</t>
        </is>
      </c>
      <c r="K197" s="75" t="inlineStr">
        <is>
          <t>2026-03-31</t>
        </is>
      </c>
      <c r="L197" s="75" t="n">
        <v>115</v>
      </c>
      <c r="M197" s="75" t="inlineStr">
        <is>
          <t>encontrado_explicito</t>
        </is>
      </c>
      <c r="N197" s="75" t="b">
        <v>1</v>
      </c>
      <c r="O197" s="75" t="inlineStr">
        <is>
          <t>data/raw/62626887000185/1152823_regulamento_regulamento_1152823_2026-03-31.pdf</t>
        </is>
      </c>
      <c r="P197" s="75" t="inlineStr">
        <is>
          <t>https://fnet.bmfbovespa.com.br/fnet/publico/downloadDocumento?id=1152823</t>
        </is>
      </c>
      <c r="Q197" s="75" t="inlineStr">
        <is>
          <t>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t>
        </is>
      </c>
    </row>
    <row r="198" ht="40.5" customHeight="1">
      <c r="A198" s="138" t="n">
        <v>62838025000116</v>
      </c>
      <c r="B198" s="74" t="inlineStr">
        <is>
          <t>62.838.025/0001-16</t>
        </is>
      </c>
      <c r="C198" s="74" t="inlineStr">
        <is>
          <t>N/D</t>
        </is>
      </c>
      <c r="D198" s="74" t="inlineStr">
        <is>
          <t>R$ 1.000,00</t>
        </is>
      </c>
      <c r="E198" s="139" t="n">
        <v>1000</v>
      </c>
      <c r="F198" s="74" t="inlineStr">
        <is>
          <t>preço/valor unitário de emissão</t>
        </is>
      </c>
      <c r="G198" s="74" t="b">
        <v>1</v>
      </c>
      <c r="H198" s="74" t="inlineStr">
        <is>
          <t>regulamento</t>
        </is>
      </c>
      <c r="I198" s="74" t="n">
        <v>1058234</v>
      </c>
      <c r="J198" s="74" t="inlineStr">
        <is>
          <t>regulamento</t>
        </is>
      </c>
      <c r="K198" s="74" t="inlineStr">
        <is>
          <t>2025-12-10</t>
        </is>
      </c>
      <c r="L198" s="74" t="n">
        <v>33</v>
      </c>
      <c r="M198" s="74" t="inlineStr">
        <is>
          <t>encontrado_explicito</t>
        </is>
      </c>
      <c r="N198" s="74" t="b">
        <v>1</v>
      </c>
      <c r="O198" s="74" t="inlineStr">
        <is>
          <t>data/raw/62838025000116/1058234_regulamento_regulamento_1058234_2025-12-10.pdf</t>
        </is>
      </c>
      <c r="P198" s="74" t="inlineStr">
        <is>
          <t>https://fnet.bmfbovespa.com.br/fnet/publico/downloadDocumento?id=1058234</t>
        </is>
      </c>
      <c r="Q198" s="74" t="inlineStr">
        <is>
          <t>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t>
        </is>
      </c>
    </row>
    <row r="199" ht="40.5" customHeight="1">
      <c r="A199" s="142" t="n">
        <v>63066147000102</v>
      </c>
      <c r="B199" s="75" t="inlineStr">
        <is>
          <t>63.066.147/0001-02</t>
        </is>
      </c>
      <c r="C199" s="75" t="inlineStr">
        <is>
          <t>N/D</t>
        </is>
      </c>
      <c r="D199" s="75" t="inlineStr">
        <is>
          <t>R$ 1.000,00</t>
        </is>
      </c>
      <c r="E199" s="143" t="n">
        <v>1000</v>
      </c>
      <c r="F199" s="75" t="inlineStr">
        <is>
          <t>valor nominal unitário (VNU)</t>
        </is>
      </c>
      <c r="G199" s="75" t="b">
        <v>1</v>
      </c>
      <c r="H199" s="75" t="inlineStr">
        <is>
          <t>regulamento</t>
        </is>
      </c>
      <c r="I199" s="75" t="n">
        <v>1085943</v>
      </c>
      <c r="J199" s="75" t="inlineStr">
        <is>
          <t>regulamento</t>
        </is>
      </c>
      <c r="K199" s="75" t="inlineStr">
        <is>
          <t>2026-01-15</t>
        </is>
      </c>
      <c r="L199" s="75" t="n">
        <v>22</v>
      </c>
      <c r="M199" s="75" t="inlineStr">
        <is>
          <t>encontrado_explicito</t>
        </is>
      </c>
      <c r="N199" s="75" t="b">
        <v>1</v>
      </c>
      <c r="O199" s="75" t="inlineStr">
        <is>
          <t>data/raw/63066147000102/1085943_regulamento_regulamento_1085943_2026-01-15_2026-01-15.pdf</t>
        </is>
      </c>
      <c r="P199" s="75" t="inlineStr">
        <is>
          <t>https://fnet.bmfbovespa.com.br/fnet/publico/downloadDocumento?id=1085943</t>
        </is>
      </c>
      <c r="Q199" s="75" t="inlineStr">
        <is>
          <t>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t>
        </is>
      </c>
    </row>
    <row r="200" ht="40.5" customHeight="1">
      <c r="A200" s="138" t="n">
        <v>63546406000194</v>
      </c>
      <c r="B200" s="74" t="inlineStr">
        <is>
          <t>63.546.406/0001-94</t>
        </is>
      </c>
      <c r="C200" s="74" t="inlineStr">
        <is>
          <t>N/D</t>
        </is>
      </c>
      <c r="D200" s="74" t="inlineStr">
        <is>
          <t>R$ 1.000,00</t>
        </is>
      </c>
      <c r="E200" s="139" t="n">
        <v>1000</v>
      </c>
      <c r="F200" s="74" t="inlineStr">
        <is>
          <t>preço/valor unitário de emissão</t>
        </is>
      </c>
      <c r="G200" s="74" t="b">
        <v>1</v>
      </c>
      <c r="H200" s="74" t="inlineStr">
        <is>
          <t>regulamento</t>
        </is>
      </c>
      <c r="I200" s="74" t="n">
        <v>1130481</v>
      </c>
      <c r="J200" s="74" t="inlineStr">
        <is>
          <t>regulamento</t>
        </is>
      </c>
      <c r="K200" s="74" t="inlineStr">
        <is>
          <t>2026-03-05</t>
        </is>
      </c>
      <c r="L200" s="74" t="n">
        <v>118</v>
      </c>
      <c r="M200" s="74" t="inlineStr">
        <is>
          <t>encontrado_explicito</t>
        </is>
      </c>
      <c r="N200" s="74" t="b">
        <v>1</v>
      </c>
      <c r="O200" s="74" t="inlineStr">
        <is>
          <t>data/raw/63546406000194/1130481_regulamento_regulamento_1130481_2026-03-05.pdf</t>
        </is>
      </c>
      <c r="P200" s="74" t="inlineStr">
        <is>
          <t>https://fnet.bmfbovespa.com.br/fnet/publico/downloadDocumento?id=1130481</t>
        </is>
      </c>
      <c r="Q200" s="74" t="inlineStr">
        <is>
          <t>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t>
        </is>
      </c>
    </row>
    <row r="201" ht="40.5" customHeight="1">
      <c r="A201" s="142" t="n">
        <v>63546406000194</v>
      </c>
      <c r="B201" s="75" t="inlineStr">
        <is>
          <t>63.546.406/0001-94</t>
        </is>
      </c>
      <c r="C201" s="75" t="inlineStr">
        <is>
          <t>cotas seniores</t>
        </is>
      </c>
      <c r="D201" s="75" t="inlineStr">
        <is>
          <t>R$ 1.000,00</t>
        </is>
      </c>
      <c r="E201" s="143" t="n">
        <v>1000</v>
      </c>
      <c r="F201" s="75" t="inlineStr">
        <is>
          <t>valor nominal unitário (VNU)</t>
        </is>
      </c>
      <c r="G201" s="75" t="b">
        <v>0</v>
      </c>
      <c r="H201" s="75" t="inlineStr">
        <is>
          <t>regulamento</t>
        </is>
      </c>
      <c r="I201" s="75" t="n">
        <v>1130478</v>
      </c>
      <c r="J201" s="75" t="inlineStr">
        <is>
          <t>regulamento</t>
        </is>
      </c>
      <c r="K201" s="75" t="inlineStr">
        <is>
          <t>2026-03-05</t>
        </is>
      </c>
      <c r="L201" s="75" t="n">
        <v>1</v>
      </c>
      <c r="M201" s="75" t="inlineStr">
        <is>
          <t>encontrado_explicito</t>
        </is>
      </c>
      <c r="N201" s="75" t="b">
        <v>1</v>
      </c>
      <c r="O201" s="75" t="inlineStr">
        <is>
          <t>data/raw/63546406000194/1130478_regulamento_regulamento_1130478_2026-03-05.pdf</t>
        </is>
      </c>
      <c r="P201" s="75" t="inlineStr">
        <is>
          <t>https://fnet.bmfbovespa.com.br/fnet/publico/downloadDocumento?id=1130478</t>
        </is>
      </c>
      <c r="Q201" s="75" t="inlineStr">
        <is>
          <t>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t>
        </is>
      </c>
    </row>
    <row r="202" ht="40.5" customHeight="1">
      <c r="A202" s="138" t="n">
        <v>63546406000194</v>
      </c>
      <c r="B202" s="74" t="inlineStr">
        <is>
          <t>63.546.406/0001-94</t>
        </is>
      </c>
      <c r="C202" s="74" t="inlineStr">
        <is>
          <t>cotas subordinadas júnior</t>
        </is>
      </c>
      <c r="D202" s="74" t="inlineStr">
        <is>
          <t>R$ 1.000,00</t>
        </is>
      </c>
      <c r="E202" s="139" t="n">
        <v>1000</v>
      </c>
      <c r="F202" s="74" t="inlineStr">
        <is>
          <t>valor nominal unitário (VNU)</t>
        </is>
      </c>
      <c r="G202" s="74" t="b">
        <v>0</v>
      </c>
      <c r="H202" s="74" t="inlineStr">
        <is>
          <t>regulamento</t>
        </is>
      </c>
      <c r="I202" s="74" t="n">
        <v>1130478</v>
      </c>
      <c r="J202" s="74" t="inlineStr">
        <is>
          <t>regulamento</t>
        </is>
      </c>
      <c r="K202" s="74" t="inlineStr">
        <is>
          <t>2026-03-05</t>
        </is>
      </c>
      <c r="L202" s="74" t="n">
        <v>2</v>
      </c>
      <c r="M202" s="74" t="inlineStr">
        <is>
          <t>encontrado_explicito</t>
        </is>
      </c>
      <c r="N202" s="74" t="b">
        <v>1</v>
      </c>
      <c r="O202" s="74" t="inlineStr">
        <is>
          <t>data/raw/63546406000194/1130478_regulamento_regulamento_1130478_2026-03-05.pdf</t>
        </is>
      </c>
      <c r="P202" s="74" t="inlineStr">
        <is>
          <t>https://fnet.bmfbovespa.com.br/fnet/publico/downloadDocumento?id=1130478</t>
        </is>
      </c>
      <c r="Q202" s="74" t="inlineStr">
        <is>
          <t>),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t>
        </is>
      </c>
    </row>
    <row r="203" ht="40.5" customHeight="1">
      <c r="A203" s="142" t="n">
        <v>63546406000194</v>
      </c>
      <c r="B203" s="75" t="inlineStr">
        <is>
          <t>63.546.406/0001-94</t>
        </is>
      </c>
      <c r="C203" s="75" t="inlineStr">
        <is>
          <t>cotas subordinadas mezanino</t>
        </is>
      </c>
      <c r="D203" s="75" t="inlineStr">
        <is>
          <t>R$ 1.000,00</t>
        </is>
      </c>
      <c r="E203" s="143" t="n">
        <v>1000</v>
      </c>
      <c r="F203" s="75" t="inlineStr">
        <is>
          <t>valor nominal unitário (VNU)</t>
        </is>
      </c>
      <c r="G203" s="75" t="b">
        <v>0</v>
      </c>
      <c r="H203" s="75" t="inlineStr">
        <is>
          <t>regulamento</t>
        </is>
      </c>
      <c r="I203" s="75" t="n">
        <v>1130478</v>
      </c>
      <c r="J203" s="75" t="inlineStr">
        <is>
          <t>regulamento</t>
        </is>
      </c>
      <c r="K203" s="75" t="inlineStr">
        <is>
          <t>2026-03-05</t>
        </is>
      </c>
      <c r="L203" s="75" t="n">
        <v>2</v>
      </c>
      <c r="M203" s="75" t="inlineStr">
        <is>
          <t>encontrado_explicito</t>
        </is>
      </c>
      <c r="N203" s="75" t="b">
        <v>1</v>
      </c>
      <c r="O203" s="75" t="inlineStr">
        <is>
          <t>data/raw/63546406000194/1130478_regulamento_regulamento_1130478_2026-03-05.pdf</t>
        </is>
      </c>
      <c r="P203" s="75" t="inlineStr">
        <is>
          <t>https://fnet.bmfbovespa.com.br/fnet/publico/downloadDocumento?id=1130478</t>
        </is>
      </c>
      <c r="Q203" s="75" t="inlineStr">
        <is>
          <t>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t>
        </is>
      </c>
    </row>
    <row r="204" ht="40.5" customHeight="1">
      <c r="A204" s="138" t="n">
        <v>63622842000103</v>
      </c>
      <c r="B204" s="74" t="inlineStr">
        <is>
          <t>63.622.842/0001-03</t>
        </is>
      </c>
      <c r="C204" s="74" t="inlineStr">
        <is>
          <t>COTAS SUBORDINADAS</t>
        </is>
      </c>
      <c r="D204" s="74" t="inlineStr">
        <is>
          <t>R$ 1.000,00</t>
        </is>
      </c>
      <c r="E204" s="139" t="n">
        <v>1000</v>
      </c>
      <c r="F204" s="74" t="inlineStr">
        <is>
          <t>preço/valor unitário de emissão</t>
        </is>
      </c>
      <c r="G204" s="74" t="b">
        <v>0</v>
      </c>
      <c r="H204" s="74" t="inlineStr">
        <is>
          <t>regulamento</t>
        </is>
      </c>
      <c r="I204" s="74" t="n">
        <v>1051646</v>
      </c>
      <c r="J204" s="74" t="inlineStr">
        <is>
          <t>Regulamento</t>
        </is>
      </c>
      <c r="K204" s="74" t="inlineStr">
        <is>
          <t>01/12/2025</t>
        </is>
      </c>
      <c r="L204" s="74" t="n">
        <v>71</v>
      </c>
      <c r="M204" s="74" t="inlineStr">
        <is>
          <t>encontrado_explicito</t>
        </is>
      </c>
      <c r="N204" s="74" t="b">
        <v>1</v>
      </c>
      <c r="O204" s="74" t="inlineStr">
        <is>
          <t>.cache/carteira_101_document_scan/63622842000103/1051646.json.gz</t>
        </is>
      </c>
      <c r="P204" s="74" t="inlineStr">
        <is>
          <t>https://fnet.bmfbovespa.com.br/fnet/publico/downloadDocumento?id=1051646</t>
        </is>
      </c>
      <c r="Q204" s="74" t="inlineStr">
        <is>
          <t>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5" ht="40.5" customHeight="1">
      <c r="A205" s="142" t="n">
        <v>63622842000103</v>
      </c>
      <c r="B205" s="75" t="inlineStr">
        <is>
          <t>63.622.842/0001-03</t>
        </is>
      </c>
      <c r="C205" s="75" t="inlineStr">
        <is>
          <t>N/D</t>
        </is>
      </c>
      <c r="D205" s="75" t="inlineStr">
        <is>
          <t>R$ 1.000,00</t>
        </is>
      </c>
      <c r="E205" s="143" t="n">
        <v>1000</v>
      </c>
      <c r="F205" s="75" t="inlineStr">
        <is>
          <t>preço/valor unitário de emissão</t>
        </is>
      </c>
      <c r="G205" s="75" t="b">
        <v>1</v>
      </c>
      <c r="H205" s="75" t="inlineStr">
        <is>
          <t>regulamento</t>
        </is>
      </c>
      <c r="I205" s="75" t="n">
        <v>1051646</v>
      </c>
      <c r="J205" s="75" t="inlineStr">
        <is>
          <t>Regulamento</t>
        </is>
      </c>
      <c r="K205" s="75" t="inlineStr">
        <is>
          <t>01/12/2025</t>
        </is>
      </c>
      <c r="L205" s="75" t="n">
        <v>67</v>
      </c>
      <c r="M205" s="75" t="inlineStr">
        <is>
          <t>encontrado_explicito</t>
        </is>
      </c>
      <c r="N205" s="75" t="b">
        <v>1</v>
      </c>
      <c r="O205" s="75" t="inlineStr">
        <is>
          <t>.cache/carteira_101_document_scan/63622842000103/1051646.json.gz</t>
        </is>
      </c>
      <c r="P205" s="75" t="inlineStr">
        <is>
          <t>https://fnet.bmfbovespa.com.br/fnet/publico/downloadDocumento?id=1051646</t>
        </is>
      </c>
      <c r="Q205" s="75"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6" ht="40.5" customHeight="1">
      <c r="A206" s="138" t="n">
        <v>63622842000103</v>
      </c>
      <c r="B206" s="74" t="inlineStr">
        <is>
          <t>63.622.842/0001-03</t>
        </is>
      </c>
      <c r="C206" s="74" t="inlineStr">
        <is>
          <t>SÉRIE DE COTAS SENIORES</t>
        </is>
      </c>
      <c r="D206" s="74" t="inlineStr">
        <is>
          <t>R$ 1.000,00</t>
        </is>
      </c>
      <c r="E206" s="139" t="n">
        <v>1000</v>
      </c>
      <c r="F206" s="74" t="inlineStr">
        <is>
          <t>preço/valor unitário de emissão</t>
        </is>
      </c>
      <c r="G206" s="74" t="b">
        <v>0</v>
      </c>
      <c r="H206" s="74" t="inlineStr">
        <is>
          <t>assembleia</t>
        </is>
      </c>
      <c r="I206" s="74" t="n">
        <v>1042147</v>
      </c>
      <c r="J206" s="74" t="inlineStr">
        <is>
          <t>Atos de Deliberação do Administrador Instrumento Particular de Constituição/Encerramento do Fundo</t>
        </is>
      </c>
      <c r="K206" s="74" t="inlineStr">
        <is>
          <t>11/11/2025</t>
        </is>
      </c>
      <c r="L206" s="74" t="n">
        <v>5</v>
      </c>
      <c r="M206" s="74" t="inlineStr">
        <is>
          <t>encontrado_explicito</t>
        </is>
      </c>
      <c r="N206" s="74" t="b">
        <v>1</v>
      </c>
      <c r="O206" s="74" t="inlineStr">
        <is>
          <t>.cache/carteira_101_document_scan/63622842000103/1042147.json.gz</t>
        </is>
      </c>
      <c r="P206" s="74" t="inlineStr">
        <is>
          <t>https://fnet.bmfbovespa.com.br/fnet/publico/downloadDocumento?id=1042147</t>
        </is>
      </c>
      <c r="Q206" s="74"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7" ht="40.5" customHeight="1">
      <c r="A207" s="142" t="n">
        <v>63657457000193</v>
      </c>
      <c r="B207" s="75" t="inlineStr">
        <is>
          <t>63.657.457/0001-93</t>
        </is>
      </c>
      <c r="C207" s="75" t="inlineStr">
        <is>
          <t>N/D</t>
        </is>
      </c>
      <c r="D207" s="75" t="inlineStr">
        <is>
          <t>R$ 1.000,00</t>
        </is>
      </c>
      <c r="E207" s="143" t="n">
        <v>1000</v>
      </c>
      <c r="F207" s="75" t="inlineStr">
        <is>
          <t>preço/valor unitário de emissão</t>
        </is>
      </c>
      <c r="G207" s="75" t="b">
        <v>1</v>
      </c>
      <c r="H207" s="75" t="inlineStr">
        <is>
          <t>regulamento</t>
        </is>
      </c>
      <c r="I207" s="75" t="n">
        <v>1205333</v>
      </c>
      <c r="J207" s="75" t="inlineStr">
        <is>
          <t>Regulamento</t>
        </is>
      </c>
      <c r="K207" s="75" t="inlineStr">
        <is>
          <t>27/05/2026</t>
        </is>
      </c>
      <c r="L207" s="75" t="n">
        <v>27</v>
      </c>
      <c r="M207" s="75" t="inlineStr">
        <is>
          <t>encontrado_explicito</t>
        </is>
      </c>
      <c r="N207" s="75" t="b">
        <v>1</v>
      </c>
      <c r="O207" s="75" t="inlineStr">
        <is>
          <t>.cache/carteira_101_document_scan/63657457000193/1205333.json.gz</t>
        </is>
      </c>
      <c r="P207" s="75" t="inlineStr">
        <is>
          <t>https://fnet.bmfbovespa.com.br/fnet/publico/downloadDocumento?id=1205333</t>
        </is>
      </c>
      <c r="Q207" s="75"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t>
        </is>
      </c>
    </row>
    <row r="208" ht="40.5" customHeight="1">
      <c r="A208" s="138" t="n">
        <v>63679792000192</v>
      </c>
      <c r="B208" s="74" t="inlineStr">
        <is>
          <t>63.679.792/0001-92</t>
        </is>
      </c>
      <c r="C208" s="74" t="inlineStr">
        <is>
          <t>Cotas Seniores</t>
        </is>
      </c>
      <c r="D208" s="74" t="inlineStr">
        <is>
          <t>R$ 1.000,00</t>
        </is>
      </c>
      <c r="E208" s="139" t="n">
        <v>1000</v>
      </c>
      <c r="F208" s="74" t="inlineStr">
        <is>
          <t>preço/valor unitário de emissão</t>
        </is>
      </c>
      <c r="G208" s="74" t="b">
        <v>0</v>
      </c>
      <c r="H208" s="74" t="inlineStr">
        <is>
          <t>emissao</t>
        </is>
      </c>
      <c r="I208" s="74" t="n">
        <v>1066557</v>
      </c>
      <c r="J208" s="74" t="inlineStr">
        <is>
          <t>Oferta Pública de Distribuição de Cotas Anúncio de Início</t>
        </is>
      </c>
      <c r="K208" s="74" t="inlineStr">
        <is>
          <t>18/12/2025</t>
        </is>
      </c>
      <c r="L208" s="74" t="n">
        <v>1</v>
      </c>
      <c r="M208" s="74" t="inlineStr">
        <is>
          <t>encontrado_explicito</t>
        </is>
      </c>
      <c r="N208" s="74" t="b">
        <v>1</v>
      </c>
      <c r="O208" s="74" t="inlineStr">
        <is>
          <t>.cache/carteira_101_document_scan/63679792000192/1066557.json.gz</t>
        </is>
      </c>
      <c r="P208" s="74" t="inlineStr">
        <is>
          <t>https://fnet.bmfbovespa.com.br/fnet/publico/downloadDocumento?id=1066557</t>
        </is>
      </c>
      <c r="Q208" s="74" t="inlineStr">
        <is>
          <t>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t>
        </is>
      </c>
    </row>
    <row r="209" ht="40.5" customHeight="1">
      <c r="A209" s="142" t="n">
        <v>65347578000164</v>
      </c>
      <c r="B209" s="75" t="inlineStr">
        <is>
          <t>65.347.578/0001-64</t>
        </is>
      </c>
      <c r="C209" s="75" t="inlineStr">
        <is>
          <t>N/D</t>
        </is>
      </c>
      <c r="D209" s="75" t="inlineStr">
        <is>
          <t>R$ 1.000,00</t>
        </is>
      </c>
      <c r="E209" s="143" t="n">
        <v>1000</v>
      </c>
      <c r="F209" s="75" t="inlineStr">
        <is>
          <t>preço/valor unitário de emissão</t>
        </is>
      </c>
      <c r="G209" s="75" t="b">
        <v>1</v>
      </c>
      <c r="H209" s="75" t="inlineStr">
        <is>
          <t>regulamento</t>
        </is>
      </c>
      <c r="I209" s="75" t="n">
        <v>1211821</v>
      </c>
      <c r="J209" s="75" t="inlineStr">
        <is>
          <t>Regulamento</t>
        </is>
      </c>
      <c r="K209" s="75" t="inlineStr">
        <is>
          <t>25/05/2026</t>
        </is>
      </c>
      <c r="L209" s="75" t="n">
        <v>166</v>
      </c>
      <c r="M209" s="75" t="inlineStr">
        <is>
          <t>encontrado_explicito</t>
        </is>
      </c>
      <c r="N209" s="75" t="b">
        <v>1</v>
      </c>
      <c r="O209" s="75" t="inlineStr">
        <is>
          <t>.cache/carteira_101_document_scan/65347578000164/1211821.json.gz</t>
        </is>
      </c>
      <c r="P209" s="75" t="inlineStr">
        <is>
          <t>https://fnet.bmfbovespa.com.br/fnet/publico/downloadDocumento?id=1211821</t>
        </is>
      </c>
      <c r="Q209" s="75" t="inlineStr">
        <is>
          <t>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t>
        </is>
      </c>
    </row>
    <row r="210" ht="40.5" customHeight="1">
      <c r="A210" s="138" t="n">
        <v>65347578000164</v>
      </c>
      <c r="B210" s="74" t="inlineStr">
        <is>
          <t>65.347.578/0001-64</t>
        </is>
      </c>
      <c r="C210" s="74" t="inlineStr">
        <is>
          <t>Cotas Seniores</t>
        </is>
      </c>
      <c r="D210" s="74" t="inlineStr">
        <is>
          <t>R$ 1.000,00</t>
        </is>
      </c>
      <c r="E210" s="139" t="n">
        <v>1000</v>
      </c>
      <c r="F210" s="74" t="inlineStr">
        <is>
          <t>valor nominal unitário (VNU)</t>
        </is>
      </c>
      <c r="G210" s="74" t="b">
        <v>0</v>
      </c>
      <c r="H210" s="74" t="inlineStr">
        <is>
          <t>emissao</t>
        </is>
      </c>
      <c r="I210" s="74" t="n">
        <v>1139874</v>
      </c>
      <c r="J210" s="74" t="inlineStr">
        <is>
          <t>Oferta Pública de Distribuição de Cotas Anúncio de Início</t>
        </is>
      </c>
      <c r="K210" s="74" t="inlineStr">
        <is>
          <t>17/03/2026</t>
        </is>
      </c>
      <c r="L210" s="74" t="n">
        <v>1</v>
      </c>
      <c r="M210" s="74" t="inlineStr">
        <is>
          <t>encontrado_explicito</t>
        </is>
      </c>
      <c r="N210" s="74" t="b">
        <v>1</v>
      </c>
      <c r="O210" s="74" t="inlineStr">
        <is>
          <t>.cache/carteira_101_document_scan/65347578000164/1139874.json.gz</t>
        </is>
      </c>
      <c r="P210" s="74" t="inlineStr">
        <is>
          <t>https://fnet.bmfbovespa.com.br/fnet/publico/downloadDocumento?id=1139874</t>
        </is>
      </c>
      <c r="Q210" s="74" t="inlineStr">
        <is>
          <t>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t>
        </is>
      </c>
    </row>
    <row r="211" ht="40.5" customHeight="1">
      <c r="A211" s="142" t="n">
        <v>65347578000164</v>
      </c>
      <c r="B211" s="75" t="inlineStr">
        <is>
          <t>65.347.578/0001-64</t>
        </is>
      </c>
      <c r="C211" s="75" t="inlineStr">
        <is>
          <t>Cotas Subordinadas Mezanino</t>
        </is>
      </c>
      <c r="D211" s="75" t="inlineStr">
        <is>
          <t>R$ 1.000,00</t>
        </is>
      </c>
      <c r="E211" s="143" t="n">
        <v>1000</v>
      </c>
      <c r="F211" s="75" t="inlineStr">
        <is>
          <t>valor nominal unitário (VNU)</t>
        </is>
      </c>
      <c r="G211" s="75" t="b">
        <v>0</v>
      </c>
      <c r="H211" s="75" t="inlineStr">
        <is>
          <t>emissao</t>
        </is>
      </c>
      <c r="I211" s="75" t="n">
        <v>1139874</v>
      </c>
      <c r="J211" s="75" t="inlineStr">
        <is>
          <t>Oferta Pública de Distribuição de Cotas Anúncio de Início</t>
        </is>
      </c>
      <c r="K211" s="75" t="inlineStr">
        <is>
          <t>17/03/2026</t>
        </is>
      </c>
      <c r="L211" s="75" t="n">
        <v>2</v>
      </c>
      <c r="M211" s="75" t="inlineStr">
        <is>
          <t>encontrado_explicito</t>
        </is>
      </c>
      <c r="N211" s="75" t="b">
        <v>1</v>
      </c>
      <c r="O211" s="75" t="inlineStr">
        <is>
          <t>.cache/carteira_101_document_scan/65347578000164/1139874.json.gz</t>
        </is>
      </c>
      <c r="P211" s="75" t="inlineStr">
        <is>
          <t>https://fnet.bmfbovespa.com.br/fnet/publico/downloadDocumento?id=1139874</t>
        </is>
      </c>
      <c r="Q211" s="75" t="inlineStr">
        <is>
          <t>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t>
        </is>
      </c>
    </row>
    <row r="212" ht="40.5" customHeight="1">
      <c r="A212" s="138" t="n">
        <v>65836995000170</v>
      </c>
      <c r="B212" s="74" t="inlineStr">
        <is>
          <t>65.836.995/0001-70</t>
        </is>
      </c>
      <c r="C212" s="74" t="inlineStr">
        <is>
          <t>Série Cotas Seniores</t>
        </is>
      </c>
      <c r="D212" s="74" t="inlineStr">
        <is>
          <t>R$ 1.000,00</t>
        </is>
      </c>
      <c r="E212" s="139" t="n">
        <v>1000</v>
      </c>
      <c r="F212" s="74" t="inlineStr">
        <is>
          <t>preço/valor unitário de emissão</t>
        </is>
      </c>
      <c r="G212" s="74" t="b">
        <v>0</v>
      </c>
      <c r="H212" s="74" t="inlineStr">
        <is>
          <t>regulamento</t>
        </is>
      </c>
      <c r="I212" s="74" t="n">
        <v>1184844</v>
      </c>
      <c r="J212" s="74" t="inlineStr">
        <is>
          <t>Atos de Deliberação do Administrador Instrumento Particular de Alteração do Regulamento</t>
        </is>
      </c>
      <c r="K212" s="74" t="inlineStr">
        <is>
          <t>07/05/2026</t>
        </is>
      </c>
      <c r="L212" s="74" t="n">
        <v>86</v>
      </c>
      <c r="M212" s="74" t="inlineStr">
        <is>
          <t>encontrado_explicito</t>
        </is>
      </c>
      <c r="N212" s="74" t="b">
        <v>1</v>
      </c>
      <c r="O212" s="74" t="inlineStr">
        <is>
          <t>.cache/carteira_101_document_scan/65836995000170/1184844.json.gz</t>
        </is>
      </c>
      <c r="P212" s="74" t="inlineStr">
        <is>
          <t>https://fnet.bmfbovespa.com.br/fnet/publico/downloadDocumento?id=1184844</t>
        </is>
      </c>
      <c r="Q212" s="74" t="inlineStr">
        <is>
          <t>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t>
        </is>
      </c>
    </row>
    <row r="213" ht="40.5" customHeight="1">
      <c r="A213" s="142" t="n">
        <v>65836995000170</v>
      </c>
      <c r="B213" s="75" t="inlineStr">
        <is>
          <t>65.836.995/0001-70</t>
        </is>
      </c>
      <c r="C213" s="75" t="inlineStr">
        <is>
          <t>Cotas Subordinadas Junior</t>
        </is>
      </c>
      <c r="D213" s="75" t="inlineStr">
        <is>
          <t>R$ 1.000,00</t>
        </is>
      </c>
      <c r="E213" s="143" t="n">
        <v>1000</v>
      </c>
      <c r="F213" s="75" t="inlineStr">
        <is>
          <t>preço/valor unitário de emissão</t>
        </is>
      </c>
      <c r="G213" s="75" t="b">
        <v>0</v>
      </c>
      <c r="H213" s="75" t="inlineStr">
        <is>
          <t>regulamento</t>
        </is>
      </c>
      <c r="I213" s="75" t="n">
        <v>1188501</v>
      </c>
      <c r="J213" s="75" t="inlineStr">
        <is>
          <t>regulamento</t>
        </is>
      </c>
      <c r="K213" s="75" t="inlineStr">
        <is>
          <t>2026-05-11</t>
        </is>
      </c>
      <c r="L213" s="75" t="n">
        <v>9</v>
      </c>
      <c r="M213" s="75" t="inlineStr">
        <is>
          <t>encontrado_explicito</t>
        </is>
      </c>
      <c r="N213" s="75" t="b">
        <v>1</v>
      </c>
      <c r="O213" s="75" t="inlineStr">
        <is>
          <t>data/raw/65836995000170/1188501_regulamento_regulamento_1188501_2026-05-11_2026-05-11.pdf</t>
        </is>
      </c>
      <c r="P213" s="75" t="inlineStr">
        <is>
          <t>https://fnet.bmfbovespa.com.br/fnet/publico/downloadDocumento?id=1188501</t>
        </is>
      </c>
      <c r="Q213" s="75" t="inlineStr">
        <is>
          <t>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t>
        </is>
      </c>
    </row>
    <row r="214" ht="40.5" customHeight="1">
      <c r="A214" s="138" t="n">
        <v>65836995000170</v>
      </c>
      <c r="B214" s="74" t="inlineStr">
        <is>
          <t>65.836.995/0001-70</t>
        </is>
      </c>
      <c r="C214" s="74" t="inlineStr">
        <is>
          <t>Cotas Subordinadas Mezanino</t>
        </is>
      </c>
      <c r="D214" s="74" t="inlineStr">
        <is>
          <t>R$ 1.000,00</t>
        </is>
      </c>
      <c r="E214" s="139" t="n">
        <v>1000</v>
      </c>
      <c r="F214" s="74" t="inlineStr">
        <is>
          <t>preço/valor unitário de emissão</t>
        </is>
      </c>
      <c r="G214" s="74" t="b">
        <v>0</v>
      </c>
      <c r="H214" s="74" t="inlineStr">
        <is>
          <t>regulamento</t>
        </is>
      </c>
      <c r="I214" s="74" t="n">
        <v>1188501</v>
      </c>
      <c r="J214" s="74" t="inlineStr">
        <is>
          <t>regulamento</t>
        </is>
      </c>
      <c r="K214" s="74" t="inlineStr">
        <is>
          <t>2026-05-11</t>
        </is>
      </c>
      <c r="L214" s="74" t="n">
        <v>7</v>
      </c>
      <c r="M214" s="74" t="inlineStr">
        <is>
          <t>encontrado_explicito</t>
        </is>
      </c>
      <c r="N214" s="74" t="b">
        <v>1</v>
      </c>
      <c r="O214" s="74" t="inlineStr">
        <is>
          <t>data/raw/65836995000170/1188501_regulamento_regulamento_1188501_2026-05-11_2026-05-11.pdf</t>
        </is>
      </c>
      <c r="P214" s="74" t="inlineStr">
        <is>
          <t>https://fnet.bmfbovespa.com.br/fnet/publico/downloadDocumento?id=1188501</t>
        </is>
      </c>
      <c r="Q214" s="74" t="inlineStr">
        <is>
          <t>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t>
        </is>
      </c>
    </row>
    <row r="215" ht="40.5" customHeight="1">
      <c r="A215" s="142" t="n">
        <v>65836995000170</v>
      </c>
      <c r="B215" s="75" t="inlineStr">
        <is>
          <t>65.836.995/0001-70</t>
        </is>
      </c>
      <c r="C215" s="75" t="inlineStr">
        <is>
          <t>Série de Cotas Seniores</t>
        </is>
      </c>
      <c r="D215" s="75" t="inlineStr">
        <is>
          <t>R$ 1.000,00</t>
        </is>
      </c>
      <c r="E215" s="143" t="n">
        <v>1000</v>
      </c>
      <c r="F215" s="75" t="inlineStr">
        <is>
          <t>preço/valor unitário de emissão</t>
        </is>
      </c>
      <c r="G215" s="75" t="b">
        <v>0</v>
      </c>
      <c r="H215" s="75" t="inlineStr">
        <is>
          <t>regulamento</t>
        </is>
      </c>
      <c r="I215" s="75" t="n">
        <v>1188501</v>
      </c>
      <c r="J215" s="75" t="inlineStr">
        <is>
          <t>regulamento</t>
        </is>
      </c>
      <c r="K215" s="75" t="inlineStr">
        <is>
          <t>2026-05-11</t>
        </is>
      </c>
      <c r="L215" s="75" t="n">
        <v>3</v>
      </c>
      <c r="M215" s="75" t="inlineStr">
        <is>
          <t>encontrado_explicito</t>
        </is>
      </c>
      <c r="N215" s="75" t="b">
        <v>1</v>
      </c>
      <c r="O215" s="75" t="inlineStr">
        <is>
          <t>data/raw/65836995000170/1188501_regulamento_regulamento_1188501_2026-05-11_2026-05-11.pdf</t>
        </is>
      </c>
      <c r="P215" s="75" t="inlineStr">
        <is>
          <t>https://fnet.bmfbovespa.com.br/fnet/publico/downloadDocumento?id=1188501</t>
        </is>
      </c>
      <c r="Q215" s="75" t="inlineStr">
        <is>
          <t>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t>
        </is>
      </c>
    </row>
    <row r="216" ht="40.5" customHeight="1">
      <c r="A216" s="138" t="n">
        <v>65836995000170</v>
      </c>
      <c r="B216" s="74" t="inlineStr">
        <is>
          <t>65.836.995/0001-70</t>
        </is>
      </c>
      <c r="C216" s="74" t="inlineStr">
        <is>
          <t>Cotas Seniores</t>
        </is>
      </c>
      <c r="D216" s="74" t="inlineStr">
        <is>
          <t>R$ 1.000,00</t>
        </is>
      </c>
      <c r="E216" s="139" t="n">
        <v>1000</v>
      </c>
      <c r="F216" s="74" t="inlineStr">
        <is>
          <t>valor nominal unitário (VNU)</t>
        </is>
      </c>
      <c r="G216" s="74" t="b">
        <v>0</v>
      </c>
      <c r="H216" s="74" t="inlineStr">
        <is>
          <t>emissao</t>
        </is>
      </c>
      <c r="I216" s="74" t="n">
        <v>1182309</v>
      </c>
      <c r="J216" s="74" t="inlineStr">
        <is>
          <t>Oferta Pública de Distribuição de Cotas Anúncio de Início</t>
        </is>
      </c>
      <c r="K216" s="74" t="inlineStr">
        <is>
          <t>07/05/2026</t>
        </is>
      </c>
      <c r="L216" s="74" t="n">
        <v>2</v>
      </c>
      <c r="M216" s="74" t="inlineStr">
        <is>
          <t>encontrado_explicito</t>
        </is>
      </c>
      <c r="N216" s="74" t="b">
        <v>1</v>
      </c>
      <c r="O216" s="74" t="inlineStr">
        <is>
          <t>.cache/carteira_101_document_scan/65836995000170/1182309.json.gz</t>
        </is>
      </c>
      <c r="P216" s="74" t="inlineStr">
        <is>
          <t>https://fnet.bmfbovespa.com.br/fnet/publico/downloadDocumento?id=1182309</t>
        </is>
      </c>
      <c r="Q216" s="74" t="inlineStr">
        <is>
          <t>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t>
        </is>
      </c>
    </row>
    <row r="217" ht="40.5" customHeight="1">
      <c r="A217" s="142" t="n">
        <v>65873297000145</v>
      </c>
      <c r="B217" s="75" t="inlineStr">
        <is>
          <t>65.873.297/0001-45</t>
        </is>
      </c>
      <c r="C217" s="75" t="inlineStr">
        <is>
          <t>Cotas Seniores</t>
        </is>
      </c>
      <c r="D217" s="75" t="inlineStr">
        <is>
          <t>R$ 1.000,00</t>
        </is>
      </c>
      <c r="E217" s="143" t="n">
        <v>1000</v>
      </c>
      <c r="F217" s="75" t="inlineStr">
        <is>
          <t>preço/valor unitário de emissão</t>
        </is>
      </c>
      <c r="G217" s="75" t="b">
        <v>0</v>
      </c>
      <c r="H217" s="75" t="inlineStr">
        <is>
          <t>regulamento</t>
        </is>
      </c>
      <c r="I217" s="75" t="n">
        <v>1226438</v>
      </c>
      <c r="J217" s="75" t="inlineStr">
        <is>
          <t>Regulamento</t>
        </is>
      </c>
      <c r="K217" s="75" t="inlineStr">
        <is>
          <t>20/05/2026</t>
        </is>
      </c>
      <c r="L217" s="75" t="n">
        <v>69</v>
      </c>
      <c r="M217" s="75" t="inlineStr">
        <is>
          <t>encontrado_explicito</t>
        </is>
      </c>
      <c r="N217" s="75" t="b">
        <v>1</v>
      </c>
      <c r="O217" s="75" t="inlineStr">
        <is>
          <t>.cache/carteira_101_document_scan/65873297000145/1226438.json.gz</t>
        </is>
      </c>
      <c r="P217" s="75" t="inlineStr">
        <is>
          <t>https://fnet.bmfbovespa.com.br/fnet/publico/downloadDocumento?id=1226438</t>
        </is>
      </c>
      <c r="Q217" s="75" t="inlineStr">
        <is>
          <t>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t>
        </is>
      </c>
    </row>
    <row r="218" ht="40.5" customHeight="1">
      <c r="A218" s="138" t="n">
        <v>65873297000145</v>
      </c>
      <c r="B218" s="74" t="inlineStr">
        <is>
          <t>65.873.297/0001-45</t>
        </is>
      </c>
      <c r="C218" s="74" t="inlineStr">
        <is>
          <t>Cotas Subordinadas</t>
        </is>
      </c>
      <c r="D218" s="74" t="inlineStr">
        <is>
          <t>R$ 1.000,00</t>
        </is>
      </c>
      <c r="E218" s="139" t="n">
        <v>1000</v>
      </c>
      <c r="F218" s="74" t="inlineStr">
        <is>
          <t>preço/valor unitário de emissão</t>
        </is>
      </c>
      <c r="G218" s="74" t="b">
        <v>0</v>
      </c>
      <c r="H218" s="74" t="inlineStr">
        <is>
          <t>regulamento</t>
        </is>
      </c>
      <c r="I218" s="74" t="n">
        <v>1226438</v>
      </c>
      <c r="J218" s="74" t="inlineStr">
        <is>
          <t>Regulamento</t>
        </is>
      </c>
      <c r="K218" s="74" t="inlineStr">
        <is>
          <t>20/05/2026</t>
        </is>
      </c>
      <c r="L218" s="74" t="n">
        <v>71</v>
      </c>
      <c r="M218" s="74" t="inlineStr">
        <is>
          <t>encontrado_explicito</t>
        </is>
      </c>
      <c r="N218" s="74" t="b">
        <v>1</v>
      </c>
      <c r="O218" s="74" t="inlineStr">
        <is>
          <t>.cache/carteira_101_document_scan/65873297000145/1226438.json.gz</t>
        </is>
      </c>
      <c r="P218" s="74" t="inlineStr">
        <is>
          <t>https://fnet.bmfbovespa.com.br/fnet/publico/downloadDocumento?id=1226438</t>
        </is>
      </c>
      <c r="Q218" s="74" t="inlineStr">
        <is>
          <t>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t>
        </is>
      </c>
    </row>
    <row r="219" ht="40.5" customHeight="1">
      <c r="A219" s="142" t="n">
        <v>65873297000145</v>
      </c>
      <c r="B219" s="75" t="inlineStr">
        <is>
          <t>65.873.297/0001-45</t>
        </is>
      </c>
      <c r="C219" s="75" t="inlineStr">
        <is>
          <t>Cotas Seniores</t>
        </is>
      </c>
      <c r="D219" s="75" t="inlineStr">
        <is>
          <t>R$1.000,00</t>
        </is>
      </c>
      <c r="E219" s="143" t="n">
        <v>1000</v>
      </c>
      <c r="F219" s="75" t="inlineStr">
        <is>
          <t>valor nominal unitário (VNU)</t>
        </is>
      </c>
      <c r="G219" s="75" t="b">
        <v>0</v>
      </c>
      <c r="H219" s="75" t="inlineStr">
        <is>
          <t>emissao</t>
        </is>
      </c>
      <c r="I219" s="75" t="n">
        <v>1159272</v>
      </c>
      <c r="J219" s="75" t="inlineStr">
        <is>
          <t>Oferta Pública de Distribuição de Cotas Anúncio de Encerramento</t>
        </is>
      </c>
      <c r="K219" s="75" t="inlineStr">
        <is>
          <t>10/04/2026</t>
        </is>
      </c>
      <c r="L219" s="75" t="n">
        <v>2</v>
      </c>
      <c r="M219" s="75" t="inlineStr">
        <is>
          <t>encontrado_explicito</t>
        </is>
      </c>
      <c r="N219" s="75" t="b">
        <v>1</v>
      </c>
      <c r="O219" s="75" t="inlineStr">
        <is>
          <t>.cache/carteira_101_document_scan/65873297000145/1159272.json.gz</t>
        </is>
      </c>
      <c r="P219" s="75" t="inlineStr">
        <is>
          <t>https://fnet.bmfbovespa.com.br/fnet/publico/downloadDocumento?id=1159272</t>
        </is>
      </c>
      <c r="Q219" s="75" t="inlineStr">
        <is>
          <t>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t>
        </is>
      </c>
    </row>
    <row r="220" ht="40.5" customHeight="1">
      <c r="A220" s="138" t="n">
        <v>65976848000104</v>
      </c>
      <c r="B220" s="74" t="inlineStr">
        <is>
          <t>65.976.848/0001-04</t>
        </is>
      </c>
      <c r="C220" s="74" t="inlineStr">
        <is>
          <t>N/D</t>
        </is>
      </c>
      <c r="D220" s="74" t="inlineStr">
        <is>
          <t>R$ 1.000,00</t>
        </is>
      </c>
      <c r="E220" s="139" t="n">
        <v>1000</v>
      </c>
      <c r="F220" s="74" t="inlineStr">
        <is>
          <t>preço/valor unitário de emissão</t>
        </is>
      </c>
      <c r="G220" s="74" t="b">
        <v>1</v>
      </c>
      <c r="H220" s="74" t="inlineStr">
        <is>
          <t>regulamento</t>
        </is>
      </c>
      <c r="I220" s="74" t="n">
        <v>1239452</v>
      </c>
      <c r="J220" s="74" t="inlineStr">
        <is>
          <t>Regulamento</t>
        </is>
      </c>
      <c r="K220" s="74" t="inlineStr">
        <is>
          <t>22/06/2026</t>
        </is>
      </c>
      <c r="L220" s="74" t="n">
        <v>30</v>
      </c>
      <c r="M220" s="74" t="inlineStr">
        <is>
          <t>encontrado_explicito</t>
        </is>
      </c>
      <c r="N220" s="74" t="b">
        <v>1</v>
      </c>
      <c r="O220" s="74" t="inlineStr">
        <is>
          <t>.cache/carteira_101_document_scan/65976848000104/1239452.json.gz</t>
        </is>
      </c>
      <c r="P220" s="74" t="inlineStr">
        <is>
          <t>https://fnet.bmfbovespa.com.br/fnet/publico/downloadDocumento?id=1239452</t>
        </is>
      </c>
      <c r="Q220" s="74"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t>
        </is>
      </c>
    </row>
    <row r="221" ht="40.5" customHeight="1">
      <c r="A221" s="142" t="n">
        <v>65976848000104</v>
      </c>
      <c r="B221" s="75" t="inlineStr">
        <is>
          <t>65.976.848/0001-04</t>
        </is>
      </c>
      <c r="C221" s="75" t="inlineStr">
        <is>
          <t>cotas seniores</t>
        </is>
      </c>
      <c r="D221" s="75" t="inlineStr">
        <is>
          <t>R$ 1.000,00</t>
        </is>
      </c>
      <c r="E221" s="143" t="n">
        <v>1000</v>
      </c>
      <c r="F221" s="75" t="inlineStr">
        <is>
          <t>valor nominal unitário (VNU)</t>
        </is>
      </c>
      <c r="G221" s="75" t="b">
        <v>0</v>
      </c>
      <c r="H221" s="75" t="inlineStr">
        <is>
          <t>emissao</t>
        </is>
      </c>
      <c r="I221" s="75" t="n">
        <v>1168361</v>
      </c>
      <c r="J221" s="75" t="inlineStr">
        <is>
          <t>Oferta Pública de Distribuição de Cotas Anúncio de Início</t>
        </is>
      </c>
      <c r="K221" s="75" t="inlineStr">
        <is>
          <t>23/04/2026</t>
        </is>
      </c>
      <c r="L221" s="75" t="n">
        <v>2</v>
      </c>
      <c r="M221" s="75" t="inlineStr">
        <is>
          <t>encontrado_explicito</t>
        </is>
      </c>
      <c r="N221" s="75" t="b">
        <v>1</v>
      </c>
      <c r="O221" s="75" t="inlineStr">
        <is>
          <t>.cache/carteira_101_document_scan/65976848000104/1168361.json.gz</t>
        </is>
      </c>
      <c r="P221" s="75" t="inlineStr">
        <is>
          <t>https://fnet.bmfbovespa.com.br/fnet/publico/downloadDocumento?id=1168361</t>
        </is>
      </c>
      <c r="Q221" s="75" t="inlineStr">
        <is>
          <t>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t>
        </is>
      </c>
    </row>
    <row r="222" ht="40.5" customHeight="1">
      <c r="A222" s="138" t="n">
        <v>65976848000104</v>
      </c>
      <c r="B222" s="74" t="inlineStr">
        <is>
          <t>65.976.848/0001-04</t>
        </is>
      </c>
      <c r="C222" s="74" t="inlineStr">
        <is>
          <t>cotas seniores</t>
        </is>
      </c>
      <c r="D222" s="74" t="inlineStr">
        <is>
          <t>R$ 1.000,00</t>
        </is>
      </c>
      <c r="E222" s="139" t="n">
        <v>1000</v>
      </c>
      <c r="F222" s="74" t="inlineStr">
        <is>
          <t>preço/valor unitário de emissão</t>
        </is>
      </c>
      <c r="G222" s="74" t="b">
        <v>0</v>
      </c>
      <c r="H222" s="74" t="inlineStr">
        <is>
          <t>emissao</t>
        </is>
      </c>
      <c r="I222" s="74" t="n">
        <v>1170775</v>
      </c>
      <c r="J222" s="74" t="inlineStr">
        <is>
          <t>Oferta Pública de Distribuição de Cotas Anúncio de Encerramento</t>
        </is>
      </c>
      <c r="K222" s="74" t="inlineStr">
        <is>
          <t>27/04/2026</t>
        </is>
      </c>
      <c r="L222" s="74" t="n">
        <v>2</v>
      </c>
      <c r="M222" s="74" t="inlineStr">
        <is>
          <t>encontrado_explicito</t>
        </is>
      </c>
      <c r="N222" s="74" t="b">
        <v>1</v>
      </c>
      <c r="O222" s="74" t="inlineStr">
        <is>
          <t>.cache/carteira_101_document_scan/65976848000104/1170775.json.gz</t>
        </is>
      </c>
      <c r="P222" s="74" t="inlineStr">
        <is>
          <t>https://fnet.bmfbovespa.com.br/fnet/publico/downloadDocumento?id=1170775</t>
        </is>
      </c>
      <c r="Q222" s="74" t="inlineStr">
        <is>
          <t>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t>
        </is>
      </c>
    </row>
  </sheetData>
  <mergeCells count="2">
    <mergeCell ref="A2:Q2"/>
    <mergeCell ref="A1:Q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L105"/>
  <sheetViews>
    <sheetView workbookViewId="0">
      <selection activeCell="A1" sqref="A1"/>
    </sheetView>
  </sheetViews>
  <sheetFormatPr baseColWidth="8" defaultRowHeight="15"/>
  <cols>
    <col width="8.75" customWidth="1" min="1" max="1"/>
    <col width="15.63000011444092" customWidth="1" min="2" max="2"/>
    <col width="18.1299991607666" customWidth="1" min="3" max="3"/>
    <col width="48.75" customWidth="1" min="4" max="4"/>
    <col width="17.5" customWidth="1" min="5" max="5"/>
    <col width="14.38000011444092" customWidth="1" min="6" max="6"/>
    <col width="17.5" customWidth="1" min="7" max="7"/>
    <col width="45" customWidth="1" min="8" max="8"/>
    <col width="45" customWidth="1" min="9" max="9"/>
    <col width="20" customWidth="1" min="10" max="10"/>
    <col width="21.25" customWidth="1" min="11" max="11"/>
    <col width="22.5" customWidth="1" min="12" max="12"/>
    <col width="14.38000011444092" customWidth="1" min="13" max="13"/>
    <col width="10.63000011444092" customWidth="1" min="14" max="14"/>
    <col width="48.75" customWidth="1" min="15" max="15"/>
    <col width="18.75" customWidth="1" min="16" max="16"/>
    <col width="45" customWidth="1" min="17" max="17"/>
    <col width="20" customWidth="1" min="18" max="18"/>
    <col width="21.25" customWidth="1" min="19" max="19"/>
    <col width="22.5" customWidth="1" min="20" max="20"/>
    <col width="14.38000011444092" customWidth="1" min="21" max="21"/>
    <col width="10.63000011444092" customWidth="1" min="22" max="22"/>
    <col width="48.75" customWidth="1" min="23" max="23"/>
    <col width="18.75" customWidth="1" min="24" max="24"/>
    <col width="45" customWidth="1" min="25" max="25"/>
    <col width="20" customWidth="1" min="26" max="26"/>
    <col width="21.25" customWidth="1" min="27" max="27"/>
    <col width="22.5" customWidth="1" min="28" max="28"/>
    <col width="14.38000011444092" customWidth="1" min="29" max="29"/>
    <col width="10.63000011444092" customWidth="1" min="30" max="30"/>
    <col width="48.75" customWidth="1" min="31" max="31"/>
    <col width="18.75" customWidth="1" min="32" max="32"/>
    <col width="45" customWidth="1" min="33" max="33"/>
    <col width="20" customWidth="1" min="34" max="34"/>
    <col width="21.25" customWidth="1" min="35" max="35"/>
    <col width="22.5" customWidth="1" min="36" max="36"/>
    <col width="14.38000011444092" customWidth="1" min="37" max="37"/>
    <col width="10.63000011444092" customWidth="1" min="38" max="38"/>
    <col width="48.75" customWidth="1" min="39" max="39"/>
    <col width="18.75" customWidth="1" min="40" max="40"/>
    <col width="45" customWidth="1" min="41" max="41"/>
    <col width="20" customWidth="1" min="42" max="42"/>
    <col width="21.25" customWidth="1" min="43" max="43"/>
    <col width="22.5" customWidth="1" min="44" max="44"/>
    <col width="14.38000011444092" customWidth="1" min="45" max="45"/>
    <col width="10.63000011444092" customWidth="1" min="46" max="46"/>
    <col width="48.75" customWidth="1" min="47" max="47"/>
    <col width="18.75" customWidth="1" min="48" max="48"/>
    <col width="45" customWidth="1" min="49" max="49"/>
    <col width="20" customWidth="1" min="50" max="50"/>
    <col width="21.25" customWidth="1" min="51" max="51"/>
    <col width="22.5" customWidth="1" min="52" max="52"/>
    <col width="14.38000011444092" customWidth="1" min="53" max="53"/>
    <col width="10.63000011444092" customWidth="1" min="54" max="54"/>
    <col width="48.75" customWidth="1" min="55" max="55"/>
    <col width="18.75" customWidth="1" min="56" max="56"/>
    <col width="45" customWidth="1" min="57" max="57"/>
    <col width="20" customWidth="1" min="58" max="58"/>
    <col width="21.25" customWidth="1" min="59" max="59"/>
    <col width="22.5" customWidth="1" min="60" max="60"/>
    <col width="14.38000011444092" customWidth="1" min="61" max="61"/>
    <col width="10.63000011444092" customWidth="1" min="62" max="62"/>
    <col width="48.75" customWidth="1" min="63" max="63"/>
    <col width="18.75" customWidth="1" min="64" max="64"/>
  </cols>
  <sheetData>
    <row r="1" ht="25.5" customHeight="1">
      <c r="A1" s="26" t="inlineStr">
        <is>
          <t>Auditoria documental · 101 CNPJs da Carteira I</t>
        </is>
      </c>
    </row>
    <row r="2" ht="22.5" customHeight="1">
      <c r="A2" s="29" t="inlineStr">
        <is>
          <t>Valor escolhido, status, natureza, documento, data, página, link e camada de evidência por campo. Candidato automático não aceito permanece apenas na aba de evidências.</t>
        </is>
      </c>
    </row>
    <row r="4" ht="25.5" customHeight="1">
      <c r="A4" s="32" t="inlineStr">
        <is>
          <t>Ordem</t>
        </is>
      </c>
      <c r="B4" s="32" t="inlineStr">
        <is>
          <t>CNPJ</t>
        </is>
      </c>
      <c r="C4" s="32" t="inlineStr">
        <is>
          <t>CNPJ formatado</t>
        </is>
      </c>
      <c r="D4" s="32" t="inlineStr">
        <is>
          <t>Nome do fundo</t>
        </is>
      </c>
      <c r="E4" s="32" t="inlineStr">
        <is>
          <t>Status do scan</t>
        </is>
      </c>
      <c r="F4" s="32" t="inlineStr">
        <is>
          <t>Fontes consultadas</t>
        </is>
      </c>
      <c r="G4" s="32" t="inlineStr">
        <is>
          <t>Status online</t>
        </is>
      </c>
      <c r="H4" s="32" t="inlineStr">
        <is>
          <t>Erros do scan</t>
        </is>
      </c>
      <c r="I4" s="32" t="inlineStr">
        <is>
          <t>Originador · valor</t>
        </is>
      </c>
      <c r="J4" s="32" t="inlineStr">
        <is>
          <t>Originador · status</t>
        </is>
      </c>
      <c r="K4" s="32" t="inlineStr">
        <is>
          <t>Originador · natureza</t>
        </is>
      </c>
      <c r="L4" s="32" t="inlineStr">
        <is>
          <t>Originador · documento</t>
        </is>
      </c>
      <c r="M4" s="32" t="inlineStr">
        <is>
          <t>Originador · data</t>
        </is>
      </c>
      <c r="N4" s="32" t="inlineStr">
        <is>
          <t>Originador · página</t>
        </is>
      </c>
      <c r="O4" s="32" t="inlineStr">
        <is>
          <t>Originador · link</t>
        </is>
      </c>
      <c r="P4" s="32" t="inlineStr">
        <is>
          <t>Originador · camada</t>
        </is>
      </c>
      <c r="Q4" s="32" t="inlineStr">
        <is>
          <t>Cedente · valor</t>
        </is>
      </c>
      <c r="R4" s="32" t="inlineStr">
        <is>
          <t>Cedente · status</t>
        </is>
      </c>
      <c r="S4" s="32" t="inlineStr">
        <is>
          <t>Cedente · natureza</t>
        </is>
      </c>
      <c r="T4" s="32" t="inlineStr">
        <is>
          <t>Cedente · documento</t>
        </is>
      </c>
      <c r="U4" s="32" t="inlineStr">
        <is>
          <t>Cedente · data</t>
        </is>
      </c>
      <c r="V4" s="32" t="inlineStr">
        <is>
          <t>Cedente · página</t>
        </is>
      </c>
      <c r="W4" s="32" t="inlineStr">
        <is>
          <t>Cedente · link</t>
        </is>
      </c>
      <c r="X4" s="32" t="inlineStr">
        <is>
          <t>Cedente · camada</t>
        </is>
      </c>
      <c r="Y4" s="32" t="inlineStr">
        <is>
          <t>Sacado / devedor · valor</t>
        </is>
      </c>
      <c r="Z4" s="32" t="inlineStr">
        <is>
          <t>Sacado / devedor · status</t>
        </is>
      </c>
      <c r="AA4" s="32" t="inlineStr">
        <is>
          <t>Sacado / devedor · natureza</t>
        </is>
      </c>
      <c r="AB4" s="32" t="inlineStr">
        <is>
          <t>Sacado / devedor · documento</t>
        </is>
      </c>
      <c r="AC4" s="32" t="inlineStr">
        <is>
          <t>Sacado / devedor · data</t>
        </is>
      </c>
      <c r="AD4" s="32" t="inlineStr">
        <is>
          <t>Sacado / devedor · página</t>
        </is>
      </c>
      <c r="AE4" s="32" t="inlineStr">
        <is>
          <t>Sacado / devedor · link</t>
        </is>
      </c>
      <c r="AF4" s="32" t="inlineStr">
        <is>
          <t>Sacado / devedor · camada</t>
        </is>
      </c>
      <c r="AG4" s="32" t="inlineStr">
        <is>
          <t>Tipo de recebível · valor</t>
        </is>
      </c>
      <c r="AH4" s="32" t="inlineStr">
        <is>
          <t>Tipo de recebível · status</t>
        </is>
      </c>
      <c r="AI4" s="32" t="inlineStr">
        <is>
          <t>Tipo de recebível · natureza</t>
        </is>
      </c>
      <c r="AJ4" s="32" t="inlineStr">
        <is>
          <t>Tipo de recebível · documento</t>
        </is>
      </c>
      <c r="AK4" s="32" t="inlineStr">
        <is>
          <t>Tipo de recebível · data</t>
        </is>
      </c>
      <c r="AL4" s="32" t="inlineStr">
        <is>
          <t>Tipo de recebível · página</t>
        </is>
      </c>
      <c r="AM4" s="32" t="inlineStr">
        <is>
          <t>Tipo de recebível · link</t>
        </is>
      </c>
      <c r="AN4" s="32" t="inlineStr">
        <is>
          <t>Tipo de recebível · camada</t>
        </is>
      </c>
      <c r="AO4" s="32" t="inlineStr">
        <is>
          <t>Mínimo júnior · valor</t>
        </is>
      </c>
      <c r="AP4" s="32" t="inlineStr">
        <is>
          <t>Mínimo júnior · status</t>
        </is>
      </c>
      <c r="AQ4" s="32" t="inlineStr">
        <is>
          <t>Mínimo júnior · natureza</t>
        </is>
      </c>
      <c r="AR4" s="32" t="inlineStr">
        <is>
          <t>Mínimo júnior · documento</t>
        </is>
      </c>
      <c r="AS4" s="32" t="inlineStr">
        <is>
          <t>Mínimo júnior · data</t>
        </is>
      </c>
      <c r="AT4" s="32" t="inlineStr">
        <is>
          <t>Mínimo júnior · página</t>
        </is>
      </c>
      <c r="AU4" s="32" t="inlineStr">
        <is>
          <t>Mínimo júnior · link</t>
        </is>
      </c>
      <c r="AV4" s="32" t="inlineStr">
        <is>
          <t>Mínimo júnior · camada</t>
        </is>
      </c>
      <c r="AW4" s="32" t="inlineStr">
        <is>
          <t>Mínimo estrutural total · valor</t>
        </is>
      </c>
      <c r="AX4" s="32" t="inlineStr">
        <is>
          <t>Mínimo estrutural total · status</t>
        </is>
      </c>
      <c r="AY4" s="32" t="inlineStr">
        <is>
          <t>Mínimo estrutural total · natureza</t>
        </is>
      </c>
      <c r="AZ4" s="32" t="inlineStr">
        <is>
          <t>Mínimo estrutural total · documento</t>
        </is>
      </c>
      <c r="BA4" s="32" t="inlineStr">
        <is>
          <t>Mínimo estrutural total · data</t>
        </is>
      </c>
      <c r="BB4" s="32" t="inlineStr">
        <is>
          <t>Mínimo estrutural total · página</t>
        </is>
      </c>
      <c r="BC4" s="32" t="inlineStr">
        <is>
          <t>Mínimo estrutural total · link</t>
        </is>
      </c>
      <c r="BD4" s="32" t="inlineStr">
        <is>
          <t>Mínimo estrutural total · camada</t>
        </is>
      </c>
      <c r="BE4" s="32" t="inlineStr">
        <is>
          <t>Natureza do índice · valor</t>
        </is>
      </c>
      <c r="BF4" s="32" t="inlineStr">
        <is>
          <t>Natureza do índice · status</t>
        </is>
      </c>
      <c r="BG4" s="32" t="inlineStr">
        <is>
          <t>Natureza do índice · natureza</t>
        </is>
      </c>
      <c r="BH4" s="32" t="inlineStr">
        <is>
          <t>Natureza do índice · documento</t>
        </is>
      </c>
      <c r="BI4" s="32" t="inlineStr">
        <is>
          <t>Natureza do índice · data</t>
        </is>
      </c>
      <c r="BJ4" s="32" t="inlineStr">
        <is>
          <t>Natureza do índice · página</t>
        </is>
      </c>
      <c r="BK4" s="32" t="inlineStr">
        <is>
          <t>Natureza do índice · link</t>
        </is>
      </c>
      <c r="BL4" s="32" t="inlineStr">
        <is>
          <t>Natureza do índice · camada</t>
        </is>
      </c>
    </row>
    <row r="5" ht="42" customHeight="1">
      <c r="A5" s="137" t="n">
        <v>1</v>
      </c>
      <c r="B5" s="134" t="n">
        <v>42462306000100</v>
      </c>
      <c r="C5" s="73" t="inlineStr">
        <is>
          <t>42.462.306/0001-00</t>
        </is>
      </c>
      <c r="D5" s="73" t="inlineStr">
        <is>
          <t>IS GREEN SOLFÁCIL II FUNDO DE INVESTIMENTO EM DIREITOS CREDITÓRIOS DE RESPONSABILIDADE LIMITADA</t>
        </is>
      </c>
      <c r="E5" s="73" t="inlineStr">
        <is>
          <t>concluído</t>
        </is>
      </c>
      <c r="F5" s="137" t="n">
        <v>6</v>
      </c>
      <c r="G5" s="73" t="inlineStr">
        <is>
          <t>consultado</t>
        </is>
      </c>
      <c r="H5" s="73" t="inlineStr">
        <is>
          <t>N/D</t>
        </is>
      </c>
      <c r="I5" s="73" t="inlineStr">
        <is>
          <t>Solfácil Energia</t>
        </is>
      </c>
      <c r="J5" s="73" t="inlineStr">
        <is>
          <t>encontrado_explicito</t>
        </is>
      </c>
      <c r="K5" s="73" t="inlineStr">
        <is>
          <t>rótulo explícito de participante v2</t>
        </is>
      </c>
      <c r="L5" s="73" t="inlineStr">
        <is>
          <t>1023995</t>
        </is>
      </c>
      <c r="M5" s="73" t="inlineStr">
        <is>
          <t>30/10/2025</t>
        </is>
      </c>
      <c r="N5" s="73" t="inlineStr">
        <is>
          <t>6</t>
        </is>
      </c>
      <c r="O5" s="73" t="inlineStr">
        <is>
          <t>https://fnet.bmfbovespa.com.br/fnet/publico/downloadDocumento?id=1023995</t>
        </is>
      </c>
      <c r="P5" s="73" t="inlineStr">
        <is>
          <t>rating_report</t>
        </is>
      </c>
      <c r="Q5" s="73" t="inlineStr">
        <is>
          <t>Solfácil</t>
        </is>
      </c>
      <c r="R5" s="73" t="inlineStr">
        <is>
          <t>aceito_payload</t>
        </is>
      </c>
      <c r="S5" s="73" t="inlineStr">
        <is>
          <t>N/D</t>
        </is>
      </c>
      <c r="T5" s="73" t="inlineStr">
        <is>
          <t>IMG_8704.JPG</t>
        </is>
      </c>
      <c r="U5" s="73" t="inlineStr">
        <is>
          <t>2025-05-05</t>
        </is>
      </c>
      <c r="V5" s="73" t="inlineStr">
        <is>
          <t>12</t>
        </is>
      </c>
      <c r="W5" s="73" t="inlineStr">
        <is>
          <t>N/D</t>
        </is>
      </c>
      <c r="X5" s="73" t="inlineStr">
        <is>
          <t>planilha_manual</t>
        </is>
      </c>
      <c r="Y5" s="73" t="inlineStr">
        <is>
          <t>N/D</t>
        </is>
      </c>
      <c r="Z5" s="73" t="inlineStr">
        <is>
          <t>não encontrado</t>
        </is>
      </c>
      <c r="AA5" s="73" t="inlineStr">
        <is>
          <t>N/D</t>
        </is>
      </c>
      <c r="AB5" s="73" t="inlineStr">
        <is>
          <t>N/D</t>
        </is>
      </c>
      <c r="AC5" s="73" t="inlineStr">
        <is>
          <t>N/D</t>
        </is>
      </c>
      <c r="AD5" s="73" t="inlineStr">
        <is>
          <t>N/D</t>
        </is>
      </c>
      <c r="AE5" s="73" t="inlineStr">
        <is>
          <t>N/D</t>
        </is>
      </c>
      <c r="AF5" s="73" t="inlineStr">
        <is>
          <t>N/D</t>
        </is>
      </c>
      <c r="AG5" s="73" t="inlineStr">
        <is>
          <t>créditos originados para securitização posterior em CRIs</t>
        </is>
      </c>
      <c r="AH5" s="73" t="inlineStr">
        <is>
          <t>aceito_payload</t>
        </is>
      </c>
      <c r="AI5" s="73" t="inlineStr">
        <is>
          <t>N/D</t>
        </is>
      </c>
      <c r="AJ5" s="73" t="inlineStr">
        <is>
          <t>IMG_8704.JPG</t>
        </is>
      </c>
      <c r="AK5" s="73" t="inlineStr">
        <is>
          <t>2025-05-05</t>
        </is>
      </c>
      <c r="AL5" s="73" t="inlineStr">
        <is>
          <t>12</t>
        </is>
      </c>
      <c r="AM5" s="73" t="inlineStr">
        <is>
          <t>N/D</t>
        </is>
      </c>
      <c r="AN5" s="73" t="inlineStr">
        <is>
          <t>planilha_manual</t>
        </is>
      </c>
      <c r="AO5" s="73" t="inlineStr">
        <is>
          <t>4.5%</t>
        </is>
      </c>
      <c r="AP5" s="73" t="inlineStr">
        <is>
          <t>aceito_payload</t>
        </is>
      </c>
      <c r="AQ5" s="73" t="inlineStr">
        <is>
          <t>junior_pl</t>
        </is>
      </c>
      <c r="AR5" s="73" t="inlineStr">
        <is>
          <t>896879</t>
        </is>
      </c>
      <c r="AS5" s="73" t="inlineStr">
        <is>
          <t>2025-05-05</t>
        </is>
      </c>
      <c r="AT5" s="73" t="inlineStr">
        <is>
          <t>12</t>
        </is>
      </c>
      <c r="AU5" s="73" t="inlineStr">
        <is>
          <t>https://fnet.bmfbovespa.com.br/fnet/publico/downloadDocumento?id=896879</t>
        </is>
      </c>
      <c r="AV5" s="73" t="inlineStr">
        <is>
          <t>payload_documental</t>
        </is>
      </c>
      <c r="AW5" s="73" t="inlineStr">
        <is>
          <t>N/D</t>
        </is>
      </c>
      <c r="AX5" s="73" t="inlineStr">
        <is>
          <t>não encontrado</t>
        </is>
      </c>
      <c r="AY5" s="73" t="inlineStr">
        <is>
          <t>N/D</t>
        </is>
      </c>
      <c r="AZ5" s="73" t="inlineStr">
        <is>
          <t>N/D</t>
        </is>
      </c>
      <c r="BA5" s="73" t="inlineStr">
        <is>
          <t>N/D</t>
        </is>
      </c>
      <c r="BB5" s="73" t="inlineStr">
        <is>
          <t>N/D</t>
        </is>
      </c>
      <c r="BC5" s="73" t="inlineStr">
        <is>
          <t>N/D</t>
        </is>
      </c>
      <c r="BD5" s="73" t="inlineStr">
        <is>
          <t>N/D</t>
        </is>
      </c>
      <c r="BE5" s="73" t="inlineStr">
        <is>
          <t>junior_pl</t>
        </is>
      </c>
      <c r="BF5" s="73" t="inlineStr">
        <is>
          <t>aceito_payload</t>
        </is>
      </c>
      <c r="BG5" s="73" t="inlineStr">
        <is>
          <t>junior_pl</t>
        </is>
      </c>
      <c r="BH5" s="73" t="inlineStr">
        <is>
          <t>896879</t>
        </is>
      </c>
      <c r="BI5" s="73" t="inlineStr">
        <is>
          <t>2025-05-05</t>
        </is>
      </c>
      <c r="BJ5" s="73" t="inlineStr">
        <is>
          <t>12</t>
        </is>
      </c>
      <c r="BK5" s="73" t="inlineStr">
        <is>
          <t>https://fnet.bmfbovespa.com.br/fnet/publico/downloadDocumento?id=896879</t>
        </is>
      </c>
      <c r="BL5" s="73" t="inlineStr">
        <is>
          <t>payload_documental</t>
        </is>
      </c>
    </row>
    <row r="6" ht="42" customHeight="1">
      <c r="A6" s="141" t="n">
        <v>2</v>
      </c>
      <c r="B6" s="138" t="n">
        <v>54810968000102</v>
      </c>
      <c r="C6" s="74" t="inlineStr">
        <is>
          <t>54.810.968/0001-02</t>
        </is>
      </c>
      <c r="D6" s="74" t="inlineStr">
        <is>
          <t>ANGÁ FGTS III FUNDO DE INVESTIMENTO EM DIREITOS CREDITÓRIOS</t>
        </is>
      </c>
      <c r="E6" s="74" t="inlineStr">
        <is>
          <t>concluído</t>
        </is>
      </c>
      <c r="F6" s="141" t="n">
        <v>8</v>
      </c>
      <c r="G6" s="74" t="inlineStr">
        <is>
          <t>consultado</t>
        </is>
      </c>
      <c r="H6" s="74" t="inlineStr">
        <is>
          <t>N/D</t>
        </is>
      </c>
      <c r="I6" s="74" t="inlineStr">
        <is>
          <t>N/D</t>
        </is>
      </c>
      <c r="J6" s="74" t="inlineStr">
        <is>
          <t>não encontrado</t>
        </is>
      </c>
      <c r="K6" s="74" t="inlineStr">
        <is>
          <t>N/D</t>
        </is>
      </c>
      <c r="L6" s="74" t="inlineStr">
        <is>
          <t>N/D</t>
        </is>
      </c>
      <c r="M6" s="74" t="inlineStr">
        <is>
          <t>N/D</t>
        </is>
      </c>
      <c r="N6" s="74" t="inlineStr">
        <is>
          <t>N/D</t>
        </is>
      </c>
      <c r="O6" s="74" t="inlineStr">
        <is>
          <t>N/D</t>
        </is>
      </c>
      <c r="P6" s="74" t="inlineStr">
        <is>
          <t>N/D</t>
        </is>
      </c>
      <c r="Q6" s="74" t="inlineStr">
        <is>
          <t>BMG</t>
        </is>
      </c>
      <c r="R6" s="74" t="inlineStr">
        <is>
          <t>aceito_payload</t>
        </is>
      </c>
      <c r="S6" s="74" t="inlineStr">
        <is>
          <t>N/D</t>
        </is>
      </c>
      <c r="T6" s="74" t="inlineStr">
        <is>
          <t>IMG_8704.JPG</t>
        </is>
      </c>
      <c r="U6" s="74" t="inlineStr">
        <is>
          <t>2025-04-22</t>
        </is>
      </c>
      <c r="V6" s="74" t="inlineStr">
        <is>
          <t>16</t>
        </is>
      </c>
      <c r="W6" s="74" t="inlineStr">
        <is>
          <t>N/D</t>
        </is>
      </c>
      <c r="X6" s="74" t="inlineStr">
        <is>
          <t>planilha_manual</t>
        </is>
      </c>
      <c r="Y6" s="74" t="inlineStr">
        <is>
          <t>N/D</t>
        </is>
      </c>
      <c r="Z6" s="74" t="inlineStr">
        <is>
          <t>não encontrado</t>
        </is>
      </c>
      <c r="AA6" s="74" t="inlineStr">
        <is>
          <t>N/D</t>
        </is>
      </c>
      <c r="AB6" s="74" t="inlineStr">
        <is>
          <t>N/D</t>
        </is>
      </c>
      <c r="AC6" s="74" t="inlineStr">
        <is>
          <t>N/D</t>
        </is>
      </c>
      <c r="AD6" s="74" t="inlineStr">
        <is>
          <t>N/D</t>
        </is>
      </c>
      <c r="AE6" s="74" t="inlineStr">
        <is>
          <t>N/D</t>
        </is>
      </c>
      <c r="AF6" s="74" t="inlineStr">
        <is>
          <t>N/D</t>
        </is>
      </c>
      <c r="AG6" s="74" t="inlineStr">
        <is>
          <t>Crédito FGTS</t>
        </is>
      </c>
      <c r="AH6" s="74" t="inlineStr">
        <is>
          <t>aceito_payload</t>
        </is>
      </c>
      <c r="AI6" s="74" t="inlineStr">
        <is>
          <t>N/D</t>
        </is>
      </c>
      <c r="AJ6" s="74" t="inlineStr">
        <is>
          <t>IMG_8704.JPG</t>
        </is>
      </c>
      <c r="AK6" s="74" t="inlineStr">
        <is>
          <t>2025-04-22</t>
        </is>
      </c>
      <c r="AL6" s="74" t="inlineStr">
        <is>
          <t>16</t>
        </is>
      </c>
      <c r="AM6" s="74" t="inlineStr">
        <is>
          <t>N/D</t>
        </is>
      </c>
      <c r="AN6" s="74" t="inlineStr">
        <is>
          <t>planilha_manual</t>
        </is>
      </c>
      <c r="AO6" s="74" t="inlineStr">
        <is>
          <t>5%</t>
        </is>
      </c>
      <c r="AP6" s="74" t="inlineStr">
        <is>
          <t>aceito_payload</t>
        </is>
      </c>
      <c r="AQ6" s="74" t="inlineStr">
        <is>
          <t>junior_pl</t>
        </is>
      </c>
      <c r="AR6" s="74" t="inlineStr">
        <is>
          <t>937760</t>
        </is>
      </c>
      <c r="AS6" s="74" t="inlineStr">
        <is>
          <t>2025-04-22</t>
        </is>
      </c>
      <c r="AT6" s="74" t="inlineStr">
        <is>
          <t>16</t>
        </is>
      </c>
      <c r="AU6" s="74" t="inlineStr">
        <is>
          <t>https://fnet.bmfbovespa.com.br/fnet/publico/downloadDocumento?id=937760</t>
        </is>
      </c>
      <c r="AV6" s="74" t="inlineStr">
        <is>
          <t>payload_documental</t>
        </is>
      </c>
      <c r="AW6" s="74" t="inlineStr">
        <is>
          <t>N/D</t>
        </is>
      </c>
      <c r="AX6" s="74" t="inlineStr">
        <is>
          <t>não encontrado</t>
        </is>
      </c>
      <c r="AY6" s="74" t="inlineStr">
        <is>
          <t>N/D</t>
        </is>
      </c>
      <c r="AZ6" s="74" t="inlineStr">
        <is>
          <t>N/D</t>
        </is>
      </c>
      <c r="BA6" s="74" t="inlineStr">
        <is>
          <t>N/D</t>
        </is>
      </c>
      <c r="BB6" s="74" t="inlineStr">
        <is>
          <t>N/D</t>
        </is>
      </c>
      <c r="BC6" s="74" t="inlineStr">
        <is>
          <t>N/D</t>
        </is>
      </c>
      <c r="BD6" s="74" t="inlineStr">
        <is>
          <t>N/D</t>
        </is>
      </c>
      <c r="BE6" s="74" t="inlineStr">
        <is>
          <t>junior_pl</t>
        </is>
      </c>
      <c r="BF6" s="74" t="inlineStr">
        <is>
          <t>aceito_payload</t>
        </is>
      </c>
      <c r="BG6" s="74" t="inlineStr">
        <is>
          <t>junior_pl</t>
        </is>
      </c>
      <c r="BH6" s="74" t="inlineStr">
        <is>
          <t>937760</t>
        </is>
      </c>
      <c r="BI6" s="74" t="inlineStr">
        <is>
          <t>2025-04-22</t>
        </is>
      </c>
      <c r="BJ6" s="74" t="inlineStr">
        <is>
          <t>16</t>
        </is>
      </c>
      <c r="BK6" s="74" t="inlineStr">
        <is>
          <t>https://fnet.bmfbovespa.com.br/fnet/publico/downloadDocumento?id=937760</t>
        </is>
      </c>
      <c r="BL6" s="74" t="inlineStr">
        <is>
          <t>payload_documental</t>
        </is>
      </c>
    </row>
    <row r="7" ht="42" customHeight="1">
      <c r="A7" s="145" t="n">
        <v>3</v>
      </c>
      <c r="B7" s="142" t="n">
        <v>53270983000142</v>
      </c>
      <c r="C7" s="75" t="inlineStr">
        <is>
          <t>53.270.983/0001-42</t>
        </is>
      </c>
      <c r="D7" s="75" t="inlineStr">
        <is>
          <t>ANGÁ FGTS +AG FUNDO DE INVESTIMENTO EM DIREITOS CREDITÓRIOS - RESPONSABILIDADE LIMITADA</t>
        </is>
      </c>
      <c r="E7" s="75" t="inlineStr">
        <is>
          <t>concluído</t>
        </is>
      </c>
      <c r="F7" s="145" t="n">
        <v>6</v>
      </c>
      <c r="G7" s="75" t="inlineStr">
        <is>
          <t>consultado</t>
        </is>
      </c>
      <c r="H7" s="75" t="inlineStr">
        <is>
          <t>N/D</t>
        </is>
      </c>
      <c r="I7" s="75" t="inlineStr">
        <is>
          <t>N/D</t>
        </is>
      </c>
      <c r="J7" s="75" t="inlineStr">
        <is>
          <t>não encontrado</t>
        </is>
      </c>
      <c r="K7" s="75" t="inlineStr">
        <is>
          <t>N/D</t>
        </is>
      </c>
      <c r="L7" s="75" t="inlineStr">
        <is>
          <t>N/D</t>
        </is>
      </c>
      <c r="M7" s="75" t="inlineStr">
        <is>
          <t>N/D</t>
        </is>
      </c>
      <c r="N7" s="75" t="inlineStr">
        <is>
          <t>N/D</t>
        </is>
      </c>
      <c r="O7" s="75" t="inlineStr">
        <is>
          <t>N/D</t>
        </is>
      </c>
      <c r="P7" s="75" t="inlineStr">
        <is>
          <t>N/D</t>
        </is>
      </c>
      <c r="Q7" s="75" t="inlineStr">
        <is>
          <t>QI Tech</t>
        </is>
      </c>
      <c r="R7" s="75" t="inlineStr">
        <is>
          <t>aceito_payload</t>
        </is>
      </c>
      <c r="S7" s="75" t="inlineStr">
        <is>
          <t>N/D</t>
        </is>
      </c>
      <c r="T7" s="75" t="inlineStr">
        <is>
          <t>IMG_8704.JPG</t>
        </is>
      </c>
      <c r="U7" s="75" t="inlineStr">
        <is>
          <t>2025-04-03</t>
        </is>
      </c>
      <c r="V7" s="75" t="inlineStr">
        <is>
          <t>14</t>
        </is>
      </c>
      <c r="W7" s="75" t="inlineStr">
        <is>
          <t>N/D</t>
        </is>
      </c>
      <c r="X7" s="75" t="inlineStr">
        <is>
          <t>planilha_manual</t>
        </is>
      </c>
      <c r="Y7" s="75" t="inlineStr">
        <is>
          <t>N/D</t>
        </is>
      </c>
      <c r="Z7" s="75" t="inlineStr">
        <is>
          <t>não encontrado</t>
        </is>
      </c>
      <c r="AA7" s="75" t="inlineStr">
        <is>
          <t>N/D</t>
        </is>
      </c>
      <c r="AB7" s="75" t="inlineStr">
        <is>
          <t>N/D</t>
        </is>
      </c>
      <c r="AC7" s="75" t="inlineStr">
        <is>
          <t>N/D</t>
        </is>
      </c>
      <c r="AD7" s="75" t="inlineStr">
        <is>
          <t>N/D</t>
        </is>
      </c>
      <c r="AE7" s="75" t="inlineStr">
        <is>
          <t>N/D</t>
        </is>
      </c>
      <c r="AF7" s="75" t="inlineStr">
        <is>
          <t>N/D</t>
        </is>
      </c>
      <c r="AG7" s="75" t="inlineStr">
        <is>
          <t>N/D</t>
        </is>
      </c>
      <c r="AH7" s="75" t="inlineStr">
        <is>
          <t>não encontrado</t>
        </is>
      </c>
      <c r="AI7" s="75" t="inlineStr">
        <is>
          <t>N/D</t>
        </is>
      </c>
      <c r="AJ7" s="75" t="inlineStr">
        <is>
          <t>N/D</t>
        </is>
      </c>
      <c r="AK7" s="75" t="inlineStr">
        <is>
          <t>N/D</t>
        </is>
      </c>
      <c r="AL7" s="75" t="inlineStr">
        <is>
          <t>N/D</t>
        </is>
      </c>
      <c r="AM7" s="75" t="inlineStr">
        <is>
          <t>N/D</t>
        </is>
      </c>
      <c r="AN7" s="75" t="inlineStr">
        <is>
          <t>N/D</t>
        </is>
      </c>
      <c r="AO7" s="75" t="inlineStr">
        <is>
          <t>8%</t>
        </is>
      </c>
      <c r="AP7" s="75" t="inlineStr">
        <is>
          <t>aceito_payload</t>
        </is>
      </c>
      <c r="AQ7" s="75" t="inlineStr">
        <is>
          <t>junior_pl</t>
        </is>
      </c>
      <c r="AR7" s="75" t="inlineStr">
        <is>
          <t>881263</t>
        </is>
      </c>
      <c r="AS7" s="75" t="inlineStr">
        <is>
          <t>2025-04-03</t>
        </is>
      </c>
      <c r="AT7" s="75" t="inlineStr">
        <is>
          <t>14</t>
        </is>
      </c>
      <c r="AU7" s="75" t="inlineStr">
        <is>
          <t>https://fnet.bmfbovespa.com.br/fnet/publico/downloadDocumento?id=881263</t>
        </is>
      </c>
      <c r="AV7" s="75" t="inlineStr">
        <is>
          <t>payload_documental</t>
        </is>
      </c>
      <c r="AW7" s="75" t="inlineStr">
        <is>
          <t>20%</t>
        </is>
      </c>
      <c r="AX7" s="75" t="inlineStr">
        <is>
          <t>encontrado_explicito</t>
        </is>
      </c>
      <c r="AY7" s="75" t="inlineStr">
        <is>
          <t>suporte_total_pl</t>
        </is>
      </c>
      <c r="AZ7" s="75" t="inlineStr">
        <is>
          <t>881263</t>
        </is>
      </c>
      <c r="BA7" s="75" t="inlineStr">
        <is>
          <t>03/04/2025</t>
        </is>
      </c>
      <c r="BB7" s="75" t="inlineStr">
        <is>
          <t>14</t>
        </is>
      </c>
      <c r="BC7" s="75" t="inlineStr">
        <is>
          <t>https://fnet.bmfbovespa.com.br/fnet/publico/downloadDocumento?id=881263</t>
        </is>
      </c>
      <c r="BD7" s="75" t="inlineStr">
        <is>
          <t>regulamento</t>
        </is>
      </c>
      <c r="BE7" s="75" t="inlineStr">
        <is>
          <t>junior_pl</t>
        </is>
      </c>
      <c r="BF7" s="75" t="inlineStr">
        <is>
          <t>aceito_payload</t>
        </is>
      </c>
      <c r="BG7" s="75" t="inlineStr">
        <is>
          <t>junior_pl</t>
        </is>
      </c>
      <c r="BH7" s="75" t="inlineStr">
        <is>
          <t>881263</t>
        </is>
      </c>
      <c r="BI7" s="75" t="inlineStr">
        <is>
          <t>2025-04-03</t>
        </is>
      </c>
      <c r="BJ7" s="75" t="inlineStr">
        <is>
          <t>14</t>
        </is>
      </c>
      <c r="BK7" s="75" t="inlineStr">
        <is>
          <t>https://fnet.bmfbovespa.com.br/fnet/publico/downloadDocumento?id=881263</t>
        </is>
      </c>
      <c r="BL7" s="75" t="inlineStr">
        <is>
          <t>payload_documental</t>
        </is>
      </c>
    </row>
    <row r="8" ht="42" customHeight="1">
      <c r="A8" s="141" t="n">
        <v>4</v>
      </c>
      <c r="B8" s="138" t="n">
        <v>52968533000165</v>
      </c>
      <c r="C8" s="74" t="inlineStr">
        <is>
          <t>52.968.533/0001-65</t>
        </is>
      </c>
      <c r="D8" s="74" t="inlineStr">
        <is>
          <t>MCPO FUNDO DE INVESTIMENTO EM DIREITOS CREDITÓRIOS</t>
        </is>
      </c>
      <c r="E8" s="74" t="inlineStr">
        <is>
          <t>concluído</t>
        </is>
      </c>
      <c r="F8" s="141" t="n">
        <v>6</v>
      </c>
      <c r="G8" s="74" t="inlineStr">
        <is>
          <t>consultado</t>
        </is>
      </c>
      <c r="H8" s="74" t="inlineStr">
        <is>
          <t>N/D</t>
        </is>
      </c>
      <c r="I8" s="74" t="inlineStr">
        <is>
          <t>N/D</t>
        </is>
      </c>
      <c r="J8" s="74" t="inlineStr">
        <is>
          <t>não encontrado</t>
        </is>
      </c>
      <c r="K8" s="74" t="inlineStr">
        <is>
          <t>N/D</t>
        </is>
      </c>
      <c r="L8" s="74" t="inlineStr">
        <is>
          <t>N/D</t>
        </is>
      </c>
      <c r="M8" s="74" t="inlineStr">
        <is>
          <t>N/D</t>
        </is>
      </c>
      <c r="N8" s="74" t="inlineStr">
        <is>
          <t>N/D</t>
        </is>
      </c>
      <c r="O8" s="74" t="inlineStr">
        <is>
          <t>N/D</t>
        </is>
      </c>
      <c r="P8" s="74" t="inlineStr">
        <is>
          <t>N/D</t>
        </is>
      </c>
      <c r="Q8" s="74" t="inlineStr">
        <is>
          <t>a MAQCAMPO SOLUÇÕES AGRÍCOLAS S.A. , sociedade por ações, com sede na cidade de Brasília, Distrito Federal, no Docusign Envelope ID: 5A498997-5E9C-4FDB-AAA6-D7EDA05D2564</t>
        </is>
      </c>
      <c r="R8" s="74" t="inlineStr">
        <is>
          <t>encontrado_explicito</t>
        </is>
      </c>
      <c r="S8" s="74" t="inlineStr">
        <is>
          <t>N/D</t>
        </is>
      </c>
      <c r="T8" s="74" t="inlineStr">
        <is>
          <t>1049185</t>
        </is>
      </c>
      <c r="U8" s="74" t="inlineStr">
        <is>
          <t>14/10/2025</t>
        </is>
      </c>
      <c r="V8" s="74" t="inlineStr">
        <is>
          <t>57</t>
        </is>
      </c>
      <c r="W8" s="74" t="inlineStr">
        <is>
          <t>https://fnet.bmfbovespa.com.br/fnet/publico/downloadDocumento?id=1049185</t>
        </is>
      </c>
      <c r="X8" s="74" t="inlineStr">
        <is>
          <t>regulamento</t>
        </is>
      </c>
      <c r="Y8" s="74" t="inlineStr">
        <is>
          <t>qualquer cliente da Cedente cujos Direitos Creditórios venham a ser cedidos ao Fundo, observadas as características e condições descritas neste Anexo Descritivo</t>
        </is>
      </c>
      <c r="Z8" s="74" t="inlineStr">
        <is>
          <t>encontrado_explicito</t>
        </is>
      </c>
      <c r="AA8" s="74" t="inlineStr">
        <is>
          <t>N/D</t>
        </is>
      </c>
      <c r="AB8" s="74" t="inlineStr">
        <is>
          <t>1049185</t>
        </is>
      </c>
      <c r="AC8" s="74" t="inlineStr">
        <is>
          <t>14/10/2025</t>
        </is>
      </c>
      <c r="AD8" s="74" t="inlineStr">
        <is>
          <t>63</t>
        </is>
      </c>
      <c r="AE8" s="74" t="inlineStr">
        <is>
          <t>https://fnet.bmfbovespa.com.br/fnet/publico/downloadDocumento?id=1049185</t>
        </is>
      </c>
      <c r="AF8" s="74" t="inlineStr">
        <is>
          <t>regulamento</t>
        </is>
      </c>
      <c r="AG8" s="74" t="inlineStr">
        <is>
          <t>os direitos creditórios performados originados da venda a prazo de Bens, assim como da prestação dos Serviços pela Cedente, representados pelos Documentos Comprobatórios, conforme o caso, detidas pela Cedente contra os Devedores</t>
        </is>
      </c>
      <c r="AH8" s="74" t="inlineStr">
        <is>
          <t>encontrado_explicito</t>
        </is>
      </c>
      <c r="AI8" s="74" t="inlineStr">
        <is>
          <t>N/D</t>
        </is>
      </c>
      <c r="AJ8" s="74" t="inlineStr">
        <is>
          <t>994391</t>
        </is>
      </c>
      <c r="AK8" s="74" t="inlineStr">
        <is>
          <t>06/08/2025</t>
        </is>
      </c>
      <c r="AL8" s="74" t="inlineStr">
        <is>
          <t>63</t>
        </is>
      </c>
      <c r="AM8" s="74" t="inlineStr">
        <is>
          <t>https://fnet.bmfbovespa.com.br/fnet/publico/downloadDocumento?id=994391</t>
        </is>
      </c>
      <c r="AN8" s="74" t="inlineStr">
        <is>
          <t>regulamento</t>
        </is>
      </c>
      <c r="AO8" s="74" t="inlineStr">
        <is>
          <t>N/D</t>
        </is>
      </c>
      <c r="AP8" s="74" t="inlineStr">
        <is>
          <t>não encontrado</t>
        </is>
      </c>
      <c r="AQ8" s="74" t="inlineStr">
        <is>
          <t>N/D</t>
        </is>
      </c>
      <c r="AR8" s="74" t="inlineStr">
        <is>
          <t>N/D</t>
        </is>
      </c>
      <c r="AS8" s="74" t="inlineStr">
        <is>
          <t>N/D</t>
        </is>
      </c>
      <c r="AT8" s="74" t="inlineStr">
        <is>
          <t>N/D</t>
        </is>
      </c>
      <c r="AU8" s="74" t="inlineStr">
        <is>
          <t>N/D</t>
        </is>
      </c>
      <c r="AV8" s="74" t="inlineStr">
        <is>
          <t>N/D</t>
        </is>
      </c>
      <c r="AW8" s="74" t="inlineStr">
        <is>
          <t>20%</t>
        </is>
      </c>
      <c r="AX8" s="74" t="inlineStr">
        <is>
          <t>aceito_payload</t>
        </is>
      </c>
      <c r="AY8" s="74" t="inlineStr">
        <is>
          <t>suporte_total_pl</t>
        </is>
      </c>
      <c r="AZ8" s="74" t="inlineStr">
        <is>
          <t>1049185</t>
        </is>
      </c>
      <c r="BA8" s="74" t="inlineStr">
        <is>
          <t>2025-10-14</t>
        </is>
      </c>
      <c r="BB8" s="74" t="inlineStr">
        <is>
          <t>72</t>
        </is>
      </c>
      <c r="BC8" s="74" t="inlineStr">
        <is>
          <t>https://fnet.bmfbovespa.com.br/fnet/publico/downloadDocumento?id=1049185</t>
        </is>
      </c>
      <c r="BD8" s="74" t="inlineStr">
        <is>
          <t>payload_documental</t>
        </is>
      </c>
      <c r="BE8" s="74" t="inlineStr">
        <is>
          <t>suporte_total_pl</t>
        </is>
      </c>
      <c r="BF8" s="74" t="inlineStr">
        <is>
          <t>aceito_payload</t>
        </is>
      </c>
      <c r="BG8" s="74" t="inlineStr">
        <is>
          <t>suporte_total_pl</t>
        </is>
      </c>
      <c r="BH8" s="74" t="inlineStr">
        <is>
          <t>1049185</t>
        </is>
      </c>
      <c r="BI8" s="74" t="inlineStr">
        <is>
          <t>2025-10-14</t>
        </is>
      </c>
      <c r="BJ8" s="74" t="inlineStr">
        <is>
          <t>72</t>
        </is>
      </c>
      <c r="BK8" s="74" t="inlineStr">
        <is>
          <t>https://fnet.bmfbovespa.com.br/fnet/publico/downloadDocumento?id=1049185</t>
        </is>
      </c>
      <c r="BL8" s="74" t="inlineStr">
        <is>
          <t>payload_documental</t>
        </is>
      </c>
    </row>
    <row r="9" ht="42" customHeight="1">
      <c r="A9" s="145" t="n">
        <v>5</v>
      </c>
      <c r="B9" s="142" t="n">
        <v>52100879000147</v>
      </c>
      <c r="C9" s="75" t="inlineStr">
        <is>
          <t>52.100.879/0001-47</t>
        </is>
      </c>
      <c r="D9" s="75" t="inlineStr">
        <is>
          <t>SOTREQ FUNDO DE INVESTIMENTO EM DIREITOS CREDITÓRIOS - RESPONSABILIDADE LIMITADA</t>
        </is>
      </c>
      <c r="E9" s="75" t="inlineStr">
        <is>
          <t>concluído</t>
        </is>
      </c>
      <c r="F9" s="145" t="n">
        <v>5</v>
      </c>
      <c r="G9" s="75" t="inlineStr">
        <is>
          <t>consultado</t>
        </is>
      </c>
      <c r="H9" s="75" t="inlineStr">
        <is>
          <t>N/D</t>
        </is>
      </c>
      <c r="I9" s="75" t="inlineStr">
        <is>
          <t>N/D</t>
        </is>
      </c>
      <c r="J9" s="75" t="inlineStr">
        <is>
          <t>não encontrado</t>
        </is>
      </c>
      <c r="K9" s="75" t="inlineStr">
        <is>
          <t>N/D</t>
        </is>
      </c>
      <c r="L9" s="75" t="inlineStr">
        <is>
          <t>N/D</t>
        </is>
      </c>
      <c r="M9" s="75" t="inlineStr">
        <is>
          <t>N/D</t>
        </is>
      </c>
      <c r="N9" s="75" t="inlineStr">
        <is>
          <t>N/D</t>
        </is>
      </c>
      <c r="O9" s="75" t="inlineStr">
        <is>
          <t>N/D</t>
        </is>
      </c>
      <c r="P9" s="75" t="inlineStr">
        <is>
          <t>N/D</t>
        </is>
      </c>
      <c r="Q9" s="75" t="inlineStr">
        <is>
          <t>a Sotreq e a Somov, na qualidade de cedentes de Direitos Creditórios, por meio de sua matriz ou de suas filiais. - 9 -</t>
        </is>
      </c>
      <c r="R9" s="75" t="inlineStr">
        <is>
          <t>encontrado_explicito</t>
        </is>
      </c>
      <c r="S9" s="75" t="inlineStr">
        <is>
          <t>N/D</t>
        </is>
      </c>
      <c r="T9" s="75" t="inlineStr">
        <is>
          <t>740367</t>
        </is>
      </c>
      <c r="U9" s="75" t="inlineStr">
        <is>
          <t>17/09/2024</t>
        </is>
      </c>
      <c r="V9" s="75" t="inlineStr">
        <is>
          <t>50</t>
        </is>
      </c>
      <c r="W9" s="75" t="inlineStr">
        <is>
          <t>https://fnet.bmfbovespa.com.br/fnet/publico/downloadDocumento?id=740367</t>
        </is>
      </c>
      <c r="X9" s="75" t="inlineStr">
        <is>
          <t>regulamento</t>
        </is>
      </c>
      <c r="Y9" s="75" t="inlineStr">
        <is>
          <t>N/D</t>
        </is>
      </c>
      <c r="Z9" s="75" t="inlineStr">
        <is>
          <t>não encontrado</t>
        </is>
      </c>
      <c r="AA9" s="75" t="inlineStr">
        <is>
          <t>N/D</t>
        </is>
      </c>
      <c r="AB9" s="75" t="inlineStr">
        <is>
          <t>N/D</t>
        </is>
      </c>
      <c r="AC9" s="75" t="inlineStr">
        <is>
          <t>N/D</t>
        </is>
      </c>
      <c r="AD9" s="75" t="inlineStr">
        <is>
          <t>N/D</t>
        </is>
      </c>
      <c r="AE9" s="75" t="inlineStr">
        <is>
          <t>N/D</t>
        </is>
      </c>
      <c r="AF9" s="75" t="inlineStr">
        <is>
          <t>N/D</t>
        </is>
      </c>
      <c r="AG9" s="75" t="inlineStr">
        <is>
          <t>N/D</t>
        </is>
      </c>
      <c r="AH9" s="75" t="inlineStr">
        <is>
          <t>não encontrado</t>
        </is>
      </c>
      <c r="AI9" s="75" t="inlineStr">
        <is>
          <t>N/D</t>
        </is>
      </c>
      <c r="AJ9" s="75" t="inlineStr">
        <is>
          <t>N/D</t>
        </is>
      </c>
      <c r="AK9" s="75" t="inlineStr">
        <is>
          <t>N/D</t>
        </is>
      </c>
      <c r="AL9" s="75" t="inlineStr">
        <is>
          <t>N/D</t>
        </is>
      </c>
      <c r="AM9" s="75" t="inlineStr">
        <is>
          <t>N/D</t>
        </is>
      </c>
      <c r="AN9" s="75" t="inlineStr">
        <is>
          <t>N/D</t>
        </is>
      </c>
      <c r="AO9" s="75" t="inlineStr">
        <is>
          <t>N/D</t>
        </is>
      </c>
      <c r="AP9" s="75" t="inlineStr">
        <is>
          <t>não encontrado</t>
        </is>
      </c>
      <c r="AQ9" s="75" t="inlineStr">
        <is>
          <t>N/D</t>
        </is>
      </c>
      <c r="AR9" s="75" t="inlineStr">
        <is>
          <t>N/D</t>
        </is>
      </c>
      <c r="AS9" s="75" t="inlineStr">
        <is>
          <t>N/D</t>
        </is>
      </c>
      <c r="AT9" s="75" t="inlineStr">
        <is>
          <t>N/D</t>
        </is>
      </c>
      <c r="AU9" s="75" t="inlineStr">
        <is>
          <t>N/D</t>
        </is>
      </c>
      <c r="AV9" s="75" t="inlineStr">
        <is>
          <t>N/D</t>
        </is>
      </c>
      <c r="AW9" s="75" t="inlineStr">
        <is>
          <t>25%</t>
        </is>
      </c>
      <c r="AX9" s="75" t="inlineStr">
        <is>
          <t>aceito_payload</t>
        </is>
      </c>
      <c r="AY9" s="75" t="inlineStr">
        <is>
          <t>suporte_total_pl</t>
        </is>
      </c>
      <c r="AZ9" s="75" t="inlineStr">
        <is>
          <t>1117315</t>
        </is>
      </c>
      <c r="BA9" s="75" t="inlineStr">
        <is>
          <t>2026-02-06</t>
        </is>
      </c>
      <c r="BB9" s="75" t="inlineStr">
        <is>
          <t>49</t>
        </is>
      </c>
      <c r="BC9" s="75" t="inlineStr">
        <is>
          <t>https://fnet.bmfbovespa.com.br/fnet/publico/downloadDocumento?id=1117315</t>
        </is>
      </c>
      <c r="BD9" s="75" t="inlineStr">
        <is>
          <t>payload_documental</t>
        </is>
      </c>
      <c r="BE9" s="75" t="inlineStr">
        <is>
          <t>suporte_total_pl</t>
        </is>
      </c>
      <c r="BF9" s="75" t="inlineStr">
        <is>
          <t>aceito_payload</t>
        </is>
      </c>
      <c r="BG9" s="75" t="inlineStr">
        <is>
          <t>suporte_total_pl</t>
        </is>
      </c>
      <c r="BH9" s="75" t="inlineStr">
        <is>
          <t>1117315</t>
        </is>
      </c>
      <c r="BI9" s="75" t="inlineStr">
        <is>
          <t>2026-02-06</t>
        </is>
      </c>
      <c r="BJ9" s="75" t="inlineStr">
        <is>
          <t>49</t>
        </is>
      </c>
      <c r="BK9" s="75" t="inlineStr">
        <is>
          <t>https://fnet.bmfbovespa.com.br/fnet/publico/downloadDocumento?id=1117315</t>
        </is>
      </c>
      <c r="BL9" s="75" t="inlineStr">
        <is>
          <t>payload_documental</t>
        </is>
      </c>
    </row>
    <row r="10" ht="42" customHeight="1">
      <c r="A10" s="141" t="n">
        <v>6</v>
      </c>
      <c r="B10" s="138" t="n">
        <v>53662209000187</v>
      </c>
      <c r="C10" s="74" t="inlineStr">
        <is>
          <t>53.662.209/0001-87</t>
        </is>
      </c>
      <c r="D10" s="74" t="inlineStr">
        <is>
          <t>PNEUCASH FUNDO DE INVESTIMENTO EM DIREITOS CREDITÓRIOS DE CLASSE ÚNICA FECHADA - RESP LTDA</t>
        </is>
      </c>
      <c r="E10" s="74" t="inlineStr">
        <is>
          <t>concluído</t>
        </is>
      </c>
      <c r="F10" s="141" t="n">
        <v>9</v>
      </c>
      <c r="G10" s="74" t="inlineStr">
        <is>
          <t>consultado</t>
        </is>
      </c>
      <c r="H10" s="74" t="inlineStr">
        <is>
          <t>N/D</t>
        </is>
      </c>
      <c r="I10" s="74" t="inlineStr">
        <is>
          <t>N/D</t>
        </is>
      </c>
      <c r="J10" s="74" t="inlineStr">
        <is>
          <t>não encontrado</t>
        </is>
      </c>
      <c r="K10" s="74" t="inlineStr">
        <is>
          <t>N/D</t>
        </is>
      </c>
      <c r="L10" s="74" t="inlineStr">
        <is>
          <t>N/D</t>
        </is>
      </c>
      <c r="M10" s="74" t="inlineStr">
        <is>
          <t>N/D</t>
        </is>
      </c>
      <c r="N10" s="74" t="inlineStr">
        <is>
          <t>N/D</t>
        </is>
      </c>
      <c r="O10" s="74" t="inlineStr">
        <is>
          <t>N/D</t>
        </is>
      </c>
      <c r="P10" s="74" t="inlineStr">
        <is>
          <t>N/D</t>
        </is>
      </c>
      <c r="Q10" s="74" t="inlineStr">
        <is>
          <t>Cantu Store</t>
        </is>
      </c>
      <c r="R10" s="74" t="inlineStr">
        <is>
          <t>aceito_payload</t>
        </is>
      </c>
      <c r="S10" s="74" t="inlineStr">
        <is>
          <t>N/D</t>
        </is>
      </c>
      <c r="T10" s="74" t="inlineStr">
        <is>
          <t>IMG_8704.JPG</t>
        </is>
      </c>
      <c r="U10" s="74" t="inlineStr">
        <is>
          <t>2026-06-30</t>
        </is>
      </c>
      <c r="V10" s="74" t="inlineStr">
        <is>
          <t>49</t>
        </is>
      </c>
      <c r="W10" s="74" t="inlineStr">
        <is>
          <t>N/D</t>
        </is>
      </c>
      <c r="X10" s="74" t="inlineStr">
        <is>
          <t>planilha_manual</t>
        </is>
      </c>
      <c r="Y10" s="74" t="inlineStr">
        <is>
          <t>os devedores (sacados), pessoas físicas ou jurídicas, que tenham estabelecido relação de consumo dos Direitos Creditórios com as Cedentes</t>
        </is>
      </c>
      <c r="Z10" s="74" t="inlineStr">
        <is>
          <t>encontrado_explicito</t>
        </is>
      </c>
      <c r="AA10" s="74" t="inlineStr">
        <is>
          <t>N/D</t>
        </is>
      </c>
      <c r="AB10" s="74" t="inlineStr">
        <is>
          <t>1239751</t>
        </is>
      </c>
      <c r="AC10" s="74" t="inlineStr">
        <is>
          <t>30/06/2026</t>
        </is>
      </c>
      <c r="AD10" s="74" t="inlineStr">
        <is>
          <t>7</t>
        </is>
      </c>
      <c r="AE10" s="74" t="inlineStr">
        <is>
          <t>https://fnet.bmfbovespa.com.br/fnet/publico/downloadDocumento?id=1239751</t>
        </is>
      </c>
      <c r="AF10" s="74" t="inlineStr">
        <is>
          <t>regulamento</t>
        </is>
      </c>
      <c r="AG10" s="74" t="inlineStr">
        <is>
          <t>N/D</t>
        </is>
      </c>
      <c r="AH10" s="74" t="inlineStr">
        <is>
          <t>não encontrado</t>
        </is>
      </c>
      <c r="AI10" s="74" t="inlineStr">
        <is>
          <t>N/D</t>
        </is>
      </c>
      <c r="AJ10" s="74" t="inlineStr">
        <is>
          <t>N/D</t>
        </is>
      </c>
      <c r="AK10" s="74" t="inlineStr">
        <is>
          <t>N/D</t>
        </is>
      </c>
      <c r="AL10" s="74" t="inlineStr">
        <is>
          <t>N/D</t>
        </is>
      </c>
      <c r="AM10" s="74" t="inlineStr">
        <is>
          <t>N/D</t>
        </is>
      </c>
      <c r="AN10" s="74" t="inlineStr">
        <is>
          <t>N/D</t>
        </is>
      </c>
      <c r="AO10" s="74" t="inlineStr">
        <is>
          <t>N/D</t>
        </is>
      </c>
      <c r="AP10" s="74" t="inlineStr">
        <is>
          <t>não encontrado</t>
        </is>
      </c>
      <c r="AQ10" s="74" t="inlineStr">
        <is>
          <t>N/D</t>
        </is>
      </c>
      <c r="AR10" s="74" t="inlineStr">
        <is>
          <t>N/D</t>
        </is>
      </c>
      <c r="AS10" s="74" t="inlineStr">
        <is>
          <t>N/D</t>
        </is>
      </c>
      <c r="AT10" s="74" t="inlineStr">
        <is>
          <t>N/D</t>
        </is>
      </c>
      <c r="AU10" s="74" t="inlineStr">
        <is>
          <t>N/D</t>
        </is>
      </c>
      <c r="AV10" s="74" t="inlineStr">
        <is>
          <t>N/D</t>
        </is>
      </c>
      <c r="AW10" s="74" t="inlineStr">
        <is>
          <t>20%</t>
        </is>
      </c>
      <c r="AX10" s="74" t="inlineStr">
        <is>
          <t>aceito_payload</t>
        </is>
      </c>
      <c r="AY10" s="74" t="inlineStr">
        <is>
          <t>suporte_total_pl</t>
        </is>
      </c>
      <c r="AZ10" s="74" t="inlineStr">
        <is>
          <t>1239751</t>
        </is>
      </c>
      <c r="BA10" s="74" t="inlineStr">
        <is>
          <t>2026-06-30</t>
        </is>
      </c>
      <c r="BB10" s="74" t="inlineStr">
        <is>
          <t>49</t>
        </is>
      </c>
      <c r="BC10" s="74" t="inlineStr">
        <is>
          <t>https://fnet.bmfbovespa.com.br/fnet/publico/downloadDocumento?id=1239751</t>
        </is>
      </c>
      <c r="BD10" s="74" t="inlineStr">
        <is>
          <t>payload_documental</t>
        </is>
      </c>
      <c r="BE10" s="74" t="inlineStr">
        <is>
          <t>suporte_total_pl</t>
        </is>
      </c>
      <c r="BF10" s="74" t="inlineStr">
        <is>
          <t>aceito_payload</t>
        </is>
      </c>
      <c r="BG10" s="74" t="inlineStr">
        <is>
          <t>suporte_total_pl</t>
        </is>
      </c>
      <c r="BH10" s="74" t="inlineStr">
        <is>
          <t>1239751</t>
        </is>
      </c>
      <c r="BI10" s="74" t="inlineStr">
        <is>
          <t>2026-06-30</t>
        </is>
      </c>
      <c r="BJ10" s="74" t="inlineStr">
        <is>
          <t>49</t>
        </is>
      </c>
      <c r="BK10" s="74" t="inlineStr">
        <is>
          <t>https://fnet.bmfbovespa.com.br/fnet/publico/downloadDocumento?id=1239751</t>
        </is>
      </c>
      <c r="BL10" s="74" t="inlineStr">
        <is>
          <t>payload_documental</t>
        </is>
      </c>
    </row>
    <row r="11" ht="42" customHeight="1">
      <c r="A11" s="145" t="n">
        <v>7</v>
      </c>
      <c r="B11" s="142" t="n">
        <v>53577135000180</v>
      </c>
      <c r="C11" s="75" t="inlineStr">
        <is>
          <t>53.577.135/0001-80</t>
        </is>
      </c>
      <c r="D11" s="75" t="inlineStr">
        <is>
          <t>ANGÁ FGTS II FUNDO DE INVESTIMENTO EM DIREITOS CREDITÓRIOS - RESPONSABILIDADE LIMITADA</t>
        </is>
      </c>
      <c r="E11" s="75" t="inlineStr">
        <is>
          <t>concluído</t>
        </is>
      </c>
      <c r="F11" s="145" t="n">
        <v>6</v>
      </c>
      <c r="G11" s="75" t="inlineStr">
        <is>
          <t>consultado</t>
        </is>
      </c>
      <c r="H11" s="75" t="inlineStr">
        <is>
          <t>N/D</t>
        </is>
      </c>
      <c r="I11" s="75" t="inlineStr">
        <is>
          <t>N/D</t>
        </is>
      </c>
      <c r="J11" s="75" t="inlineStr">
        <is>
          <t>não encontrado</t>
        </is>
      </c>
      <c r="K11" s="75" t="inlineStr">
        <is>
          <t>N/D</t>
        </is>
      </c>
      <c r="L11" s="75" t="inlineStr">
        <is>
          <t>N/D</t>
        </is>
      </c>
      <c r="M11" s="75" t="inlineStr">
        <is>
          <t>N/D</t>
        </is>
      </c>
      <c r="N11" s="75" t="inlineStr">
        <is>
          <t>N/D</t>
        </is>
      </c>
      <c r="O11" s="75" t="inlineStr">
        <is>
          <t>N/D</t>
        </is>
      </c>
      <c r="P11" s="75" t="inlineStr">
        <is>
          <t>N/D</t>
        </is>
      </c>
      <c r="Q11" s="75" t="inlineStr">
        <is>
          <t>QI Tech</t>
        </is>
      </c>
      <c r="R11" s="75" t="inlineStr">
        <is>
          <t>aceito_payload</t>
        </is>
      </c>
      <c r="S11" s="75" t="inlineStr">
        <is>
          <t>N/D</t>
        </is>
      </c>
      <c r="T11" s="75" t="inlineStr">
        <is>
          <t>IMG_8704.JPG</t>
        </is>
      </c>
      <c r="U11" s="75" t="inlineStr">
        <is>
          <t>2026-06-18</t>
        </is>
      </c>
      <c r="V11" s="75" t="inlineStr">
        <is>
          <t>17</t>
        </is>
      </c>
      <c r="W11" s="75" t="inlineStr">
        <is>
          <t>N/D</t>
        </is>
      </c>
      <c r="X11" s="75" t="inlineStr">
        <is>
          <t>planilha_manual</t>
        </is>
      </c>
      <c r="Y11" s="75" t="inlineStr">
        <is>
          <t>N/D</t>
        </is>
      </c>
      <c r="Z11" s="75" t="inlineStr">
        <is>
          <t>não encontrado</t>
        </is>
      </c>
      <c r="AA11" s="75" t="inlineStr">
        <is>
          <t>N/D</t>
        </is>
      </c>
      <c r="AB11" s="75" t="inlineStr">
        <is>
          <t>N/D</t>
        </is>
      </c>
      <c r="AC11" s="75" t="inlineStr">
        <is>
          <t>N/D</t>
        </is>
      </c>
      <c r="AD11" s="75" t="inlineStr">
        <is>
          <t>N/D</t>
        </is>
      </c>
      <c r="AE11" s="75" t="inlineStr">
        <is>
          <t>N/D</t>
        </is>
      </c>
      <c r="AF11" s="75" t="inlineStr">
        <is>
          <t>N/D</t>
        </is>
      </c>
      <c r="AG11" s="75" t="inlineStr">
        <is>
          <t>Crédito FGTS</t>
        </is>
      </c>
      <c r="AH11" s="75" t="inlineStr">
        <is>
          <t>aceito_payload</t>
        </is>
      </c>
      <c r="AI11" s="75" t="inlineStr">
        <is>
          <t>N/D</t>
        </is>
      </c>
      <c r="AJ11" s="75" t="inlineStr">
        <is>
          <t>IMG_8704.JPG</t>
        </is>
      </c>
      <c r="AK11" s="75" t="inlineStr">
        <is>
          <t>2026-06-18</t>
        </is>
      </c>
      <c r="AL11" s="75" t="inlineStr">
        <is>
          <t>17</t>
        </is>
      </c>
      <c r="AM11" s="75" t="inlineStr">
        <is>
          <t>N/D</t>
        </is>
      </c>
      <c r="AN11" s="75" t="inlineStr">
        <is>
          <t>planilha_manual</t>
        </is>
      </c>
      <c r="AO11" s="75" t="inlineStr">
        <is>
          <t>15%</t>
        </is>
      </c>
      <c r="AP11" s="75" t="inlineStr">
        <is>
          <t>aceito_payload</t>
        </is>
      </c>
      <c r="AQ11" s="75" t="inlineStr">
        <is>
          <t>junior_pl</t>
        </is>
      </c>
      <c r="AR11" s="75" t="inlineStr">
        <is>
          <t>1224059</t>
        </is>
      </c>
      <c r="AS11" s="75" t="inlineStr">
        <is>
          <t>2026-06-18</t>
        </is>
      </c>
      <c r="AT11" s="75" t="inlineStr">
        <is>
          <t>17</t>
        </is>
      </c>
      <c r="AU11" s="75" t="inlineStr">
        <is>
          <t>https://fnet.bmfbovespa.com.br/fnet/publico/downloadDocumento?id=1224059</t>
        </is>
      </c>
      <c r="AV11" s="75" t="inlineStr">
        <is>
          <t>payload_documental</t>
        </is>
      </c>
      <c r="AW11" s="75" t="inlineStr">
        <is>
          <t>N/D</t>
        </is>
      </c>
      <c r="AX11" s="75" t="inlineStr">
        <is>
          <t>não encontrado</t>
        </is>
      </c>
      <c r="AY11" s="75" t="inlineStr">
        <is>
          <t>N/D</t>
        </is>
      </c>
      <c r="AZ11" s="75" t="inlineStr">
        <is>
          <t>N/D</t>
        </is>
      </c>
      <c r="BA11" s="75" t="inlineStr">
        <is>
          <t>N/D</t>
        </is>
      </c>
      <c r="BB11" s="75" t="inlineStr">
        <is>
          <t>N/D</t>
        </is>
      </c>
      <c r="BC11" s="75" t="inlineStr">
        <is>
          <t>N/D</t>
        </is>
      </c>
      <c r="BD11" s="75" t="inlineStr">
        <is>
          <t>N/D</t>
        </is>
      </c>
      <c r="BE11" s="75" t="inlineStr">
        <is>
          <t>junior_pl</t>
        </is>
      </c>
      <c r="BF11" s="75" t="inlineStr">
        <is>
          <t>aceito_payload</t>
        </is>
      </c>
      <c r="BG11" s="75" t="inlineStr">
        <is>
          <t>junior_pl</t>
        </is>
      </c>
      <c r="BH11" s="75" t="inlineStr">
        <is>
          <t>1224059</t>
        </is>
      </c>
      <c r="BI11" s="75" t="inlineStr">
        <is>
          <t>2026-06-18</t>
        </is>
      </c>
      <c r="BJ11" s="75" t="inlineStr">
        <is>
          <t>17</t>
        </is>
      </c>
      <c r="BK11" s="75" t="inlineStr">
        <is>
          <t>https://fnet.bmfbovespa.com.br/fnet/publico/downloadDocumento?id=1224059</t>
        </is>
      </c>
      <c r="BL11" s="75" t="inlineStr">
        <is>
          <t>payload_documental</t>
        </is>
      </c>
    </row>
    <row r="12" ht="42" customHeight="1">
      <c r="A12" s="141" t="n">
        <v>8</v>
      </c>
      <c r="B12" s="138" t="n">
        <v>62626887000185</v>
      </c>
      <c r="C12" s="74" t="inlineStr">
        <is>
          <t>62.626.887/0001-85</t>
        </is>
      </c>
      <c r="D12" s="74" t="inlineStr">
        <is>
          <t>SUMUP SMART IV FIDC SEGMENTO MEIOS DE PAGAMENTO DE RESPONSABILIDADE LIMITADA</t>
        </is>
      </c>
      <c r="E12" s="74" t="inlineStr">
        <is>
          <t>concluído</t>
        </is>
      </c>
      <c r="F12" s="141" t="n">
        <v>9</v>
      </c>
      <c r="G12" s="74" t="inlineStr">
        <is>
          <t>consultado</t>
        </is>
      </c>
      <c r="H12" s="74" t="inlineStr">
        <is>
          <t>N/D</t>
        </is>
      </c>
      <c r="I12" s="74" t="inlineStr">
        <is>
          <t>N/D</t>
        </is>
      </c>
      <c r="J12" s="74" t="inlineStr">
        <is>
          <t>não encontrado</t>
        </is>
      </c>
      <c r="K12" s="74" t="inlineStr">
        <is>
          <t>N/D</t>
        </is>
      </c>
      <c r="L12" s="74" t="inlineStr">
        <is>
          <t>N/D</t>
        </is>
      </c>
      <c r="M12" s="74" t="inlineStr">
        <is>
          <t>N/D</t>
        </is>
      </c>
      <c r="N12" s="74" t="inlineStr">
        <is>
          <t>N/D</t>
        </is>
      </c>
      <c r="O12" s="74" t="inlineStr">
        <is>
          <t>N/D</t>
        </is>
      </c>
      <c r="P12" s="74" t="inlineStr">
        <is>
          <t>N/D</t>
        </is>
      </c>
      <c r="Q12" s="74" t="inlineStr">
        <is>
          <t>a SUMUP INSTITUIÇÃO DE PAGAMENTO BRASIL LTDA., sociedade limitada com sede na Cidade e Estado de São Paulo, na Rua Gilberto Sabino, nº 215, 10º andar, Pinheiros, CEP: 05425-020, inscrita no CNPJ/MF sob o nº 16.668.076/0001-20</t>
        </is>
      </c>
      <c r="R12" s="74" t="inlineStr">
        <is>
          <t>encontrado_explicito</t>
        </is>
      </c>
      <c r="S12" s="74" t="inlineStr">
        <is>
          <t>N/D</t>
        </is>
      </c>
      <c r="T12" s="74" t="inlineStr">
        <is>
          <t>1152823</t>
        </is>
      </c>
      <c r="U12" s="74" t="inlineStr">
        <is>
          <t>2026-03-31</t>
        </is>
      </c>
      <c r="V12" s="74" t="inlineStr">
        <is>
          <t>89</t>
        </is>
      </c>
      <c r="W12" s="74" t="inlineStr">
        <is>
          <t>https://fnet.bmfbovespa.com.br/fnet/publico/downloadDocumento?id=1152823</t>
        </is>
      </c>
      <c r="X12" s="74" t="inlineStr">
        <is>
          <t>regulamento</t>
        </is>
      </c>
      <c r="Y12" s="74" t="inlineStr">
        <is>
          <t>os Emissores</t>
        </is>
      </c>
      <c r="Z12" s="74" t="inlineStr">
        <is>
          <t>encontrado_explicito</t>
        </is>
      </c>
      <c r="AA12" s="74" t="inlineStr">
        <is>
          <t>N/D</t>
        </is>
      </c>
      <c r="AB12" s="74" t="inlineStr">
        <is>
          <t>1152823</t>
        </is>
      </c>
      <c r="AC12" s="74" t="inlineStr">
        <is>
          <t>2026-03-31</t>
        </is>
      </c>
      <c r="AD12" s="74" t="inlineStr">
        <is>
          <t>92</t>
        </is>
      </c>
      <c r="AE12" s="74" t="inlineStr">
        <is>
          <t>https://fnet.bmfbovespa.com.br/fnet/publico/downloadDocumento?id=1152823</t>
        </is>
      </c>
      <c r="AF12" s="74" t="inlineStr">
        <is>
          <t>regulamento</t>
        </is>
      </c>
      <c r="AG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12" s="74" t="inlineStr">
        <is>
          <t>encontrado_explicito</t>
        </is>
      </c>
      <c r="AI12" s="74" t="inlineStr">
        <is>
          <t>N/D</t>
        </is>
      </c>
      <c r="AJ12" s="74" t="inlineStr">
        <is>
          <t>1152823</t>
        </is>
      </c>
      <c r="AK12" s="74" t="inlineStr">
        <is>
          <t>2026-03-31</t>
        </is>
      </c>
      <c r="AL12" s="74" t="inlineStr">
        <is>
          <t>93</t>
        </is>
      </c>
      <c r="AM12" s="74" t="inlineStr">
        <is>
          <t>https://fnet.bmfbovespa.com.br/fnet/publico/downloadDocumento?id=1152823</t>
        </is>
      </c>
      <c r="AN12" s="74" t="inlineStr">
        <is>
          <t>regulamento</t>
        </is>
      </c>
      <c r="AO12" s="74" t="inlineStr">
        <is>
          <t>2.9%</t>
        </is>
      </c>
      <c r="AP12" s="74" t="inlineStr">
        <is>
          <t>aceito_payload</t>
        </is>
      </c>
      <c r="AQ12" s="74" t="inlineStr">
        <is>
          <t>junior_pl</t>
        </is>
      </c>
      <c r="AR12" s="74" t="inlineStr">
        <is>
          <t>1152823</t>
        </is>
      </c>
      <c r="AS12" s="74" t="inlineStr">
        <is>
          <t>2026-03-31</t>
        </is>
      </c>
      <c r="AT12" s="74" t="inlineStr">
        <is>
          <t>96</t>
        </is>
      </c>
      <c r="AU12" s="74" t="inlineStr">
        <is>
          <t>https://fnet.bmfbovespa.com.br/fnet/publico/downloadDocumento?id=1152823</t>
        </is>
      </c>
      <c r="AV12" s="74" t="inlineStr">
        <is>
          <t>payload_documental</t>
        </is>
      </c>
      <c r="AW12" s="74" t="inlineStr">
        <is>
          <t>N/D</t>
        </is>
      </c>
      <c r="AX12" s="74" t="inlineStr">
        <is>
          <t>não encontrado</t>
        </is>
      </c>
      <c r="AY12" s="74" t="inlineStr">
        <is>
          <t>N/D</t>
        </is>
      </c>
      <c r="AZ12" s="74" t="inlineStr">
        <is>
          <t>N/D</t>
        </is>
      </c>
      <c r="BA12" s="74" t="inlineStr">
        <is>
          <t>N/D</t>
        </is>
      </c>
      <c r="BB12" s="74" t="inlineStr">
        <is>
          <t>N/D</t>
        </is>
      </c>
      <c r="BC12" s="74" t="inlineStr">
        <is>
          <t>N/D</t>
        </is>
      </c>
      <c r="BD12" s="74" t="inlineStr">
        <is>
          <t>N/D</t>
        </is>
      </c>
      <c r="BE12" s="74" t="inlineStr">
        <is>
          <t>junior_pl</t>
        </is>
      </c>
      <c r="BF12" s="74" t="inlineStr">
        <is>
          <t>aceito_payload</t>
        </is>
      </c>
      <c r="BG12" s="74" t="inlineStr">
        <is>
          <t>junior_pl</t>
        </is>
      </c>
      <c r="BH12" s="74" t="inlineStr">
        <is>
          <t>1152823</t>
        </is>
      </c>
      <c r="BI12" s="74" t="inlineStr">
        <is>
          <t>2026-03-31</t>
        </is>
      </c>
      <c r="BJ12" s="74" t="inlineStr">
        <is>
          <t>96</t>
        </is>
      </c>
      <c r="BK12" s="74" t="inlineStr">
        <is>
          <t>https://fnet.bmfbovespa.com.br/fnet/publico/downloadDocumento?id=1152823</t>
        </is>
      </c>
      <c r="BL12" s="74" t="inlineStr">
        <is>
          <t>payload_documental</t>
        </is>
      </c>
    </row>
    <row r="13" ht="42" customHeight="1">
      <c r="A13" s="145" t="n">
        <v>9</v>
      </c>
      <c r="B13" s="142" t="n">
        <v>50098465000103</v>
      </c>
      <c r="C13" s="75" t="inlineStr">
        <is>
          <t>50.098.465/0001-03</t>
        </is>
      </c>
      <c r="D13" s="75" t="inlineStr">
        <is>
          <t>CHEMICAL XIII - FUNDO DE INVESTIMENTO EM DIREITOS CREDITÓRIOS - INDÚSTRIA PETROQUÍMICA</t>
        </is>
      </c>
      <c r="E13" s="75" t="inlineStr">
        <is>
          <t>concluído</t>
        </is>
      </c>
      <c r="F13" s="145" t="n">
        <v>8</v>
      </c>
      <c r="G13" s="75" t="inlineStr">
        <is>
          <t>consultado</t>
        </is>
      </c>
      <c r="H13" s="75" t="inlineStr">
        <is>
          <t>N/D</t>
        </is>
      </c>
      <c r="I13" s="75" t="inlineStr">
        <is>
          <t>Braskem S .A.</t>
        </is>
      </c>
      <c r="J13" s="75" t="inlineStr">
        <is>
          <t>encontrado_explicito</t>
        </is>
      </c>
      <c r="K13" s="75" t="inlineStr">
        <is>
          <t>rótulo explícito de participante v2</t>
        </is>
      </c>
      <c r="L13" s="75" t="inlineStr">
        <is>
          <t>903310</t>
        </is>
      </c>
      <c r="M13" s="75" t="inlineStr">
        <is>
          <t>31/03/2025</t>
        </is>
      </c>
      <c r="N13" s="75" t="inlineStr">
        <is>
          <t>1</t>
        </is>
      </c>
      <c r="O13" s="75" t="inlineStr">
        <is>
          <t>https://fnet.bmfbovespa.com.br/fnet/publico/downloadDocumento?id=903310</t>
        </is>
      </c>
      <c r="P13" s="75" t="inlineStr">
        <is>
          <t>rating_report</t>
        </is>
      </c>
      <c r="Q13" s="75" t="inlineStr">
        <is>
          <t>Braskem</t>
        </is>
      </c>
      <c r="R13" s="75" t="inlineStr">
        <is>
          <t>aceito_payload</t>
        </is>
      </c>
      <c r="S13" s="75" t="inlineStr">
        <is>
          <t>N/D</t>
        </is>
      </c>
      <c r="T13" s="75" t="inlineStr">
        <is>
          <t>IMG_8704.JPG</t>
        </is>
      </c>
      <c r="U13" s="75" t="inlineStr">
        <is>
          <t>2024-07-01</t>
        </is>
      </c>
      <c r="V13" s="75" t="inlineStr">
        <is>
          <t>15</t>
        </is>
      </c>
      <c r="W13" s="75" t="inlineStr">
        <is>
          <t>N/D</t>
        </is>
      </c>
      <c r="X13" s="75" t="inlineStr">
        <is>
          <t>planilha_manual</t>
        </is>
      </c>
      <c r="Y13" s="75" t="inlineStr">
        <is>
          <t>N/D</t>
        </is>
      </c>
      <c r="Z13" s="75" t="inlineStr">
        <is>
          <t>não encontrado</t>
        </is>
      </c>
      <c r="AA13" s="75" t="inlineStr">
        <is>
          <t>N/D</t>
        </is>
      </c>
      <c r="AB13" s="75" t="inlineStr">
        <is>
          <t>N/D</t>
        </is>
      </c>
      <c r="AC13" s="75" t="inlineStr">
        <is>
          <t>N/D</t>
        </is>
      </c>
      <c r="AD13" s="75" t="inlineStr">
        <is>
          <t>N/D</t>
        </is>
      </c>
      <c r="AE13" s="75" t="inlineStr">
        <is>
          <t>N/D</t>
        </is>
      </c>
      <c r="AF13" s="75" t="inlineStr">
        <is>
          <t>N/D</t>
        </is>
      </c>
      <c r="AG13" s="75" t="inlineStr">
        <is>
          <t>N/D</t>
        </is>
      </c>
      <c r="AH13" s="75" t="inlineStr">
        <is>
          <t>não encontrado</t>
        </is>
      </c>
      <c r="AI13" s="75" t="inlineStr">
        <is>
          <t>N/D</t>
        </is>
      </c>
      <c r="AJ13" s="75" t="inlineStr">
        <is>
          <t>N/D</t>
        </is>
      </c>
      <c r="AK13" s="75" t="inlineStr">
        <is>
          <t>N/D</t>
        </is>
      </c>
      <c r="AL13" s="75" t="inlineStr">
        <is>
          <t>N/D</t>
        </is>
      </c>
      <c r="AM13" s="75" t="inlineStr">
        <is>
          <t>N/D</t>
        </is>
      </c>
      <c r="AN13" s="75" t="inlineStr">
        <is>
          <t>N/D</t>
        </is>
      </c>
      <c r="AO13" s="75" t="inlineStr">
        <is>
          <t>N/D</t>
        </is>
      </c>
      <c r="AP13" s="75" t="inlineStr">
        <is>
          <t>não encontrado</t>
        </is>
      </c>
      <c r="AQ13" s="75" t="inlineStr">
        <is>
          <t>N/D</t>
        </is>
      </c>
      <c r="AR13" s="75" t="inlineStr">
        <is>
          <t>N/D</t>
        </is>
      </c>
      <c r="AS13" s="75" t="inlineStr">
        <is>
          <t>N/D</t>
        </is>
      </c>
      <c r="AT13" s="75" t="inlineStr">
        <is>
          <t>N/D</t>
        </is>
      </c>
      <c r="AU13" s="75" t="inlineStr">
        <is>
          <t>N/D</t>
        </is>
      </c>
      <c r="AV13" s="75" t="inlineStr">
        <is>
          <t>N/D</t>
        </is>
      </c>
      <c r="AW13" s="75" t="inlineStr">
        <is>
          <t>9.2%</t>
        </is>
      </c>
      <c r="AX13" s="75" t="inlineStr">
        <is>
          <t>aceito_payload</t>
        </is>
      </c>
      <c r="AY13" s="75" t="inlineStr">
        <is>
          <t>suporte_combinado_pl</t>
        </is>
      </c>
      <c r="AZ13" s="75" t="inlineStr">
        <is>
          <t>690567</t>
        </is>
      </c>
      <c r="BA13" s="75" t="inlineStr">
        <is>
          <t>2024-07-01</t>
        </is>
      </c>
      <c r="BB13" s="75" t="inlineStr">
        <is>
          <t>15</t>
        </is>
      </c>
      <c r="BC13" s="75" t="inlineStr">
        <is>
          <t>https://fnet.bmfbovespa.com.br/fnet/publico/downloadDocumento?id=690567</t>
        </is>
      </c>
      <c r="BD13" s="75" t="inlineStr">
        <is>
          <t>payload_documental</t>
        </is>
      </c>
      <c r="BE13" s="75" t="inlineStr">
        <is>
          <t>suporte_combinado_pl</t>
        </is>
      </c>
      <c r="BF13" s="75" t="inlineStr">
        <is>
          <t>aceito_payload</t>
        </is>
      </c>
      <c r="BG13" s="75" t="inlineStr">
        <is>
          <t>suporte_combinado_pl</t>
        </is>
      </c>
      <c r="BH13" s="75" t="inlineStr">
        <is>
          <t>690567</t>
        </is>
      </c>
      <c r="BI13" s="75" t="inlineStr">
        <is>
          <t>2024-07-01</t>
        </is>
      </c>
      <c r="BJ13" s="75" t="inlineStr">
        <is>
          <t>15</t>
        </is>
      </c>
      <c r="BK13" s="75" t="inlineStr">
        <is>
          <t>https://fnet.bmfbovespa.com.br/fnet/publico/downloadDocumento?id=690567</t>
        </is>
      </c>
      <c r="BL13" s="75" t="inlineStr">
        <is>
          <t>payload_documental</t>
        </is>
      </c>
    </row>
    <row r="14" ht="42" customHeight="1">
      <c r="A14" s="141" t="n">
        <v>10</v>
      </c>
      <c r="B14" s="138" t="n">
        <v>48967719000122</v>
      </c>
      <c r="C14" s="74" t="inlineStr">
        <is>
          <t>48.967.719/0001-22</t>
        </is>
      </c>
      <c r="D14" s="74" t="inlineStr">
        <is>
          <t>SOULPAY FUNDO DE INVESTIMENTO EM DIREITOS CREDITÓRIOS</t>
        </is>
      </c>
      <c r="E14" s="74" t="inlineStr">
        <is>
          <t>concluído</t>
        </is>
      </c>
      <c r="F14" s="141" t="n">
        <v>7</v>
      </c>
      <c r="G14" s="74" t="inlineStr">
        <is>
          <t>consultado</t>
        </is>
      </c>
      <c r="H14" s="74" t="inlineStr">
        <is>
          <t>N/D</t>
        </is>
      </c>
      <c r="I14" s="74" t="inlineStr">
        <is>
          <t>N/D</t>
        </is>
      </c>
      <c r="J14" s="74" t="inlineStr">
        <is>
          <t>não encontrado</t>
        </is>
      </c>
      <c r="K14" s="74" t="inlineStr">
        <is>
          <t>N/D</t>
        </is>
      </c>
      <c r="L14" s="74" t="inlineStr">
        <is>
          <t>N/D</t>
        </is>
      </c>
      <c r="M14" s="74" t="inlineStr">
        <is>
          <t>N/D</t>
        </is>
      </c>
      <c r="N14" s="74" t="inlineStr">
        <is>
          <t>N/D</t>
        </is>
      </c>
      <c r="O14" s="74" t="inlineStr">
        <is>
          <t>N/D</t>
        </is>
      </c>
      <c r="P14" s="74" t="inlineStr">
        <is>
          <t>N/D</t>
        </is>
      </c>
      <c r="Q14" s="74" t="inlineStr">
        <is>
          <t>Soulpay Soluções de Pagamentos</t>
        </is>
      </c>
      <c r="R14" s="74" t="inlineStr">
        <is>
          <t>aceito_payload</t>
        </is>
      </c>
      <c r="S14" s="74" t="inlineStr">
        <is>
          <t>N/D</t>
        </is>
      </c>
      <c r="T14" s="74" t="inlineStr">
        <is>
          <t>IMG_8704.JPG</t>
        </is>
      </c>
      <c r="U14" s="74" t="inlineStr">
        <is>
          <t>2024-11-22</t>
        </is>
      </c>
      <c r="V14" s="74" t="inlineStr">
        <is>
          <t>82</t>
        </is>
      </c>
      <c r="W14" s="74" t="inlineStr">
        <is>
          <t>N/D</t>
        </is>
      </c>
      <c r="X14" s="74" t="inlineStr">
        <is>
          <t>planilha_manual</t>
        </is>
      </c>
      <c r="Y14" s="74" t="inlineStr">
        <is>
          <t>N/D</t>
        </is>
      </c>
      <c r="Z14" s="74" t="inlineStr">
        <is>
          <t>não encontrado</t>
        </is>
      </c>
      <c r="AA14" s="74" t="inlineStr">
        <is>
          <t>N/D</t>
        </is>
      </c>
      <c r="AB14" s="74" t="inlineStr">
        <is>
          <t>N/D</t>
        </is>
      </c>
      <c r="AC14" s="74" t="inlineStr">
        <is>
          <t>N/D</t>
        </is>
      </c>
      <c r="AD14" s="74" t="inlineStr">
        <is>
          <t>N/D</t>
        </is>
      </c>
      <c r="AE14" s="74" t="inlineStr">
        <is>
          <t>N/D</t>
        </is>
      </c>
      <c r="AF14" s="74" t="inlineStr">
        <is>
          <t>N/D</t>
        </is>
      </c>
      <c r="AG14" s="74" t="inlineStr">
        <is>
          <t>N/D</t>
        </is>
      </c>
      <c r="AH14" s="74" t="inlineStr">
        <is>
          <t>não encontrado</t>
        </is>
      </c>
      <c r="AI14" s="74" t="inlineStr">
        <is>
          <t>N/D</t>
        </is>
      </c>
      <c r="AJ14" s="74" t="inlineStr">
        <is>
          <t>N/D</t>
        </is>
      </c>
      <c r="AK14" s="74" t="inlineStr">
        <is>
          <t>N/D</t>
        </is>
      </c>
      <c r="AL14" s="74" t="inlineStr">
        <is>
          <t>N/D</t>
        </is>
      </c>
      <c r="AM14" s="74" t="inlineStr">
        <is>
          <t>N/D</t>
        </is>
      </c>
      <c r="AN14" s="74" t="inlineStr">
        <is>
          <t>N/D</t>
        </is>
      </c>
      <c r="AO14" s="74" t="inlineStr">
        <is>
          <t>5%</t>
        </is>
      </c>
      <c r="AP14" s="74" t="inlineStr">
        <is>
          <t>aceito_payload</t>
        </is>
      </c>
      <c r="AQ14" s="74" t="inlineStr">
        <is>
          <t>junior_pl</t>
        </is>
      </c>
      <c r="AR14" s="74" t="inlineStr">
        <is>
          <t>785770</t>
        </is>
      </c>
      <c r="AS14" s="74" t="inlineStr">
        <is>
          <t>2024-11-22</t>
        </is>
      </c>
      <c r="AT14" s="74" t="inlineStr">
        <is>
          <t>82</t>
        </is>
      </c>
      <c r="AU14" s="74" t="inlineStr">
        <is>
          <t>https://fnet.bmfbovespa.com.br/fnet/publico/downloadDocumento?id=785770</t>
        </is>
      </c>
      <c r="AV14" s="74" t="inlineStr">
        <is>
          <t>payload_documental</t>
        </is>
      </c>
      <c r="AW14" s="74" t="inlineStr">
        <is>
          <t>5%</t>
        </is>
      </c>
      <c r="AX14" s="74" t="inlineStr">
        <is>
          <t>aceito_payload</t>
        </is>
      </c>
      <c r="AY14" s="74" t="inlineStr">
        <is>
          <t>suporte_total_pl</t>
        </is>
      </c>
      <c r="AZ14" s="74" t="inlineStr">
        <is>
          <t>785770</t>
        </is>
      </c>
      <c r="BA14" s="74" t="inlineStr">
        <is>
          <t>2024-11-22</t>
        </is>
      </c>
      <c r="BB14" s="74" t="inlineStr">
        <is>
          <t>82</t>
        </is>
      </c>
      <c r="BC14" s="74" t="inlineStr">
        <is>
          <t>https://fnet.bmfbovespa.com.br/fnet/publico/downloadDocumento?id=785770</t>
        </is>
      </c>
      <c r="BD14" s="74" t="inlineStr">
        <is>
          <t>payload_documental</t>
        </is>
      </c>
      <c r="BE14" s="74" t="inlineStr">
        <is>
          <t>junior_pl</t>
        </is>
      </c>
      <c r="BF14" s="74" t="inlineStr">
        <is>
          <t>aceito_payload</t>
        </is>
      </c>
      <c r="BG14" s="74" t="inlineStr">
        <is>
          <t>junior_pl</t>
        </is>
      </c>
      <c r="BH14" s="74" t="inlineStr">
        <is>
          <t>785770</t>
        </is>
      </c>
      <c r="BI14" s="74" t="inlineStr">
        <is>
          <t>2024-11-22</t>
        </is>
      </c>
      <c r="BJ14" s="74" t="inlineStr">
        <is>
          <t>82</t>
        </is>
      </c>
      <c r="BK14" s="74" t="inlineStr">
        <is>
          <t>https://fnet.bmfbovespa.com.br/fnet/publico/downloadDocumento?id=785770</t>
        </is>
      </c>
      <c r="BL14" s="74" t="inlineStr">
        <is>
          <t>payload_documental</t>
        </is>
      </c>
    </row>
    <row r="15" ht="42" customHeight="1">
      <c r="A15" s="145" t="n">
        <v>11</v>
      </c>
      <c r="B15" s="142" t="n">
        <v>37645417000111</v>
      </c>
      <c r="C15" s="75" t="inlineStr">
        <is>
          <t>37.645.417/0001-11</t>
        </is>
      </c>
      <c r="D15" s="75" t="inlineStr">
        <is>
          <t>UBYFOL AGRO III FUNDO DE INVESTIMENTO NAS CADEIAS PRODUTIVAS DO AGRONEGÓCIO - RESP LIMITADA</t>
        </is>
      </c>
      <c r="E15" s="75" t="inlineStr">
        <is>
          <t>concluído</t>
        </is>
      </c>
      <c r="F15" s="145" t="n">
        <v>6</v>
      </c>
      <c r="G15" s="75" t="inlineStr">
        <is>
          <t>consultado</t>
        </is>
      </c>
      <c r="H15" s="75" t="inlineStr">
        <is>
          <t>N/D</t>
        </is>
      </c>
      <c r="I15" s="75" t="inlineStr">
        <is>
          <t>N/D</t>
        </is>
      </c>
      <c r="J15" s="75" t="inlineStr">
        <is>
          <t>não encontrado</t>
        </is>
      </c>
      <c r="K15" s="75" t="inlineStr">
        <is>
          <t>N/D</t>
        </is>
      </c>
      <c r="L15" s="75" t="inlineStr">
        <is>
          <t>N/D</t>
        </is>
      </c>
      <c r="M15" s="75" t="inlineStr">
        <is>
          <t>N/D</t>
        </is>
      </c>
      <c r="N15" s="75" t="inlineStr">
        <is>
          <t>N/D</t>
        </is>
      </c>
      <c r="O15" s="75" t="inlineStr">
        <is>
          <t>N/D</t>
        </is>
      </c>
      <c r="P15" s="75" t="inlineStr">
        <is>
          <t>N/D</t>
        </is>
      </c>
      <c r="Q15" s="75" t="inlineStr">
        <is>
          <t>Uby Agroquímica</t>
        </is>
      </c>
      <c r="R15" s="75" t="inlineStr">
        <is>
          <t>encontrado_explicito</t>
        </is>
      </c>
      <c r="S15" s="75" t="inlineStr">
        <is>
          <t>rótulo explícito de participante v2</t>
        </is>
      </c>
      <c r="T15" s="75" t="inlineStr">
        <is>
          <t>779236</t>
        </is>
      </c>
      <c r="U15" s="75" t="inlineStr">
        <is>
          <t>14/11/2024</t>
        </is>
      </c>
      <c r="V15" s="75" t="inlineStr">
        <is>
          <t>2</t>
        </is>
      </c>
      <c r="W15" s="75" t="inlineStr">
        <is>
          <t>https://fnet.bmfbovespa.com.br/fnet/publico/downloadDocumento?id=779236</t>
        </is>
      </c>
      <c r="X15" s="75" t="inlineStr">
        <is>
          <t>rating_report</t>
        </is>
      </c>
      <c r="Y15" s="75" t="inlineStr">
        <is>
          <t>N/D</t>
        </is>
      </c>
      <c r="Z15" s="75" t="inlineStr">
        <is>
          <t>não encontrado</t>
        </is>
      </c>
      <c r="AA15" s="75" t="inlineStr">
        <is>
          <t>N/D</t>
        </is>
      </c>
      <c r="AB15" s="75" t="inlineStr">
        <is>
          <t>N/D</t>
        </is>
      </c>
      <c r="AC15" s="75" t="inlineStr">
        <is>
          <t>N/D</t>
        </is>
      </c>
      <c r="AD15" s="75" t="inlineStr">
        <is>
          <t>N/D</t>
        </is>
      </c>
      <c r="AE15" s="75" t="inlineStr">
        <is>
          <t>N/D</t>
        </is>
      </c>
      <c r="AF15" s="75" t="inlineStr">
        <is>
          <t>N/D</t>
        </is>
      </c>
      <c r="AG15" s="75" t="inlineStr">
        <is>
          <t>Insumos Agrícolas - prazo Safra</t>
        </is>
      </c>
      <c r="AH15" s="75" t="inlineStr">
        <is>
          <t>aceito_payload</t>
        </is>
      </c>
      <c r="AI15" s="75" t="inlineStr">
        <is>
          <t>N/D</t>
        </is>
      </c>
      <c r="AJ15" s="75" t="inlineStr">
        <is>
          <t>IMG_8704.JPG</t>
        </is>
      </c>
      <c r="AK15" s="75" t="inlineStr">
        <is>
          <t>2025-10-16</t>
        </is>
      </c>
      <c r="AL15" s="75" t="inlineStr">
        <is>
          <t>12</t>
        </is>
      </c>
      <c r="AM15" s="75" t="inlineStr">
        <is>
          <t>N/D</t>
        </is>
      </c>
      <c r="AN15" s="75" t="inlineStr">
        <is>
          <t>planilha_manual</t>
        </is>
      </c>
      <c r="AO15" s="75" t="inlineStr">
        <is>
          <t>10%</t>
        </is>
      </c>
      <c r="AP15" s="75" t="inlineStr">
        <is>
          <t>aceito_payload</t>
        </is>
      </c>
      <c r="AQ15" s="75" t="inlineStr">
        <is>
          <t>junior_pl</t>
        </is>
      </c>
      <c r="AR15" s="75" t="inlineStr">
        <is>
          <t>1016909</t>
        </is>
      </c>
      <c r="AS15" s="75" t="inlineStr">
        <is>
          <t>2025-10-16</t>
        </is>
      </c>
      <c r="AT15" s="75" t="inlineStr">
        <is>
          <t>12</t>
        </is>
      </c>
      <c r="AU15" s="75" t="inlineStr">
        <is>
          <t>https://fnet.bmfbovespa.com.br/fnet/publico/downloadDocumento?id=1016909</t>
        </is>
      </c>
      <c r="AV15" s="75" t="inlineStr">
        <is>
          <t>payload_documental</t>
        </is>
      </c>
      <c r="AW15" s="75" t="inlineStr">
        <is>
          <t>N/D</t>
        </is>
      </c>
      <c r="AX15" s="75" t="inlineStr">
        <is>
          <t>não encontrado</t>
        </is>
      </c>
      <c r="AY15" s="75" t="inlineStr">
        <is>
          <t>N/D</t>
        </is>
      </c>
      <c r="AZ15" s="75" t="inlineStr">
        <is>
          <t>N/D</t>
        </is>
      </c>
      <c r="BA15" s="75" t="inlineStr">
        <is>
          <t>N/D</t>
        </is>
      </c>
      <c r="BB15" s="75" t="inlineStr">
        <is>
          <t>N/D</t>
        </is>
      </c>
      <c r="BC15" s="75" t="inlineStr">
        <is>
          <t>N/D</t>
        </is>
      </c>
      <c r="BD15" s="75" t="inlineStr">
        <is>
          <t>N/D</t>
        </is>
      </c>
      <c r="BE15" s="75" t="inlineStr">
        <is>
          <t>junior_pl</t>
        </is>
      </c>
      <c r="BF15" s="75" t="inlineStr">
        <is>
          <t>aceito_payload</t>
        </is>
      </c>
      <c r="BG15" s="75" t="inlineStr">
        <is>
          <t>junior_pl</t>
        </is>
      </c>
      <c r="BH15" s="75" t="inlineStr">
        <is>
          <t>1016909</t>
        </is>
      </c>
      <c r="BI15" s="75" t="inlineStr">
        <is>
          <t>2025-10-16</t>
        </is>
      </c>
      <c r="BJ15" s="75" t="inlineStr">
        <is>
          <t>12</t>
        </is>
      </c>
      <c r="BK15" s="75" t="inlineStr">
        <is>
          <t>https://fnet.bmfbovespa.com.br/fnet/publico/downloadDocumento?id=1016909</t>
        </is>
      </c>
      <c r="BL15" s="75" t="inlineStr">
        <is>
          <t>payload_documental</t>
        </is>
      </c>
    </row>
    <row r="16" ht="42" customHeight="1">
      <c r="A16" s="141" t="n">
        <v>12</v>
      </c>
      <c r="B16" s="138" t="n">
        <v>50832746000130</v>
      </c>
      <c r="C16" s="74" t="inlineStr">
        <is>
          <t>50.832.746/0001-30</t>
        </is>
      </c>
      <c r="D16" s="74" t="inlineStr">
        <is>
          <t>BOASAFRA FUNDO DE INVESTIMENTO EM DIREITOS CREDITÓRIOS DO AGRONEGÓCIO RESPONSABILIDADE LIMITADA</t>
        </is>
      </c>
      <c r="E16" s="74" t="inlineStr">
        <is>
          <t>concluído</t>
        </is>
      </c>
      <c r="F16" s="141" t="n">
        <v>8</v>
      </c>
      <c r="G16" s="74" t="inlineStr">
        <is>
          <t>consultado</t>
        </is>
      </c>
      <c r="H16" s="74" t="inlineStr">
        <is>
          <t>N/D</t>
        </is>
      </c>
      <c r="I16" s="74" t="inlineStr">
        <is>
          <t>N/D</t>
        </is>
      </c>
      <c r="J16" s="74" t="inlineStr">
        <is>
          <t>não encontrado</t>
        </is>
      </c>
      <c r="K16" s="74" t="inlineStr">
        <is>
          <t>N/D</t>
        </is>
      </c>
      <c r="L16" s="74" t="inlineStr">
        <is>
          <t>N/D</t>
        </is>
      </c>
      <c r="M16" s="74" t="inlineStr">
        <is>
          <t>N/D</t>
        </is>
      </c>
      <c r="N16" s="74" t="inlineStr">
        <is>
          <t>N/D</t>
        </is>
      </c>
      <c r="O16" s="74" t="inlineStr">
        <is>
          <t>N/D</t>
        </is>
      </c>
      <c r="P16" s="74" t="inlineStr">
        <is>
          <t>N/D</t>
        </is>
      </c>
      <c r="Q16" s="74" t="inlineStr">
        <is>
          <t>Boasafra</t>
        </is>
      </c>
      <c r="R16" s="74" t="inlineStr">
        <is>
          <t>encontrado_explicito</t>
        </is>
      </c>
      <c r="S16" s="74" t="inlineStr">
        <is>
          <t>rótulo explícito de participante v2</t>
        </is>
      </c>
      <c r="T16" s="74" t="inlineStr">
        <is>
          <t>932142</t>
        </is>
      </c>
      <c r="U16" s="74" t="inlineStr">
        <is>
          <t>16/06/2025</t>
        </is>
      </c>
      <c r="V16" s="74" t="inlineStr">
        <is>
          <t>5</t>
        </is>
      </c>
      <c r="W16" s="74" t="inlineStr">
        <is>
          <t>https://fnet.bmfbovespa.com.br/fnet/publico/downloadDocumento?id=932142</t>
        </is>
      </c>
      <c r="X16" s="74" t="inlineStr">
        <is>
          <t>rating_report</t>
        </is>
      </c>
      <c r="Y16" s="74" t="inlineStr">
        <is>
          <t>N/D</t>
        </is>
      </c>
      <c r="Z16" s="74" t="inlineStr">
        <is>
          <t>não encontrado</t>
        </is>
      </c>
      <c r="AA16" s="74" t="inlineStr">
        <is>
          <t>N/D</t>
        </is>
      </c>
      <c r="AB16" s="74" t="inlineStr">
        <is>
          <t>N/D</t>
        </is>
      </c>
      <c r="AC16" s="74" t="inlineStr">
        <is>
          <t>N/D</t>
        </is>
      </c>
      <c r="AD16" s="74" t="inlineStr">
        <is>
          <t>N/D</t>
        </is>
      </c>
      <c r="AE16" s="74" t="inlineStr">
        <is>
          <t>N/D</t>
        </is>
      </c>
      <c r="AF16" s="74" t="inlineStr">
        <is>
          <t>N/D</t>
        </is>
      </c>
      <c r="AG16" s="74" t="inlineStr">
        <is>
          <t>Insumos Agrícolas - prazo Safra</t>
        </is>
      </c>
      <c r="AH16" s="74" t="inlineStr">
        <is>
          <t>aceito_payload</t>
        </is>
      </c>
      <c r="AI16" s="74" t="inlineStr">
        <is>
          <t>N/D</t>
        </is>
      </c>
      <c r="AJ16" s="74" t="inlineStr">
        <is>
          <t>IMG_8704.JPG</t>
        </is>
      </c>
      <c r="AK16" s="74" t="inlineStr">
        <is>
          <t>2024-11-28</t>
        </is>
      </c>
      <c r="AL16" s="74" t="inlineStr">
        <is>
          <t>44</t>
        </is>
      </c>
      <c r="AM16" s="74" t="inlineStr">
        <is>
          <t>N/D</t>
        </is>
      </c>
      <c r="AN16" s="74" t="inlineStr">
        <is>
          <t>planilha_manual</t>
        </is>
      </c>
      <c r="AO16" s="74" t="inlineStr">
        <is>
          <t>20%</t>
        </is>
      </c>
      <c r="AP16" s="74" t="inlineStr">
        <is>
          <t>aceito_payload</t>
        </is>
      </c>
      <c r="AQ16" s="74" t="inlineStr">
        <is>
          <t>junior_pl</t>
        </is>
      </c>
      <c r="AR16" s="74" t="inlineStr">
        <is>
          <t>791780</t>
        </is>
      </c>
      <c r="AS16" s="74" t="inlineStr">
        <is>
          <t>2024-11-28</t>
        </is>
      </c>
      <c r="AT16" s="74" t="inlineStr">
        <is>
          <t>44</t>
        </is>
      </c>
      <c r="AU16" s="74" t="inlineStr">
        <is>
          <t>https://fnet.bmfbovespa.com.br/fnet/publico/downloadDocumento?id=791780</t>
        </is>
      </c>
      <c r="AV16" s="74" t="inlineStr">
        <is>
          <t>payload_documental</t>
        </is>
      </c>
      <c r="AW16" s="74" t="inlineStr">
        <is>
          <t>30%</t>
        </is>
      </c>
      <c r="AX16" s="74" t="inlineStr">
        <is>
          <t>aceito_payload</t>
        </is>
      </c>
      <c r="AY16" s="74" t="inlineStr">
        <is>
          <t>suporte_total_pl</t>
        </is>
      </c>
      <c r="AZ16" s="74" t="inlineStr">
        <is>
          <t>791780</t>
        </is>
      </c>
      <c r="BA16" s="74" t="inlineStr">
        <is>
          <t>2024-11-28</t>
        </is>
      </c>
      <c r="BB16" s="74" t="inlineStr">
        <is>
          <t>44</t>
        </is>
      </c>
      <c r="BC16" s="74" t="inlineStr">
        <is>
          <t>https://fnet.bmfbovespa.com.br/fnet/publico/downloadDocumento?id=791780</t>
        </is>
      </c>
      <c r="BD16" s="74" t="inlineStr">
        <is>
          <t>payload_documental</t>
        </is>
      </c>
      <c r="BE16" s="74" t="inlineStr">
        <is>
          <t>junior_pl</t>
        </is>
      </c>
      <c r="BF16" s="74" t="inlineStr">
        <is>
          <t>aceito_payload</t>
        </is>
      </c>
      <c r="BG16" s="74" t="inlineStr">
        <is>
          <t>junior_pl</t>
        </is>
      </c>
      <c r="BH16" s="74" t="inlineStr">
        <is>
          <t>791780</t>
        </is>
      </c>
      <c r="BI16" s="74" t="inlineStr">
        <is>
          <t>2024-11-28</t>
        </is>
      </c>
      <c r="BJ16" s="74" t="inlineStr">
        <is>
          <t>44</t>
        </is>
      </c>
      <c r="BK16" s="74" t="inlineStr">
        <is>
          <t>https://fnet.bmfbovespa.com.br/fnet/publico/downloadDocumento?id=791780</t>
        </is>
      </c>
      <c r="BL16" s="74" t="inlineStr">
        <is>
          <t>payload_documental</t>
        </is>
      </c>
    </row>
    <row r="17" ht="42" customHeight="1">
      <c r="A17" s="145" t="n">
        <v>13</v>
      </c>
      <c r="B17" s="142" t="n">
        <v>33076242000118</v>
      </c>
      <c r="C17" s="75" t="inlineStr">
        <is>
          <t>33.076.242/0001-18</t>
        </is>
      </c>
      <c r="D17" s="75" t="inlineStr">
        <is>
          <t>WORKCAP AGRO FUNDO DE INVESTIMENTO EM DIREITOS CREDITORIOS RESPONSABILIDADE LIMITADA</t>
        </is>
      </c>
      <c r="E17" s="75" t="inlineStr">
        <is>
          <t>concluído</t>
        </is>
      </c>
      <c r="F17" s="145" t="n">
        <v>8</v>
      </c>
      <c r="G17" s="75" t="inlineStr">
        <is>
          <t>consultado</t>
        </is>
      </c>
      <c r="H17" s="75" t="inlineStr">
        <is>
          <t>N/D</t>
        </is>
      </c>
      <c r="I17" s="75" t="inlineStr">
        <is>
          <t>N/D</t>
        </is>
      </c>
      <c r="J17" s="75" t="inlineStr">
        <is>
          <t>não encontrado</t>
        </is>
      </c>
      <c r="K17" s="75" t="inlineStr">
        <is>
          <t>N/D</t>
        </is>
      </c>
      <c r="L17" s="75" t="inlineStr">
        <is>
          <t>N/D</t>
        </is>
      </c>
      <c r="M17" s="75" t="inlineStr">
        <is>
          <t>N/D</t>
        </is>
      </c>
      <c r="N17" s="75" t="inlineStr">
        <is>
          <t>N/D</t>
        </is>
      </c>
      <c r="O17" s="75" t="inlineStr">
        <is>
          <t>N/D</t>
        </is>
      </c>
      <c r="P17" s="75" t="inlineStr">
        <is>
          <t>N/D</t>
        </is>
      </c>
      <c r="Q17" s="75" t="inlineStr">
        <is>
          <t>Albaugh Agro</t>
        </is>
      </c>
      <c r="R17" s="75" t="inlineStr">
        <is>
          <t>encontrado_explicito</t>
        </is>
      </c>
      <c r="S17" s="75" t="inlineStr">
        <is>
          <t>rótulo explícito de participante v2</t>
        </is>
      </c>
      <c r="T17" s="75" t="inlineStr">
        <is>
          <t>978141</t>
        </is>
      </c>
      <c r="U17" s="75" t="inlineStr">
        <is>
          <t>22/08/2025</t>
        </is>
      </c>
      <c r="V17" s="75" t="inlineStr">
        <is>
          <t>5</t>
        </is>
      </c>
      <c r="W17" s="75" t="inlineStr">
        <is>
          <t>https://fnet.bmfbovespa.com.br/fnet/publico/downloadDocumento?id=978141</t>
        </is>
      </c>
      <c r="X17" s="75" t="inlineStr">
        <is>
          <t>rating_report</t>
        </is>
      </c>
      <c r="Y17" s="75" t="inlineStr">
        <is>
          <t>N/D</t>
        </is>
      </c>
      <c r="Z17" s="75" t="inlineStr">
        <is>
          <t>não encontrado</t>
        </is>
      </c>
      <c r="AA17" s="75" t="inlineStr">
        <is>
          <t>N/D</t>
        </is>
      </c>
      <c r="AB17" s="75" t="inlineStr">
        <is>
          <t>N/D</t>
        </is>
      </c>
      <c r="AC17" s="75" t="inlineStr">
        <is>
          <t>N/D</t>
        </is>
      </c>
      <c r="AD17" s="75" t="inlineStr">
        <is>
          <t>N/D</t>
        </is>
      </c>
      <c r="AE17" s="75" t="inlineStr">
        <is>
          <t>N/D</t>
        </is>
      </c>
      <c r="AF17" s="75" t="inlineStr">
        <is>
          <t>N/D</t>
        </is>
      </c>
      <c r="AG17" s="75" t="inlineStr">
        <is>
          <t>N/D</t>
        </is>
      </c>
      <c r="AH17" s="75" t="inlineStr">
        <is>
          <t>não encontrado</t>
        </is>
      </c>
      <c r="AI17" s="75" t="inlineStr">
        <is>
          <t>N/D</t>
        </is>
      </c>
      <c r="AJ17" s="75" t="inlineStr">
        <is>
          <t>N/D</t>
        </is>
      </c>
      <c r="AK17" s="75" t="inlineStr">
        <is>
          <t>N/D</t>
        </is>
      </c>
      <c r="AL17" s="75" t="inlineStr">
        <is>
          <t>N/D</t>
        </is>
      </c>
      <c r="AM17" s="75" t="inlineStr">
        <is>
          <t>N/D</t>
        </is>
      </c>
      <c r="AN17" s="75" t="inlineStr">
        <is>
          <t>N/D</t>
        </is>
      </c>
      <c r="AO17" s="75" t="inlineStr">
        <is>
          <t>20%</t>
        </is>
      </c>
      <c r="AP17" s="75" t="inlineStr">
        <is>
          <t>aceito_payload</t>
        </is>
      </c>
      <c r="AQ17" s="75" t="inlineStr">
        <is>
          <t>junior_pl</t>
        </is>
      </c>
      <c r="AR17" s="75" t="inlineStr">
        <is>
          <t>1060211</t>
        </is>
      </c>
      <c r="AS17" s="75" t="inlineStr">
        <is>
          <t>2025-12-12</t>
        </is>
      </c>
      <c r="AT17" s="75" t="inlineStr">
        <is>
          <t>61</t>
        </is>
      </c>
      <c r="AU17" s="75" t="inlineStr">
        <is>
          <t>https://fnet.bmfbovespa.com.br/fnet/publico/downloadDocumento?id=1060211</t>
        </is>
      </c>
      <c r="AV17" s="75" t="inlineStr">
        <is>
          <t>payload_documental</t>
        </is>
      </c>
      <c r="AW17" s="75" t="inlineStr">
        <is>
          <t>20%</t>
        </is>
      </c>
      <c r="AX17" s="75" t="inlineStr">
        <is>
          <t>aceito_payload</t>
        </is>
      </c>
      <c r="AY17" s="75" t="inlineStr">
        <is>
          <t>suporte_total_pl</t>
        </is>
      </c>
      <c r="AZ17" s="75" t="inlineStr">
        <is>
          <t>1060211</t>
        </is>
      </c>
      <c r="BA17" s="75" t="inlineStr">
        <is>
          <t>2025-12-12</t>
        </is>
      </c>
      <c r="BB17" s="75" t="inlineStr">
        <is>
          <t>61</t>
        </is>
      </c>
      <c r="BC17" s="75" t="inlineStr">
        <is>
          <t>https://fnet.bmfbovespa.com.br/fnet/publico/downloadDocumento?id=1060211</t>
        </is>
      </c>
      <c r="BD17" s="75" t="inlineStr">
        <is>
          <t>payload_documental</t>
        </is>
      </c>
      <c r="BE17" s="75" t="inlineStr">
        <is>
          <t>junior_pl</t>
        </is>
      </c>
      <c r="BF17" s="75" t="inlineStr">
        <is>
          <t>aceito_payload</t>
        </is>
      </c>
      <c r="BG17" s="75" t="inlineStr">
        <is>
          <t>junior_pl</t>
        </is>
      </c>
      <c r="BH17" s="75" t="inlineStr">
        <is>
          <t>1060211</t>
        </is>
      </c>
      <c r="BI17" s="75" t="inlineStr">
        <is>
          <t>2025-12-12</t>
        </is>
      </c>
      <c r="BJ17" s="75" t="inlineStr">
        <is>
          <t>61</t>
        </is>
      </c>
      <c r="BK17" s="75" t="inlineStr">
        <is>
          <t>https://fnet.bmfbovespa.com.br/fnet/publico/downloadDocumento?id=1060211</t>
        </is>
      </c>
      <c r="BL17" s="75" t="inlineStr">
        <is>
          <t>payload_documental</t>
        </is>
      </c>
    </row>
    <row r="18" ht="42" customHeight="1">
      <c r="A18" s="141" t="n">
        <v>14</v>
      </c>
      <c r="B18" s="138" t="n">
        <v>44173467000109</v>
      </c>
      <c r="C18" s="74" t="inlineStr">
        <is>
          <t>44.173.467/0001-09</t>
        </is>
      </c>
      <c r="D18" s="74" t="inlineStr">
        <is>
          <t>MT INSS RECEIVABLES III FUNDO DE INVESTIMENTO EM DIREITOS CREDITÓRIOS RESPONSABILIDADE</t>
        </is>
      </c>
      <c r="E18" s="74" t="inlineStr">
        <is>
          <t>concluído</t>
        </is>
      </c>
      <c r="F18" s="141" t="n">
        <v>6</v>
      </c>
      <c r="G18" s="74" t="inlineStr">
        <is>
          <t>consultado</t>
        </is>
      </c>
      <c r="H18" s="74" t="inlineStr">
        <is>
          <t>N/D</t>
        </is>
      </c>
      <c r="I18" s="74" t="inlineStr">
        <is>
          <t>N/D</t>
        </is>
      </c>
      <c r="J18" s="74" t="inlineStr">
        <is>
          <t>não encontrado</t>
        </is>
      </c>
      <c r="K18" s="74" t="inlineStr">
        <is>
          <t>N/D</t>
        </is>
      </c>
      <c r="L18" s="74" t="inlineStr">
        <is>
          <t>N/D</t>
        </is>
      </c>
      <c r="M18" s="74" t="inlineStr">
        <is>
          <t>N/D</t>
        </is>
      </c>
      <c r="N18" s="74" t="inlineStr">
        <is>
          <t>N/D</t>
        </is>
      </c>
      <c r="O18" s="74" t="inlineStr">
        <is>
          <t>N/D</t>
        </is>
      </c>
      <c r="P18" s="74" t="inlineStr">
        <is>
          <t>N/D</t>
        </is>
      </c>
      <c r="Q18" s="74" t="inlineStr">
        <is>
          <t>Parati</t>
        </is>
      </c>
      <c r="R18" s="74" t="inlineStr">
        <is>
          <t>aceito_payload</t>
        </is>
      </c>
      <c r="S18" s="74" t="inlineStr">
        <is>
          <t>N/D</t>
        </is>
      </c>
      <c r="T18" s="74" t="inlineStr">
        <is>
          <t>IMG_8704.JPG</t>
        </is>
      </c>
      <c r="U18" s="74" t="inlineStr">
        <is>
          <t>2024-11-28</t>
        </is>
      </c>
      <c r="V18" s="74" t="inlineStr">
        <is>
          <t>19</t>
        </is>
      </c>
      <c r="W18" s="74" t="inlineStr">
        <is>
          <t>N/D</t>
        </is>
      </c>
      <c r="X18" s="74" t="inlineStr">
        <is>
          <t>planilha_manual</t>
        </is>
      </c>
      <c r="Y18" s="74" t="inlineStr">
        <is>
          <t>N/D</t>
        </is>
      </c>
      <c r="Z18" s="74" t="inlineStr">
        <is>
          <t>não encontrado</t>
        </is>
      </c>
      <c r="AA18" s="74" t="inlineStr">
        <is>
          <t>N/D</t>
        </is>
      </c>
      <c r="AB18" s="74" t="inlineStr">
        <is>
          <t>N/D</t>
        </is>
      </c>
      <c r="AC18" s="74" t="inlineStr">
        <is>
          <t>N/D</t>
        </is>
      </c>
      <c r="AD18" s="74" t="inlineStr">
        <is>
          <t>N/D</t>
        </is>
      </c>
      <c r="AE18" s="74" t="inlineStr">
        <is>
          <t>N/D</t>
        </is>
      </c>
      <c r="AF18" s="74" t="inlineStr">
        <is>
          <t>N/D</t>
        </is>
      </c>
      <c r="AG18" s="74" t="inlineStr">
        <is>
          <t>Crédito consignado INSS</t>
        </is>
      </c>
      <c r="AH18" s="74" t="inlineStr">
        <is>
          <t>aceito_payload</t>
        </is>
      </c>
      <c r="AI18" s="74" t="inlineStr">
        <is>
          <t>N/D</t>
        </is>
      </c>
      <c r="AJ18" s="74" t="inlineStr">
        <is>
          <t>IMG_8704.JPG</t>
        </is>
      </c>
      <c r="AK18" s="74" t="inlineStr">
        <is>
          <t>2024-11-28</t>
        </is>
      </c>
      <c r="AL18" s="74" t="inlineStr">
        <is>
          <t>19</t>
        </is>
      </c>
      <c r="AM18" s="74" t="inlineStr">
        <is>
          <t>N/D</t>
        </is>
      </c>
      <c r="AN18" s="74" t="inlineStr">
        <is>
          <t>planilha_manual</t>
        </is>
      </c>
      <c r="AO18" s="74" t="inlineStr">
        <is>
          <t>1%</t>
        </is>
      </c>
      <c r="AP18" s="74" t="inlineStr">
        <is>
          <t>aceito_payload</t>
        </is>
      </c>
      <c r="AQ18" s="74" t="inlineStr">
        <is>
          <t>junior_pl_calculado</t>
        </is>
      </c>
      <c r="AR18" s="74" t="inlineStr">
        <is>
          <t>791513</t>
        </is>
      </c>
      <c r="AS18" s="74" t="inlineStr">
        <is>
          <t>2024-11-28</t>
        </is>
      </c>
      <c r="AT18" s="74" t="inlineStr">
        <is>
          <t>19</t>
        </is>
      </c>
      <c r="AU18" s="74" t="inlineStr">
        <is>
          <t>https://fnet.bmfbovespa.com.br/fnet/publico/downloadDocumento?id=791513</t>
        </is>
      </c>
      <c r="AV18" s="74" t="inlineStr">
        <is>
          <t>payload_documental</t>
        </is>
      </c>
      <c r="AW18" s="74" t="inlineStr">
        <is>
          <t>10%</t>
        </is>
      </c>
      <c r="AX18" s="74" t="inlineStr">
        <is>
          <t>aceito_payload</t>
        </is>
      </c>
      <c r="AY18" s="74" t="inlineStr">
        <is>
          <t>suporte_total_pl</t>
        </is>
      </c>
      <c r="AZ18" s="74" t="inlineStr">
        <is>
          <t>791513</t>
        </is>
      </c>
      <c r="BA18" s="74" t="inlineStr">
        <is>
          <t>2024-11-28</t>
        </is>
      </c>
      <c r="BB18" s="74" t="inlineStr">
        <is>
          <t>19</t>
        </is>
      </c>
      <c r="BC18" s="74" t="inlineStr">
        <is>
          <t>https://fnet.bmfbovespa.com.br/fnet/publico/downloadDocumento?id=791513</t>
        </is>
      </c>
      <c r="BD18" s="74" t="inlineStr">
        <is>
          <t>payload_documental</t>
        </is>
      </c>
      <c r="BE18" s="74" t="inlineStr">
        <is>
          <t>junior_pl_calculado</t>
        </is>
      </c>
      <c r="BF18" s="74" t="inlineStr">
        <is>
          <t>aceito_payload</t>
        </is>
      </c>
      <c r="BG18" s="74" t="inlineStr">
        <is>
          <t>junior_pl_calculado</t>
        </is>
      </c>
      <c r="BH18" s="74" t="inlineStr">
        <is>
          <t>791513</t>
        </is>
      </c>
      <c r="BI18" s="74" t="inlineStr">
        <is>
          <t>2024-11-28</t>
        </is>
      </c>
      <c r="BJ18" s="74" t="inlineStr">
        <is>
          <t>19</t>
        </is>
      </c>
      <c r="BK18" s="74" t="inlineStr">
        <is>
          <t>https://fnet.bmfbovespa.com.br/fnet/publico/downloadDocumento?id=791513</t>
        </is>
      </c>
      <c r="BL18" s="74" t="inlineStr">
        <is>
          <t>payload_documental</t>
        </is>
      </c>
    </row>
    <row r="19" ht="42" customHeight="1">
      <c r="A19" s="145" t="n">
        <v>15</v>
      </c>
      <c r="B19" s="142" t="n">
        <v>54252144000164</v>
      </c>
      <c r="C19" s="75" t="inlineStr">
        <is>
          <t>54.252.144/0001-64</t>
        </is>
      </c>
      <c r="D19" s="75" t="inlineStr">
        <is>
          <t>J17 FGTS FUNDO DE INVESTIMENTO EM DIREITOS CREDITÓRIOS FINANCEIRO - RESPONSABILIDADE LIMITADA</t>
        </is>
      </c>
      <c r="E19" s="75" t="inlineStr">
        <is>
          <t>concluído</t>
        </is>
      </c>
      <c r="F19" s="145" t="n">
        <v>10</v>
      </c>
      <c r="G19" s="75" t="inlineStr">
        <is>
          <t>consultado</t>
        </is>
      </c>
      <c r="H19" s="75" t="inlineStr">
        <is>
          <t>N/D</t>
        </is>
      </c>
      <c r="I19" s="75" t="inlineStr">
        <is>
          <t>GRANDINO LTDA.</t>
        </is>
      </c>
      <c r="J19" s="75" t="inlineStr">
        <is>
          <t>encontrado_explicito</t>
        </is>
      </c>
      <c r="K19" s="75" t="inlineStr">
        <is>
          <t>rótulo explícito de participante v2</t>
        </is>
      </c>
      <c r="L19" s="75" t="inlineStr">
        <is>
          <t>990257</t>
        </is>
      </c>
      <c r="M19" s="75" t="inlineStr">
        <is>
          <t>30/06/2025</t>
        </is>
      </c>
      <c r="N19" s="75" t="inlineStr">
        <is>
          <t>1</t>
        </is>
      </c>
      <c r="O19" s="75" t="inlineStr">
        <is>
          <t>https://fnet.bmfbovespa.com.br/fnet/publico/downloadDocumento?id=990257</t>
        </is>
      </c>
      <c r="P19" s="75" t="inlineStr">
        <is>
          <t>rating_report</t>
        </is>
      </c>
      <c r="Q19" s="75" t="inlineStr">
        <is>
          <t>a J17 e, apenas para a s Aquisições Iniciais, o Metropolitana FIDC-NP</t>
        </is>
      </c>
      <c r="R19" s="75" t="inlineStr">
        <is>
          <t>encontrado_explicito</t>
        </is>
      </c>
      <c r="S19" s="75" t="inlineStr">
        <is>
          <t>N/D</t>
        </is>
      </c>
      <c r="T19" s="75" t="inlineStr">
        <is>
          <t>1072289</t>
        </is>
      </c>
      <c r="U19" s="75" t="inlineStr">
        <is>
          <t>2025-12-29</t>
        </is>
      </c>
      <c r="V19" s="75" t="inlineStr">
        <is>
          <t>47</t>
        </is>
      </c>
      <c r="W19" s="75" t="inlineStr">
        <is>
          <t>https://fnet.bmfbovespa.com.br/fnet/publico/downloadDocumento?id=1072289</t>
        </is>
      </c>
      <c r="X19" s="75" t="inlineStr">
        <is>
          <t>regulamento</t>
        </is>
      </c>
      <c r="Y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Z19" s="75" t="inlineStr">
        <is>
          <t>encontrado_explicito</t>
        </is>
      </c>
      <c r="AA19" s="75" t="inlineStr">
        <is>
          <t>N/D</t>
        </is>
      </c>
      <c r="AB19" s="75" t="inlineStr">
        <is>
          <t>1072289</t>
        </is>
      </c>
      <c r="AC19" s="75" t="inlineStr">
        <is>
          <t>2025-12-29</t>
        </is>
      </c>
      <c r="AD19" s="75" t="inlineStr">
        <is>
          <t>52</t>
        </is>
      </c>
      <c r="AE19" s="75" t="inlineStr">
        <is>
          <t>https://fnet.bmfbovespa.com.br/fnet/publico/downloadDocumento?id=1072289</t>
        </is>
      </c>
      <c r="AF19" s="75" t="inlineStr">
        <is>
          <t>regulamento</t>
        </is>
      </c>
      <c r="AG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AH19" s="75" t="inlineStr">
        <is>
          <t>encontrado_explicito</t>
        </is>
      </c>
      <c r="AI19" s="75" t="inlineStr">
        <is>
          <t>N/D</t>
        </is>
      </c>
      <c r="AJ19" s="75" t="inlineStr">
        <is>
          <t>1072289</t>
        </is>
      </c>
      <c r="AK19" s="75" t="inlineStr">
        <is>
          <t>2025-12-29</t>
        </is>
      </c>
      <c r="AL19" s="75" t="inlineStr">
        <is>
          <t>52</t>
        </is>
      </c>
      <c r="AM19" s="75" t="inlineStr">
        <is>
          <t>https://fnet.bmfbovespa.com.br/fnet/publico/downloadDocumento?id=1072289</t>
        </is>
      </c>
      <c r="AN19" s="75" t="inlineStr">
        <is>
          <t>regulamento</t>
        </is>
      </c>
      <c r="AO19" s="75" t="inlineStr">
        <is>
          <t>5%</t>
        </is>
      </c>
      <c r="AP19" s="75" t="inlineStr">
        <is>
          <t>aceito_payload</t>
        </is>
      </c>
      <c r="AQ19" s="75" t="inlineStr">
        <is>
          <t>junior_pl</t>
        </is>
      </c>
      <c r="AR19" s="75" t="inlineStr">
        <is>
          <t>1223382</t>
        </is>
      </c>
      <c r="AS19" s="75" t="inlineStr">
        <is>
          <t>2026-06-08</t>
        </is>
      </c>
      <c r="AT19" s="75" t="inlineStr">
        <is>
          <t>109</t>
        </is>
      </c>
      <c r="AU19" s="75" t="inlineStr">
        <is>
          <t>https://fnet.bmfbovespa.com.br/fnet/publico/downloadDocumento?id=1223382</t>
        </is>
      </c>
      <c r="AV19" s="75" t="inlineStr">
        <is>
          <t>payload_documental</t>
        </is>
      </c>
      <c r="AW19" s="75" t="inlineStr">
        <is>
          <t>15%</t>
        </is>
      </c>
      <c r="AX19" s="75" t="inlineStr">
        <is>
          <t>encontrado_explicito</t>
        </is>
      </c>
      <c r="AY19" s="75" t="inlineStr">
        <is>
          <t>suporte_total_pl</t>
        </is>
      </c>
      <c r="AZ19" s="75" t="inlineStr">
        <is>
          <t>1072289</t>
        </is>
      </c>
      <c r="BA19" s="75" t="inlineStr">
        <is>
          <t>2025-12-29</t>
        </is>
      </c>
      <c r="BB19" s="75" t="inlineStr">
        <is>
          <t>111</t>
        </is>
      </c>
      <c r="BC19" s="75" t="inlineStr">
        <is>
          <t>https://fnet.bmfbovespa.com.br/fnet/publico/downloadDocumento?id=1072289</t>
        </is>
      </c>
      <c r="BD19" s="75" t="inlineStr">
        <is>
          <t>regulamento</t>
        </is>
      </c>
      <c r="BE19" s="75" t="inlineStr">
        <is>
          <t>junior_pl</t>
        </is>
      </c>
      <c r="BF19" s="75" t="inlineStr">
        <is>
          <t>aceito_payload</t>
        </is>
      </c>
      <c r="BG19" s="75" t="inlineStr">
        <is>
          <t>junior_pl</t>
        </is>
      </c>
      <c r="BH19" s="75" t="inlineStr">
        <is>
          <t>1223382</t>
        </is>
      </c>
      <c r="BI19" s="75" t="inlineStr">
        <is>
          <t>2026-06-08</t>
        </is>
      </c>
      <c r="BJ19" s="75" t="inlineStr">
        <is>
          <t>109</t>
        </is>
      </c>
      <c r="BK19" s="75" t="inlineStr">
        <is>
          <t>https://fnet.bmfbovespa.com.br/fnet/publico/downloadDocumento?id=1223382</t>
        </is>
      </c>
      <c r="BL19" s="75" t="inlineStr">
        <is>
          <t>payload_documental</t>
        </is>
      </c>
    </row>
    <row r="20" ht="42" customHeight="1">
      <c r="A20" s="141" t="n">
        <v>16</v>
      </c>
      <c r="B20" s="138" t="n">
        <v>48313595000161</v>
      </c>
      <c r="C20" s="74" t="inlineStr">
        <is>
          <t>48.313.595/0001-61</t>
        </is>
      </c>
      <c r="D20" s="74" t="inlineStr">
        <is>
          <t>IBBA AGRO BR FUNDO DE INVESTIMENTO EM DIREITOS CREDITÓRIOS</t>
        </is>
      </c>
      <c r="E20" s="74" t="inlineStr">
        <is>
          <t>concluído</t>
        </is>
      </c>
      <c r="F20" s="141" t="n">
        <v>4</v>
      </c>
      <c r="G20" s="74" t="inlineStr">
        <is>
          <t>consultado</t>
        </is>
      </c>
      <c r="H20" s="74" t="inlineStr">
        <is>
          <t>N/D</t>
        </is>
      </c>
      <c r="I20" s="74" t="inlineStr">
        <is>
          <t>N/D</t>
        </is>
      </c>
      <c r="J20" s="74" t="inlineStr">
        <is>
          <t>não encontrado</t>
        </is>
      </c>
      <c r="K20" s="74" t="inlineStr">
        <is>
          <t>N/D</t>
        </is>
      </c>
      <c r="L20" s="74" t="inlineStr">
        <is>
          <t>N/D</t>
        </is>
      </c>
      <c r="M20" s="74" t="inlineStr">
        <is>
          <t>N/D</t>
        </is>
      </c>
      <c r="N20" s="74" t="inlineStr">
        <is>
          <t>N/D</t>
        </is>
      </c>
      <c r="O20" s="74" t="inlineStr">
        <is>
          <t>N/D</t>
        </is>
      </c>
      <c r="P20" s="74" t="inlineStr">
        <is>
          <t>N/D</t>
        </is>
      </c>
      <c r="Q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R20" s="74" t="inlineStr">
        <is>
          <t>encontrado_explicito</t>
        </is>
      </c>
      <c r="S20" s="74" t="inlineStr">
        <is>
          <t>N/D</t>
        </is>
      </c>
      <c r="T20" s="74" t="inlineStr">
        <is>
          <t>976737</t>
        </is>
      </c>
      <c r="U20" s="74" t="inlineStr">
        <is>
          <t>22/08/2025</t>
        </is>
      </c>
      <c r="V20" s="74" t="inlineStr">
        <is>
          <t>14</t>
        </is>
      </c>
      <c r="W20" s="74" t="inlineStr">
        <is>
          <t>https://fnet.bmfbovespa.com.br/fnet/publico/downloadDocumento?id=976737</t>
        </is>
      </c>
      <c r="X20" s="74" t="inlineStr">
        <is>
          <t>regulamento</t>
        </is>
      </c>
      <c r="Y20" s="74" t="inlineStr">
        <is>
          <t>N/D</t>
        </is>
      </c>
      <c r="Z20" s="74" t="inlineStr">
        <is>
          <t>não encontrado</t>
        </is>
      </c>
      <c r="AA20" s="74" t="inlineStr">
        <is>
          <t>N/D</t>
        </is>
      </c>
      <c r="AB20" s="74" t="inlineStr">
        <is>
          <t>N/D</t>
        </is>
      </c>
      <c r="AC20" s="74" t="inlineStr">
        <is>
          <t>N/D</t>
        </is>
      </c>
      <c r="AD20" s="74" t="inlineStr">
        <is>
          <t>N/D</t>
        </is>
      </c>
      <c r="AE20" s="74" t="inlineStr">
        <is>
          <t>N/D</t>
        </is>
      </c>
      <c r="AF20" s="74" t="inlineStr">
        <is>
          <t>N/D</t>
        </is>
      </c>
      <c r="AG20" s="74" t="inlineStr">
        <is>
          <t>N/D</t>
        </is>
      </c>
      <c r="AH20" s="74" t="inlineStr">
        <is>
          <t>não encontrado</t>
        </is>
      </c>
      <c r="AI20" s="74" t="inlineStr">
        <is>
          <t>N/D</t>
        </is>
      </c>
      <c r="AJ20" s="74" t="inlineStr">
        <is>
          <t>N/D</t>
        </is>
      </c>
      <c r="AK20" s="74" t="inlineStr">
        <is>
          <t>N/D</t>
        </is>
      </c>
      <c r="AL20" s="74" t="inlineStr">
        <is>
          <t>N/D</t>
        </is>
      </c>
      <c r="AM20" s="74" t="inlineStr">
        <is>
          <t>N/D</t>
        </is>
      </c>
      <c r="AN20" s="74" t="inlineStr">
        <is>
          <t>N/D</t>
        </is>
      </c>
      <c r="AO20" s="74" t="inlineStr">
        <is>
          <t>N/D</t>
        </is>
      </c>
      <c r="AP20" s="74" t="inlineStr">
        <is>
          <t>não encontrado</t>
        </is>
      </c>
      <c r="AQ20" s="74" t="inlineStr">
        <is>
          <t>N/D</t>
        </is>
      </c>
      <c r="AR20" s="74" t="inlineStr">
        <is>
          <t>N/D</t>
        </is>
      </c>
      <c r="AS20" s="74" t="inlineStr">
        <is>
          <t>N/D</t>
        </is>
      </c>
      <c r="AT20" s="74" t="inlineStr">
        <is>
          <t>N/D</t>
        </is>
      </c>
      <c r="AU20" s="74" t="inlineStr">
        <is>
          <t>N/D</t>
        </is>
      </c>
      <c r="AV20" s="74" t="inlineStr">
        <is>
          <t>N/D</t>
        </is>
      </c>
      <c r="AW20" s="74" t="inlineStr">
        <is>
          <t>N/D</t>
        </is>
      </c>
      <c r="AX20" s="74" t="inlineStr">
        <is>
          <t>não encontrado</t>
        </is>
      </c>
      <c r="AY20" s="74" t="inlineStr">
        <is>
          <t>N/D</t>
        </is>
      </c>
      <c r="AZ20" s="74" t="inlineStr">
        <is>
          <t>N/D</t>
        </is>
      </c>
      <c r="BA20" s="74" t="inlineStr">
        <is>
          <t>N/D</t>
        </is>
      </c>
      <c r="BB20" s="74" t="inlineStr">
        <is>
          <t>N/D</t>
        </is>
      </c>
      <c r="BC20" s="74" t="inlineStr">
        <is>
          <t>N/D</t>
        </is>
      </c>
      <c r="BD20" s="74" t="inlineStr">
        <is>
          <t>N/D</t>
        </is>
      </c>
      <c r="BE20" s="74" t="inlineStr">
        <is>
          <t>sem_indice</t>
        </is>
      </c>
      <c r="BF20" s="74" t="inlineStr">
        <is>
          <t>aceito_payload</t>
        </is>
      </c>
      <c r="BG20" s="74" t="inlineStr">
        <is>
          <t>sem_indice</t>
        </is>
      </c>
      <c r="BH20" s="74" t="inlineStr">
        <is>
          <t>976737</t>
        </is>
      </c>
      <c r="BI20" s="74" t="inlineStr">
        <is>
          <t>2025-08-22</t>
        </is>
      </c>
      <c r="BJ20" s="74" t="inlineStr">
        <is>
          <t>42</t>
        </is>
      </c>
      <c r="BK20" s="74" t="inlineStr">
        <is>
          <t>https://fnet.bmfbovespa.com.br/fnet/publico/downloadDocumento?id=976737</t>
        </is>
      </c>
      <c r="BL20" s="74" t="inlineStr">
        <is>
          <t>payload_documental</t>
        </is>
      </c>
    </row>
    <row r="21" ht="42" customHeight="1">
      <c r="A21" s="145" t="n">
        <v>17</v>
      </c>
      <c r="B21" s="142" t="n">
        <v>32526025000110</v>
      </c>
      <c r="C21" s="75" t="inlineStr">
        <is>
          <t>32.526.025/0001-10</t>
        </is>
      </c>
      <c r="D21" s="75" t="inlineStr">
        <is>
          <t>COBUCCIO FUNDO DE INVESTIMENTO EM DIREITOS CREDITÓRIOS DE CLASSE ÚNICA FECHADA DE RESPONS LIMITADA</t>
        </is>
      </c>
      <c r="E21" s="75" t="inlineStr">
        <is>
          <t>concluído</t>
        </is>
      </c>
      <c r="F21" s="145" t="n">
        <v>6</v>
      </c>
      <c r="G21" s="75" t="inlineStr">
        <is>
          <t>consultado</t>
        </is>
      </c>
      <c r="H21" s="75" t="inlineStr">
        <is>
          <t>N/D</t>
        </is>
      </c>
      <c r="I21" s="75" t="inlineStr">
        <is>
          <t>N/D</t>
        </is>
      </c>
      <c r="J21" s="75" t="inlineStr">
        <is>
          <t>não encontrado</t>
        </is>
      </c>
      <c r="K21" s="75" t="inlineStr">
        <is>
          <t>N/D</t>
        </is>
      </c>
      <c r="L21" s="75" t="inlineStr">
        <is>
          <t>N/D</t>
        </is>
      </c>
      <c r="M21" s="75" t="inlineStr">
        <is>
          <t>N/D</t>
        </is>
      </c>
      <c r="N21" s="75" t="inlineStr">
        <is>
          <t>N/D</t>
        </is>
      </c>
      <c r="O21" s="75" t="inlineStr">
        <is>
          <t>N/D</t>
        </is>
      </c>
      <c r="P21" s="75" t="inlineStr">
        <is>
          <t>N/D</t>
        </is>
      </c>
      <c r="Q21" s="75" t="inlineStr">
        <is>
          <t>N/D</t>
        </is>
      </c>
      <c r="R21" s="75" t="inlineStr">
        <is>
          <t>não encontrado</t>
        </is>
      </c>
      <c r="S21" s="75" t="inlineStr">
        <is>
          <t>N/D</t>
        </is>
      </c>
      <c r="T21" s="75" t="inlineStr">
        <is>
          <t>N/D</t>
        </is>
      </c>
      <c r="U21" s="75" t="inlineStr">
        <is>
          <t>N/D</t>
        </is>
      </c>
      <c r="V21" s="75" t="inlineStr">
        <is>
          <t>N/D</t>
        </is>
      </c>
      <c r="W21" s="75" t="inlineStr">
        <is>
          <t>N/D</t>
        </is>
      </c>
      <c r="X21" s="75" t="inlineStr">
        <is>
          <t>N/D</t>
        </is>
      </c>
      <c r="Y21" s="75" t="inlineStr">
        <is>
          <t>N/D</t>
        </is>
      </c>
      <c r="Z21" s="75" t="inlineStr">
        <is>
          <t>não encontrado</t>
        </is>
      </c>
      <c r="AA21" s="75" t="inlineStr">
        <is>
          <t>N/D</t>
        </is>
      </c>
      <c r="AB21" s="75" t="inlineStr">
        <is>
          <t>N/D</t>
        </is>
      </c>
      <c r="AC21" s="75" t="inlineStr">
        <is>
          <t>N/D</t>
        </is>
      </c>
      <c r="AD21" s="75" t="inlineStr">
        <is>
          <t>N/D</t>
        </is>
      </c>
      <c r="AE21" s="75" t="inlineStr">
        <is>
          <t>N/D</t>
        </is>
      </c>
      <c r="AF21" s="75" t="inlineStr">
        <is>
          <t>N/D</t>
        </is>
      </c>
      <c r="AG21" s="75" t="inlineStr">
        <is>
          <t>N/D</t>
        </is>
      </c>
      <c r="AH21" s="75" t="inlineStr">
        <is>
          <t>não encontrado</t>
        </is>
      </c>
      <c r="AI21" s="75" t="inlineStr">
        <is>
          <t>N/D</t>
        </is>
      </c>
      <c r="AJ21" s="75" t="inlineStr">
        <is>
          <t>N/D</t>
        </is>
      </c>
      <c r="AK21" s="75" t="inlineStr">
        <is>
          <t>N/D</t>
        </is>
      </c>
      <c r="AL21" s="75" t="inlineStr">
        <is>
          <t>N/D</t>
        </is>
      </c>
      <c r="AM21" s="75" t="inlineStr">
        <is>
          <t>N/D</t>
        </is>
      </c>
      <c r="AN21" s="75" t="inlineStr">
        <is>
          <t>N/D</t>
        </is>
      </c>
      <c r="AO21" s="75" t="inlineStr">
        <is>
          <t>75%</t>
        </is>
      </c>
      <c r="AP21" s="75" t="inlineStr">
        <is>
          <t>aceito_payload</t>
        </is>
      </c>
      <c r="AQ21" s="75" t="inlineStr">
        <is>
          <t>junior_pl</t>
        </is>
      </c>
      <c r="AR21" s="75" t="inlineStr">
        <is>
          <t>1186789</t>
        </is>
      </c>
      <c r="AS21" s="75" t="inlineStr">
        <is>
          <t>2026-05-12</t>
        </is>
      </c>
      <c r="AT21" s="75" t="inlineStr">
        <is>
          <t>57</t>
        </is>
      </c>
      <c r="AU21" s="75" t="inlineStr">
        <is>
          <t>https://fnet.bmfbovespa.com.br/fnet/publico/downloadDocumento?id=1186789</t>
        </is>
      </c>
      <c r="AV21" s="75" t="inlineStr">
        <is>
          <t>payload_documental</t>
        </is>
      </c>
      <c r="AW21" s="75" t="inlineStr">
        <is>
          <t>N/D</t>
        </is>
      </c>
      <c r="AX21" s="75" t="inlineStr">
        <is>
          <t>não encontrado</t>
        </is>
      </c>
      <c r="AY21" s="75" t="inlineStr">
        <is>
          <t>N/D</t>
        </is>
      </c>
      <c r="AZ21" s="75" t="inlineStr">
        <is>
          <t>N/D</t>
        </is>
      </c>
      <c r="BA21" s="75" t="inlineStr">
        <is>
          <t>N/D</t>
        </is>
      </c>
      <c r="BB21" s="75" t="inlineStr">
        <is>
          <t>N/D</t>
        </is>
      </c>
      <c r="BC21" s="75" t="inlineStr">
        <is>
          <t>N/D</t>
        </is>
      </c>
      <c r="BD21" s="75" t="inlineStr">
        <is>
          <t>N/D</t>
        </is>
      </c>
      <c r="BE21" s="75" t="inlineStr">
        <is>
          <t>junior_pl</t>
        </is>
      </c>
      <c r="BF21" s="75" t="inlineStr">
        <is>
          <t>aceito_payload</t>
        </is>
      </c>
      <c r="BG21" s="75" t="inlineStr">
        <is>
          <t>junior_pl</t>
        </is>
      </c>
      <c r="BH21" s="75" t="inlineStr">
        <is>
          <t>1186789</t>
        </is>
      </c>
      <c r="BI21" s="75" t="inlineStr">
        <is>
          <t>2026-05-12</t>
        </is>
      </c>
      <c r="BJ21" s="75" t="inlineStr">
        <is>
          <t>57</t>
        </is>
      </c>
      <c r="BK21" s="75" t="inlineStr">
        <is>
          <t>https://fnet.bmfbovespa.com.br/fnet/publico/downloadDocumento?id=1186789</t>
        </is>
      </c>
      <c r="BL21" s="75" t="inlineStr">
        <is>
          <t>payload_documental</t>
        </is>
      </c>
    </row>
    <row r="22" ht="42" customHeight="1">
      <c r="A22" s="141" t="n">
        <v>18</v>
      </c>
      <c r="B22" s="138" t="n">
        <v>45523699000102</v>
      </c>
      <c r="C22" s="74" t="inlineStr">
        <is>
          <t>45.523.699/0001-02</t>
        </is>
      </c>
      <c r="D22" s="74" t="inlineStr">
        <is>
          <t>VIXTRA FUNDO DE INVESTIMENTO EM DIREITOS CREDITÓRIOS RESPONSABILIDADE LIMITADA</t>
        </is>
      </c>
      <c r="E22" s="74" t="inlineStr">
        <is>
          <t>concluído</t>
        </is>
      </c>
      <c r="F22" s="141" t="n">
        <v>9</v>
      </c>
      <c r="G22" s="74" t="inlineStr">
        <is>
          <t>consultado</t>
        </is>
      </c>
      <c r="H22" s="74" t="inlineStr">
        <is>
          <t>N/D</t>
        </is>
      </c>
      <c r="I22" s="74" t="inlineStr">
        <is>
          <t>N/D</t>
        </is>
      </c>
      <c r="J22" s="74" t="inlineStr">
        <is>
          <t>não encontrado</t>
        </is>
      </c>
      <c r="K22" s="74" t="inlineStr">
        <is>
          <t>N/D</t>
        </is>
      </c>
      <c r="L22" s="74" t="inlineStr">
        <is>
          <t>N/D</t>
        </is>
      </c>
      <c r="M22" s="74" t="inlineStr">
        <is>
          <t>N/D</t>
        </is>
      </c>
      <c r="N22" s="74" t="inlineStr">
        <is>
          <t>N/D</t>
        </is>
      </c>
      <c r="O22" s="74" t="inlineStr">
        <is>
          <t>N/D</t>
        </is>
      </c>
      <c r="P22" s="74" t="inlineStr">
        <is>
          <t>N/D</t>
        </is>
      </c>
      <c r="Q22" s="74" t="inlineStr">
        <is>
          <t>Vixtra Tecnologia e Serviços Financeiros</t>
        </is>
      </c>
      <c r="R22" s="74" t="inlineStr">
        <is>
          <t>aceito_payload</t>
        </is>
      </c>
      <c r="S22" s="74" t="inlineStr">
        <is>
          <t>N/D</t>
        </is>
      </c>
      <c r="T22" s="74" t="inlineStr">
        <is>
          <t>IMG_8704.JPG</t>
        </is>
      </c>
      <c r="U22" s="74" t="inlineStr">
        <is>
          <t>2025-10-30</t>
        </is>
      </c>
      <c r="V22" s="74" t="inlineStr">
        <is>
          <t>26</t>
        </is>
      </c>
      <c r="W22" s="74" t="inlineStr">
        <is>
          <t>N/D</t>
        </is>
      </c>
      <c r="X22" s="74" t="inlineStr">
        <is>
          <t>planilha_manual</t>
        </is>
      </c>
      <c r="Y22" s="74" t="inlineStr">
        <is>
          <t>N/D</t>
        </is>
      </c>
      <c r="Z22" s="74" t="inlineStr">
        <is>
          <t>não encontrado</t>
        </is>
      </c>
      <c r="AA22" s="74" t="inlineStr">
        <is>
          <t>N/D</t>
        </is>
      </c>
      <c r="AB22" s="74" t="inlineStr">
        <is>
          <t>N/D</t>
        </is>
      </c>
      <c r="AC22" s="74" t="inlineStr">
        <is>
          <t>N/D</t>
        </is>
      </c>
      <c r="AD22" s="74" t="inlineStr">
        <is>
          <t>N/D</t>
        </is>
      </c>
      <c r="AE22" s="74" t="inlineStr">
        <is>
          <t>N/D</t>
        </is>
      </c>
      <c r="AF22" s="74" t="inlineStr">
        <is>
          <t>N/D</t>
        </is>
      </c>
      <c r="AG22" s="74" t="inlineStr">
        <is>
          <t>FIDC Trading</t>
        </is>
      </c>
      <c r="AH22" s="74" t="inlineStr">
        <is>
          <t>aceito_payload</t>
        </is>
      </c>
      <c r="AI22" s="74" t="inlineStr">
        <is>
          <t>N/D</t>
        </is>
      </c>
      <c r="AJ22" s="74" t="inlineStr">
        <is>
          <t>IMG_8704.JPG</t>
        </is>
      </c>
      <c r="AK22" s="74" t="inlineStr">
        <is>
          <t>2025-10-30</t>
        </is>
      </c>
      <c r="AL22" s="74" t="inlineStr">
        <is>
          <t>26</t>
        </is>
      </c>
      <c r="AM22" s="74" t="inlineStr">
        <is>
          <t>N/D</t>
        </is>
      </c>
      <c r="AN22" s="74" t="inlineStr">
        <is>
          <t>planilha_manual</t>
        </is>
      </c>
      <c r="AO22" s="74" t="inlineStr">
        <is>
          <t>10%</t>
        </is>
      </c>
      <c r="AP22" s="74" t="inlineStr">
        <is>
          <t>aceito_payload</t>
        </is>
      </c>
      <c r="AQ22" s="74" t="inlineStr">
        <is>
          <t>junior_pl</t>
        </is>
      </c>
      <c r="AR22" s="74" t="inlineStr">
        <is>
          <t>1024756</t>
        </is>
      </c>
      <c r="AS22" s="74" t="inlineStr">
        <is>
          <t>2025-10-30</t>
        </is>
      </c>
      <c r="AT22" s="74" t="inlineStr">
        <is>
          <t>26</t>
        </is>
      </c>
      <c r="AU22" s="74" t="inlineStr">
        <is>
          <t>https://fnet.bmfbovespa.com.br/fnet/publico/downloadDocumento?id=1024756</t>
        </is>
      </c>
      <c r="AV22" s="74" t="inlineStr">
        <is>
          <t>payload_documental</t>
        </is>
      </c>
      <c r="AW22" s="74" t="inlineStr">
        <is>
          <t>N/D</t>
        </is>
      </c>
      <c r="AX22" s="74" t="inlineStr">
        <is>
          <t>não encontrado</t>
        </is>
      </c>
      <c r="AY22" s="74" t="inlineStr">
        <is>
          <t>N/D</t>
        </is>
      </c>
      <c r="AZ22" s="74" t="inlineStr">
        <is>
          <t>N/D</t>
        </is>
      </c>
      <c r="BA22" s="74" t="inlineStr">
        <is>
          <t>N/D</t>
        </is>
      </c>
      <c r="BB22" s="74" t="inlineStr">
        <is>
          <t>N/D</t>
        </is>
      </c>
      <c r="BC22" s="74" t="inlineStr">
        <is>
          <t>N/D</t>
        </is>
      </c>
      <c r="BD22" s="74" t="inlineStr">
        <is>
          <t>N/D</t>
        </is>
      </c>
      <c r="BE22" s="74" t="inlineStr">
        <is>
          <t>junior_pl</t>
        </is>
      </c>
      <c r="BF22" s="74" t="inlineStr">
        <is>
          <t>aceito_payload</t>
        </is>
      </c>
      <c r="BG22" s="74" t="inlineStr">
        <is>
          <t>junior_pl</t>
        </is>
      </c>
      <c r="BH22" s="74" t="inlineStr">
        <is>
          <t>1024756</t>
        </is>
      </c>
      <c r="BI22" s="74" t="inlineStr">
        <is>
          <t>2025-10-30</t>
        </is>
      </c>
      <c r="BJ22" s="74" t="inlineStr">
        <is>
          <t>26</t>
        </is>
      </c>
      <c r="BK22" s="74" t="inlineStr">
        <is>
          <t>https://fnet.bmfbovespa.com.br/fnet/publico/downloadDocumento?id=1024756</t>
        </is>
      </c>
      <c r="BL22" s="74" t="inlineStr">
        <is>
          <t>payload_documental</t>
        </is>
      </c>
    </row>
    <row r="23" ht="42" customHeight="1">
      <c r="A23" s="145" t="n">
        <v>19</v>
      </c>
      <c r="B23" s="142" t="n">
        <v>54083697000130</v>
      </c>
      <c r="C23" s="75" t="inlineStr">
        <is>
          <t>54.083.697/0001-30</t>
        </is>
      </c>
      <c r="D23" s="75" t="inlineStr">
        <is>
          <t>PERNAMBUCANAS FIDC DE RESPONSABILIDADE LIMITADA</t>
        </is>
      </c>
      <c r="E23" s="75" t="inlineStr">
        <is>
          <t>concluído</t>
        </is>
      </c>
      <c r="F23" s="145" t="n">
        <v>0</v>
      </c>
      <c r="G23" s="75" t="inlineStr">
        <is>
          <t>consultado</t>
        </is>
      </c>
      <c r="H23" s="75" t="inlineStr">
        <is>
          <t>Falha de rede ao acessar pesquisarGerenciadorDocumentosDados: The read operation timed out</t>
        </is>
      </c>
      <c r="I23" s="75" t="inlineStr">
        <is>
          <t>N/D</t>
        </is>
      </c>
      <c r="J23" s="75" t="inlineStr">
        <is>
          <t>não encontrado</t>
        </is>
      </c>
      <c r="K23" s="75" t="inlineStr">
        <is>
          <t>N/D</t>
        </is>
      </c>
      <c r="L23" s="75" t="inlineStr">
        <is>
          <t>N/D</t>
        </is>
      </c>
      <c r="M23" s="75" t="inlineStr">
        <is>
          <t>N/D</t>
        </is>
      </c>
      <c r="N23" s="75" t="inlineStr">
        <is>
          <t>N/D</t>
        </is>
      </c>
      <c r="O23" s="75" t="inlineStr">
        <is>
          <t>N/D</t>
        </is>
      </c>
      <c r="P23" s="75" t="inlineStr">
        <is>
          <t>N/D</t>
        </is>
      </c>
      <c r="Q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R23" s="75" t="inlineStr">
        <is>
          <t>encontrado_explicito</t>
        </is>
      </c>
      <c r="S23" s="75" t="inlineStr">
        <is>
          <t>N/D</t>
        </is>
      </c>
      <c r="T23" s="75" t="inlineStr">
        <is>
          <t>628851</t>
        </is>
      </c>
      <c r="U23" s="75" t="inlineStr">
        <is>
          <t>27/03/2024</t>
        </is>
      </c>
      <c r="V23" s="75" t="inlineStr">
        <is>
          <t>5</t>
        </is>
      </c>
      <c r="W23" s="75" t="inlineStr">
        <is>
          <t>https://fnet.bmfbovespa.com.br/fnet/publico/downloadDocumento?id=628851</t>
        </is>
      </c>
      <c r="X23" s="75" t="inlineStr">
        <is>
          <t>regulamento</t>
        </is>
      </c>
      <c r="Y23" s="75" t="inlineStr">
        <is>
          <t>N/D</t>
        </is>
      </c>
      <c r="Z23" s="75" t="inlineStr">
        <is>
          <t>não encontrado</t>
        </is>
      </c>
      <c r="AA23" s="75" t="inlineStr">
        <is>
          <t>N/D</t>
        </is>
      </c>
      <c r="AB23" s="75" t="inlineStr">
        <is>
          <t>N/D</t>
        </is>
      </c>
      <c r="AC23" s="75" t="inlineStr">
        <is>
          <t>N/D</t>
        </is>
      </c>
      <c r="AD23" s="75" t="inlineStr">
        <is>
          <t>N/D</t>
        </is>
      </c>
      <c r="AE23" s="75" t="inlineStr">
        <is>
          <t>N/D</t>
        </is>
      </c>
      <c r="AF23" s="75" t="inlineStr">
        <is>
          <t>N/D</t>
        </is>
      </c>
      <c r="AG23" s="75" t="inlineStr">
        <is>
          <t>N/D</t>
        </is>
      </c>
      <c r="AH23" s="75" t="inlineStr">
        <is>
          <t>não encontrado</t>
        </is>
      </c>
      <c r="AI23" s="75" t="inlineStr">
        <is>
          <t>N/D</t>
        </is>
      </c>
      <c r="AJ23" s="75" t="inlineStr">
        <is>
          <t>N/D</t>
        </is>
      </c>
      <c r="AK23" s="75" t="inlineStr">
        <is>
          <t>N/D</t>
        </is>
      </c>
      <c r="AL23" s="75" t="inlineStr">
        <is>
          <t>N/D</t>
        </is>
      </c>
      <c r="AM23" s="75" t="inlineStr">
        <is>
          <t>N/D</t>
        </is>
      </c>
      <c r="AN23" s="75" t="inlineStr">
        <is>
          <t>N/D</t>
        </is>
      </c>
      <c r="AO23" s="75" t="inlineStr">
        <is>
          <t>10%</t>
        </is>
      </c>
      <c r="AP23" s="75" t="inlineStr">
        <is>
          <t>aceito_payload</t>
        </is>
      </c>
      <c r="AQ23" s="75" t="inlineStr">
        <is>
          <t>junior_pl</t>
        </is>
      </c>
      <c r="AR23" s="75" t="inlineStr">
        <is>
          <t>640301</t>
        </is>
      </c>
      <c r="AS23" s="75" t="inlineStr">
        <is>
          <t>2024-04-12</t>
        </is>
      </c>
      <c r="AT23" s="75" t="inlineStr">
        <is>
          <t>84</t>
        </is>
      </c>
      <c r="AU23" s="75" t="inlineStr">
        <is>
          <t>https://fnet.bmfbovespa.com.br/fnet/publico/downloadDocumento?id=640301</t>
        </is>
      </c>
      <c r="AV23" s="75" t="inlineStr">
        <is>
          <t>payload_documental</t>
        </is>
      </c>
      <c r="AW23" s="75" t="inlineStr">
        <is>
          <t>10%</t>
        </is>
      </c>
      <c r="AX23" s="75" t="inlineStr">
        <is>
          <t>aceito_payload</t>
        </is>
      </c>
      <c r="AY23" s="75" t="inlineStr">
        <is>
          <t>suporte_total_pl</t>
        </is>
      </c>
      <c r="AZ23" s="75" t="inlineStr">
        <is>
          <t>640301</t>
        </is>
      </c>
      <c r="BA23" s="75" t="inlineStr">
        <is>
          <t>2024-04-12</t>
        </is>
      </c>
      <c r="BB23" s="75" t="inlineStr">
        <is>
          <t>84</t>
        </is>
      </c>
      <c r="BC23" s="75" t="inlineStr">
        <is>
          <t>https://fnet.bmfbovespa.com.br/fnet/publico/downloadDocumento?id=640301</t>
        </is>
      </c>
      <c r="BD23" s="75" t="inlineStr">
        <is>
          <t>payload_documental</t>
        </is>
      </c>
      <c r="BE23" s="75" t="inlineStr">
        <is>
          <t>junior_pl</t>
        </is>
      </c>
      <c r="BF23" s="75" t="inlineStr">
        <is>
          <t>aceito_payload</t>
        </is>
      </c>
      <c r="BG23" s="75" t="inlineStr">
        <is>
          <t>junior_pl</t>
        </is>
      </c>
      <c r="BH23" s="75" t="inlineStr">
        <is>
          <t>640301</t>
        </is>
      </c>
      <c r="BI23" s="75" t="inlineStr">
        <is>
          <t>2024-04-12</t>
        </is>
      </c>
      <c r="BJ23" s="75" t="inlineStr">
        <is>
          <t>84</t>
        </is>
      </c>
      <c r="BK23" s="75" t="inlineStr">
        <is>
          <t>https://fnet.bmfbovespa.com.br/fnet/publico/downloadDocumento?id=640301</t>
        </is>
      </c>
      <c r="BL23" s="75" t="inlineStr">
        <is>
          <t>payload_documental</t>
        </is>
      </c>
    </row>
    <row r="24" ht="42" customHeight="1">
      <c r="A24" s="141" t="n">
        <v>20</v>
      </c>
      <c r="B24" s="138" t="n">
        <v>56936116000191</v>
      </c>
      <c r="C24" s="74" t="inlineStr">
        <is>
          <t>56.936.116/0001-91</t>
        </is>
      </c>
      <c r="D24" s="74" t="inlineStr">
        <is>
          <t>FATOR TARKEN FIAGRO</t>
        </is>
      </c>
      <c r="E24" s="74" t="inlineStr">
        <is>
          <t>concluído</t>
        </is>
      </c>
      <c r="F24" s="141" t="n">
        <v>7</v>
      </c>
      <c r="G24" s="74" t="inlineStr">
        <is>
          <t>consultado</t>
        </is>
      </c>
      <c r="H24" s="74" t="inlineStr">
        <is>
          <t>N/D</t>
        </is>
      </c>
      <c r="I24" s="74" t="inlineStr">
        <is>
          <t>N/D</t>
        </is>
      </c>
      <c r="J24" s="74" t="inlineStr">
        <is>
          <t>não encontrado</t>
        </is>
      </c>
      <c r="K24" s="74" t="inlineStr">
        <is>
          <t>N/D</t>
        </is>
      </c>
      <c r="L24" s="74" t="inlineStr">
        <is>
          <t>N/D</t>
        </is>
      </c>
      <c r="M24" s="74" t="inlineStr">
        <is>
          <t>N/D</t>
        </is>
      </c>
      <c r="N24" s="74" t="inlineStr">
        <is>
          <t>N/D</t>
        </is>
      </c>
      <c r="O24" s="74" t="inlineStr">
        <is>
          <t>N/D</t>
        </is>
      </c>
      <c r="P24" s="74" t="inlineStr">
        <is>
          <t>N/D</t>
        </is>
      </c>
      <c r="Q24" s="74" t="inlineStr">
        <is>
          <t>um titular de Direitos Creditórios , que realiza transferência do referido Direito Creditório ao Fundo</t>
        </is>
      </c>
      <c r="R24" s="74" t="inlineStr">
        <is>
          <t>encontrado_explicito</t>
        </is>
      </c>
      <c r="S24" s="74" t="inlineStr">
        <is>
          <t>N/D</t>
        </is>
      </c>
      <c r="T24" s="74" t="inlineStr">
        <is>
          <t>950915</t>
        </is>
      </c>
      <c r="U24" s="74" t="inlineStr">
        <is>
          <t>22/07/2025</t>
        </is>
      </c>
      <c r="V24" s="74" t="inlineStr">
        <is>
          <t>4</t>
        </is>
      </c>
      <c r="W24" s="74" t="inlineStr">
        <is>
          <t>https://fnet.bmfbovespa.com.br/fnet/publico/downloadDocumento?id=950915</t>
        </is>
      </c>
      <c r="X24" s="74" t="inlineStr">
        <is>
          <t>regulamento</t>
        </is>
      </c>
      <c r="Y24" s="74" t="inlineStr">
        <is>
          <t>os devedores dos Direitos Creditórios</t>
        </is>
      </c>
      <c r="Z24" s="74" t="inlineStr">
        <is>
          <t>encontrado_explicito</t>
        </is>
      </c>
      <c r="AA24" s="74" t="inlineStr">
        <is>
          <t>N/D</t>
        </is>
      </c>
      <c r="AB24" s="74" t="inlineStr">
        <is>
          <t>950915</t>
        </is>
      </c>
      <c r="AC24" s="74" t="inlineStr">
        <is>
          <t>22/07/2025</t>
        </is>
      </c>
      <c r="AD24" s="74" t="inlineStr">
        <is>
          <t>7</t>
        </is>
      </c>
      <c r="AE24" s="74" t="inlineStr">
        <is>
          <t>https://fnet.bmfbovespa.com.br/fnet/publico/downloadDocumento?id=950915</t>
        </is>
      </c>
      <c r="AF24" s="74" t="inlineStr">
        <is>
          <t>regulamento</t>
        </is>
      </c>
      <c r="AG24" s="74" t="inlineStr">
        <is>
          <t>N/D</t>
        </is>
      </c>
      <c r="AH24" s="74" t="inlineStr">
        <is>
          <t>não encontrado</t>
        </is>
      </c>
      <c r="AI24" s="74" t="inlineStr">
        <is>
          <t>N/D</t>
        </is>
      </c>
      <c r="AJ24" s="74" t="inlineStr">
        <is>
          <t>N/D</t>
        </is>
      </c>
      <c r="AK24" s="74" t="inlineStr">
        <is>
          <t>N/D</t>
        </is>
      </c>
      <c r="AL24" s="74" t="inlineStr">
        <is>
          <t>N/D</t>
        </is>
      </c>
      <c r="AM24" s="74" t="inlineStr">
        <is>
          <t>N/D</t>
        </is>
      </c>
      <c r="AN24" s="74" t="inlineStr">
        <is>
          <t>N/D</t>
        </is>
      </c>
      <c r="AO24" s="74" t="inlineStr">
        <is>
          <t>3%</t>
        </is>
      </c>
      <c r="AP24" s="74" t="inlineStr">
        <is>
          <t>aceito_payload</t>
        </is>
      </c>
      <c r="AQ24" s="74" t="inlineStr">
        <is>
          <t>junior_pl</t>
        </is>
      </c>
      <c r="AR24" s="74" t="inlineStr">
        <is>
          <t>1023213</t>
        </is>
      </c>
      <c r="AS24" s="74" t="inlineStr">
        <is>
          <t>2025-10-27</t>
        </is>
      </c>
      <c r="AT24" s="74" t="inlineStr">
        <is>
          <t>61</t>
        </is>
      </c>
      <c r="AU24" s="74" t="inlineStr">
        <is>
          <t>https://fnet.bmfbovespa.com.br/fnet/publico/downloadDocumento?id=1023213</t>
        </is>
      </c>
      <c r="AV24" s="74" t="inlineStr">
        <is>
          <t>payload_documental</t>
        </is>
      </c>
      <c r="AW24" s="74" t="inlineStr">
        <is>
          <t>N/D</t>
        </is>
      </c>
      <c r="AX24" s="74" t="inlineStr">
        <is>
          <t>não encontrado</t>
        </is>
      </c>
      <c r="AY24" s="74" t="inlineStr">
        <is>
          <t>N/D</t>
        </is>
      </c>
      <c r="AZ24" s="74" t="inlineStr">
        <is>
          <t>N/D</t>
        </is>
      </c>
      <c r="BA24" s="74" t="inlineStr">
        <is>
          <t>N/D</t>
        </is>
      </c>
      <c r="BB24" s="74" t="inlineStr">
        <is>
          <t>N/D</t>
        </is>
      </c>
      <c r="BC24" s="74" t="inlineStr">
        <is>
          <t>N/D</t>
        </is>
      </c>
      <c r="BD24" s="74" t="inlineStr">
        <is>
          <t>N/D</t>
        </is>
      </c>
      <c r="BE24" s="74" t="inlineStr">
        <is>
          <t>junior_pl</t>
        </is>
      </c>
      <c r="BF24" s="74" t="inlineStr">
        <is>
          <t>aceito_payload</t>
        </is>
      </c>
      <c r="BG24" s="74" t="inlineStr">
        <is>
          <t>junior_pl</t>
        </is>
      </c>
      <c r="BH24" s="74" t="inlineStr">
        <is>
          <t>1023213</t>
        </is>
      </c>
      <c r="BI24" s="74" t="inlineStr">
        <is>
          <t>2025-10-27</t>
        </is>
      </c>
      <c r="BJ24" s="74" t="inlineStr">
        <is>
          <t>61</t>
        </is>
      </c>
      <c r="BK24" s="74" t="inlineStr">
        <is>
          <t>https://fnet.bmfbovespa.com.br/fnet/publico/downloadDocumento?id=1023213</t>
        </is>
      </c>
      <c r="BL24" s="74" t="inlineStr">
        <is>
          <t>payload_documental</t>
        </is>
      </c>
    </row>
    <row r="25" ht="42" customHeight="1">
      <c r="A25" s="145" t="n">
        <v>21</v>
      </c>
      <c r="B25" s="142" t="n">
        <v>50089559000108</v>
      </c>
      <c r="C25" s="75" t="inlineStr">
        <is>
          <t>50.089.559/0001-08</t>
        </is>
      </c>
      <c r="D25" s="75" t="inlineStr">
        <is>
          <t>AGRICONNECTION FIAGRO</t>
        </is>
      </c>
      <c r="E25" s="75" t="inlineStr">
        <is>
          <t>concluído</t>
        </is>
      </c>
      <c r="F25" s="145" t="n">
        <v>8</v>
      </c>
      <c r="G25" s="75" t="inlineStr">
        <is>
          <t>consultado</t>
        </is>
      </c>
      <c r="H25" s="75" t="inlineStr">
        <is>
          <t>N/D</t>
        </is>
      </c>
      <c r="I25" s="75" t="inlineStr">
        <is>
          <t>N/D</t>
        </is>
      </c>
      <c r="J25" s="75" t="inlineStr">
        <is>
          <t>não encontrado</t>
        </is>
      </c>
      <c r="K25" s="75" t="inlineStr">
        <is>
          <t>N/D</t>
        </is>
      </c>
      <c r="L25" s="75" t="inlineStr">
        <is>
          <t>N/D</t>
        </is>
      </c>
      <c r="M25" s="75" t="inlineStr">
        <is>
          <t>N/D</t>
        </is>
      </c>
      <c r="N25" s="75" t="inlineStr">
        <is>
          <t>N/D</t>
        </is>
      </c>
      <c r="O25" s="75" t="inlineStr">
        <is>
          <t>N/D</t>
        </is>
      </c>
      <c r="P25" s="75" t="inlineStr">
        <is>
          <t>N/D</t>
        </is>
      </c>
      <c r="Q25" s="75" t="inlineStr">
        <is>
          <t>a Agriconnection e, as Empresas do Grupo Econômico da Agriconnection, os Cedentes Parceiros A e os Cedentes Parceiros B quando mencionados em conjunto</t>
        </is>
      </c>
      <c r="R25" s="75" t="inlineStr">
        <is>
          <t>encontrado_explicito</t>
        </is>
      </c>
      <c r="S25" s="75" t="inlineStr">
        <is>
          <t>N/D</t>
        </is>
      </c>
      <c r="T25" s="75" t="inlineStr">
        <is>
          <t>882388</t>
        </is>
      </c>
      <c r="U25" s="75" t="inlineStr">
        <is>
          <t>03/02/2025</t>
        </is>
      </c>
      <c r="V25" s="75" t="inlineStr">
        <is>
          <t>5</t>
        </is>
      </c>
      <c r="W25" s="75" t="inlineStr">
        <is>
          <t>https://fnet.bmfbovespa.com.br/fnet/publico/downloadDocumento?id=882388</t>
        </is>
      </c>
      <c r="X25" s="75" t="inlineStr">
        <is>
          <t>rating_report</t>
        </is>
      </c>
      <c r="Y25" s="75" t="inlineStr">
        <is>
          <t>os devedores dos Direitos Creditórios, os quais são clientes de uma das Cedentes</t>
        </is>
      </c>
      <c r="Z25" s="75" t="inlineStr">
        <is>
          <t>encontrado_explicito</t>
        </is>
      </c>
      <c r="AA25" s="75" t="inlineStr">
        <is>
          <t>N/D</t>
        </is>
      </c>
      <c r="AB25" s="75" t="inlineStr">
        <is>
          <t>999633</t>
        </is>
      </c>
      <c r="AC25" s="75" t="inlineStr">
        <is>
          <t>26/09/2025</t>
        </is>
      </c>
      <c r="AD25" s="75" t="inlineStr">
        <is>
          <t>47</t>
        </is>
      </c>
      <c r="AE25" s="75" t="inlineStr">
        <is>
          <t>https://fnet.bmfbovespa.com.br/fnet/publico/downloadDocumento?id=999633</t>
        </is>
      </c>
      <c r="AF25" s="75" t="inlineStr">
        <is>
          <t>regulamento</t>
        </is>
      </c>
      <c r="AG25" s="75" t="inlineStr">
        <is>
          <t>Insumos Agrícolas - prazo Safra</t>
        </is>
      </c>
      <c r="AH25" s="75" t="inlineStr">
        <is>
          <t>aceito_payload</t>
        </is>
      </c>
      <c r="AI25" s="75" t="inlineStr">
        <is>
          <t>N/D</t>
        </is>
      </c>
      <c r="AJ25" s="75" t="inlineStr">
        <is>
          <t>IMG_8704.JPG</t>
        </is>
      </c>
      <c r="AK25" s="75" t="inlineStr">
        <is>
          <t>2025-09-26</t>
        </is>
      </c>
      <c r="AL25" s="75" t="inlineStr">
        <is>
          <t>52</t>
        </is>
      </c>
      <c r="AM25" s="75" t="inlineStr">
        <is>
          <t>N/D</t>
        </is>
      </c>
      <c r="AN25" s="75" t="inlineStr">
        <is>
          <t>planilha_manual</t>
        </is>
      </c>
      <c r="AO25" s="75" t="inlineStr">
        <is>
          <t>15%</t>
        </is>
      </c>
      <c r="AP25" s="75" t="inlineStr">
        <is>
          <t>aceito_payload</t>
        </is>
      </c>
      <c r="AQ25" s="75" t="inlineStr">
        <is>
          <t>junior_pl</t>
        </is>
      </c>
      <c r="AR25" s="75" t="inlineStr">
        <is>
          <t>999633</t>
        </is>
      </c>
      <c r="AS25" s="75" t="inlineStr">
        <is>
          <t>2025-09-26</t>
        </is>
      </c>
      <c r="AT25" s="75" t="inlineStr">
        <is>
          <t>52</t>
        </is>
      </c>
      <c r="AU25" s="75" t="inlineStr">
        <is>
          <t>https://fnet.bmfbovespa.com.br/fnet/publico/downloadDocumento?id=999633</t>
        </is>
      </c>
      <c r="AV25" s="75" t="inlineStr">
        <is>
          <t>payload_documental</t>
        </is>
      </c>
      <c r="AW25" s="75" t="inlineStr">
        <is>
          <t>N/D</t>
        </is>
      </c>
      <c r="AX25" s="75" t="inlineStr">
        <is>
          <t>não encontrado</t>
        </is>
      </c>
      <c r="AY25" s="75" t="inlineStr">
        <is>
          <t>N/D</t>
        </is>
      </c>
      <c r="AZ25" s="75" t="inlineStr">
        <is>
          <t>N/D</t>
        </is>
      </c>
      <c r="BA25" s="75" t="inlineStr">
        <is>
          <t>N/D</t>
        </is>
      </c>
      <c r="BB25" s="75" t="inlineStr">
        <is>
          <t>N/D</t>
        </is>
      </c>
      <c r="BC25" s="75" t="inlineStr">
        <is>
          <t>N/D</t>
        </is>
      </c>
      <c r="BD25" s="75" t="inlineStr">
        <is>
          <t>N/D</t>
        </is>
      </c>
      <c r="BE25" s="75" t="inlineStr">
        <is>
          <t>junior_pl</t>
        </is>
      </c>
      <c r="BF25" s="75" t="inlineStr">
        <is>
          <t>aceito_payload</t>
        </is>
      </c>
      <c r="BG25" s="75" t="inlineStr">
        <is>
          <t>junior_pl</t>
        </is>
      </c>
      <c r="BH25" s="75" t="inlineStr">
        <is>
          <t>999633</t>
        </is>
      </c>
      <c r="BI25" s="75" t="inlineStr">
        <is>
          <t>2025-09-26</t>
        </is>
      </c>
      <c r="BJ25" s="75" t="inlineStr">
        <is>
          <t>52</t>
        </is>
      </c>
      <c r="BK25" s="75" t="inlineStr">
        <is>
          <t>https://fnet.bmfbovespa.com.br/fnet/publico/downloadDocumento?id=999633</t>
        </is>
      </c>
      <c r="BL25" s="75" t="inlineStr">
        <is>
          <t>payload_documental</t>
        </is>
      </c>
    </row>
    <row r="26" ht="42" customHeight="1">
      <c r="A26" s="141" t="n">
        <v>22</v>
      </c>
      <c r="B26" s="138" t="n">
        <v>57131490000182</v>
      </c>
      <c r="C26" s="74" t="inlineStr">
        <is>
          <t>57.131.490/0001-82</t>
        </is>
      </c>
      <c r="D26" s="74" t="inlineStr">
        <is>
          <t>PONTO RURAL FIAGRO RESPONSABILIDADE LIMITADA</t>
        </is>
      </c>
      <c r="E26" s="74" t="inlineStr">
        <is>
          <t>concluído</t>
        </is>
      </c>
      <c r="F26" s="141" t="n">
        <v>5</v>
      </c>
      <c r="G26" s="74" t="inlineStr">
        <is>
          <t>consultado</t>
        </is>
      </c>
      <c r="H26" s="74" t="inlineStr">
        <is>
          <t>N/D</t>
        </is>
      </c>
      <c r="I26" s="74" t="inlineStr">
        <is>
          <t>N/D</t>
        </is>
      </c>
      <c r="J26" s="74" t="inlineStr">
        <is>
          <t>não encontrado</t>
        </is>
      </c>
      <c r="K26" s="74" t="inlineStr">
        <is>
          <t>N/D</t>
        </is>
      </c>
      <c r="L26" s="74" t="inlineStr">
        <is>
          <t>N/D</t>
        </is>
      </c>
      <c r="M26" s="74" t="inlineStr">
        <is>
          <t>N/D</t>
        </is>
      </c>
      <c r="N26" s="74" t="inlineStr">
        <is>
          <t>N/D</t>
        </is>
      </c>
      <c r="O26" s="74" t="inlineStr">
        <is>
          <t>N/D</t>
        </is>
      </c>
      <c r="P26" s="74" t="inlineStr">
        <is>
          <t>N/D</t>
        </is>
      </c>
      <c r="Q26" s="74" t="inlineStr">
        <is>
          <t>a Ponto Rural e as Empresas do Grupo Econômico da Ponto Rural, quando mencionadas em conjunto</t>
        </is>
      </c>
      <c r="R26" s="74" t="inlineStr">
        <is>
          <t>encontrado_explicito</t>
        </is>
      </c>
      <c r="S26" s="74" t="inlineStr">
        <is>
          <t>N/D</t>
        </is>
      </c>
      <c r="T26" s="74" t="inlineStr">
        <is>
          <t>995970</t>
        </is>
      </c>
      <c r="U26" s="74" t="inlineStr">
        <is>
          <t>23/09/2025</t>
        </is>
      </c>
      <c r="V26" s="74" t="inlineStr">
        <is>
          <t>4</t>
        </is>
      </c>
      <c r="W26" s="74" t="inlineStr">
        <is>
          <t>https://fnet.bmfbovespa.com.br/fnet/publico/downloadDocumento?id=995970</t>
        </is>
      </c>
      <c r="X26" s="74" t="inlineStr">
        <is>
          <t>regulamento</t>
        </is>
      </c>
      <c r="Y26" s="74" t="inlineStr">
        <is>
          <t>os devedores dos Direitos Creditórios , os quais são clientes de uma das Cedentes</t>
        </is>
      </c>
      <c r="Z26" s="74" t="inlineStr">
        <is>
          <t>encontrado_explicito</t>
        </is>
      </c>
      <c r="AA26" s="74" t="inlineStr">
        <is>
          <t>N/D</t>
        </is>
      </c>
      <c r="AB26" s="74" t="inlineStr">
        <is>
          <t>995970</t>
        </is>
      </c>
      <c r="AC26" s="74" t="inlineStr">
        <is>
          <t>23/09/2025</t>
        </is>
      </c>
      <c r="AD26" s="74" t="inlineStr">
        <is>
          <t>6</t>
        </is>
      </c>
      <c r="AE26" s="74" t="inlineStr">
        <is>
          <t>https://fnet.bmfbovespa.com.br/fnet/publico/downloadDocumento?id=995970</t>
        </is>
      </c>
      <c r="AF26" s="74" t="inlineStr">
        <is>
          <t>regulamento</t>
        </is>
      </c>
      <c r="AG26" s="74" t="inlineStr">
        <is>
          <t>Insumos Agrícolas - prazo Safra</t>
        </is>
      </c>
      <c r="AH26" s="74" t="inlineStr">
        <is>
          <t>aceito_payload</t>
        </is>
      </c>
      <c r="AI26" s="74" t="inlineStr">
        <is>
          <t>N/D</t>
        </is>
      </c>
      <c r="AJ26" s="74" t="inlineStr">
        <is>
          <t>IMG_8704.JPG</t>
        </is>
      </c>
      <c r="AK26" s="74" t="inlineStr">
        <is>
          <t>2025-09-23</t>
        </is>
      </c>
      <c r="AL26" s="74" t="inlineStr">
        <is>
          <t>39</t>
        </is>
      </c>
      <c r="AM26" s="74" t="inlineStr">
        <is>
          <t>N/D</t>
        </is>
      </c>
      <c r="AN26" s="74" t="inlineStr">
        <is>
          <t>planilha_manual</t>
        </is>
      </c>
      <c r="AO26" s="74" t="inlineStr">
        <is>
          <t>N/D</t>
        </is>
      </c>
      <c r="AP26" s="74" t="inlineStr">
        <is>
          <t>não encontrado</t>
        </is>
      </c>
      <c r="AQ26" s="74" t="inlineStr">
        <is>
          <t>N/D</t>
        </is>
      </c>
      <c r="AR26" s="74" t="inlineStr">
        <is>
          <t>N/D</t>
        </is>
      </c>
      <c r="AS26" s="74" t="inlineStr">
        <is>
          <t>N/D</t>
        </is>
      </c>
      <c r="AT26" s="74" t="inlineStr">
        <is>
          <t>N/D</t>
        </is>
      </c>
      <c r="AU26" s="74" t="inlineStr">
        <is>
          <t>N/D</t>
        </is>
      </c>
      <c r="AV26" s="74" t="inlineStr">
        <is>
          <t>N/D</t>
        </is>
      </c>
      <c r="AW26" s="74" t="inlineStr">
        <is>
          <t>50%</t>
        </is>
      </c>
      <c r="AX26" s="74" t="inlineStr">
        <is>
          <t>aceito_payload</t>
        </is>
      </c>
      <c r="AY26" s="74" t="inlineStr">
        <is>
          <t>suporte_total_pl</t>
        </is>
      </c>
      <c r="AZ26" s="74" t="inlineStr">
        <is>
          <t>995970</t>
        </is>
      </c>
      <c r="BA26" s="74" t="inlineStr">
        <is>
          <t>2025-09-23</t>
        </is>
      </c>
      <c r="BB26" s="74" t="inlineStr">
        <is>
          <t>39</t>
        </is>
      </c>
      <c r="BC26" s="74" t="inlineStr">
        <is>
          <t>https://fnet.bmfbovespa.com.br/fnet/publico/downloadDocumento?id=995970</t>
        </is>
      </c>
      <c r="BD26" s="74" t="inlineStr">
        <is>
          <t>payload_documental</t>
        </is>
      </c>
      <c r="BE26" s="74" t="inlineStr">
        <is>
          <t>suporte_total_pl</t>
        </is>
      </c>
      <c r="BF26" s="74" t="inlineStr">
        <is>
          <t>aceito_payload</t>
        </is>
      </c>
      <c r="BG26" s="74" t="inlineStr">
        <is>
          <t>suporte_total_pl</t>
        </is>
      </c>
      <c r="BH26" s="74" t="inlineStr">
        <is>
          <t>995970</t>
        </is>
      </c>
      <c r="BI26" s="74" t="inlineStr">
        <is>
          <t>2025-09-23</t>
        </is>
      </c>
      <c r="BJ26" s="74" t="inlineStr">
        <is>
          <t>39</t>
        </is>
      </c>
      <c r="BK26" s="74" t="inlineStr">
        <is>
          <t>https://fnet.bmfbovespa.com.br/fnet/publico/downloadDocumento?id=995970</t>
        </is>
      </c>
      <c r="BL26" s="74" t="inlineStr">
        <is>
          <t>payload_documental</t>
        </is>
      </c>
    </row>
    <row r="27" ht="42" customHeight="1">
      <c r="A27" s="145" t="n">
        <v>23</v>
      </c>
      <c r="B27" s="142" t="n">
        <v>47151680000108</v>
      </c>
      <c r="C27" s="75" t="inlineStr">
        <is>
          <t>47.151.680/0001-08</t>
        </is>
      </c>
      <c r="D27" s="75" t="inlineStr">
        <is>
          <t>FARM TECH IBBA I FUNDO DE INVESTIMENTO EM DIREITOS CREDITÓRIOS RESPONSABILIDADE LIMITADA</t>
        </is>
      </c>
      <c r="E27" s="75" t="inlineStr">
        <is>
          <t>concluído</t>
        </is>
      </c>
      <c r="F27" s="145" t="n">
        <v>0</v>
      </c>
      <c r="G27" s="75" t="inlineStr">
        <is>
          <t>consultado</t>
        </is>
      </c>
      <c r="H27" s="75" t="inlineStr">
        <is>
          <t>Falha de rede ao acessar pesquisarGerenciadorDocumentosDados: The read operation timed out</t>
        </is>
      </c>
      <c r="I27" s="75" t="inlineStr">
        <is>
          <t>N/D</t>
        </is>
      </c>
      <c r="J27" s="75" t="inlineStr">
        <is>
          <t>não encontrado</t>
        </is>
      </c>
      <c r="K27" s="75" t="inlineStr">
        <is>
          <t>N/D</t>
        </is>
      </c>
      <c r="L27" s="75" t="inlineStr">
        <is>
          <t>N/D</t>
        </is>
      </c>
      <c r="M27" s="75" t="inlineStr">
        <is>
          <t>N/D</t>
        </is>
      </c>
      <c r="N27" s="75" t="inlineStr">
        <is>
          <t>N/D</t>
        </is>
      </c>
      <c r="O27" s="75" t="inlineStr">
        <is>
          <t>N/D</t>
        </is>
      </c>
      <c r="P27" s="75" t="inlineStr">
        <is>
          <t>N/D</t>
        </is>
      </c>
      <c r="Q27" s="75" t="inlineStr">
        <is>
          <t>Multicedentes</t>
        </is>
      </c>
      <c r="R27" s="75" t="inlineStr">
        <is>
          <t>aceito_payload</t>
        </is>
      </c>
      <c r="S27" s="75" t="inlineStr">
        <is>
          <t>N/D</t>
        </is>
      </c>
      <c r="T27" s="75" t="inlineStr">
        <is>
          <t>IMG_8704.JPG</t>
        </is>
      </c>
      <c r="U27" s="75" t="inlineStr">
        <is>
          <t>2025-07-22</t>
        </is>
      </c>
      <c r="V27" s="75" t="inlineStr">
        <is>
          <t>6</t>
        </is>
      </c>
      <c r="W27" s="75" t="inlineStr">
        <is>
          <t>N/D</t>
        </is>
      </c>
      <c r="X27" s="75" t="inlineStr">
        <is>
          <t>planilha_manual</t>
        </is>
      </c>
      <c r="Y27" s="75" t="inlineStr">
        <is>
          <t>N/D</t>
        </is>
      </c>
      <c r="Z27" s="75" t="inlineStr">
        <is>
          <t>não encontrado</t>
        </is>
      </c>
      <c r="AA27" s="75" t="inlineStr">
        <is>
          <t>N/D</t>
        </is>
      </c>
      <c r="AB27" s="75" t="inlineStr">
        <is>
          <t>N/D</t>
        </is>
      </c>
      <c r="AC27" s="75" t="inlineStr">
        <is>
          <t>N/D</t>
        </is>
      </c>
      <c r="AD27" s="75" t="inlineStr">
        <is>
          <t>N/D</t>
        </is>
      </c>
      <c r="AE27" s="75" t="inlineStr">
        <is>
          <t>N/D</t>
        </is>
      </c>
      <c r="AF27" s="75" t="inlineStr">
        <is>
          <t>N/D</t>
        </is>
      </c>
      <c r="AG27" s="75" t="inlineStr">
        <is>
          <t>N/D</t>
        </is>
      </c>
      <c r="AH27" s="75" t="inlineStr">
        <is>
          <t>não encontrado</t>
        </is>
      </c>
      <c r="AI27" s="75" t="inlineStr">
        <is>
          <t>N/D</t>
        </is>
      </c>
      <c r="AJ27" s="75" t="inlineStr">
        <is>
          <t>N/D</t>
        </is>
      </c>
      <c r="AK27" s="75" t="inlineStr">
        <is>
          <t>N/D</t>
        </is>
      </c>
      <c r="AL27" s="75" t="inlineStr">
        <is>
          <t>N/D</t>
        </is>
      </c>
      <c r="AM27" s="75" t="inlineStr">
        <is>
          <t>N/D</t>
        </is>
      </c>
      <c r="AN27" s="75" t="inlineStr">
        <is>
          <t>N/D</t>
        </is>
      </c>
      <c r="AO27" s="75" t="inlineStr">
        <is>
          <t>N/D</t>
        </is>
      </c>
      <c r="AP27" s="75" t="inlineStr">
        <is>
          <t>não encontrado</t>
        </is>
      </c>
      <c r="AQ27" s="75" t="inlineStr">
        <is>
          <t>N/D</t>
        </is>
      </c>
      <c r="AR27" s="75" t="inlineStr">
        <is>
          <t>N/D</t>
        </is>
      </c>
      <c r="AS27" s="75" t="inlineStr">
        <is>
          <t>N/D</t>
        </is>
      </c>
      <c r="AT27" s="75" t="inlineStr">
        <is>
          <t>N/D</t>
        </is>
      </c>
      <c r="AU27" s="75" t="inlineStr">
        <is>
          <t>N/D</t>
        </is>
      </c>
      <c r="AV27" s="75" t="inlineStr">
        <is>
          <t>N/D</t>
        </is>
      </c>
      <c r="AW27" s="75" t="inlineStr">
        <is>
          <t>20%</t>
        </is>
      </c>
      <c r="AX27" s="75" t="inlineStr">
        <is>
          <t>aceito_payload</t>
        </is>
      </c>
      <c r="AY27" s="75" t="inlineStr">
        <is>
          <t>suporte_total_pl</t>
        </is>
      </c>
      <c r="AZ27" s="75" t="inlineStr">
        <is>
          <t>993922</t>
        </is>
      </c>
      <c r="BA27" s="75" t="inlineStr">
        <is>
          <t>2025-07-22</t>
        </is>
      </c>
      <c r="BB27" s="75" t="inlineStr">
        <is>
          <t>6</t>
        </is>
      </c>
      <c r="BC27" s="75" t="inlineStr">
        <is>
          <t>https://fnet.bmfbovespa.com.br/fnet/publico/downloadDocumento?id=993922</t>
        </is>
      </c>
      <c r="BD27" s="75" t="inlineStr">
        <is>
          <t>payload_documental</t>
        </is>
      </c>
      <c r="BE27" s="75" t="inlineStr">
        <is>
          <t>suporte_total_pl</t>
        </is>
      </c>
      <c r="BF27" s="75" t="inlineStr">
        <is>
          <t>aceito_payload</t>
        </is>
      </c>
      <c r="BG27" s="75" t="inlineStr">
        <is>
          <t>suporte_total_pl</t>
        </is>
      </c>
      <c r="BH27" s="75" t="inlineStr">
        <is>
          <t>993922</t>
        </is>
      </c>
      <c r="BI27" s="75" t="inlineStr">
        <is>
          <t>2025-07-22</t>
        </is>
      </c>
      <c r="BJ27" s="75" t="inlineStr">
        <is>
          <t>6</t>
        </is>
      </c>
      <c r="BK27" s="75" t="inlineStr">
        <is>
          <t>https://fnet.bmfbovespa.com.br/fnet/publico/downloadDocumento?id=993922</t>
        </is>
      </c>
      <c r="BL27" s="75" t="inlineStr">
        <is>
          <t>payload_documental</t>
        </is>
      </c>
    </row>
    <row r="28" ht="42" customHeight="1">
      <c r="A28" s="141" t="n">
        <v>24</v>
      </c>
      <c r="B28" s="138" t="n">
        <v>43309233000183</v>
      </c>
      <c r="C28" s="74" t="inlineStr">
        <is>
          <t>43.309.233/0001-83</t>
        </is>
      </c>
      <c r="D28" s="74" t="inlineStr">
        <is>
          <t>FUNDO DE INVESTIMENTO EM DIREITOS CREDITÓRIOS LIVERPOOL RESPONSABILIDADE LIMITADA</t>
        </is>
      </c>
      <c r="E28" s="74" t="inlineStr">
        <is>
          <t>concluído</t>
        </is>
      </c>
      <c r="F28" s="141" t="n">
        <v>4</v>
      </c>
      <c r="G28" s="74" t="inlineStr">
        <is>
          <t>consultado</t>
        </is>
      </c>
      <c r="H28" s="74" t="inlineStr">
        <is>
          <t>N/D</t>
        </is>
      </c>
      <c r="I28" s="74" t="inlineStr">
        <is>
          <t>a Adama e/ou qualquer outro originador indicado pelo Gestor e aprovado pela Assembleia de Cotistas na forma do presente Regulamento</t>
        </is>
      </c>
      <c r="J28" s="74" t="inlineStr">
        <is>
          <t>encontrado_explicito</t>
        </is>
      </c>
      <c r="K28" s="74" t="inlineStr">
        <is>
          <t>N/D</t>
        </is>
      </c>
      <c r="L28" s="74" t="inlineStr">
        <is>
          <t>943032</t>
        </is>
      </c>
      <c r="M28" s="74" t="inlineStr">
        <is>
          <t>09/07/2025</t>
        </is>
      </c>
      <c r="N28" s="74" t="inlineStr">
        <is>
          <t>27</t>
        </is>
      </c>
      <c r="O28" s="74" t="inlineStr">
        <is>
          <t>https://fnet.bmfbovespa.com.br/fnet/publico/downloadDocumento?id=943032</t>
        </is>
      </c>
      <c r="P28" s="74" t="inlineStr">
        <is>
          <t>regulamento</t>
        </is>
      </c>
      <c r="Q28" s="74" t="inlineStr">
        <is>
          <t>(i) a Adama, cujas cessões não contarão com coobrigação</t>
        </is>
      </c>
      <c r="R28" s="74" t="inlineStr">
        <is>
          <t>encontrado_explicito</t>
        </is>
      </c>
      <c r="S28" s="74" t="inlineStr">
        <is>
          <t>N/D</t>
        </is>
      </c>
      <c r="T28" s="74" t="inlineStr">
        <is>
          <t>943032</t>
        </is>
      </c>
      <c r="U28" s="74" t="inlineStr">
        <is>
          <t>09/07/2025</t>
        </is>
      </c>
      <c r="V28" s="74" t="inlineStr">
        <is>
          <t>9</t>
        </is>
      </c>
      <c r="W28" s="74" t="inlineStr">
        <is>
          <t>https://fnet.bmfbovespa.com.br/fnet/publico/downloadDocumento?id=943032</t>
        </is>
      </c>
      <c r="X28" s="74" t="inlineStr">
        <is>
          <t>regulamento</t>
        </is>
      </c>
      <c r="Y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Z28" s="74" t="inlineStr">
        <is>
          <t>encontrado_explicito</t>
        </is>
      </c>
      <c r="AA28" s="74" t="inlineStr">
        <is>
          <t>N/D</t>
        </is>
      </c>
      <c r="AB28" s="74" t="inlineStr">
        <is>
          <t>943032</t>
        </is>
      </c>
      <c r="AC28" s="74" t="inlineStr">
        <is>
          <t>09/07/2025</t>
        </is>
      </c>
      <c r="AD28" s="74" t="inlineStr">
        <is>
          <t>17</t>
        </is>
      </c>
      <c r="AE28" s="74" t="inlineStr">
        <is>
          <t>https://fnet.bmfbovespa.com.br/fnet/publico/downloadDocumento?id=943032</t>
        </is>
      </c>
      <c r="AF28" s="74" t="inlineStr">
        <is>
          <t>regulamento</t>
        </is>
      </c>
      <c r="AG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AH28" s="74" t="inlineStr">
        <is>
          <t>encontrado_explicito</t>
        </is>
      </c>
      <c r="AI28" s="74" t="inlineStr">
        <is>
          <t>N/D</t>
        </is>
      </c>
      <c r="AJ28" s="74" t="inlineStr">
        <is>
          <t>943032</t>
        </is>
      </c>
      <c r="AK28" s="74" t="inlineStr">
        <is>
          <t>09/07/2025</t>
        </is>
      </c>
      <c r="AL28" s="74" t="inlineStr">
        <is>
          <t>19</t>
        </is>
      </c>
      <c r="AM28" s="74" t="inlineStr">
        <is>
          <t>https://fnet.bmfbovespa.com.br/fnet/publico/downloadDocumento?id=943032</t>
        </is>
      </c>
      <c r="AN28" s="74" t="inlineStr">
        <is>
          <t>regulamento</t>
        </is>
      </c>
      <c r="AO28" s="74" t="inlineStr">
        <is>
          <t>N/D</t>
        </is>
      </c>
      <c r="AP28" s="74" t="inlineStr">
        <is>
          <t>não encontrado</t>
        </is>
      </c>
      <c r="AQ28" s="74" t="inlineStr">
        <is>
          <t>N/D</t>
        </is>
      </c>
      <c r="AR28" s="74" t="inlineStr">
        <is>
          <t>N/D</t>
        </is>
      </c>
      <c r="AS28" s="74" t="inlineStr">
        <is>
          <t>N/D</t>
        </is>
      </c>
      <c r="AT28" s="74" t="inlineStr">
        <is>
          <t>N/D</t>
        </is>
      </c>
      <c r="AU28" s="74" t="inlineStr">
        <is>
          <t>N/D</t>
        </is>
      </c>
      <c r="AV28" s="74" t="inlineStr">
        <is>
          <t>N/D</t>
        </is>
      </c>
      <c r="AW28" s="74" t="inlineStr">
        <is>
          <t>15%</t>
        </is>
      </c>
      <c r="AX28" s="74" t="inlineStr">
        <is>
          <t>aceito_payload</t>
        </is>
      </c>
      <c r="AY28" s="74" t="inlineStr">
        <is>
          <t>suporte_total_pl</t>
        </is>
      </c>
      <c r="AZ28" s="74" t="inlineStr">
        <is>
          <t>943032</t>
        </is>
      </c>
      <c r="BA28" s="74" t="inlineStr">
        <is>
          <t>2025-07-09</t>
        </is>
      </c>
      <c r="BB28" s="74" t="inlineStr">
        <is>
          <t>30</t>
        </is>
      </c>
      <c r="BC28" s="74" t="inlineStr">
        <is>
          <t>https://fnet.bmfbovespa.com.br/fnet/publico/downloadDocumento?id=943032</t>
        </is>
      </c>
      <c r="BD28" s="74" t="inlineStr">
        <is>
          <t>payload_documental</t>
        </is>
      </c>
      <c r="BE28" s="74" t="inlineStr">
        <is>
          <t>suporte_total_pl</t>
        </is>
      </c>
      <c r="BF28" s="74" t="inlineStr">
        <is>
          <t>aceito_payload</t>
        </is>
      </c>
      <c r="BG28" s="74" t="inlineStr">
        <is>
          <t>suporte_total_pl</t>
        </is>
      </c>
      <c r="BH28" s="74" t="inlineStr">
        <is>
          <t>943032</t>
        </is>
      </c>
      <c r="BI28" s="74" t="inlineStr">
        <is>
          <t>2025-07-09</t>
        </is>
      </c>
      <c r="BJ28" s="74" t="inlineStr">
        <is>
          <t>30</t>
        </is>
      </c>
      <c r="BK28" s="74" t="inlineStr">
        <is>
          <t>https://fnet.bmfbovespa.com.br/fnet/publico/downloadDocumento?id=943032</t>
        </is>
      </c>
      <c r="BL28" s="74" t="inlineStr">
        <is>
          <t>payload_documental</t>
        </is>
      </c>
    </row>
    <row r="29" ht="42" customHeight="1">
      <c r="A29" s="145" t="n">
        <v>25</v>
      </c>
      <c r="B29" s="142" t="n">
        <v>43616659000180</v>
      </c>
      <c r="C29" s="75" t="inlineStr">
        <is>
          <t>43.616.659/0001-80</t>
        </is>
      </c>
      <c r="D29" s="75" t="inlineStr">
        <is>
          <t>TALÓ 1 FUNDO DE INVESTIMENTO EM DIREITOS CREDITÓRIOS RESPONSABILIDADE LIMITADA</t>
        </is>
      </c>
      <c r="E29" s="75" t="inlineStr">
        <is>
          <t>concluído</t>
        </is>
      </c>
      <c r="F29" s="145" t="n">
        <v>6</v>
      </c>
      <c r="G29" s="75" t="inlineStr">
        <is>
          <t>consultado</t>
        </is>
      </c>
      <c r="H29" s="75" t="inlineStr">
        <is>
          <t>N/D</t>
        </is>
      </c>
      <c r="I29" s="75" t="inlineStr">
        <is>
          <t>Yara Fertilizantes/Yara</t>
        </is>
      </c>
      <c r="J29" s="75" t="inlineStr">
        <is>
          <t>encontrado_explicito</t>
        </is>
      </c>
      <c r="K29" s="75" t="inlineStr">
        <is>
          <t>rótulo explícito de participante v2</t>
        </is>
      </c>
      <c r="L29" s="75" t="inlineStr">
        <is>
          <t>851085</t>
        </is>
      </c>
      <c r="M29" s="75" t="inlineStr">
        <is>
          <t>27/02/2025</t>
        </is>
      </c>
      <c r="N29" s="75" t="inlineStr">
        <is>
          <t>1</t>
        </is>
      </c>
      <c r="O29" s="75" t="inlineStr">
        <is>
          <t>https://fnet.bmfbovespa.com.br/fnet/publico/downloadDocumento?id=851085</t>
        </is>
      </c>
      <c r="P29" s="75" t="inlineStr">
        <is>
          <t>rating_report</t>
        </is>
      </c>
      <c r="Q29" s="75" t="inlineStr">
        <is>
          <t>(i) a Yara, cujas cessões não contarão com coobrigação</t>
        </is>
      </c>
      <c r="R29" s="75" t="inlineStr">
        <is>
          <t>encontrado_explicito</t>
        </is>
      </c>
      <c r="S29" s="75" t="inlineStr">
        <is>
          <t>N/D</t>
        </is>
      </c>
      <c r="T29" s="75" t="inlineStr">
        <is>
          <t>400836</t>
        </is>
      </c>
      <c r="U29" s="75" t="inlineStr">
        <is>
          <t>10/01/2023</t>
        </is>
      </c>
      <c r="V29" s="75" t="inlineStr">
        <is>
          <t>7</t>
        </is>
      </c>
      <c r="W29" s="75" t="inlineStr">
        <is>
          <t>https://fnet.bmfbovespa.com.br/fnet/publico/downloadDocumento?id=400836</t>
        </is>
      </c>
      <c r="X29" s="75" t="inlineStr">
        <is>
          <t>regulamento</t>
        </is>
      </c>
      <c r="Y29" s="75" t="inlineStr">
        <is>
          <t>N/D</t>
        </is>
      </c>
      <c r="Z29" s="75" t="inlineStr">
        <is>
          <t>não encontrado</t>
        </is>
      </c>
      <c r="AA29" s="75" t="inlineStr">
        <is>
          <t>N/D</t>
        </is>
      </c>
      <c r="AB29" s="75" t="inlineStr">
        <is>
          <t>N/D</t>
        </is>
      </c>
      <c r="AC29" s="75" t="inlineStr">
        <is>
          <t>N/D</t>
        </is>
      </c>
      <c r="AD29" s="75" t="inlineStr">
        <is>
          <t>N/D</t>
        </is>
      </c>
      <c r="AE29" s="75" t="inlineStr">
        <is>
          <t>N/D</t>
        </is>
      </c>
      <c r="AF29" s="75" t="inlineStr">
        <is>
          <t>N/D</t>
        </is>
      </c>
      <c r="AG29" s="75" t="inlineStr">
        <is>
          <t>N/D</t>
        </is>
      </c>
      <c r="AH29" s="75" t="inlineStr">
        <is>
          <t>não encontrado</t>
        </is>
      </c>
      <c r="AI29" s="75" t="inlineStr">
        <is>
          <t>N/D</t>
        </is>
      </c>
      <c r="AJ29" s="75" t="inlineStr">
        <is>
          <t>N/D</t>
        </is>
      </c>
      <c r="AK29" s="75" t="inlineStr">
        <is>
          <t>N/D</t>
        </is>
      </c>
      <c r="AL29" s="75" t="inlineStr">
        <is>
          <t>N/D</t>
        </is>
      </c>
      <c r="AM29" s="75" t="inlineStr">
        <is>
          <t>N/D</t>
        </is>
      </c>
      <c r="AN29" s="75" t="inlineStr">
        <is>
          <t>N/D</t>
        </is>
      </c>
      <c r="AO29" s="75" t="inlineStr">
        <is>
          <t>N/D</t>
        </is>
      </c>
      <c r="AP29" s="75" t="inlineStr">
        <is>
          <t>não encontrado</t>
        </is>
      </c>
      <c r="AQ29" s="75" t="inlineStr">
        <is>
          <t>N/D</t>
        </is>
      </c>
      <c r="AR29" s="75" t="inlineStr">
        <is>
          <t>N/D</t>
        </is>
      </c>
      <c r="AS29" s="75" t="inlineStr">
        <is>
          <t>N/D</t>
        </is>
      </c>
      <c r="AT29" s="75" t="inlineStr">
        <is>
          <t>N/D</t>
        </is>
      </c>
      <c r="AU29" s="75" t="inlineStr">
        <is>
          <t>N/D</t>
        </is>
      </c>
      <c r="AV29" s="75" t="inlineStr">
        <is>
          <t>N/D</t>
        </is>
      </c>
      <c r="AW29" s="75" t="inlineStr">
        <is>
          <t>25%</t>
        </is>
      </c>
      <c r="AX29" s="75" t="inlineStr">
        <is>
          <t>aceito_payload</t>
        </is>
      </c>
      <c r="AY29" s="75" t="inlineStr">
        <is>
          <t>suporte_total_pl</t>
        </is>
      </c>
      <c r="AZ29" s="75" t="inlineStr">
        <is>
          <t>791844</t>
        </is>
      </c>
      <c r="BA29" s="75" t="inlineStr">
        <is>
          <t>2024-11-28</t>
        </is>
      </c>
      <c r="BB29" s="75" t="inlineStr">
        <is>
          <t>7</t>
        </is>
      </c>
      <c r="BC29" s="75" t="inlineStr">
        <is>
          <t>https://fnet.bmfbovespa.com.br/fnet/publico/downloadDocumento?id=791844</t>
        </is>
      </c>
      <c r="BD29" s="75" t="inlineStr">
        <is>
          <t>payload_documental</t>
        </is>
      </c>
      <c r="BE29" s="75" t="inlineStr">
        <is>
          <t>suporte_total_pl</t>
        </is>
      </c>
      <c r="BF29" s="75" t="inlineStr">
        <is>
          <t>aceito_payload</t>
        </is>
      </c>
      <c r="BG29" s="75" t="inlineStr">
        <is>
          <t>suporte_total_pl</t>
        </is>
      </c>
      <c r="BH29" s="75" t="inlineStr">
        <is>
          <t>791844</t>
        </is>
      </c>
      <c r="BI29" s="75" t="inlineStr">
        <is>
          <t>2024-11-28</t>
        </is>
      </c>
      <c r="BJ29" s="75" t="inlineStr">
        <is>
          <t>7</t>
        </is>
      </c>
      <c r="BK29" s="75" t="inlineStr">
        <is>
          <t>https://fnet.bmfbovespa.com.br/fnet/publico/downloadDocumento?id=791844</t>
        </is>
      </c>
      <c r="BL29" s="75" t="inlineStr">
        <is>
          <t>payload_documental</t>
        </is>
      </c>
    </row>
    <row r="30" ht="42" customHeight="1">
      <c r="A30" s="141" t="n">
        <v>26</v>
      </c>
      <c r="B30" s="138" t="n">
        <v>52343195000176</v>
      </c>
      <c r="C30" s="74" t="inlineStr">
        <is>
          <t>52.343.195/0001-76</t>
        </is>
      </c>
      <c r="D30" s="74" t="inlineStr">
        <is>
          <t>FARMTECH SYNGENTA FUNDO DE INVESTIMENTO EM DIREITOS CREDITÓRIOS RESPONSABILIDADE LIMITADA</t>
        </is>
      </c>
      <c r="E30" s="74" t="inlineStr">
        <is>
          <t>concluído</t>
        </is>
      </c>
      <c r="F30" s="141" t="n">
        <v>5</v>
      </c>
      <c r="G30" s="74" t="inlineStr">
        <is>
          <t>consultado</t>
        </is>
      </c>
      <c r="H30" s="74" t="inlineStr">
        <is>
          <t>N/D</t>
        </is>
      </c>
      <c r="I30" s="74" t="inlineStr">
        <is>
          <t>N/D</t>
        </is>
      </c>
      <c r="J30" s="74" t="inlineStr">
        <is>
          <t>não encontrado</t>
        </is>
      </c>
      <c r="K30" s="74" t="inlineStr">
        <is>
          <t>N/D</t>
        </is>
      </c>
      <c r="L30" s="74" t="inlineStr">
        <is>
          <t>N/D</t>
        </is>
      </c>
      <c r="M30" s="74" t="inlineStr">
        <is>
          <t>N/D</t>
        </is>
      </c>
      <c r="N30" s="74" t="inlineStr">
        <is>
          <t>N/D</t>
        </is>
      </c>
      <c r="O30" s="74" t="inlineStr">
        <is>
          <t>N/D</t>
        </is>
      </c>
      <c r="P30" s="74" t="inlineStr">
        <is>
          <t>N/D</t>
        </is>
      </c>
      <c r="Q30" s="74" t="inlineStr">
        <is>
          <t>Multicedentes</t>
        </is>
      </c>
      <c r="R30" s="74" t="inlineStr">
        <is>
          <t>aceito_payload</t>
        </is>
      </c>
      <c r="S30" s="74" t="inlineStr">
        <is>
          <t>N/D</t>
        </is>
      </c>
      <c r="T30" s="74" t="inlineStr">
        <is>
          <t>IMG_8704.JPG</t>
        </is>
      </c>
      <c r="U30" s="74" t="inlineStr">
        <is>
          <t>2024-11-27</t>
        </is>
      </c>
      <c r="V30" s="74" t="inlineStr">
        <is>
          <t>7</t>
        </is>
      </c>
      <c r="W30" s="74" t="inlineStr">
        <is>
          <t>N/D</t>
        </is>
      </c>
      <c r="X30" s="74" t="inlineStr">
        <is>
          <t>planilha_manual</t>
        </is>
      </c>
      <c r="Y30" s="74" t="inlineStr">
        <is>
          <t>N/D</t>
        </is>
      </c>
      <c r="Z30" s="74" t="inlineStr">
        <is>
          <t>não encontrado</t>
        </is>
      </c>
      <c r="AA30" s="74" t="inlineStr">
        <is>
          <t>N/D</t>
        </is>
      </c>
      <c r="AB30" s="74" t="inlineStr">
        <is>
          <t>N/D</t>
        </is>
      </c>
      <c r="AC30" s="74" t="inlineStr">
        <is>
          <t>N/D</t>
        </is>
      </c>
      <c r="AD30" s="74" t="inlineStr">
        <is>
          <t>N/D</t>
        </is>
      </c>
      <c r="AE30" s="74" t="inlineStr">
        <is>
          <t>N/D</t>
        </is>
      </c>
      <c r="AF30" s="74" t="inlineStr">
        <is>
          <t>N/D</t>
        </is>
      </c>
      <c r="AG30" s="74" t="inlineStr">
        <is>
          <t>N/D</t>
        </is>
      </c>
      <c r="AH30" s="74" t="inlineStr">
        <is>
          <t>não encontrado</t>
        </is>
      </c>
      <c r="AI30" s="74" t="inlineStr">
        <is>
          <t>N/D</t>
        </is>
      </c>
      <c r="AJ30" s="74" t="inlineStr">
        <is>
          <t>N/D</t>
        </is>
      </c>
      <c r="AK30" s="74" t="inlineStr">
        <is>
          <t>N/D</t>
        </is>
      </c>
      <c r="AL30" s="74" t="inlineStr">
        <is>
          <t>N/D</t>
        </is>
      </c>
      <c r="AM30" s="74" t="inlineStr">
        <is>
          <t>N/D</t>
        </is>
      </c>
      <c r="AN30" s="74" t="inlineStr">
        <is>
          <t>N/D</t>
        </is>
      </c>
      <c r="AO30" s="74" t="inlineStr">
        <is>
          <t>N/D</t>
        </is>
      </c>
      <c r="AP30" s="74" t="inlineStr">
        <is>
          <t>não encontrado</t>
        </is>
      </c>
      <c r="AQ30" s="74" t="inlineStr">
        <is>
          <t>N/D</t>
        </is>
      </c>
      <c r="AR30" s="74" t="inlineStr">
        <is>
          <t>N/D</t>
        </is>
      </c>
      <c r="AS30" s="74" t="inlineStr">
        <is>
          <t>N/D</t>
        </is>
      </c>
      <c r="AT30" s="74" t="inlineStr">
        <is>
          <t>N/D</t>
        </is>
      </c>
      <c r="AU30" s="74" t="inlineStr">
        <is>
          <t>N/D</t>
        </is>
      </c>
      <c r="AV30" s="74" t="inlineStr">
        <is>
          <t>N/D</t>
        </is>
      </c>
      <c r="AW30" s="74" t="inlineStr">
        <is>
          <t>15%</t>
        </is>
      </c>
      <c r="AX30" s="74" t="inlineStr">
        <is>
          <t>aceito_payload</t>
        </is>
      </c>
      <c r="AY30" s="74" t="inlineStr">
        <is>
          <t>suporte_total_pl</t>
        </is>
      </c>
      <c r="AZ30" s="74" t="inlineStr">
        <is>
          <t>791944</t>
        </is>
      </c>
      <c r="BA30" s="74" t="inlineStr">
        <is>
          <t>2024-11-27</t>
        </is>
      </c>
      <c r="BB30" s="74" t="inlineStr">
        <is>
          <t>7</t>
        </is>
      </c>
      <c r="BC30" s="74" t="inlineStr">
        <is>
          <t>https://fnet.bmfbovespa.com.br/fnet/publico/downloadDocumento?id=791944</t>
        </is>
      </c>
      <c r="BD30" s="74" t="inlineStr">
        <is>
          <t>payload_documental</t>
        </is>
      </c>
      <c r="BE30" s="74" t="inlineStr">
        <is>
          <t>suporte_total_pl</t>
        </is>
      </c>
      <c r="BF30" s="74" t="inlineStr">
        <is>
          <t>aceito_payload</t>
        </is>
      </c>
      <c r="BG30" s="74" t="inlineStr">
        <is>
          <t>suporte_total_pl</t>
        </is>
      </c>
      <c r="BH30" s="74" t="inlineStr">
        <is>
          <t>791944</t>
        </is>
      </c>
      <c r="BI30" s="74" t="inlineStr">
        <is>
          <t>2024-11-27</t>
        </is>
      </c>
      <c r="BJ30" s="74" t="inlineStr">
        <is>
          <t>7</t>
        </is>
      </c>
      <c r="BK30" s="74" t="inlineStr">
        <is>
          <t>https://fnet.bmfbovespa.com.br/fnet/publico/downloadDocumento?id=791944</t>
        </is>
      </c>
      <c r="BL30" s="74" t="inlineStr">
        <is>
          <t>payload_documental</t>
        </is>
      </c>
    </row>
    <row r="31" ht="42" customHeight="1">
      <c r="A31" s="145" t="n">
        <v>27</v>
      </c>
      <c r="B31" s="142" t="n">
        <v>44574361000117</v>
      </c>
      <c r="C31" s="75" t="inlineStr">
        <is>
          <t>44.574.361/0001-17</t>
        </is>
      </c>
      <c r="D31" s="75" t="inlineStr">
        <is>
          <t>FUNDO DE INVESTIMENTO EM DIREITOS CREDITORIOS UPL 02 - RESPONSABILIDADE LIMITADA</t>
        </is>
      </c>
      <c r="E31" s="75" t="inlineStr">
        <is>
          <t>concluído</t>
        </is>
      </c>
      <c r="F31" s="145" t="n">
        <v>6</v>
      </c>
      <c r="G31" s="75" t="inlineStr">
        <is>
          <t>consultado</t>
        </is>
      </c>
      <c r="H31" s="75" t="inlineStr">
        <is>
          <t>N/D</t>
        </is>
      </c>
      <c r="I31" s="75" t="inlineStr">
        <is>
          <t>UPL Brasil/UPL</t>
        </is>
      </c>
      <c r="J31" s="75" t="inlineStr">
        <is>
          <t>encontrado_explicito</t>
        </is>
      </c>
      <c r="K31" s="75" t="inlineStr">
        <is>
          <t>rótulo explícito de participante v2</t>
        </is>
      </c>
      <c r="L31" s="75" t="inlineStr">
        <is>
          <t>1126517</t>
        </is>
      </c>
      <c r="M31" s="75" t="inlineStr">
        <is>
          <t>25/02/2026</t>
        </is>
      </c>
      <c r="N31" s="75" t="inlineStr">
        <is>
          <t>1</t>
        </is>
      </c>
      <c r="O31" s="75" t="inlineStr">
        <is>
          <t>https://fnet.bmfbovespa.com.br/fnet/publico/downloadDocumento?id=1126517</t>
        </is>
      </c>
      <c r="P31" s="75" t="inlineStr">
        <is>
          <t>rating_report</t>
        </is>
      </c>
      <c r="Q31" s="75" t="inlineStr">
        <is>
          <t>UPL</t>
        </is>
      </c>
      <c r="R31" s="75" t="inlineStr">
        <is>
          <t>aceito_payload</t>
        </is>
      </c>
      <c r="S31" s="75" t="inlineStr">
        <is>
          <t>N/D</t>
        </is>
      </c>
      <c r="T31" s="75" t="inlineStr">
        <is>
          <t>IMG_8704.JPG</t>
        </is>
      </c>
      <c r="U31" s="75" t="inlineStr">
        <is>
          <t>2025-06-12</t>
        </is>
      </c>
      <c r="V31" s="75" t="inlineStr">
        <is>
          <t>133</t>
        </is>
      </c>
      <c r="W31" s="75" t="inlineStr">
        <is>
          <t>N/D</t>
        </is>
      </c>
      <c r="X31" s="75" t="inlineStr">
        <is>
          <t>planilha_manual</t>
        </is>
      </c>
      <c r="Y31" s="75" t="inlineStr">
        <is>
          <t>N/D</t>
        </is>
      </c>
      <c r="Z31" s="75" t="inlineStr">
        <is>
          <t>não encontrado</t>
        </is>
      </c>
      <c r="AA31" s="75" t="inlineStr">
        <is>
          <t>N/D</t>
        </is>
      </c>
      <c r="AB31" s="75" t="inlineStr">
        <is>
          <t>N/D</t>
        </is>
      </c>
      <c r="AC31" s="75" t="inlineStr">
        <is>
          <t>N/D</t>
        </is>
      </c>
      <c r="AD31" s="75" t="inlineStr">
        <is>
          <t>N/D</t>
        </is>
      </c>
      <c r="AE31" s="75" t="inlineStr">
        <is>
          <t>N/D</t>
        </is>
      </c>
      <c r="AF31" s="75" t="inlineStr">
        <is>
          <t>N/D</t>
        </is>
      </c>
      <c r="AG31" s="75" t="inlineStr">
        <is>
          <t>Insumos Agrícolas - prazo Safra</t>
        </is>
      </c>
      <c r="AH31" s="75" t="inlineStr">
        <is>
          <t>aceito_payload</t>
        </is>
      </c>
      <c r="AI31" s="75" t="inlineStr">
        <is>
          <t>N/D</t>
        </is>
      </c>
      <c r="AJ31" s="75" t="inlineStr">
        <is>
          <t>IMG_8704.JPG</t>
        </is>
      </c>
      <c r="AK31" s="75" t="inlineStr">
        <is>
          <t>2025-06-12</t>
        </is>
      </c>
      <c r="AL31" s="75" t="inlineStr">
        <is>
          <t>133</t>
        </is>
      </c>
      <c r="AM31" s="75" t="inlineStr">
        <is>
          <t>N/D</t>
        </is>
      </c>
      <c r="AN31" s="75" t="inlineStr">
        <is>
          <t>planilha_manual</t>
        </is>
      </c>
      <c r="AO31" s="75" t="inlineStr">
        <is>
          <t>N/D</t>
        </is>
      </c>
      <c r="AP31" s="75" t="inlineStr">
        <is>
          <t>não encontrado</t>
        </is>
      </c>
      <c r="AQ31" s="75" t="inlineStr">
        <is>
          <t>N/D</t>
        </is>
      </c>
      <c r="AR31" s="75" t="inlineStr">
        <is>
          <t>N/D</t>
        </is>
      </c>
      <c r="AS31" s="75" t="inlineStr">
        <is>
          <t>N/D</t>
        </is>
      </c>
      <c r="AT31" s="75" t="inlineStr">
        <is>
          <t>N/D</t>
        </is>
      </c>
      <c r="AU31" s="75" t="inlineStr">
        <is>
          <t>N/D</t>
        </is>
      </c>
      <c r="AV31" s="75" t="inlineStr">
        <is>
          <t>N/D</t>
        </is>
      </c>
      <c r="AW31" s="75" t="inlineStr">
        <is>
          <t>15%</t>
        </is>
      </c>
      <c r="AX31" s="75" t="inlineStr">
        <is>
          <t>aceito_payload</t>
        </is>
      </c>
      <c r="AY31" s="75" t="inlineStr">
        <is>
          <t>suporte_total_pl</t>
        </is>
      </c>
      <c r="AZ31" s="75" t="inlineStr">
        <is>
          <t>928360</t>
        </is>
      </c>
      <c r="BA31" s="75" t="inlineStr">
        <is>
          <t>2025-06-12</t>
        </is>
      </c>
      <c r="BB31" s="75" t="inlineStr">
        <is>
          <t>133</t>
        </is>
      </c>
      <c r="BC31" s="75" t="inlineStr">
        <is>
          <t>https://fnet.bmfbovespa.com.br/fnet/publico/downloadDocumento?id=928360</t>
        </is>
      </c>
      <c r="BD31" s="75" t="inlineStr">
        <is>
          <t>payload_documental</t>
        </is>
      </c>
      <c r="BE31" s="75" t="inlineStr">
        <is>
          <t>suporte_total_pl</t>
        </is>
      </c>
      <c r="BF31" s="75" t="inlineStr">
        <is>
          <t>aceito_payload</t>
        </is>
      </c>
      <c r="BG31" s="75" t="inlineStr">
        <is>
          <t>suporte_total_pl</t>
        </is>
      </c>
      <c r="BH31" s="75" t="inlineStr">
        <is>
          <t>928360</t>
        </is>
      </c>
      <c r="BI31" s="75" t="inlineStr">
        <is>
          <t>2025-06-12</t>
        </is>
      </c>
      <c r="BJ31" s="75" t="inlineStr">
        <is>
          <t>133</t>
        </is>
      </c>
      <c r="BK31" s="75" t="inlineStr">
        <is>
          <t>https://fnet.bmfbovespa.com.br/fnet/publico/downloadDocumento?id=928360</t>
        </is>
      </c>
      <c r="BL31" s="75" t="inlineStr">
        <is>
          <t>payload_documental</t>
        </is>
      </c>
    </row>
    <row r="32" ht="42" customHeight="1">
      <c r="A32" s="141" t="n">
        <v>28</v>
      </c>
      <c r="B32" s="138" t="n">
        <v>45123558000100</v>
      </c>
      <c r="C32" s="74" t="inlineStr">
        <is>
          <t>45.123.558/0001-00</t>
        </is>
      </c>
      <c r="D32" s="74" t="inlineStr">
        <is>
          <t>N/D</t>
        </is>
      </c>
      <c r="E32" s="74" t="inlineStr">
        <is>
          <t>concluído</t>
        </is>
      </c>
      <c r="F32" s="141" t="n">
        <v>0</v>
      </c>
      <c r="G32" s="74" t="inlineStr">
        <is>
          <t>sem_documentos</t>
        </is>
      </c>
      <c r="H32" s="74" t="inlineStr">
        <is>
          <t>N/D</t>
        </is>
      </c>
      <c r="I32" s="74" t="inlineStr">
        <is>
          <t>N/D</t>
        </is>
      </c>
      <c r="J32" s="74" t="inlineStr">
        <is>
          <t>não encontrado</t>
        </is>
      </c>
      <c r="K32" s="74" t="inlineStr">
        <is>
          <t>N/D</t>
        </is>
      </c>
      <c r="L32" s="74" t="inlineStr">
        <is>
          <t>N/D</t>
        </is>
      </c>
      <c r="M32" s="74" t="inlineStr">
        <is>
          <t>N/D</t>
        </is>
      </c>
      <c r="N32" s="74" t="inlineStr">
        <is>
          <t>N/D</t>
        </is>
      </c>
      <c r="O32" s="74" t="inlineStr">
        <is>
          <t>N/D</t>
        </is>
      </c>
      <c r="P32" s="74" t="inlineStr">
        <is>
          <t>N/D</t>
        </is>
      </c>
      <c r="Q32" s="74" t="inlineStr">
        <is>
          <t>N/D</t>
        </is>
      </c>
      <c r="R32" s="74" t="inlineStr">
        <is>
          <t>não encontrado</t>
        </is>
      </c>
      <c r="S32" s="74" t="inlineStr">
        <is>
          <t>N/D</t>
        </is>
      </c>
      <c r="T32" s="74" t="inlineStr">
        <is>
          <t>N/D</t>
        </is>
      </c>
      <c r="U32" s="74" t="inlineStr">
        <is>
          <t>N/D</t>
        </is>
      </c>
      <c r="V32" s="74" t="inlineStr">
        <is>
          <t>N/D</t>
        </is>
      </c>
      <c r="W32" s="74" t="inlineStr">
        <is>
          <t>N/D</t>
        </is>
      </c>
      <c r="X32" s="74" t="inlineStr">
        <is>
          <t>N/D</t>
        </is>
      </c>
      <c r="Y32" s="74" t="inlineStr">
        <is>
          <t>N/D</t>
        </is>
      </c>
      <c r="Z32" s="74" t="inlineStr">
        <is>
          <t>não encontrado</t>
        </is>
      </c>
      <c r="AA32" s="74" t="inlineStr">
        <is>
          <t>N/D</t>
        </is>
      </c>
      <c r="AB32" s="74" t="inlineStr">
        <is>
          <t>N/D</t>
        </is>
      </c>
      <c r="AC32" s="74" t="inlineStr">
        <is>
          <t>N/D</t>
        </is>
      </c>
      <c r="AD32" s="74" t="inlineStr">
        <is>
          <t>N/D</t>
        </is>
      </c>
      <c r="AE32" s="74" t="inlineStr">
        <is>
          <t>N/D</t>
        </is>
      </c>
      <c r="AF32" s="74" t="inlineStr">
        <is>
          <t>N/D</t>
        </is>
      </c>
      <c r="AG32" s="74" t="inlineStr">
        <is>
          <t>N/D</t>
        </is>
      </c>
      <c r="AH32" s="74" t="inlineStr">
        <is>
          <t>não encontrado</t>
        </is>
      </c>
      <c r="AI32" s="74" t="inlineStr">
        <is>
          <t>N/D</t>
        </is>
      </c>
      <c r="AJ32" s="74" t="inlineStr">
        <is>
          <t>N/D</t>
        </is>
      </c>
      <c r="AK32" s="74" t="inlineStr">
        <is>
          <t>N/D</t>
        </is>
      </c>
      <c r="AL32" s="74" t="inlineStr">
        <is>
          <t>N/D</t>
        </is>
      </c>
      <c r="AM32" s="74" t="inlineStr">
        <is>
          <t>N/D</t>
        </is>
      </c>
      <c r="AN32" s="74" t="inlineStr">
        <is>
          <t>N/D</t>
        </is>
      </c>
      <c r="AO32" s="74" t="inlineStr">
        <is>
          <t>N/D</t>
        </is>
      </c>
      <c r="AP32" s="74" t="inlineStr">
        <is>
          <t>não encontrado</t>
        </is>
      </c>
      <c r="AQ32" s="74" t="inlineStr">
        <is>
          <t>N/D</t>
        </is>
      </c>
      <c r="AR32" s="74" t="inlineStr">
        <is>
          <t>N/D</t>
        </is>
      </c>
      <c r="AS32" s="74" t="inlineStr">
        <is>
          <t>N/D</t>
        </is>
      </c>
      <c r="AT32" s="74" t="inlineStr">
        <is>
          <t>N/D</t>
        </is>
      </c>
      <c r="AU32" s="74" t="inlineStr">
        <is>
          <t>N/D</t>
        </is>
      </c>
      <c r="AV32" s="74" t="inlineStr">
        <is>
          <t>N/D</t>
        </is>
      </c>
      <c r="AW32" s="74" t="inlineStr">
        <is>
          <t>N/D</t>
        </is>
      </c>
      <c r="AX32" s="74" t="inlineStr">
        <is>
          <t>não encontrado</t>
        </is>
      </c>
      <c r="AY32" s="74" t="inlineStr">
        <is>
          <t>N/D</t>
        </is>
      </c>
      <c r="AZ32" s="74" t="inlineStr">
        <is>
          <t>N/D</t>
        </is>
      </c>
      <c r="BA32" s="74" t="inlineStr">
        <is>
          <t>N/D</t>
        </is>
      </c>
      <c r="BB32" s="74" t="inlineStr">
        <is>
          <t>N/D</t>
        </is>
      </c>
      <c r="BC32" s="74" t="inlineStr">
        <is>
          <t>N/D</t>
        </is>
      </c>
      <c r="BD32" s="74" t="inlineStr">
        <is>
          <t>N/D</t>
        </is>
      </c>
      <c r="BE32" s="74" t="inlineStr">
        <is>
          <t>fora_perimetro</t>
        </is>
      </c>
      <c r="BF32" s="74" t="inlineStr">
        <is>
          <t>aceito_payload</t>
        </is>
      </c>
      <c r="BG32" s="74" t="inlineStr">
        <is>
          <t>fora_perimetro</t>
        </is>
      </c>
      <c r="BH32" s="74" t="inlineStr">
        <is>
          <t>N/D</t>
        </is>
      </c>
      <c r="BI32" s="74" t="inlineStr">
        <is>
          <t>N/D</t>
        </is>
      </c>
      <c r="BJ32" s="74" t="inlineStr">
        <is>
          <t>N/D</t>
        </is>
      </c>
      <c r="BK32" s="74" t="inlineStr">
        <is>
          <t>N/D</t>
        </is>
      </c>
      <c r="BL32" s="74" t="inlineStr">
        <is>
          <t>payload_documental</t>
        </is>
      </c>
    </row>
    <row r="33" ht="42" customHeight="1">
      <c r="A33" s="145" t="n">
        <v>29</v>
      </c>
      <c r="B33" s="142" t="n">
        <v>50857998000113</v>
      </c>
      <c r="C33" s="75" t="inlineStr">
        <is>
          <t>50.857.998/0001-13</t>
        </is>
      </c>
      <c r="D33" s="75" t="inlineStr">
        <is>
          <t>LEO MADEIRAS FIDC SEGMENTO MEIOS DE PAGAMENTO DE RESPONSABILIDADE LIMITADA</t>
        </is>
      </c>
      <c r="E33" s="75" t="inlineStr">
        <is>
          <t>concluído</t>
        </is>
      </c>
      <c r="F33" s="145" t="n">
        <v>6</v>
      </c>
      <c r="G33" s="75" t="inlineStr">
        <is>
          <t>consultado</t>
        </is>
      </c>
      <c r="H33" s="75" t="inlineStr">
        <is>
          <t>N/D</t>
        </is>
      </c>
      <c r="I33" s="75" t="inlineStr">
        <is>
          <t>N/D</t>
        </is>
      </c>
      <c r="J33" s="75" t="inlineStr">
        <is>
          <t>não encontrado</t>
        </is>
      </c>
      <c r="K33" s="75" t="inlineStr">
        <is>
          <t>N/D</t>
        </is>
      </c>
      <c r="L33" s="75" t="inlineStr">
        <is>
          <t>N/D</t>
        </is>
      </c>
      <c r="M33" s="75" t="inlineStr">
        <is>
          <t>N/D</t>
        </is>
      </c>
      <c r="N33" s="75" t="inlineStr">
        <is>
          <t>N/D</t>
        </is>
      </c>
      <c r="O33" s="75" t="inlineStr">
        <is>
          <t>N/D</t>
        </is>
      </c>
      <c r="P33" s="75" t="inlineStr">
        <is>
          <t>N/D</t>
        </is>
      </c>
      <c r="Q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R33" s="75" t="inlineStr">
        <is>
          <t>encontrado_explicito</t>
        </is>
      </c>
      <c r="S33" s="75" t="inlineStr">
        <is>
          <t>N/D</t>
        </is>
      </c>
      <c r="T33" s="75" t="inlineStr">
        <is>
          <t>910444</t>
        </is>
      </c>
      <c r="U33" s="75" t="inlineStr">
        <is>
          <t>22/05/2025</t>
        </is>
      </c>
      <c r="V33" s="75" t="inlineStr">
        <is>
          <t>56</t>
        </is>
      </c>
      <c r="W33" s="75" t="inlineStr">
        <is>
          <t>https://fnet.bmfbovespa.com.br/fnet/publico/downloadDocumento?id=910444</t>
        </is>
      </c>
      <c r="X33" s="75" t="inlineStr">
        <is>
          <t>regulamento</t>
        </is>
      </c>
      <c r="Y33" s="75" t="inlineStr">
        <is>
          <t>a Subcredenciadora, na qualidade de devedora dos Direitos Creditórios</t>
        </is>
      </c>
      <c r="Z33" s="75" t="inlineStr">
        <is>
          <t>encontrado_explicito</t>
        </is>
      </c>
      <c r="AA33" s="75" t="inlineStr">
        <is>
          <t>N/D</t>
        </is>
      </c>
      <c r="AB33" s="75" t="inlineStr">
        <is>
          <t>910444</t>
        </is>
      </c>
      <c r="AC33" s="75" t="inlineStr">
        <is>
          <t>22/05/2025</t>
        </is>
      </c>
      <c r="AD33" s="75" t="inlineStr">
        <is>
          <t>59</t>
        </is>
      </c>
      <c r="AE33" s="75" t="inlineStr">
        <is>
          <t>https://fnet.bmfbovespa.com.br/fnet/publico/downloadDocumento?id=910444</t>
        </is>
      </c>
      <c r="AF33" s="75" t="inlineStr">
        <is>
          <t>regulamento</t>
        </is>
      </c>
      <c r="AG33" s="75" t="inlineStr">
        <is>
          <t>N/D</t>
        </is>
      </c>
      <c r="AH33" s="75" t="inlineStr">
        <is>
          <t>não encontrado</t>
        </is>
      </c>
      <c r="AI33" s="75" t="inlineStr">
        <is>
          <t>N/D</t>
        </is>
      </c>
      <c r="AJ33" s="75" t="inlineStr">
        <is>
          <t>N/D</t>
        </is>
      </c>
      <c r="AK33" s="75" t="inlineStr">
        <is>
          <t>N/D</t>
        </is>
      </c>
      <c r="AL33" s="75" t="inlineStr">
        <is>
          <t>N/D</t>
        </is>
      </c>
      <c r="AM33" s="75" t="inlineStr">
        <is>
          <t>N/D</t>
        </is>
      </c>
      <c r="AN33" s="75" t="inlineStr">
        <is>
          <t>N/D</t>
        </is>
      </c>
      <c r="AO33" s="75" t="inlineStr">
        <is>
          <t>5%</t>
        </is>
      </c>
      <c r="AP33" s="75" t="inlineStr">
        <is>
          <t>aceito_payload</t>
        </is>
      </c>
      <c r="AQ33" s="75" t="inlineStr">
        <is>
          <t>junior_pl</t>
        </is>
      </c>
      <c r="AR33" s="75" t="inlineStr">
        <is>
          <t>1017825</t>
        </is>
      </c>
      <c r="AS33" s="75" t="inlineStr">
        <is>
          <t>2025-10-06</t>
        </is>
      </c>
      <c r="AT33" s="75" t="inlineStr">
        <is>
          <t>62</t>
        </is>
      </c>
      <c r="AU33" s="75" t="inlineStr">
        <is>
          <t>https://fnet.bmfbovespa.com.br/fnet/publico/downloadDocumento?id=1017825</t>
        </is>
      </c>
      <c r="AV33" s="75" t="inlineStr">
        <is>
          <t>payload_documental</t>
        </is>
      </c>
      <c r="AW33" s="75" t="inlineStr">
        <is>
          <t>N/D</t>
        </is>
      </c>
      <c r="AX33" s="75" t="inlineStr">
        <is>
          <t>não encontrado</t>
        </is>
      </c>
      <c r="AY33" s="75" t="inlineStr">
        <is>
          <t>N/D</t>
        </is>
      </c>
      <c r="AZ33" s="75" t="inlineStr">
        <is>
          <t>N/D</t>
        </is>
      </c>
      <c r="BA33" s="75" t="inlineStr">
        <is>
          <t>N/D</t>
        </is>
      </c>
      <c r="BB33" s="75" t="inlineStr">
        <is>
          <t>N/D</t>
        </is>
      </c>
      <c r="BC33" s="75" t="inlineStr">
        <is>
          <t>N/D</t>
        </is>
      </c>
      <c r="BD33" s="75" t="inlineStr">
        <is>
          <t>N/D</t>
        </is>
      </c>
      <c r="BE33" s="75" t="inlineStr">
        <is>
          <t>junior_pl</t>
        </is>
      </c>
      <c r="BF33" s="75" t="inlineStr">
        <is>
          <t>aceito_payload</t>
        </is>
      </c>
      <c r="BG33" s="75" t="inlineStr">
        <is>
          <t>junior_pl</t>
        </is>
      </c>
      <c r="BH33" s="75" t="inlineStr">
        <is>
          <t>1017825</t>
        </is>
      </c>
      <c r="BI33" s="75" t="inlineStr">
        <is>
          <t>2025-10-06</t>
        </is>
      </c>
      <c r="BJ33" s="75" t="inlineStr">
        <is>
          <t>62</t>
        </is>
      </c>
      <c r="BK33" s="75" t="inlineStr">
        <is>
          <t>https://fnet.bmfbovespa.com.br/fnet/publico/downloadDocumento?id=1017825</t>
        </is>
      </c>
      <c r="BL33" s="75" t="inlineStr">
        <is>
          <t>payload_documental</t>
        </is>
      </c>
    </row>
    <row r="34" ht="42" customHeight="1">
      <c r="A34" s="141" t="n">
        <v>30</v>
      </c>
      <c r="B34" s="138" t="n">
        <v>38376526000143</v>
      </c>
      <c r="C34" s="74" t="inlineStr">
        <is>
          <t>38.376.526/0001-43</t>
        </is>
      </c>
      <c r="D34" s="74" t="inlineStr">
        <is>
          <t>HOTFUND FUNDO DE INVESTIMENTO EM DIREITOS CREDITÓRIOS SEGMENTO MEIOS DE PAGAMENTO DE RESPONSABILIDAD</t>
        </is>
      </c>
      <c r="E34" s="74" t="inlineStr">
        <is>
          <t>concluído</t>
        </is>
      </c>
      <c r="F34" s="141" t="n">
        <v>8</v>
      </c>
      <c r="G34" s="74" t="inlineStr">
        <is>
          <t>consultado</t>
        </is>
      </c>
      <c r="H34" s="74" t="inlineStr">
        <is>
          <t>N/D</t>
        </is>
      </c>
      <c r="I34" s="74" t="inlineStr">
        <is>
          <t>N/D</t>
        </is>
      </c>
      <c r="J34" s="74" t="inlineStr">
        <is>
          <t>não encontrado</t>
        </is>
      </c>
      <c r="K34" s="74" t="inlineStr">
        <is>
          <t>N/D</t>
        </is>
      </c>
      <c r="L34" s="74" t="inlineStr">
        <is>
          <t>N/D</t>
        </is>
      </c>
      <c r="M34" s="74" t="inlineStr">
        <is>
          <t>N/D</t>
        </is>
      </c>
      <c r="N34" s="74" t="inlineStr">
        <is>
          <t>N/D</t>
        </is>
      </c>
      <c r="O34" s="74" t="inlineStr">
        <is>
          <t>N/D</t>
        </is>
      </c>
      <c r="P34" s="74" t="inlineStr">
        <is>
          <t>N/D</t>
        </is>
      </c>
      <c r="Q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R34" s="74" t="inlineStr">
        <is>
          <t>encontrado_explicito</t>
        </is>
      </c>
      <c r="S34" s="74" t="inlineStr">
        <is>
          <t>N/D</t>
        </is>
      </c>
      <c r="T34" s="74" t="inlineStr">
        <is>
          <t>948252</t>
        </is>
      </c>
      <c r="U34" s="74" t="inlineStr">
        <is>
          <t>02/07/2025</t>
        </is>
      </c>
      <c r="V34" s="74" t="inlineStr">
        <is>
          <t>61</t>
        </is>
      </c>
      <c r="W34" s="74" t="inlineStr">
        <is>
          <t>https://fnet.bmfbovespa.com.br/fnet/publico/downloadDocumento?id=948252</t>
        </is>
      </c>
      <c r="X34" s="74" t="inlineStr">
        <is>
          <t>regulamento</t>
        </is>
      </c>
      <c r="Y34" s="74" t="inlineStr">
        <is>
          <t>a Hotmart, na qualidade de devedora dos Direitos Creditórios Cartões</t>
        </is>
      </c>
      <c r="Z34" s="74" t="inlineStr">
        <is>
          <t>encontrado_explicito</t>
        </is>
      </c>
      <c r="AA34" s="74" t="inlineStr">
        <is>
          <t>N/D</t>
        </is>
      </c>
      <c r="AB34" s="74" t="inlineStr">
        <is>
          <t>948252</t>
        </is>
      </c>
      <c r="AC34" s="74" t="inlineStr">
        <is>
          <t>02/07/2025</t>
        </is>
      </c>
      <c r="AD34" s="74" t="inlineStr">
        <is>
          <t>65</t>
        </is>
      </c>
      <c r="AE34" s="74" t="inlineStr">
        <is>
          <t>https://fnet.bmfbovespa.com.br/fnet/publico/downloadDocumento?id=948252</t>
        </is>
      </c>
      <c r="AF34" s="74" t="inlineStr">
        <is>
          <t>regulamento</t>
        </is>
      </c>
      <c r="AG34" s="74" t="inlineStr">
        <is>
          <t>os Direitos Creditórios Cartões e os Direitos Creditórios Recebíveis a Prazo, quando referidos em conjunto ou indistintamente</t>
        </is>
      </c>
      <c r="AH34" s="74" t="inlineStr">
        <is>
          <t>encontrado_explicito</t>
        </is>
      </c>
      <c r="AI34" s="74" t="inlineStr">
        <is>
          <t>N/D</t>
        </is>
      </c>
      <c r="AJ34" s="74" t="inlineStr">
        <is>
          <t>948252</t>
        </is>
      </c>
      <c r="AK34" s="74" t="inlineStr">
        <is>
          <t>02/07/2025</t>
        </is>
      </c>
      <c r="AL34" s="74" t="inlineStr">
        <is>
          <t>65</t>
        </is>
      </c>
      <c r="AM34" s="74" t="inlineStr">
        <is>
          <t>https://fnet.bmfbovespa.com.br/fnet/publico/downloadDocumento?id=948252</t>
        </is>
      </c>
      <c r="AN34" s="74" t="inlineStr">
        <is>
          <t>regulamento</t>
        </is>
      </c>
      <c r="AO34" s="74" t="inlineStr">
        <is>
          <t>21%</t>
        </is>
      </c>
      <c r="AP34" s="74" t="inlineStr">
        <is>
          <t>aceito_payload</t>
        </is>
      </c>
      <c r="AQ34" s="74" t="inlineStr">
        <is>
          <t>junior_pl</t>
        </is>
      </c>
      <c r="AR34" s="74" t="inlineStr">
        <is>
          <t>948252</t>
        </is>
      </c>
      <c r="AS34" s="74" t="inlineStr">
        <is>
          <t>2025-07-02</t>
        </is>
      </c>
      <c r="AT34" s="74" t="inlineStr">
        <is>
          <t>68</t>
        </is>
      </c>
      <c r="AU34" s="74" t="inlineStr">
        <is>
          <t>https://fnet.bmfbovespa.com.br/fnet/publico/downloadDocumento?id=948252</t>
        </is>
      </c>
      <c r="AV34" s="74" t="inlineStr">
        <is>
          <t>payload_documental</t>
        </is>
      </c>
      <c r="AW34" s="74" t="inlineStr">
        <is>
          <t>N/D</t>
        </is>
      </c>
      <c r="AX34" s="74" t="inlineStr">
        <is>
          <t>não encontrado</t>
        </is>
      </c>
      <c r="AY34" s="74" t="inlineStr">
        <is>
          <t>N/D</t>
        </is>
      </c>
      <c r="AZ34" s="74" t="inlineStr">
        <is>
          <t>N/D</t>
        </is>
      </c>
      <c r="BA34" s="74" t="inlineStr">
        <is>
          <t>N/D</t>
        </is>
      </c>
      <c r="BB34" s="74" t="inlineStr">
        <is>
          <t>N/D</t>
        </is>
      </c>
      <c r="BC34" s="74" t="inlineStr">
        <is>
          <t>N/D</t>
        </is>
      </c>
      <c r="BD34" s="74" t="inlineStr">
        <is>
          <t>N/D</t>
        </is>
      </c>
      <c r="BE34" s="74" t="inlineStr">
        <is>
          <t>junior_pl</t>
        </is>
      </c>
      <c r="BF34" s="74" t="inlineStr">
        <is>
          <t>aceito_payload</t>
        </is>
      </c>
      <c r="BG34" s="74" t="inlineStr">
        <is>
          <t>junior_pl</t>
        </is>
      </c>
      <c r="BH34" s="74" t="inlineStr">
        <is>
          <t>948252</t>
        </is>
      </c>
      <c r="BI34" s="74" t="inlineStr">
        <is>
          <t>2025-07-02</t>
        </is>
      </c>
      <c r="BJ34" s="74" t="inlineStr">
        <is>
          <t>68</t>
        </is>
      </c>
      <c r="BK34" s="74" t="inlineStr">
        <is>
          <t>https://fnet.bmfbovespa.com.br/fnet/publico/downloadDocumento?id=948252</t>
        </is>
      </c>
      <c r="BL34" s="74" t="inlineStr">
        <is>
          <t>payload_documental</t>
        </is>
      </c>
    </row>
    <row r="35" ht="42" customHeight="1">
      <c r="A35" s="145" t="n">
        <v>31</v>
      </c>
      <c r="B35" s="142" t="n">
        <v>45598747000121</v>
      </c>
      <c r="C35" s="75" t="inlineStr">
        <is>
          <t>45.598.747/0001-21</t>
        </is>
      </c>
      <c r="D35" s="75" t="inlineStr">
        <is>
          <t>SUMUP SOLO FUNDO DE INVESTIMENTO EM DIREITOS CREDITÓRIOS SEGMENTO MEIOS DE PAGAMENTO DE RESPONSABILI</t>
        </is>
      </c>
      <c r="E35" s="75" t="inlineStr">
        <is>
          <t>concluído</t>
        </is>
      </c>
      <c r="F35" s="145" t="n">
        <v>9</v>
      </c>
      <c r="G35" s="75" t="inlineStr">
        <is>
          <t>consultado</t>
        </is>
      </c>
      <c r="H35" s="75" t="inlineStr">
        <is>
          <t>N/D</t>
        </is>
      </c>
      <c r="I35" s="75" t="inlineStr">
        <is>
          <t>N/D</t>
        </is>
      </c>
      <c r="J35" s="75" t="inlineStr">
        <is>
          <t>não encontrado</t>
        </is>
      </c>
      <c r="K35" s="75" t="inlineStr">
        <is>
          <t>N/D</t>
        </is>
      </c>
      <c r="L35" s="75" t="inlineStr">
        <is>
          <t>N/D</t>
        </is>
      </c>
      <c r="M35" s="75" t="inlineStr">
        <is>
          <t>N/D</t>
        </is>
      </c>
      <c r="N35" s="75" t="inlineStr">
        <is>
          <t>N/D</t>
        </is>
      </c>
      <c r="O35" s="75" t="inlineStr">
        <is>
          <t>N/D</t>
        </is>
      </c>
      <c r="P35" s="75" t="inlineStr">
        <is>
          <t>N/D</t>
        </is>
      </c>
      <c r="Q35" s="75" t="inlineStr">
        <is>
          <t>a SUMUP INSTITUIÇÃO DE PAGAMENTO BRASIL LTDA., sociedade limitada com sede na Cidade e Estado de São Paulo, na Rua Gilberto Sabino, nº 215, 10º andar, Pinheiros, CEP: 05425-020, inscrita no CNPJ/MF sob o nº 16.668.076/0001-20</t>
        </is>
      </c>
      <c r="R35" s="75" t="inlineStr">
        <is>
          <t>encontrado_explicito</t>
        </is>
      </c>
      <c r="S35" s="75" t="inlineStr">
        <is>
          <t>N/D</t>
        </is>
      </c>
      <c r="T35" s="75" t="inlineStr">
        <is>
          <t>883977</t>
        </is>
      </c>
      <c r="U35" s="75" t="inlineStr">
        <is>
          <t>2025-04-22</t>
        </is>
      </c>
      <c r="V35" s="75" t="inlineStr">
        <is>
          <t>N/D</t>
        </is>
      </c>
      <c r="W35" s="75" t="inlineStr">
        <is>
          <t>https://fnet.bmfbovespa.com.br/fnet/publico/downloadDocumento?id=883977</t>
        </is>
      </c>
      <c r="X35" s="75" t="inlineStr">
        <is>
          <t>regulamento</t>
        </is>
      </c>
      <c r="Y35" s="75" t="inlineStr">
        <is>
          <t>os Emissores</t>
        </is>
      </c>
      <c r="Z35" s="75" t="inlineStr">
        <is>
          <t>encontrado_explicito</t>
        </is>
      </c>
      <c r="AA35" s="75" t="inlineStr">
        <is>
          <t>N/D</t>
        </is>
      </c>
      <c r="AB35" s="75" t="inlineStr">
        <is>
          <t>883977</t>
        </is>
      </c>
      <c r="AC35" s="75" t="inlineStr">
        <is>
          <t>2025-04-22</t>
        </is>
      </c>
      <c r="AD35" s="75" t="inlineStr">
        <is>
          <t>N/D</t>
        </is>
      </c>
      <c r="AE35" s="75" t="inlineStr">
        <is>
          <t>https://fnet.bmfbovespa.com.br/fnet/publico/downloadDocumento?id=883977</t>
        </is>
      </c>
      <c r="AF35" s="75" t="inlineStr">
        <is>
          <t>regulamento</t>
        </is>
      </c>
      <c r="AG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35" s="75" t="inlineStr">
        <is>
          <t>encontrado_explicito</t>
        </is>
      </c>
      <c r="AI35" s="75" t="inlineStr">
        <is>
          <t>N/D</t>
        </is>
      </c>
      <c r="AJ35" s="75" t="inlineStr">
        <is>
          <t>883977</t>
        </is>
      </c>
      <c r="AK35" s="75" t="inlineStr">
        <is>
          <t>2025-04-22</t>
        </is>
      </c>
      <c r="AL35" s="75" t="inlineStr">
        <is>
          <t>N/D</t>
        </is>
      </c>
      <c r="AM35" s="75" t="inlineStr">
        <is>
          <t>https://fnet.bmfbovespa.com.br/fnet/publico/downloadDocumento?id=883977</t>
        </is>
      </c>
      <c r="AN35" s="75" t="inlineStr">
        <is>
          <t>regulamento</t>
        </is>
      </c>
      <c r="AO35" s="75" t="inlineStr">
        <is>
          <t>4.7619%</t>
        </is>
      </c>
      <c r="AP35" s="75" t="inlineStr">
        <is>
          <t>aceito_payload</t>
        </is>
      </c>
      <c r="AQ35" s="75" t="inlineStr">
        <is>
          <t>junior_pl_calculado</t>
        </is>
      </c>
      <c r="AR35" s="75" t="inlineStr">
        <is>
          <t>883977</t>
        </is>
      </c>
      <c r="AS35" s="75" t="inlineStr">
        <is>
          <t>2025-04-22</t>
        </is>
      </c>
      <c r="AT35" s="75" t="inlineStr">
        <is>
          <t>95</t>
        </is>
      </c>
      <c r="AU35" s="75" t="inlineStr">
        <is>
          <t>https://fnet.bmfbovespa.com.br/fnet/publico/downloadDocumento?id=883977</t>
        </is>
      </c>
      <c r="AV35" s="75" t="inlineStr">
        <is>
          <t>payload_documental</t>
        </is>
      </c>
      <c r="AW35" s="75" t="inlineStr">
        <is>
          <t>4.7619%</t>
        </is>
      </c>
      <c r="AX35" s="75" t="inlineStr">
        <is>
          <t>aceito_payload</t>
        </is>
      </c>
      <c r="AY35" s="75" t="inlineStr">
        <is>
          <t>suporte_total_pl</t>
        </is>
      </c>
      <c r="AZ35" s="75" t="inlineStr">
        <is>
          <t>883977</t>
        </is>
      </c>
      <c r="BA35" s="75" t="inlineStr">
        <is>
          <t>2025-04-22</t>
        </is>
      </c>
      <c r="BB35" s="75" t="inlineStr">
        <is>
          <t>95</t>
        </is>
      </c>
      <c r="BC35" s="75" t="inlineStr">
        <is>
          <t>https://fnet.bmfbovespa.com.br/fnet/publico/downloadDocumento?id=883977</t>
        </is>
      </c>
      <c r="BD35" s="75" t="inlineStr">
        <is>
          <t>payload_documental</t>
        </is>
      </c>
      <c r="BE35" s="75" t="inlineStr">
        <is>
          <t>junior_pl_calculado</t>
        </is>
      </c>
      <c r="BF35" s="75" t="inlineStr">
        <is>
          <t>aceito_payload</t>
        </is>
      </c>
      <c r="BG35" s="75" t="inlineStr">
        <is>
          <t>junior_pl_calculado</t>
        </is>
      </c>
      <c r="BH35" s="75" t="inlineStr">
        <is>
          <t>883977</t>
        </is>
      </c>
      <c r="BI35" s="75" t="inlineStr">
        <is>
          <t>2025-04-22</t>
        </is>
      </c>
      <c r="BJ35" s="75" t="inlineStr">
        <is>
          <t>95</t>
        </is>
      </c>
      <c r="BK35" s="75" t="inlineStr">
        <is>
          <t>https://fnet.bmfbovespa.com.br/fnet/publico/downloadDocumento?id=883977</t>
        </is>
      </c>
      <c r="BL35" s="75" t="inlineStr">
        <is>
          <t>payload_documental</t>
        </is>
      </c>
    </row>
    <row r="36" ht="42" customHeight="1">
      <c r="A36" s="141" t="n">
        <v>32</v>
      </c>
      <c r="B36" s="138" t="n">
        <v>41197066000109</v>
      </c>
      <c r="C36" s="74" t="inlineStr">
        <is>
          <t>41.197.066/0001-09</t>
        </is>
      </c>
      <c r="D36" s="74" t="inlineStr">
        <is>
          <t>IFOOD PAGO CRÉDITO I FUNDO DE INVESTIMENTO EM DIREITOS CREDITÓRIOS FINANCEIRO DE RESP LIMITADA</t>
        </is>
      </c>
      <c r="E36" s="74" t="inlineStr">
        <is>
          <t>concluído</t>
        </is>
      </c>
      <c r="F36" s="141" t="n">
        <v>9</v>
      </c>
      <c r="G36" s="74" t="inlineStr">
        <is>
          <t>consultado</t>
        </is>
      </c>
      <c r="H36" s="74" t="inlineStr">
        <is>
          <t>N/D</t>
        </is>
      </c>
      <c r="I36" s="74" t="inlineStr">
        <is>
          <t>N/D</t>
        </is>
      </c>
      <c r="J36" s="74" t="inlineStr">
        <is>
          <t>não encontrado</t>
        </is>
      </c>
      <c r="K36" s="74" t="inlineStr">
        <is>
          <t>N/D</t>
        </is>
      </c>
      <c r="L36" s="74" t="inlineStr">
        <is>
          <t>N/D</t>
        </is>
      </c>
      <c r="M36" s="74" t="inlineStr">
        <is>
          <t>N/D</t>
        </is>
      </c>
      <c r="N36" s="74" t="inlineStr">
        <is>
          <t>N/D</t>
        </is>
      </c>
      <c r="O36" s="74" t="inlineStr">
        <is>
          <t>N/D</t>
        </is>
      </c>
      <c r="P36" s="74" t="inlineStr">
        <is>
          <t>N/D</t>
        </is>
      </c>
      <c r="Q36" s="74" t="inlineStr">
        <is>
          <t>MovilePay / iFood</t>
        </is>
      </c>
      <c r="R36" s="74" t="inlineStr">
        <is>
          <t>aceito_payload</t>
        </is>
      </c>
      <c r="S36" s="74" t="inlineStr">
        <is>
          <t>N/D</t>
        </is>
      </c>
      <c r="T36" s="74" t="inlineStr">
        <is>
          <t>IMG_8705.JPG</t>
        </is>
      </c>
      <c r="U36" s="74" t="inlineStr">
        <is>
          <t>2025-12-30</t>
        </is>
      </c>
      <c r="V36" s="74" t="inlineStr">
        <is>
          <t>89</t>
        </is>
      </c>
      <c r="W36" s="74" t="inlineStr">
        <is>
          <t>N/D</t>
        </is>
      </c>
      <c r="X36" s="74" t="inlineStr">
        <is>
          <t>planilha_manual</t>
        </is>
      </c>
      <c r="Y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Z36" s="74" t="inlineStr">
        <is>
          <t>encontrado_explicito</t>
        </is>
      </c>
      <c r="AA36" s="74" t="inlineStr">
        <is>
          <t>N/D</t>
        </is>
      </c>
      <c r="AB36" s="74" t="inlineStr">
        <is>
          <t>1076481</t>
        </is>
      </c>
      <c r="AC36" s="74" t="inlineStr">
        <is>
          <t>2025-12-30</t>
        </is>
      </c>
      <c r="AD36" s="74" t="inlineStr">
        <is>
          <t>84</t>
        </is>
      </c>
      <c r="AE36" s="74" t="inlineStr">
        <is>
          <t>https://fnet.bmfbovespa.com.br/fnet/publico/downloadDocumento?id=1076481</t>
        </is>
      </c>
      <c r="AF36" s="74" t="inlineStr">
        <is>
          <t>regulamento</t>
        </is>
      </c>
      <c r="AG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AH36" s="74" t="inlineStr">
        <is>
          <t>encontrado_explicito</t>
        </is>
      </c>
      <c r="AI36" s="74" t="inlineStr">
        <is>
          <t>N/D</t>
        </is>
      </c>
      <c r="AJ36" s="74" t="inlineStr">
        <is>
          <t>1076481</t>
        </is>
      </c>
      <c r="AK36" s="74" t="inlineStr">
        <is>
          <t>2025-12-30</t>
        </is>
      </c>
      <c r="AL36" s="74" t="inlineStr">
        <is>
          <t>85</t>
        </is>
      </c>
      <c r="AM36" s="74" t="inlineStr">
        <is>
          <t>https://fnet.bmfbovespa.com.br/fnet/publico/downloadDocumento?id=1076481</t>
        </is>
      </c>
      <c r="AN36" s="74" t="inlineStr">
        <is>
          <t>regulamento</t>
        </is>
      </c>
      <c r="AO36" s="74" t="inlineStr">
        <is>
          <t>10%</t>
        </is>
      </c>
      <c r="AP36" s="74" t="inlineStr">
        <is>
          <t>aceito_payload</t>
        </is>
      </c>
      <c r="AQ36" s="74" t="inlineStr">
        <is>
          <t>junior_pl</t>
        </is>
      </c>
      <c r="AR36" s="74" t="inlineStr">
        <is>
          <t>1076481</t>
        </is>
      </c>
      <c r="AS36" s="74" t="inlineStr">
        <is>
          <t>2025-12-30</t>
        </is>
      </c>
      <c r="AT36" s="74" t="inlineStr">
        <is>
          <t>89</t>
        </is>
      </c>
      <c r="AU36" s="74" t="inlineStr">
        <is>
          <t>https://fnet.bmfbovespa.com.br/fnet/publico/downloadDocumento?id=1076481</t>
        </is>
      </c>
      <c r="AV36" s="74" t="inlineStr">
        <is>
          <t>payload_documental</t>
        </is>
      </c>
      <c r="AW36" s="74" t="inlineStr">
        <is>
          <t>N/D</t>
        </is>
      </c>
      <c r="AX36" s="74" t="inlineStr">
        <is>
          <t>não encontrado</t>
        </is>
      </c>
      <c r="AY36" s="74" t="inlineStr">
        <is>
          <t>N/D</t>
        </is>
      </c>
      <c r="AZ36" s="74" t="inlineStr">
        <is>
          <t>N/D</t>
        </is>
      </c>
      <c r="BA36" s="74" t="inlineStr">
        <is>
          <t>N/D</t>
        </is>
      </c>
      <c r="BB36" s="74" t="inlineStr">
        <is>
          <t>N/D</t>
        </is>
      </c>
      <c r="BC36" s="74" t="inlineStr">
        <is>
          <t>N/D</t>
        </is>
      </c>
      <c r="BD36" s="74" t="inlineStr">
        <is>
          <t>N/D</t>
        </is>
      </c>
      <c r="BE36" s="74" t="inlineStr">
        <is>
          <t>junior_pl</t>
        </is>
      </c>
      <c r="BF36" s="74" t="inlineStr">
        <is>
          <t>aceito_payload</t>
        </is>
      </c>
      <c r="BG36" s="74" t="inlineStr">
        <is>
          <t>junior_pl</t>
        </is>
      </c>
      <c r="BH36" s="74" t="inlineStr">
        <is>
          <t>1076481</t>
        </is>
      </c>
      <c r="BI36" s="74" t="inlineStr">
        <is>
          <t>2025-12-30</t>
        </is>
      </c>
      <c r="BJ36" s="74" t="inlineStr">
        <is>
          <t>89</t>
        </is>
      </c>
      <c r="BK36" s="74" t="inlineStr">
        <is>
          <t>https://fnet.bmfbovespa.com.br/fnet/publico/downloadDocumento?id=1076481</t>
        </is>
      </c>
      <c r="BL36" s="74" t="inlineStr">
        <is>
          <t>payload_documental</t>
        </is>
      </c>
    </row>
    <row r="37" ht="42" customHeight="1">
      <c r="A37" s="145" t="n">
        <v>33</v>
      </c>
      <c r="B37" s="142" t="n">
        <v>44124617000194</v>
      </c>
      <c r="C37" s="75" t="inlineStr">
        <is>
          <t>44.124.617/0001-94</t>
        </is>
      </c>
      <c r="D37" s="75" t="inlineStr">
        <is>
          <t>CLOUDWALK AKIRA II FIDC SEGMENTO MEIOS DE PAGAMENTO</t>
        </is>
      </c>
      <c r="E37" s="75" t="inlineStr">
        <is>
          <t>concluído</t>
        </is>
      </c>
      <c r="F37" s="145" t="n">
        <v>8</v>
      </c>
      <c r="G37" s="75" t="inlineStr">
        <is>
          <t>consultado</t>
        </is>
      </c>
      <c r="H37" s="75" t="inlineStr">
        <is>
          <t>N/D</t>
        </is>
      </c>
      <c r="I37" s="75" t="inlineStr">
        <is>
          <t>N/D</t>
        </is>
      </c>
      <c r="J37" s="75" t="inlineStr">
        <is>
          <t>não encontrado</t>
        </is>
      </c>
      <c r="K37" s="75" t="inlineStr">
        <is>
          <t>N/D</t>
        </is>
      </c>
      <c r="L37" s="75" t="inlineStr">
        <is>
          <t>N/D</t>
        </is>
      </c>
      <c r="M37" s="75" t="inlineStr">
        <is>
          <t>N/D</t>
        </is>
      </c>
      <c r="N37" s="75" t="inlineStr">
        <is>
          <t>N/D</t>
        </is>
      </c>
      <c r="O37" s="75" t="inlineStr">
        <is>
          <t>N/D</t>
        </is>
      </c>
      <c r="P37" s="75" t="inlineStr">
        <is>
          <t>N/D</t>
        </is>
      </c>
      <c r="Q37" s="75" t="inlineStr">
        <is>
          <t>a CloudWalk que, de tempos em tempos, nos termos do Contrato de Cessão, cede seus respectivos Direitos Creditórios Elegíveis ao Fundo</t>
        </is>
      </c>
      <c r="R37" s="75" t="inlineStr">
        <is>
          <t>encontrado_explicito</t>
        </is>
      </c>
      <c r="S37" s="75" t="inlineStr">
        <is>
          <t>N/D</t>
        </is>
      </c>
      <c r="T37" s="75" t="inlineStr">
        <is>
          <t>851798</t>
        </is>
      </c>
      <c r="U37" s="75" t="inlineStr">
        <is>
          <t>2025-02-28</t>
        </is>
      </c>
      <c r="V37" s="75" t="inlineStr">
        <is>
          <t>94</t>
        </is>
      </c>
      <c r="W37" s="75" t="inlineStr">
        <is>
          <t>https://fnet.bmfbovespa.com.br/fnet/publico/downloadDocumento?id=851798</t>
        </is>
      </c>
      <c r="X37" s="75" t="inlineStr">
        <is>
          <t>regulamento</t>
        </is>
      </c>
      <c r="Y37" s="75" t="inlineStr">
        <is>
          <t>cada Devedor de Direitos Creditórios Cedidos que represente 5% ( cinco por cento) ou mais do Patrimônio Líquido do Fundo</t>
        </is>
      </c>
      <c r="Z37" s="75" t="inlineStr">
        <is>
          <t>encontrado_explicito</t>
        </is>
      </c>
      <c r="AA37" s="75" t="inlineStr">
        <is>
          <t>N/D</t>
        </is>
      </c>
      <c r="AB37" s="75" t="inlineStr">
        <is>
          <t>851798</t>
        </is>
      </c>
      <c r="AC37" s="75" t="inlineStr">
        <is>
          <t>2025-02-28</t>
        </is>
      </c>
      <c r="AD37" s="75" t="inlineStr">
        <is>
          <t>98</t>
        </is>
      </c>
      <c r="AE37" s="75" t="inlineStr">
        <is>
          <t>https://fnet.bmfbovespa.com.br/fnet/publico/downloadDocumento?id=851798</t>
        </is>
      </c>
      <c r="AF37" s="75" t="inlineStr">
        <is>
          <t>regulamento</t>
        </is>
      </c>
      <c r="AG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AH37" s="75" t="inlineStr">
        <is>
          <t>encontrado_explicito</t>
        </is>
      </c>
      <c r="AI37" s="75" t="inlineStr">
        <is>
          <t>N/D</t>
        </is>
      </c>
      <c r="AJ37" s="75" t="inlineStr">
        <is>
          <t>851798</t>
        </is>
      </c>
      <c r="AK37" s="75" t="inlineStr">
        <is>
          <t>2025-02-28</t>
        </is>
      </c>
      <c r="AL37" s="75" t="inlineStr">
        <is>
          <t>99</t>
        </is>
      </c>
      <c r="AM37" s="75" t="inlineStr">
        <is>
          <t>https://fnet.bmfbovespa.com.br/fnet/publico/downloadDocumento?id=851798</t>
        </is>
      </c>
      <c r="AN37" s="75" t="inlineStr">
        <is>
          <t>regulamento</t>
        </is>
      </c>
      <c r="AO37" s="75" t="inlineStr">
        <is>
          <t>5%</t>
        </is>
      </c>
      <c r="AP37" s="75" t="inlineStr">
        <is>
          <t>aceito_payload</t>
        </is>
      </c>
      <c r="AQ37" s="75" t="inlineStr">
        <is>
          <t>junior_pl</t>
        </is>
      </c>
      <c r="AR37" s="75" t="inlineStr">
        <is>
          <t>851798</t>
        </is>
      </c>
      <c r="AS37" s="75" t="inlineStr">
        <is>
          <t>2025-02-28</t>
        </is>
      </c>
      <c r="AT37" s="75" t="inlineStr">
        <is>
          <t>101–102</t>
        </is>
      </c>
      <c r="AU37" s="75" t="inlineStr">
        <is>
          <t>https://fnet.bmfbovespa.com.br/fnet/publico/downloadDocumento?id=851798</t>
        </is>
      </c>
      <c r="AV37" s="75" t="inlineStr">
        <is>
          <t>payload_documental</t>
        </is>
      </c>
      <c r="AW37" s="75" t="inlineStr">
        <is>
          <t>5%</t>
        </is>
      </c>
      <c r="AX37" s="75" t="inlineStr">
        <is>
          <t>aceito_payload</t>
        </is>
      </c>
      <c r="AY37" s="75" t="inlineStr">
        <is>
          <t>suporte_total_pl</t>
        </is>
      </c>
      <c r="AZ37" s="75" t="inlineStr">
        <is>
          <t>851798</t>
        </is>
      </c>
      <c r="BA37" s="75" t="inlineStr">
        <is>
          <t>2025-02-28</t>
        </is>
      </c>
      <c r="BB37" s="75" t="inlineStr">
        <is>
          <t>101–102</t>
        </is>
      </c>
      <c r="BC37" s="75" t="inlineStr">
        <is>
          <t>https://fnet.bmfbovespa.com.br/fnet/publico/downloadDocumento?id=851798</t>
        </is>
      </c>
      <c r="BD37" s="75" t="inlineStr">
        <is>
          <t>payload_documental</t>
        </is>
      </c>
      <c r="BE37" s="75" t="inlineStr">
        <is>
          <t>junior_pl</t>
        </is>
      </c>
      <c r="BF37" s="75" t="inlineStr">
        <is>
          <t>aceito_payload</t>
        </is>
      </c>
      <c r="BG37" s="75" t="inlineStr">
        <is>
          <t>junior_pl</t>
        </is>
      </c>
      <c r="BH37" s="75" t="inlineStr">
        <is>
          <t>851798</t>
        </is>
      </c>
      <c r="BI37" s="75" t="inlineStr">
        <is>
          <t>2025-02-28</t>
        </is>
      </c>
      <c r="BJ37" s="75" t="inlineStr">
        <is>
          <t>101–102</t>
        </is>
      </c>
      <c r="BK37" s="75" t="inlineStr">
        <is>
          <t>https://fnet.bmfbovespa.com.br/fnet/publico/downloadDocumento?id=851798</t>
        </is>
      </c>
      <c r="BL37" s="75" t="inlineStr">
        <is>
          <t>payload_documental</t>
        </is>
      </c>
    </row>
    <row r="38" ht="42" customHeight="1">
      <c r="A38" s="141" t="n">
        <v>34</v>
      </c>
      <c r="B38" s="138" t="n">
        <v>42085816000105</v>
      </c>
      <c r="C38" s="74" t="inlineStr">
        <is>
          <t>42.085.816/0001-05</t>
        </is>
      </c>
      <c r="D38" s="74" t="inlineStr">
        <is>
          <t>CLOUDWALK KICK ASS I FUNDO DE INVESTIMENTO EM DIREITOS CREDITÓRIOS SEGMENTO MEIOS DE PAGAMENTO</t>
        </is>
      </c>
      <c r="E38" s="74" t="inlineStr">
        <is>
          <t>concluído</t>
        </is>
      </c>
      <c r="F38" s="141" t="n">
        <v>9</v>
      </c>
      <c r="G38" s="74" t="inlineStr">
        <is>
          <t>consultado</t>
        </is>
      </c>
      <c r="H38" s="74" t="inlineStr">
        <is>
          <t>N/D</t>
        </is>
      </c>
      <c r="I38" s="74" t="inlineStr">
        <is>
          <t>N/D</t>
        </is>
      </c>
      <c r="J38" s="74" t="inlineStr">
        <is>
          <t>não encontrado</t>
        </is>
      </c>
      <c r="K38" s="74" t="inlineStr">
        <is>
          <t>N/D</t>
        </is>
      </c>
      <c r="L38" s="74" t="inlineStr">
        <is>
          <t>N/D</t>
        </is>
      </c>
      <c r="M38" s="74" t="inlineStr">
        <is>
          <t>N/D</t>
        </is>
      </c>
      <c r="N38" s="74" t="inlineStr">
        <is>
          <t>N/D</t>
        </is>
      </c>
      <c r="O38" s="74" t="inlineStr">
        <is>
          <t>N/D</t>
        </is>
      </c>
      <c r="P38" s="74" t="inlineStr">
        <is>
          <t>N/D</t>
        </is>
      </c>
      <c r="Q38" s="74" t="inlineStr">
        <is>
          <t>a CloudWalk que, de tempos em tempos, nos termos do Contrato de Cessão, cede seus respectivos Direitos Creditórios Elegíveis ao Fundo</t>
        </is>
      </c>
      <c r="R38" s="74" t="inlineStr">
        <is>
          <t>encontrado_explicito</t>
        </is>
      </c>
      <c r="S38" s="74" t="inlineStr">
        <is>
          <t>N/D</t>
        </is>
      </c>
      <c r="T38" s="74" t="inlineStr">
        <is>
          <t>513540</t>
        </is>
      </c>
      <c r="U38" s="74" t="inlineStr">
        <is>
          <t>28/08/2023</t>
        </is>
      </c>
      <c r="V38" s="74" t="inlineStr">
        <is>
          <t>62</t>
        </is>
      </c>
      <c r="W38" s="74" t="inlineStr">
        <is>
          <t>https://fnet.bmfbovespa.com.br/fnet/publico/downloadDocumento?id=513540</t>
        </is>
      </c>
      <c r="X38" s="74" t="inlineStr">
        <is>
          <t>regulamento</t>
        </is>
      </c>
      <c r="Y38" s="74" t="inlineStr">
        <is>
          <t>os Emissores Qualificados</t>
        </is>
      </c>
      <c r="Z38" s="74" t="inlineStr">
        <is>
          <t>encontrado_explicito</t>
        </is>
      </c>
      <c r="AA38" s="74" t="inlineStr">
        <is>
          <t>N/D</t>
        </is>
      </c>
      <c r="AB38" s="74" t="inlineStr">
        <is>
          <t>513540</t>
        </is>
      </c>
      <c r="AC38" s="74" t="inlineStr">
        <is>
          <t>28/08/2023</t>
        </is>
      </c>
      <c r="AD38" s="74" t="inlineStr">
        <is>
          <t>66</t>
        </is>
      </c>
      <c r="AE38" s="74" t="inlineStr">
        <is>
          <t>https://fnet.bmfbovespa.com.br/fnet/publico/downloadDocumento?id=513540</t>
        </is>
      </c>
      <c r="AF38" s="74" t="inlineStr">
        <is>
          <t>regulamento</t>
        </is>
      </c>
      <c r="AG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AH38" s="74" t="inlineStr">
        <is>
          <t>encontrado_explicito</t>
        </is>
      </c>
      <c r="AI38" s="74" t="inlineStr">
        <is>
          <t>N/D</t>
        </is>
      </c>
      <c r="AJ38" s="74" t="inlineStr">
        <is>
          <t>513540</t>
        </is>
      </c>
      <c r="AK38" s="74" t="inlineStr">
        <is>
          <t>28/08/2023</t>
        </is>
      </c>
      <c r="AL38" s="74" t="inlineStr">
        <is>
          <t>66</t>
        </is>
      </c>
      <c r="AM38" s="74" t="inlineStr">
        <is>
          <t>https://fnet.bmfbovespa.com.br/fnet/publico/downloadDocumento?id=513540</t>
        </is>
      </c>
      <c r="AN38" s="74" t="inlineStr">
        <is>
          <t>regulamento</t>
        </is>
      </c>
      <c r="AO38" s="74" t="inlineStr">
        <is>
          <t>4.8%</t>
        </is>
      </c>
      <c r="AP38" s="74" t="inlineStr">
        <is>
          <t>aceito_payload</t>
        </is>
      </c>
      <c r="AQ38" s="74" t="inlineStr">
        <is>
          <t>junior_pl</t>
        </is>
      </c>
      <c r="AR38" s="74" t="inlineStr">
        <is>
          <t>733165</t>
        </is>
      </c>
      <c r="AS38" s="74" t="inlineStr">
        <is>
          <t>2024-09-05</t>
        </is>
      </c>
      <c r="AT38" s="74" t="inlineStr">
        <is>
          <t>98</t>
        </is>
      </c>
      <c r="AU38" s="74" t="inlineStr">
        <is>
          <t>https://fnet.bmfbovespa.com.br/fnet/publico/downloadDocumento?id=733165</t>
        </is>
      </c>
      <c r="AV38" s="74" t="inlineStr">
        <is>
          <t>payload_documental</t>
        </is>
      </c>
      <c r="AW38" s="74" t="inlineStr">
        <is>
          <t>4.8%</t>
        </is>
      </c>
      <c r="AX38" s="74" t="inlineStr">
        <is>
          <t>aceito_payload</t>
        </is>
      </c>
      <c r="AY38" s="74" t="inlineStr">
        <is>
          <t>suporte_total_pl</t>
        </is>
      </c>
      <c r="AZ38" s="74" t="inlineStr">
        <is>
          <t>733165</t>
        </is>
      </c>
      <c r="BA38" s="74" t="inlineStr">
        <is>
          <t>2024-09-05</t>
        </is>
      </c>
      <c r="BB38" s="74" t="inlineStr">
        <is>
          <t>98</t>
        </is>
      </c>
      <c r="BC38" s="74" t="inlineStr">
        <is>
          <t>https://fnet.bmfbovespa.com.br/fnet/publico/downloadDocumento?id=733165</t>
        </is>
      </c>
      <c r="BD38" s="74" t="inlineStr">
        <is>
          <t>payload_documental</t>
        </is>
      </c>
      <c r="BE38" s="74" t="inlineStr">
        <is>
          <t>junior_pl</t>
        </is>
      </c>
      <c r="BF38" s="74" t="inlineStr">
        <is>
          <t>aceito_payload</t>
        </is>
      </c>
      <c r="BG38" s="74" t="inlineStr">
        <is>
          <t>junior_pl</t>
        </is>
      </c>
      <c r="BH38" s="74" t="inlineStr">
        <is>
          <t>733165</t>
        </is>
      </c>
      <c r="BI38" s="74" t="inlineStr">
        <is>
          <t>2024-09-05</t>
        </is>
      </c>
      <c r="BJ38" s="74" t="inlineStr">
        <is>
          <t>98</t>
        </is>
      </c>
      <c r="BK38" s="74" t="inlineStr">
        <is>
          <t>https://fnet.bmfbovespa.com.br/fnet/publico/downloadDocumento?id=733165</t>
        </is>
      </c>
      <c r="BL38" s="74" t="inlineStr">
        <is>
          <t>payload_documental</t>
        </is>
      </c>
    </row>
    <row r="39" ht="42" customHeight="1">
      <c r="A39" s="145" t="n">
        <v>35</v>
      </c>
      <c r="B39" s="142" t="n">
        <v>38385876000176</v>
      </c>
      <c r="C39" s="75" t="inlineStr">
        <is>
          <t>38.385.876/0001-76</t>
        </is>
      </c>
      <c r="D39" s="75" t="inlineStr">
        <is>
          <t>ESTRATÉGIA EDUCACIONAL FUNDO DE INVESTIMENTO EM DIREITOS CREDITÓRIOS</t>
        </is>
      </c>
      <c r="E39" s="75" t="inlineStr">
        <is>
          <t>concluído</t>
        </is>
      </c>
      <c r="F39" s="145" t="n">
        <v>7</v>
      </c>
      <c r="G39" s="75" t="inlineStr">
        <is>
          <t>consultado</t>
        </is>
      </c>
      <c r="H39" s="75" t="inlineStr">
        <is>
          <t>N/D</t>
        </is>
      </c>
      <c r="I39" s="75" t="inlineStr">
        <is>
          <t>N/D</t>
        </is>
      </c>
      <c r="J39" s="75" t="inlineStr">
        <is>
          <t>não encontrado</t>
        </is>
      </c>
      <c r="K39" s="75" t="inlineStr">
        <is>
          <t>N/D</t>
        </is>
      </c>
      <c r="L39" s="75" t="inlineStr">
        <is>
          <t>N/D</t>
        </is>
      </c>
      <c r="M39" s="75" t="inlineStr">
        <is>
          <t>N/D</t>
        </is>
      </c>
      <c r="N39" s="75" t="inlineStr">
        <is>
          <t>N/D</t>
        </is>
      </c>
      <c r="O39" s="75" t="inlineStr">
        <is>
          <t>N/D</t>
        </is>
      </c>
      <c r="P39" s="75" t="inlineStr">
        <is>
          <t>N/D</t>
        </is>
      </c>
      <c r="Q39" s="75" t="inlineStr">
        <is>
          <t>Estratégia Concursos</t>
        </is>
      </c>
      <c r="R39" s="75" t="inlineStr">
        <is>
          <t>aceito_payload</t>
        </is>
      </c>
      <c r="S39" s="75" t="inlineStr">
        <is>
          <t>N/D</t>
        </is>
      </c>
      <c r="T39" s="75" t="inlineStr">
        <is>
          <t>IMG_8705.JPG</t>
        </is>
      </c>
      <c r="U39" s="75" t="inlineStr">
        <is>
          <t>2024-08-14</t>
        </is>
      </c>
      <c r="V39" s="75" t="inlineStr">
        <is>
          <t>11</t>
        </is>
      </c>
      <c r="W39" s="75" t="inlineStr">
        <is>
          <t>N/D</t>
        </is>
      </c>
      <c r="X39" s="75" t="inlineStr">
        <is>
          <t>planilha_manual</t>
        </is>
      </c>
      <c r="Y39" s="75" t="inlineStr">
        <is>
          <t>N/D</t>
        </is>
      </c>
      <c r="Z39" s="75" t="inlineStr">
        <is>
          <t>não encontrado</t>
        </is>
      </c>
      <c r="AA39" s="75" t="inlineStr">
        <is>
          <t>N/D</t>
        </is>
      </c>
      <c r="AB39" s="75" t="inlineStr">
        <is>
          <t>N/D</t>
        </is>
      </c>
      <c r="AC39" s="75" t="inlineStr">
        <is>
          <t>N/D</t>
        </is>
      </c>
      <c r="AD39" s="75" t="inlineStr">
        <is>
          <t>N/D</t>
        </is>
      </c>
      <c r="AE39" s="75" t="inlineStr">
        <is>
          <t>N/D</t>
        </is>
      </c>
      <c r="AF39" s="75" t="inlineStr">
        <is>
          <t>N/D</t>
        </is>
      </c>
      <c r="AG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AH39" s="75" t="inlineStr">
        <is>
          <t>encontrado_explicito</t>
        </is>
      </c>
      <c r="AI39" s="75" t="inlineStr">
        <is>
          <t>N/D</t>
        </is>
      </c>
      <c r="AJ39" s="75" t="inlineStr">
        <is>
          <t>719764</t>
        </is>
      </c>
      <c r="AK39" s="75" t="inlineStr">
        <is>
          <t>14/08/2024</t>
        </is>
      </c>
      <c r="AL39" s="75" t="inlineStr">
        <is>
          <t>49</t>
        </is>
      </c>
      <c r="AM39" s="75" t="inlineStr">
        <is>
          <t>https://fnet.bmfbovespa.com.br/fnet/publico/downloadDocumento?id=719764</t>
        </is>
      </c>
      <c r="AN39" s="75" t="inlineStr">
        <is>
          <t>regulamento</t>
        </is>
      </c>
      <c r="AO39" s="75" t="inlineStr">
        <is>
          <t>10%</t>
        </is>
      </c>
      <c r="AP39" s="75" t="inlineStr">
        <is>
          <t>aceito_payload</t>
        </is>
      </c>
      <c r="AQ39" s="75" t="inlineStr">
        <is>
          <t>junior_pl</t>
        </is>
      </c>
      <c r="AR39" s="75" t="inlineStr">
        <is>
          <t>719764</t>
        </is>
      </c>
      <c r="AS39" s="75" t="inlineStr">
        <is>
          <t>2024-08-14</t>
        </is>
      </c>
      <c r="AT39" s="75" t="inlineStr">
        <is>
          <t>11</t>
        </is>
      </c>
      <c r="AU39" s="75" t="inlineStr">
        <is>
          <t>https://fnet.bmfbovespa.com.br/fnet/publico/downloadDocumento?id=719764</t>
        </is>
      </c>
      <c r="AV39" s="75" t="inlineStr">
        <is>
          <t>payload_documental</t>
        </is>
      </c>
      <c r="AW39" s="75" t="inlineStr">
        <is>
          <t>N/D</t>
        </is>
      </c>
      <c r="AX39" s="75" t="inlineStr">
        <is>
          <t>não encontrado</t>
        </is>
      </c>
      <c r="AY39" s="75" t="inlineStr">
        <is>
          <t>N/D</t>
        </is>
      </c>
      <c r="AZ39" s="75" t="inlineStr">
        <is>
          <t>N/D</t>
        </is>
      </c>
      <c r="BA39" s="75" t="inlineStr">
        <is>
          <t>N/D</t>
        </is>
      </c>
      <c r="BB39" s="75" t="inlineStr">
        <is>
          <t>N/D</t>
        </is>
      </c>
      <c r="BC39" s="75" t="inlineStr">
        <is>
          <t>N/D</t>
        </is>
      </c>
      <c r="BD39" s="75" t="inlineStr">
        <is>
          <t>N/D</t>
        </is>
      </c>
      <c r="BE39" s="75" t="inlineStr">
        <is>
          <t>junior_pl</t>
        </is>
      </c>
      <c r="BF39" s="75" t="inlineStr">
        <is>
          <t>aceito_payload</t>
        </is>
      </c>
      <c r="BG39" s="75" t="inlineStr">
        <is>
          <t>junior_pl</t>
        </is>
      </c>
      <c r="BH39" s="75" t="inlineStr">
        <is>
          <t>719764</t>
        </is>
      </c>
      <c r="BI39" s="75" t="inlineStr">
        <is>
          <t>2024-08-14</t>
        </is>
      </c>
      <c r="BJ39" s="75" t="inlineStr">
        <is>
          <t>11</t>
        </is>
      </c>
      <c r="BK39" s="75" t="inlineStr">
        <is>
          <t>https://fnet.bmfbovespa.com.br/fnet/publico/downloadDocumento?id=719764</t>
        </is>
      </c>
      <c r="BL39" s="75" t="inlineStr">
        <is>
          <t>payload_documental</t>
        </is>
      </c>
    </row>
    <row r="40" ht="42" customHeight="1">
      <c r="A40" s="141" t="n">
        <v>36</v>
      </c>
      <c r="B40" s="138" t="n">
        <v>40919667000107</v>
      </c>
      <c r="C40" s="74" t="inlineStr">
        <is>
          <t>40.919.667/0001-07</t>
        </is>
      </c>
      <c r="D40" s="74" t="inlineStr">
        <is>
          <t>RECARGAPAY I FUNDO DE INVESTIMENTO EM DIREITOS CREDITÓRIOS</t>
        </is>
      </c>
      <c r="E40" s="74" t="inlineStr">
        <is>
          <t>concluído</t>
        </is>
      </c>
      <c r="F40" s="141" t="n">
        <v>8</v>
      </c>
      <c r="G40" s="74" t="inlineStr">
        <is>
          <t>consultado</t>
        </is>
      </c>
      <c r="H40" s="74" t="inlineStr">
        <is>
          <t>N/D</t>
        </is>
      </c>
      <c r="I40" s="74" t="inlineStr">
        <is>
          <t>N/D</t>
        </is>
      </c>
      <c r="J40" s="74" t="inlineStr">
        <is>
          <t>não encontrado</t>
        </is>
      </c>
      <c r="K40" s="74" t="inlineStr">
        <is>
          <t>N/D</t>
        </is>
      </c>
      <c r="L40" s="74" t="inlineStr">
        <is>
          <t>N/D</t>
        </is>
      </c>
      <c r="M40" s="74" t="inlineStr">
        <is>
          <t>N/D</t>
        </is>
      </c>
      <c r="N40" s="74" t="inlineStr">
        <is>
          <t>N/D</t>
        </is>
      </c>
      <c r="O40" s="74" t="inlineStr">
        <is>
          <t>N/D</t>
        </is>
      </c>
      <c r="P40" s="74" t="inlineStr">
        <is>
          <t>N/D</t>
        </is>
      </c>
      <c r="Q40" s="74" t="inlineStr">
        <is>
          <t>RecargaPay</t>
        </is>
      </c>
      <c r="R40" s="74" t="inlineStr">
        <is>
          <t>aceito_payload</t>
        </is>
      </c>
      <c r="S40" s="74" t="inlineStr">
        <is>
          <t>N/D</t>
        </is>
      </c>
      <c r="T40" s="74" t="inlineStr">
        <is>
          <t>IMG_8705.JPG</t>
        </is>
      </c>
      <c r="U40" s="74" t="inlineStr">
        <is>
          <t>2026-02-12</t>
        </is>
      </c>
      <c r="V40" s="74" t="inlineStr">
        <is>
          <t>31</t>
        </is>
      </c>
      <c r="W40" s="74" t="inlineStr">
        <is>
          <t>N/D</t>
        </is>
      </c>
      <c r="X40" s="74" t="inlineStr">
        <is>
          <t>planilha_manual</t>
        </is>
      </c>
      <c r="Y40" s="74" t="inlineStr">
        <is>
          <t>N/D</t>
        </is>
      </c>
      <c r="Z40" s="74" t="inlineStr">
        <is>
          <t>não encontrado</t>
        </is>
      </c>
      <c r="AA40" s="74" t="inlineStr">
        <is>
          <t>N/D</t>
        </is>
      </c>
      <c r="AB40" s="74" t="inlineStr">
        <is>
          <t>N/D</t>
        </is>
      </c>
      <c r="AC40" s="74" t="inlineStr">
        <is>
          <t>N/D</t>
        </is>
      </c>
      <c r="AD40" s="74" t="inlineStr">
        <is>
          <t>N/D</t>
        </is>
      </c>
      <c r="AE40" s="74" t="inlineStr">
        <is>
          <t>N/D</t>
        </is>
      </c>
      <c r="AF40" s="74" t="inlineStr">
        <is>
          <t>N/D</t>
        </is>
      </c>
      <c r="AG40" s="74" t="inlineStr">
        <is>
          <t>recebíveis de cartão</t>
        </is>
      </c>
      <c r="AH40" s="74" t="inlineStr">
        <is>
          <t>aceito_payload</t>
        </is>
      </c>
      <c r="AI40" s="74" t="inlineStr">
        <is>
          <t>N/D</t>
        </is>
      </c>
      <c r="AJ40" s="74" t="inlineStr">
        <is>
          <t>IMG_8705.JPG</t>
        </is>
      </c>
      <c r="AK40" s="74" t="inlineStr">
        <is>
          <t>2026-02-12</t>
        </is>
      </c>
      <c r="AL40" s="74" t="inlineStr">
        <is>
          <t>31</t>
        </is>
      </c>
      <c r="AM40" s="74" t="inlineStr">
        <is>
          <t>N/D</t>
        </is>
      </c>
      <c r="AN40" s="74" t="inlineStr">
        <is>
          <t>planilha_manual</t>
        </is>
      </c>
      <c r="AO40" s="74" t="inlineStr">
        <is>
          <t>50%</t>
        </is>
      </c>
      <c r="AP40" s="74" t="inlineStr">
        <is>
          <t>aceito_payload</t>
        </is>
      </c>
      <c r="AQ40" s="74" t="inlineStr">
        <is>
          <t>junior_pl</t>
        </is>
      </c>
      <c r="AR40" s="74" t="inlineStr">
        <is>
          <t>1118056</t>
        </is>
      </c>
      <c r="AS40" s="74" t="inlineStr">
        <is>
          <t>2026-02-12</t>
        </is>
      </c>
      <c r="AT40" s="74" t="inlineStr">
        <is>
          <t>31</t>
        </is>
      </c>
      <c r="AU40" s="74" t="inlineStr">
        <is>
          <t>https://fnet.bmfbovespa.com.br/fnet/publico/downloadDocumento?id=1118056</t>
        </is>
      </c>
      <c r="AV40" s="74" t="inlineStr">
        <is>
          <t>payload_documental</t>
        </is>
      </c>
      <c r="AW40" s="74" t="inlineStr">
        <is>
          <t>50%</t>
        </is>
      </c>
      <c r="AX40" s="74" t="inlineStr">
        <is>
          <t>aceito_payload</t>
        </is>
      </c>
      <c r="AY40" s="74" t="inlineStr">
        <is>
          <t>suporte_total_pl</t>
        </is>
      </c>
      <c r="AZ40" s="74" t="inlineStr">
        <is>
          <t>1118056</t>
        </is>
      </c>
      <c r="BA40" s="74" t="inlineStr">
        <is>
          <t>2026-02-12</t>
        </is>
      </c>
      <c r="BB40" s="74" t="inlineStr">
        <is>
          <t>31</t>
        </is>
      </c>
      <c r="BC40" s="74" t="inlineStr">
        <is>
          <t>https://fnet.bmfbovespa.com.br/fnet/publico/downloadDocumento?id=1118056</t>
        </is>
      </c>
      <c r="BD40" s="74" t="inlineStr">
        <is>
          <t>payload_documental</t>
        </is>
      </c>
      <c r="BE40" s="74" t="inlineStr">
        <is>
          <t>junior_pl</t>
        </is>
      </c>
      <c r="BF40" s="74" t="inlineStr">
        <is>
          <t>aceito_payload</t>
        </is>
      </c>
      <c r="BG40" s="74" t="inlineStr">
        <is>
          <t>junior_pl</t>
        </is>
      </c>
      <c r="BH40" s="74" t="inlineStr">
        <is>
          <t>1118056</t>
        </is>
      </c>
      <c r="BI40" s="74" t="inlineStr">
        <is>
          <t>2026-02-12</t>
        </is>
      </c>
      <c r="BJ40" s="74" t="inlineStr">
        <is>
          <t>31</t>
        </is>
      </c>
      <c r="BK40" s="74" t="inlineStr">
        <is>
          <t>https://fnet.bmfbovespa.com.br/fnet/publico/downloadDocumento?id=1118056</t>
        </is>
      </c>
      <c r="BL40" s="74" t="inlineStr">
        <is>
          <t>payload_documental</t>
        </is>
      </c>
    </row>
    <row r="41" ht="42" customHeight="1">
      <c r="A41" s="145" t="n">
        <v>37</v>
      </c>
      <c r="B41" s="142" t="n">
        <v>42102603000144</v>
      </c>
      <c r="C41" s="75" t="inlineStr">
        <is>
          <t>42.102.603/0001-44</t>
        </is>
      </c>
      <c r="D41" s="75" t="inlineStr">
        <is>
          <t>CLOUDWALK KICK ASS II FUNDO DE INVESTIMENTO EM DIREITOS CREDITÓRIOS SEGMENTO MEIOS DE PAGAMENTO</t>
        </is>
      </c>
      <c r="E41" s="75" t="inlineStr">
        <is>
          <t>concluído</t>
        </is>
      </c>
      <c r="F41" s="145" t="n">
        <v>11</v>
      </c>
      <c r="G41" s="75" t="inlineStr">
        <is>
          <t>consultado</t>
        </is>
      </c>
      <c r="H41" s="75" t="inlineStr">
        <is>
          <t>N/D</t>
        </is>
      </c>
      <c r="I41" s="75" t="inlineStr">
        <is>
          <t>N/D</t>
        </is>
      </c>
      <c r="J41" s="75" t="inlineStr">
        <is>
          <t>não encontrado</t>
        </is>
      </c>
      <c r="K41" s="75" t="inlineStr">
        <is>
          <t>N/D</t>
        </is>
      </c>
      <c r="L41" s="75" t="inlineStr">
        <is>
          <t>N/D</t>
        </is>
      </c>
      <c r="M41" s="75" t="inlineStr">
        <is>
          <t>N/D</t>
        </is>
      </c>
      <c r="N41" s="75" t="inlineStr">
        <is>
          <t>N/D</t>
        </is>
      </c>
      <c r="O41" s="75" t="inlineStr">
        <is>
          <t>N/D</t>
        </is>
      </c>
      <c r="P41" s="75" t="inlineStr">
        <is>
          <t>N/D</t>
        </is>
      </c>
      <c r="Q41" s="75" t="inlineStr">
        <is>
          <t>a CloudWalk que, de tempos em tempos, nos termos do Contrato de Cessão, cede seus respectivos Direitos Creditórios Elegíveis ao Fundo</t>
        </is>
      </c>
      <c r="R41" s="75" t="inlineStr">
        <is>
          <t>encontrado_explicito</t>
        </is>
      </c>
      <c r="S41" s="75" t="inlineStr">
        <is>
          <t>N/D</t>
        </is>
      </c>
      <c r="T41" s="75" t="inlineStr">
        <is>
          <t>733239</t>
        </is>
      </c>
      <c r="U41" s="75" t="inlineStr">
        <is>
          <t>2024-09-05</t>
        </is>
      </c>
      <c r="V41" s="75" t="inlineStr">
        <is>
          <t>92</t>
        </is>
      </c>
      <c r="W41" s="75" t="inlineStr">
        <is>
          <t>https://fnet.bmfbovespa.com.br/fnet/publico/downloadDocumento?id=733239</t>
        </is>
      </c>
      <c r="X41" s="75" t="inlineStr">
        <is>
          <t>regulamento</t>
        </is>
      </c>
      <c r="Y41" s="75" t="inlineStr">
        <is>
          <t>cada Devedor de Direitos Creditórios Cedidos que represente 6,8% (seis inteiros e oito décimos por cento) ou mais do Patrimônio Líquido do Fundo</t>
        </is>
      </c>
      <c r="Z41" s="75" t="inlineStr">
        <is>
          <t>encontrado_explicito</t>
        </is>
      </c>
      <c r="AA41" s="75" t="inlineStr">
        <is>
          <t>N/D</t>
        </is>
      </c>
      <c r="AB41" s="75" t="inlineStr">
        <is>
          <t>733239</t>
        </is>
      </c>
      <c r="AC41" s="75" t="inlineStr">
        <is>
          <t>2024-09-05</t>
        </is>
      </c>
      <c r="AD41" s="75" t="inlineStr">
        <is>
          <t>96</t>
        </is>
      </c>
      <c r="AE41" s="75" t="inlineStr">
        <is>
          <t>https://fnet.bmfbovespa.com.br/fnet/publico/downloadDocumento?id=733239</t>
        </is>
      </c>
      <c r="AF41" s="75" t="inlineStr">
        <is>
          <t>regulamento</t>
        </is>
      </c>
      <c r="AG41" s="75" t="inlineStr">
        <is>
          <t>os direitos creditórios de tempos em tempos detidos pela Cedente em face dos Devedores , conforme as regras dos Arranjos de Pagamentos, decorrentes de Docusign Envelope ID: C7A68EEF-E1CC-4C50-9460-07F207F1899B</t>
        </is>
      </c>
      <c r="AH41" s="75" t="inlineStr">
        <is>
          <t>encontrado_explicito</t>
        </is>
      </c>
      <c r="AI41" s="75" t="inlineStr">
        <is>
          <t>N/D</t>
        </is>
      </c>
      <c r="AJ41" s="75" t="inlineStr">
        <is>
          <t>733239</t>
        </is>
      </c>
      <c r="AK41" s="75" t="inlineStr">
        <is>
          <t>2024-09-05</t>
        </is>
      </c>
      <c r="AL41" s="75" t="inlineStr">
        <is>
          <t>96</t>
        </is>
      </c>
      <c r="AM41" s="75" t="inlineStr">
        <is>
          <t>https://fnet.bmfbovespa.com.br/fnet/publico/downloadDocumento?id=733239</t>
        </is>
      </c>
      <c r="AN41" s="75" t="inlineStr">
        <is>
          <t>regulamento</t>
        </is>
      </c>
      <c r="AO41" s="75" t="inlineStr">
        <is>
          <t>6.8%</t>
        </is>
      </c>
      <c r="AP41" s="75" t="inlineStr">
        <is>
          <t>aceito_payload</t>
        </is>
      </c>
      <c r="AQ41" s="75" t="inlineStr">
        <is>
          <t>junior_pl</t>
        </is>
      </c>
      <c r="AR41" s="75" t="inlineStr">
        <is>
          <t>733239</t>
        </is>
      </c>
      <c r="AS41" s="75" t="inlineStr">
        <is>
          <t>2024-09-05</t>
        </is>
      </c>
      <c r="AT41" s="75" t="inlineStr">
        <is>
          <t>99</t>
        </is>
      </c>
      <c r="AU41" s="75" t="inlineStr">
        <is>
          <t>https://fnet.bmfbovespa.com.br/fnet/publico/downloadDocumento?id=733239</t>
        </is>
      </c>
      <c r="AV41" s="75" t="inlineStr">
        <is>
          <t>payload_documental</t>
        </is>
      </c>
      <c r="AW41" s="75" t="inlineStr">
        <is>
          <t>6.8%</t>
        </is>
      </c>
      <c r="AX41" s="75" t="inlineStr">
        <is>
          <t>aceito_payload</t>
        </is>
      </c>
      <c r="AY41" s="75" t="inlineStr">
        <is>
          <t>suporte_total_pl</t>
        </is>
      </c>
      <c r="AZ41" s="75" t="inlineStr">
        <is>
          <t>733239</t>
        </is>
      </c>
      <c r="BA41" s="75" t="inlineStr">
        <is>
          <t>2024-09-05</t>
        </is>
      </c>
      <c r="BB41" s="75" t="inlineStr">
        <is>
          <t>99</t>
        </is>
      </c>
      <c r="BC41" s="75" t="inlineStr">
        <is>
          <t>https://fnet.bmfbovespa.com.br/fnet/publico/downloadDocumento?id=733239</t>
        </is>
      </c>
      <c r="BD41" s="75" t="inlineStr">
        <is>
          <t>payload_documental</t>
        </is>
      </c>
      <c r="BE41" s="75" t="inlineStr">
        <is>
          <t>junior_pl</t>
        </is>
      </c>
      <c r="BF41" s="75" t="inlineStr">
        <is>
          <t>aceito_payload</t>
        </is>
      </c>
      <c r="BG41" s="75" t="inlineStr">
        <is>
          <t>junior_pl</t>
        </is>
      </c>
      <c r="BH41" s="75" t="inlineStr">
        <is>
          <t>733239</t>
        </is>
      </c>
      <c r="BI41" s="75" t="inlineStr">
        <is>
          <t>2024-09-05</t>
        </is>
      </c>
      <c r="BJ41" s="75" t="inlineStr">
        <is>
          <t>99</t>
        </is>
      </c>
      <c r="BK41" s="75" t="inlineStr">
        <is>
          <t>https://fnet.bmfbovespa.com.br/fnet/publico/downloadDocumento?id=733239</t>
        </is>
      </c>
      <c r="BL41" s="75" t="inlineStr">
        <is>
          <t>payload_documental</t>
        </is>
      </c>
    </row>
    <row r="42" ht="42" customHeight="1">
      <c r="A42" s="141" t="n">
        <v>38</v>
      </c>
      <c r="B42" s="138" t="n">
        <v>28169275000172</v>
      </c>
      <c r="C42" s="74" t="inlineStr">
        <is>
          <t>28.169.275/0001-72</t>
        </is>
      </c>
      <c r="D42" s="74" t="inlineStr">
        <is>
          <t>FUNDO DE INVESTIMENTO EM DIREITOS CREDITÓRIOS PAGSEGURO I</t>
        </is>
      </c>
      <c r="E42" s="74" t="inlineStr">
        <is>
          <t>concluído</t>
        </is>
      </c>
      <c r="F42" s="141" t="n">
        <v>8</v>
      </c>
      <c r="G42" s="74" t="inlineStr">
        <is>
          <t>consultado</t>
        </is>
      </c>
      <c r="H42" s="74" t="inlineStr">
        <is>
          <t>N/D</t>
        </is>
      </c>
      <c r="I42" s="74" t="inlineStr">
        <is>
          <t>N/D</t>
        </is>
      </c>
      <c r="J42" s="74" t="inlineStr">
        <is>
          <t>não encontrado</t>
        </is>
      </c>
      <c r="K42" s="74" t="inlineStr">
        <is>
          <t>N/D</t>
        </is>
      </c>
      <c r="L42" s="74" t="inlineStr">
        <is>
          <t>N/D</t>
        </is>
      </c>
      <c r="M42" s="74" t="inlineStr">
        <is>
          <t>N/D</t>
        </is>
      </c>
      <c r="N42" s="74" t="inlineStr">
        <is>
          <t>N/D</t>
        </is>
      </c>
      <c r="O42" s="74" t="inlineStr">
        <is>
          <t>N/D</t>
        </is>
      </c>
      <c r="P42" s="74" t="inlineStr">
        <is>
          <t>N/D</t>
        </is>
      </c>
      <c r="Q42" s="74" t="inlineStr">
        <is>
          <t>PagSeguro</t>
        </is>
      </c>
      <c r="R42" s="74" t="inlineStr">
        <is>
          <t>aceito_payload</t>
        </is>
      </c>
      <c r="S42" s="74" t="inlineStr">
        <is>
          <t>N/D</t>
        </is>
      </c>
      <c r="T42" s="74" t="inlineStr">
        <is>
          <t>IMG_8705.JPG</t>
        </is>
      </c>
      <c r="U42" s="74" t="inlineStr">
        <is>
          <t>2026-03-25</t>
        </is>
      </c>
      <c r="V42" s="74" t="inlineStr">
        <is>
          <t>44</t>
        </is>
      </c>
      <c r="W42" s="74" t="inlineStr">
        <is>
          <t>N/D</t>
        </is>
      </c>
      <c r="X42" s="74" t="inlineStr">
        <is>
          <t>planilha_manual</t>
        </is>
      </c>
      <c r="Y42" s="74" t="inlineStr">
        <is>
          <t>N/D</t>
        </is>
      </c>
      <c r="Z42" s="74" t="inlineStr">
        <is>
          <t>não encontrado</t>
        </is>
      </c>
      <c r="AA42" s="74" t="inlineStr">
        <is>
          <t>N/D</t>
        </is>
      </c>
      <c r="AB42" s="74" t="inlineStr">
        <is>
          <t>N/D</t>
        </is>
      </c>
      <c r="AC42" s="74" t="inlineStr">
        <is>
          <t>N/D</t>
        </is>
      </c>
      <c r="AD42" s="74" t="inlineStr">
        <is>
          <t>N/D</t>
        </is>
      </c>
      <c r="AE42" s="74" t="inlineStr">
        <is>
          <t>N/D</t>
        </is>
      </c>
      <c r="AF42" s="74" t="inlineStr">
        <is>
          <t>N/D</t>
        </is>
      </c>
      <c r="AG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AH42" s="74" t="inlineStr">
        <is>
          <t>encontrado_explicito</t>
        </is>
      </c>
      <c r="AI42" s="74" t="inlineStr">
        <is>
          <t>N/D</t>
        </is>
      </c>
      <c r="AJ42" s="74" t="inlineStr">
        <is>
          <t>1147067</t>
        </is>
      </c>
      <c r="AK42" s="74" t="inlineStr">
        <is>
          <t>2026-03-25</t>
        </is>
      </c>
      <c r="AL42" s="74" t="inlineStr">
        <is>
          <t>88</t>
        </is>
      </c>
      <c r="AM42" s="74" t="inlineStr">
        <is>
          <t>https://fnet.bmfbovespa.com.br/fnet/publico/downloadDocumento?id=1147067</t>
        </is>
      </c>
      <c r="AN42" s="74" t="inlineStr">
        <is>
          <t>assembleia</t>
        </is>
      </c>
      <c r="AO42" s="74" t="inlineStr">
        <is>
          <t>50%</t>
        </is>
      </c>
      <c r="AP42" s="74" t="inlineStr">
        <is>
          <t>aceito_payload</t>
        </is>
      </c>
      <c r="AQ42" s="74" t="inlineStr">
        <is>
          <t>junior_pl</t>
        </is>
      </c>
      <c r="AR42" s="74" t="inlineStr">
        <is>
          <t>1149521</t>
        </is>
      </c>
      <c r="AS42" s="74" t="inlineStr">
        <is>
          <t>2026-03-25</t>
        </is>
      </c>
      <c r="AT42" s="74" t="inlineStr">
        <is>
          <t>44</t>
        </is>
      </c>
      <c r="AU42" s="74" t="inlineStr">
        <is>
          <t>https://fnet.bmfbovespa.com.br/fnet/publico/downloadDocumento?id=1149521</t>
        </is>
      </c>
      <c r="AV42" s="74" t="inlineStr">
        <is>
          <t>payload_documental</t>
        </is>
      </c>
      <c r="AW42" s="74" t="inlineStr">
        <is>
          <t>N/D</t>
        </is>
      </c>
      <c r="AX42" s="74" t="inlineStr">
        <is>
          <t>não encontrado</t>
        </is>
      </c>
      <c r="AY42" s="74" t="inlineStr">
        <is>
          <t>N/D</t>
        </is>
      </c>
      <c r="AZ42" s="74" t="inlineStr">
        <is>
          <t>N/D</t>
        </is>
      </c>
      <c r="BA42" s="74" t="inlineStr">
        <is>
          <t>N/D</t>
        </is>
      </c>
      <c r="BB42" s="74" t="inlineStr">
        <is>
          <t>N/D</t>
        </is>
      </c>
      <c r="BC42" s="74" t="inlineStr">
        <is>
          <t>N/D</t>
        </is>
      </c>
      <c r="BD42" s="74" t="inlineStr">
        <is>
          <t>N/D</t>
        </is>
      </c>
      <c r="BE42" s="74" t="inlineStr">
        <is>
          <t>junior_pl</t>
        </is>
      </c>
      <c r="BF42" s="74" t="inlineStr">
        <is>
          <t>aceito_payload</t>
        </is>
      </c>
      <c r="BG42" s="74" t="inlineStr">
        <is>
          <t>junior_pl</t>
        </is>
      </c>
      <c r="BH42" s="74" t="inlineStr">
        <is>
          <t>1149521</t>
        </is>
      </c>
      <c r="BI42" s="74" t="inlineStr">
        <is>
          <t>2026-03-25</t>
        </is>
      </c>
      <c r="BJ42" s="74" t="inlineStr">
        <is>
          <t>44</t>
        </is>
      </c>
      <c r="BK42" s="74" t="inlineStr">
        <is>
          <t>https://fnet.bmfbovespa.com.br/fnet/publico/downloadDocumento?id=1149521</t>
        </is>
      </c>
      <c r="BL42" s="74" t="inlineStr">
        <is>
          <t>payload_documental</t>
        </is>
      </c>
    </row>
    <row r="43" ht="42" customHeight="1">
      <c r="A43" s="145" t="n">
        <v>39</v>
      </c>
      <c r="B43" s="142" t="n">
        <v>38658727000133</v>
      </c>
      <c r="C43" s="75" t="inlineStr">
        <is>
          <t>38.658.727/0001-33</t>
        </is>
      </c>
      <c r="D43" s="75" t="inlineStr">
        <is>
          <t>FUNDO DE INVESTIMENTO EM DIREITOS CREDITÓRIOS FORNECEDORES MADEIRA MADEIRA I</t>
        </is>
      </c>
      <c r="E43" s="75" t="inlineStr">
        <is>
          <t>concluído</t>
        </is>
      </c>
      <c r="F43" s="145" t="n">
        <v>13</v>
      </c>
      <c r="G43" s="75" t="inlineStr">
        <is>
          <t>consultado</t>
        </is>
      </c>
      <c r="H43" s="75" t="inlineStr">
        <is>
          <t>N/D</t>
        </is>
      </c>
      <c r="I43" s="75" t="inlineStr">
        <is>
          <t>N/D</t>
        </is>
      </c>
      <c r="J43" s="75" t="inlineStr">
        <is>
          <t>não encontrado</t>
        </is>
      </c>
      <c r="K43" s="75" t="inlineStr">
        <is>
          <t>N/D</t>
        </is>
      </c>
      <c r="L43" s="75" t="inlineStr">
        <is>
          <t>N/D</t>
        </is>
      </c>
      <c r="M43" s="75" t="inlineStr">
        <is>
          <t>N/D</t>
        </is>
      </c>
      <c r="N43" s="75" t="inlineStr">
        <is>
          <t>N/D</t>
        </is>
      </c>
      <c r="O43" s="75" t="inlineStr">
        <is>
          <t>N/D</t>
        </is>
      </c>
      <c r="P43" s="75" t="inlineStr">
        <is>
          <t>N/D</t>
        </is>
      </c>
      <c r="Q43" s="75" t="inlineStr">
        <is>
          <t>Fornecedores: Madeira/Madeira</t>
        </is>
      </c>
      <c r="R43" s="75" t="inlineStr">
        <is>
          <t>aceito_payload</t>
        </is>
      </c>
      <c r="S43" s="75" t="inlineStr">
        <is>
          <t>N/D</t>
        </is>
      </c>
      <c r="T43" s="75" t="inlineStr">
        <is>
          <t>IMG_8705.JPG</t>
        </is>
      </c>
      <c r="U43" s="75" t="inlineStr">
        <is>
          <t>2026-06-05</t>
        </is>
      </c>
      <c r="V43" s="75" t="inlineStr">
        <is>
          <t>62</t>
        </is>
      </c>
      <c r="W43" s="75" t="inlineStr">
        <is>
          <t>N/D</t>
        </is>
      </c>
      <c r="X43" s="75" t="inlineStr">
        <is>
          <t>planilha_manual</t>
        </is>
      </c>
      <c r="Y43" s="75" t="inlineStr">
        <is>
          <t>Madeira/Madeira</t>
        </is>
      </c>
      <c r="Z43" s="75" t="inlineStr">
        <is>
          <t>aceito_payload</t>
        </is>
      </c>
      <c r="AA43" s="75" t="inlineStr">
        <is>
          <t>N/D</t>
        </is>
      </c>
      <c r="AB43" s="75" t="inlineStr">
        <is>
          <t>IMG_8705.JPG</t>
        </is>
      </c>
      <c r="AC43" s="75" t="inlineStr">
        <is>
          <t>2026-06-05</t>
        </is>
      </c>
      <c r="AD43" s="75" t="inlineStr">
        <is>
          <t>62</t>
        </is>
      </c>
      <c r="AE43" s="75" t="inlineStr">
        <is>
          <t>N/D</t>
        </is>
      </c>
      <c r="AF43" s="75" t="inlineStr">
        <is>
          <t>planilha_manual</t>
        </is>
      </c>
      <c r="AG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AH43" s="75" t="inlineStr">
        <is>
          <t>encontrado_explicito</t>
        </is>
      </c>
      <c r="AI43" s="75" t="inlineStr">
        <is>
          <t>N/D</t>
        </is>
      </c>
      <c r="AJ43" s="75" t="inlineStr">
        <is>
          <t>691063</t>
        </is>
      </c>
      <c r="AK43" s="75" t="inlineStr">
        <is>
          <t>2024-06-13</t>
        </is>
      </c>
      <c r="AL43" s="75" t="inlineStr">
        <is>
          <t>8</t>
        </is>
      </c>
      <c r="AM43" s="75" t="inlineStr">
        <is>
          <t>https://fnet.bmfbovespa.com.br/fnet/publico/downloadDocumento?id=691063</t>
        </is>
      </c>
      <c r="AN43" s="75" t="inlineStr">
        <is>
          <t>regulamento</t>
        </is>
      </c>
      <c r="AO43" s="75" t="inlineStr">
        <is>
          <t>26.665%</t>
        </is>
      </c>
      <c r="AP43" s="75" t="inlineStr">
        <is>
          <t>aceito_payload</t>
        </is>
      </c>
      <c r="AQ43" s="75" t="inlineStr">
        <is>
          <t>junior_pl_calculado</t>
        </is>
      </c>
      <c r="AR43" s="75" t="inlineStr">
        <is>
          <t>1216296</t>
        </is>
      </c>
      <c r="AS43" s="75" t="inlineStr">
        <is>
          <t>2026-06-05</t>
        </is>
      </c>
      <c r="AT43" s="75" t="inlineStr">
        <is>
          <t>62</t>
        </is>
      </c>
      <c r="AU43" s="75" t="inlineStr">
        <is>
          <t>https://fnet.bmfbovespa.com.br/fnet/publico/downloadDocumento?id=1216296</t>
        </is>
      </c>
      <c r="AV43" s="75" t="inlineStr">
        <is>
          <t>payload_documental</t>
        </is>
      </c>
      <c r="AW43" s="75" t="inlineStr">
        <is>
          <t>26.665%</t>
        </is>
      </c>
      <c r="AX43" s="75" t="inlineStr">
        <is>
          <t>aceito_payload</t>
        </is>
      </c>
      <c r="AY43" s="75" t="inlineStr">
        <is>
          <t>suporte_total_pl</t>
        </is>
      </c>
      <c r="AZ43" s="75" t="inlineStr">
        <is>
          <t>1216296</t>
        </is>
      </c>
      <c r="BA43" s="75" t="inlineStr">
        <is>
          <t>2026-06-05</t>
        </is>
      </c>
      <c r="BB43" s="75" t="inlineStr">
        <is>
          <t>62</t>
        </is>
      </c>
      <c r="BC43" s="75" t="inlineStr">
        <is>
          <t>https://fnet.bmfbovespa.com.br/fnet/publico/downloadDocumento?id=1216296</t>
        </is>
      </c>
      <c r="BD43" s="75" t="inlineStr">
        <is>
          <t>payload_documental</t>
        </is>
      </c>
      <c r="BE43" s="75" t="inlineStr">
        <is>
          <t>junior_pl_calculado</t>
        </is>
      </c>
      <c r="BF43" s="75" t="inlineStr">
        <is>
          <t>aceito_payload</t>
        </is>
      </c>
      <c r="BG43" s="75" t="inlineStr">
        <is>
          <t>junior_pl_calculado</t>
        </is>
      </c>
      <c r="BH43" s="75" t="inlineStr">
        <is>
          <t>1216296</t>
        </is>
      </c>
      <c r="BI43" s="75" t="inlineStr">
        <is>
          <t>2026-06-05</t>
        </is>
      </c>
      <c r="BJ43" s="75" t="inlineStr">
        <is>
          <t>62</t>
        </is>
      </c>
      <c r="BK43" s="75" t="inlineStr">
        <is>
          <t>https://fnet.bmfbovespa.com.br/fnet/publico/downloadDocumento?id=1216296</t>
        </is>
      </c>
      <c r="BL43" s="75" t="inlineStr">
        <is>
          <t>payload_documental</t>
        </is>
      </c>
    </row>
    <row r="44" ht="42" customHeight="1">
      <c r="A44" s="141" t="n">
        <v>40</v>
      </c>
      <c r="B44" s="138" t="n">
        <v>52271464000136</v>
      </c>
      <c r="C44" s="74" t="inlineStr">
        <is>
          <t>52.271.464/0001-36</t>
        </is>
      </c>
      <c r="D44" s="74" t="inlineStr">
        <is>
          <t>KIWIFY FUNDO DE INVESTIMENTO EM DIREITOS CREDITÓRIOS SEGMENTO MEIOS DE PAGAMENTO DE RESPONSABILIDADE</t>
        </is>
      </c>
      <c r="E44" s="74" t="inlineStr">
        <is>
          <t>concluído</t>
        </is>
      </c>
      <c r="F44" s="141" t="n">
        <v>6</v>
      </c>
      <c r="G44" s="74" t="inlineStr">
        <is>
          <t>consultado</t>
        </is>
      </c>
      <c r="H44" s="74" t="inlineStr">
        <is>
          <t>N/D</t>
        </is>
      </c>
      <c r="I44" s="74" t="inlineStr">
        <is>
          <t>N/D</t>
        </is>
      </c>
      <c r="J44" s="74" t="inlineStr">
        <is>
          <t>não encontrado</t>
        </is>
      </c>
      <c r="K44" s="74" t="inlineStr">
        <is>
          <t>N/D</t>
        </is>
      </c>
      <c r="L44" s="74" t="inlineStr">
        <is>
          <t>N/D</t>
        </is>
      </c>
      <c r="M44" s="74" t="inlineStr">
        <is>
          <t>N/D</t>
        </is>
      </c>
      <c r="N44" s="74" t="inlineStr">
        <is>
          <t>N/D</t>
        </is>
      </c>
      <c r="O44" s="74" t="inlineStr">
        <is>
          <t>N/D</t>
        </is>
      </c>
      <c r="P44" s="74" t="inlineStr">
        <is>
          <t>N/D</t>
        </is>
      </c>
      <c r="Q44" s="74" t="inlineStr">
        <is>
          <t>a Subcredenciadora</t>
        </is>
      </c>
      <c r="R44" s="74" t="inlineStr">
        <is>
          <t>encontrado_explicito</t>
        </is>
      </c>
      <c r="S44" s="74" t="inlineStr">
        <is>
          <t>N/D</t>
        </is>
      </c>
      <c r="T44" s="74" t="inlineStr">
        <is>
          <t>1155755</t>
        </is>
      </c>
      <c r="U44" s="74" t="inlineStr">
        <is>
          <t>18/03/2026</t>
        </is>
      </c>
      <c r="V44" s="74" t="inlineStr">
        <is>
          <t>7</t>
        </is>
      </c>
      <c r="W44" s="74" t="inlineStr">
        <is>
          <t>https://fnet.bmfbovespa.com.br/fnet/publico/downloadDocumento?id=1155755</t>
        </is>
      </c>
      <c r="X44" s="74" t="inlineStr">
        <is>
          <t>regulamento</t>
        </is>
      </c>
      <c r="Y44" s="74" t="inlineStr">
        <is>
          <t>a Credenciadora, na qualidade de devedora dos Direitos Creditórios</t>
        </is>
      </c>
      <c r="Z44" s="74" t="inlineStr">
        <is>
          <t>encontrado_explicito</t>
        </is>
      </c>
      <c r="AA44" s="74" t="inlineStr">
        <is>
          <t>N/D</t>
        </is>
      </c>
      <c r="AB44" s="74" t="inlineStr">
        <is>
          <t>1155755</t>
        </is>
      </c>
      <c r="AC44" s="74" t="inlineStr">
        <is>
          <t>18/03/2026</t>
        </is>
      </c>
      <c r="AD44" s="74" t="inlineStr">
        <is>
          <t>13</t>
        </is>
      </c>
      <c r="AE44" s="74" t="inlineStr">
        <is>
          <t>https://fnet.bmfbovespa.com.br/fnet/publico/downloadDocumento?id=1155755</t>
        </is>
      </c>
      <c r="AF44" s="74" t="inlineStr">
        <is>
          <t>regulamento</t>
        </is>
      </c>
      <c r="AG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AH44" s="74" t="inlineStr">
        <is>
          <t>encontrado_explicito</t>
        </is>
      </c>
      <c r="AI44" s="74" t="inlineStr">
        <is>
          <t>N/D</t>
        </is>
      </c>
      <c r="AJ44" s="74" t="inlineStr">
        <is>
          <t>1155755</t>
        </is>
      </c>
      <c r="AK44" s="74" t="inlineStr">
        <is>
          <t>18/03/2026</t>
        </is>
      </c>
      <c r="AL44" s="74" t="inlineStr">
        <is>
          <t>13</t>
        </is>
      </c>
      <c r="AM44" s="74" t="inlineStr">
        <is>
          <t>https://fnet.bmfbovespa.com.br/fnet/publico/downloadDocumento?id=1155755</t>
        </is>
      </c>
      <c r="AN44" s="74" t="inlineStr">
        <is>
          <t>regulamento</t>
        </is>
      </c>
      <c r="AO44" s="74" t="inlineStr">
        <is>
          <t>6%</t>
        </is>
      </c>
      <c r="AP44" s="74" t="inlineStr">
        <is>
          <t>aceito_payload</t>
        </is>
      </c>
      <c r="AQ44" s="74" t="inlineStr">
        <is>
          <t>junior_pl</t>
        </is>
      </c>
      <c r="AR44" s="74" t="inlineStr">
        <is>
          <t>1155755</t>
        </is>
      </c>
      <c r="AS44" s="74" t="inlineStr">
        <is>
          <t>2026-03-18</t>
        </is>
      </c>
      <c r="AT44" s="74" t="inlineStr">
        <is>
          <t>18</t>
        </is>
      </c>
      <c r="AU44" s="74" t="inlineStr">
        <is>
          <t>https://fnet.bmfbovespa.com.br/fnet/publico/downloadDocumento?id=1155755</t>
        </is>
      </c>
      <c r="AV44" s="74" t="inlineStr">
        <is>
          <t>payload_documental</t>
        </is>
      </c>
      <c r="AW44" s="74" t="inlineStr">
        <is>
          <t>N/D</t>
        </is>
      </c>
      <c r="AX44" s="74" t="inlineStr">
        <is>
          <t>não encontrado</t>
        </is>
      </c>
      <c r="AY44" s="74" t="inlineStr">
        <is>
          <t>N/D</t>
        </is>
      </c>
      <c r="AZ44" s="74" t="inlineStr">
        <is>
          <t>N/D</t>
        </is>
      </c>
      <c r="BA44" s="74" t="inlineStr">
        <is>
          <t>N/D</t>
        </is>
      </c>
      <c r="BB44" s="74" t="inlineStr">
        <is>
          <t>N/D</t>
        </is>
      </c>
      <c r="BC44" s="74" t="inlineStr">
        <is>
          <t>N/D</t>
        </is>
      </c>
      <c r="BD44" s="74" t="inlineStr">
        <is>
          <t>N/D</t>
        </is>
      </c>
      <c r="BE44" s="74" t="inlineStr">
        <is>
          <t>junior_pl</t>
        </is>
      </c>
      <c r="BF44" s="74" t="inlineStr">
        <is>
          <t>aceito_payload</t>
        </is>
      </c>
      <c r="BG44" s="74" t="inlineStr">
        <is>
          <t>junior_pl</t>
        </is>
      </c>
      <c r="BH44" s="74" t="inlineStr">
        <is>
          <t>1155755</t>
        </is>
      </c>
      <c r="BI44" s="74" t="inlineStr">
        <is>
          <t>2026-03-18</t>
        </is>
      </c>
      <c r="BJ44" s="74" t="inlineStr">
        <is>
          <t>18</t>
        </is>
      </c>
      <c r="BK44" s="74" t="inlineStr">
        <is>
          <t>https://fnet.bmfbovespa.com.br/fnet/publico/downloadDocumento?id=1155755</t>
        </is>
      </c>
      <c r="BL44" s="74" t="inlineStr">
        <is>
          <t>payload_documental</t>
        </is>
      </c>
    </row>
    <row r="45" ht="42" customHeight="1">
      <c r="A45" s="145" t="n">
        <v>41</v>
      </c>
      <c r="B45" s="142" t="n">
        <v>29226654000110</v>
      </c>
      <c r="C45" s="75" t="inlineStr">
        <is>
          <t>29.226.654/0001-10</t>
        </is>
      </c>
      <c r="D45" s="75" t="inlineStr">
        <is>
          <t>INVESTCRED FUNDO DE INVESTIMENTO EM DIREITOS CREDITÓRIOS</t>
        </is>
      </c>
      <c r="E45" s="75" t="inlineStr">
        <is>
          <t>concluído</t>
        </is>
      </c>
      <c r="F45" s="145" t="n">
        <v>8</v>
      </c>
      <c r="G45" s="75" t="inlineStr">
        <is>
          <t>consultado</t>
        </is>
      </c>
      <c r="H45" s="75" t="inlineStr">
        <is>
          <t>N/D</t>
        </is>
      </c>
      <c r="I45" s="75" t="inlineStr">
        <is>
          <t>N/D</t>
        </is>
      </c>
      <c r="J45" s="75" t="inlineStr">
        <is>
          <t>não encontrado</t>
        </is>
      </c>
      <c r="K45" s="75" t="inlineStr">
        <is>
          <t>N/D</t>
        </is>
      </c>
      <c r="L45" s="75" t="inlineStr">
        <is>
          <t>N/D</t>
        </is>
      </c>
      <c r="M45" s="75" t="inlineStr">
        <is>
          <t>N/D</t>
        </is>
      </c>
      <c r="N45" s="75" t="inlineStr">
        <is>
          <t>N/D</t>
        </is>
      </c>
      <c r="O45" s="75" t="inlineStr">
        <is>
          <t>N/D</t>
        </is>
      </c>
      <c r="P45" s="75" t="inlineStr">
        <is>
          <t>N/D</t>
        </is>
      </c>
      <c r="Q45" s="75" t="inlineStr">
        <is>
          <t>CredSystem</t>
        </is>
      </c>
      <c r="R45" s="75" t="inlineStr">
        <is>
          <t>aceito_payload</t>
        </is>
      </c>
      <c r="S45" s="75" t="inlineStr">
        <is>
          <t>N/D</t>
        </is>
      </c>
      <c r="T45" s="75" t="inlineStr">
        <is>
          <t>IMG_8705.JPG</t>
        </is>
      </c>
      <c r="U45" s="75" t="inlineStr">
        <is>
          <t>2025-10-28</t>
        </is>
      </c>
      <c r="V45" s="75" t="inlineStr">
        <is>
          <t>3–4; 9–10</t>
        </is>
      </c>
      <c r="W45" s="75" t="inlineStr">
        <is>
          <t>N/D</t>
        </is>
      </c>
      <c r="X45" s="75" t="inlineStr">
        <is>
          <t>planilha_manual</t>
        </is>
      </c>
      <c r="Y45" s="75" t="inlineStr">
        <is>
          <t>N/D</t>
        </is>
      </c>
      <c r="Z45" s="75" t="inlineStr">
        <is>
          <t>não encontrado</t>
        </is>
      </c>
      <c r="AA45" s="75" t="inlineStr">
        <is>
          <t>N/D</t>
        </is>
      </c>
      <c r="AB45" s="75" t="inlineStr">
        <is>
          <t>N/D</t>
        </is>
      </c>
      <c r="AC45" s="75" t="inlineStr">
        <is>
          <t>N/D</t>
        </is>
      </c>
      <c r="AD45" s="75" t="inlineStr">
        <is>
          <t>N/D</t>
        </is>
      </c>
      <c r="AE45" s="75" t="inlineStr">
        <is>
          <t>N/D</t>
        </is>
      </c>
      <c r="AF45" s="75" t="inlineStr">
        <is>
          <t>N/D</t>
        </is>
      </c>
      <c r="AG45" s="75" t="inlineStr">
        <is>
          <t>Cartão de Crédito - ecossistema Credsystem</t>
        </is>
      </c>
      <c r="AH45" s="75" t="inlineStr">
        <is>
          <t>aceito_payload</t>
        </is>
      </c>
      <c r="AI45" s="75" t="inlineStr">
        <is>
          <t>N/D</t>
        </is>
      </c>
      <c r="AJ45" s="75" t="inlineStr">
        <is>
          <t>IMG_8705.JPG</t>
        </is>
      </c>
      <c r="AK45" s="75" t="inlineStr">
        <is>
          <t>2025-10-28</t>
        </is>
      </c>
      <c r="AL45" s="75" t="inlineStr">
        <is>
          <t>3–4; 9–10</t>
        </is>
      </c>
      <c r="AM45" s="75" t="inlineStr">
        <is>
          <t>N/D</t>
        </is>
      </c>
      <c r="AN45" s="75" t="inlineStr">
        <is>
          <t>planilha_manual</t>
        </is>
      </c>
      <c r="AO45" s="75" t="inlineStr">
        <is>
          <t>67.4267%</t>
        </is>
      </c>
      <c r="AP45" s="75" t="inlineStr">
        <is>
          <t>aceito_payload</t>
        </is>
      </c>
      <c r="AQ45" s="75" t="inlineStr">
        <is>
          <t>junior_pl_calculado</t>
        </is>
      </c>
      <c r="AR45" s="75" t="inlineStr">
        <is>
          <t>1023848</t>
        </is>
      </c>
      <c r="AS45" s="75" t="inlineStr">
        <is>
          <t>2025-10-28</t>
        </is>
      </c>
      <c r="AT45" s="75" t="inlineStr">
        <is>
          <t>3–4; 9–10</t>
        </is>
      </c>
      <c r="AU45" s="75" t="inlineStr">
        <is>
          <t>https://fnet.bmfbovespa.com.br/fnet/publico/downloadDocumento?id=1023848</t>
        </is>
      </c>
      <c r="AV45" s="75" t="inlineStr">
        <is>
          <t>payload_documental</t>
        </is>
      </c>
      <c r="AW45" s="75" t="inlineStr">
        <is>
          <t>67.4267%</t>
        </is>
      </c>
      <c r="AX45" s="75" t="inlineStr">
        <is>
          <t>aceito_payload</t>
        </is>
      </c>
      <c r="AY45" s="75" t="inlineStr">
        <is>
          <t>suporte_total_pl</t>
        </is>
      </c>
      <c r="AZ45" s="75" t="inlineStr">
        <is>
          <t>1023848</t>
        </is>
      </c>
      <c r="BA45" s="75" t="inlineStr">
        <is>
          <t>2025-10-28</t>
        </is>
      </c>
      <c r="BB45" s="75" t="inlineStr">
        <is>
          <t>3–4; 9–10</t>
        </is>
      </c>
      <c r="BC45" s="75" t="inlineStr">
        <is>
          <t>https://fnet.bmfbovespa.com.br/fnet/publico/downloadDocumento?id=1023848</t>
        </is>
      </c>
      <c r="BD45" s="75" t="inlineStr">
        <is>
          <t>payload_documental</t>
        </is>
      </c>
      <c r="BE45" s="75" t="inlineStr">
        <is>
          <t>junior_pl_calculado</t>
        </is>
      </c>
      <c r="BF45" s="75" t="inlineStr">
        <is>
          <t>aceito_payload</t>
        </is>
      </c>
      <c r="BG45" s="75" t="inlineStr">
        <is>
          <t>junior_pl_calculado</t>
        </is>
      </c>
      <c r="BH45" s="75" t="inlineStr">
        <is>
          <t>1023848</t>
        </is>
      </c>
      <c r="BI45" s="75" t="inlineStr">
        <is>
          <t>2025-10-28</t>
        </is>
      </c>
      <c r="BJ45" s="75" t="inlineStr">
        <is>
          <t>3–4; 9–10</t>
        </is>
      </c>
      <c r="BK45" s="75" t="inlineStr">
        <is>
          <t>https://fnet.bmfbovespa.com.br/fnet/publico/downloadDocumento?id=1023848</t>
        </is>
      </c>
      <c r="BL45" s="75" t="inlineStr">
        <is>
          <t>payload_documental</t>
        </is>
      </c>
    </row>
    <row r="46" ht="42" customHeight="1">
      <c r="A46" s="141" t="n">
        <v>42</v>
      </c>
      <c r="B46" s="138" t="n">
        <v>54857414000160</v>
      </c>
      <c r="C46" s="74" t="inlineStr">
        <is>
          <t>54.857.414/0001-60</t>
        </is>
      </c>
      <c r="D46" s="74" t="inlineStr">
        <is>
          <t>INDIE MERX RAIZ I CRÉDITO AGRO FIDC DO AGRONEGÓCIO - RESPONSABILIDADE LIMITADA</t>
        </is>
      </c>
      <c r="E46" s="74" t="inlineStr">
        <is>
          <t>concluído</t>
        </is>
      </c>
      <c r="F46" s="141" t="n">
        <v>6</v>
      </c>
      <c r="G46" s="74" t="inlineStr">
        <is>
          <t>consultado</t>
        </is>
      </c>
      <c r="H46" s="74" t="inlineStr">
        <is>
          <t>N/D</t>
        </is>
      </c>
      <c r="I46" s="74" t="inlineStr">
        <is>
          <t>N/D</t>
        </is>
      </c>
      <c r="J46" s="74" t="inlineStr">
        <is>
          <t>não encontrado</t>
        </is>
      </c>
      <c r="K46" s="74" t="inlineStr">
        <is>
          <t>N/D</t>
        </is>
      </c>
      <c r="L46" s="74" t="inlineStr">
        <is>
          <t>N/D</t>
        </is>
      </c>
      <c r="M46" s="74" t="inlineStr">
        <is>
          <t>N/D</t>
        </is>
      </c>
      <c r="N46" s="74" t="inlineStr">
        <is>
          <t>N/D</t>
        </is>
      </c>
      <c r="O46" s="74" t="inlineStr">
        <is>
          <t>N/D</t>
        </is>
      </c>
      <c r="P46" s="74" t="inlineStr">
        <is>
          <t>N/D</t>
        </is>
      </c>
      <c r="Q46" s="74" t="inlineStr">
        <is>
          <t>Emissão direta de produtor rural</t>
        </is>
      </c>
      <c r="R46" s="74" t="inlineStr">
        <is>
          <t>aceito_payload</t>
        </is>
      </c>
      <c r="S46" s="74" t="inlineStr">
        <is>
          <t>N/D</t>
        </is>
      </c>
      <c r="T46" s="74" t="inlineStr">
        <is>
          <t>IMG_8705.JPG</t>
        </is>
      </c>
      <c r="U46" s="74" t="inlineStr">
        <is>
          <t>2026-06-01</t>
        </is>
      </c>
      <c r="V46" s="74" t="inlineStr">
        <is>
          <t>74</t>
        </is>
      </c>
      <c r="W46" s="74" t="inlineStr">
        <is>
          <t>N/D</t>
        </is>
      </c>
      <c r="X46" s="74" t="inlineStr">
        <is>
          <t>planilha_manual</t>
        </is>
      </c>
      <c r="Y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Z46" s="74" t="inlineStr">
        <is>
          <t>encontrado_explicito</t>
        </is>
      </c>
      <c r="AA46" s="74" t="inlineStr">
        <is>
          <t>N/D</t>
        </is>
      </c>
      <c r="AB46" s="74" t="inlineStr">
        <is>
          <t>975459</t>
        </is>
      </c>
      <c r="AC46" s="74" t="inlineStr">
        <is>
          <t>20/08/2025</t>
        </is>
      </c>
      <c r="AD46" s="74" t="inlineStr">
        <is>
          <t>66</t>
        </is>
      </c>
      <c r="AE46" s="74" t="inlineStr">
        <is>
          <t>https://fnet.bmfbovespa.com.br/fnet/publico/downloadDocumento?id=975459</t>
        </is>
      </c>
      <c r="AF46" s="74" t="inlineStr">
        <is>
          <t>regulamento</t>
        </is>
      </c>
      <c r="AG46" s="74" t="inlineStr">
        <is>
          <t>risco produtor rural com passagem SIPAL e Fazendão</t>
        </is>
      </c>
      <c r="AH46" s="74" t="inlineStr">
        <is>
          <t>aceito_payload</t>
        </is>
      </c>
      <c r="AI46" s="74" t="inlineStr">
        <is>
          <t>N/D</t>
        </is>
      </c>
      <c r="AJ46" s="74" t="inlineStr">
        <is>
          <t>IMG_8705.JPG</t>
        </is>
      </c>
      <c r="AK46" s="74" t="inlineStr">
        <is>
          <t>2026-06-01</t>
        </is>
      </c>
      <c r="AL46" s="74" t="inlineStr">
        <is>
          <t>74</t>
        </is>
      </c>
      <c r="AM46" s="74" t="inlineStr">
        <is>
          <t>N/D</t>
        </is>
      </c>
      <c r="AN46" s="74" t="inlineStr">
        <is>
          <t>planilha_manual</t>
        </is>
      </c>
      <c r="AO46" s="74" t="inlineStr">
        <is>
          <t>15%</t>
        </is>
      </c>
      <c r="AP46" s="74" t="inlineStr">
        <is>
          <t>aceito_payload</t>
        </is>
      </c>
      <c r="AQ46" s="74" t="inlineStr">
        <is>
          <t>junior_pl</t>
        </is>
      </c>
      <c r="AR46" s="74" t="inlineStr">
        <is>
          <t>1263627</t>
        </is>
      </c>
      <c r="AS46" s="74" t="inlineStr">
        <is>
          <t>2026-06-01</t>
        </is>
      </c>
      <c r="AT46" s="74" t="inlineStr">
        <is>
          <t>74</t>
        </is>
      </c>
      <c r="AU46" s="74" t="inlineStr">
        <is>
          <t>https://fnet.bmfbovespa.com.br/fnet/publico/downloadDocumento?id=1263627</t>
        </is>
      </c>
      <c r="AV46" s="74" t="inlineStr">
        <is>
          <t>payload_documental</t>
        </is>
      </c>
      <c r="AW46" s="74" t="inlineStr">
        <is>
          <t>N/D</t>
        </is>
      </c>
      <c r="AX46" s="74" t="inlineStr">
        <is>
          <t>não encontrado</t>
        </is>
      </c>
      <c r="AY46" s="74" t="inlineStr">
        <is>
          <t>N/D</t>
        </is>
      </c>
      <c r="AZ46" s="74" t="inlineStr">
        <is>
          <t>N/D</t>
        </is>
      </c>
      <c r="BA46" s="74" t="inlineStr">
        <is>
          <t>N/D</t>
        </is>
      </c>
      <c r="BB46" s="74" t="inlineStr">
        <is>
          <t>N/D</t>
        </is>
      </c>
      <c r="BC46" s="74" t="inlineStr">
        <is>
          <t>N/D</t>
        </is>
      </c>
      <c r="BD46" s="74" t="inlineStr">
        <is>
          <t>N/D</t>
        </is>
      </c>
      <c r="BE46" s="74" t="inlineStr">
        <is>
          <t>junior_pl</t>
        </is>
      </c>
      <c r="BF46" s="74" t="inlineStr">
        <is>
          <t>aceito_payload</t>
        </is>
      </c>
      <c r="BG46" s="74" t="inlineStr">
        <is>
          <t>junior_pl</t>
        </is>
      </c>
      <c r="BH46" s="74" t="inlineStr">
        <is>
          <t>1263627</t>
        </is>
      </c>
      <c r="BI46" s="74" t="inlineStr">
        <is>
          <t>2026-06-01</t>
        </is>
      </c>
      <c r="BJ46" s="74" t="inlineStr">
        <is>
          <t>74</t>
        </is>
      </c>
      <c r="BK46" s="74" t="inlineStr">
        <is>
          <t>https://fnet.bmfbovespa.com.br/fnet/publico/downloadDocumento?id=1263627</t>
        </is>
      </c>
      <c r="BL46" s="74" t="inlineStr">
        <is>
          <t>payload_documental</t>
        </is>
      </c>
    </row>
    <row r="47" ht="42" customHeight="1">
      <c r="A47" s="145" t="n">
        <v>43</v>
      </c>
      <c r="B47" s="142" t="n">
        <v>44124465000120</v>
      </c>
      <c r="C47" s="75" t="inlineStr">
        <is>
          <t>44.124.465/0001-20</t>
        </is>
      </c>
      <c r="D47" s="75" t="inlineStr">
        <is>
          <t>TMAQ 21 FUNDO DE INVESTIMENTO EM DIREITOS CREDITÓRIOS DE ARRANJOS DE PAGAMENTO DE RESPONSABILIDADE L</t>
        </is>
      </c>
      <c r="E47" s="75" t="inlineStr">
        <is>
          <t>concluído</t>
        </is>
      </c>
      <c r="F47" s="145" t="n">
        <v>6</v>
      </c>
      <c r="G47" s="75" t="inlineStr">
        <is>
          <t>consultado</t>
        </is>
      </c>
      <c r="H47" s="75" t="inlineStr">
        <is>
          <t>N/D</t>
        </is>
      </c>
      <c r="I47" s="75" t="inlineStr">
        <is>
          <t>ACQIO</t>
        </is>
      </c>
      <c r="J47" s="75" t="inlineStr">
        <is>
          <t>encontrado_explicito</t>
        </is>
      </c>
      <c r="K47" s="75" t="inlineStr">
        <is>
          <t>rótulo explícito de participante v2</t>
        </is>
      </c>
      <c r="L47" s="75" t="inlineStr">
        <is>
          <t>1048506</t>
        </is>
      </c>
      <c r="M47" s="75" t="inlineStr">
        <is>
          <t>30/09/2025</t>
        </is>
      </c>
      <c r="N47" s="75" t="inlineStr">
        <is>
          <t>2</t>
        </is>
      </c>
      <c r="O47" s="75" t="inlineStr">
        <is>
          <t>https://fnet.bmfbovespa.com.br/fnet/publico/downloadDocumento?id=1048506</t>
        </is>
      </c>
      <c r="P47" s="75" t="inlineStr">
        <is>
          <t>rating_report</t>
        </is>
      </c>
      <c r="Q47" s="75" t="inlineStr">
        <is>
          <t>ACQIO</t>
        </is>
      </c>
      <c r="R47" s="75" t="inlineStr">
        <is>
          <t>encontrado_explicito</t>
        </is>
      </c>
      <c r="S47" s="75" t="inlineStr">
        <is>
          <t>rótulo explícito de participante v2</t>
        </is>
      </c>
      <c r="T47" s="75" t="inlineStr">
        <is>
          <t>1048506</t>
        </is>
      </c>
      <c r="U47" s="75" t="inlineStr">
        <is>
          <t>30/09/2025</t>
        </is>
      </c>
      <c r="V47" s="75" t="inlineStr">
        <is>
          <t>2</t>
        </is>
      </c>
      <c r="W47" s="75" t="inlineStr">
        <is>
          <t>https://fnet.bmfbovespa.com.br/fnet/publico/downloadDocumento?id=1048506</t>
        </is>
      </c>
      <c r="X47" s="75" t="inlineStr">
        <is>
          <t>rating_report</t>
        </is>
      </c>
      <c r="Y47" s="75" t="inlineStr">
        <is>
          <t>os Devedores I -A, os Devedores I -B e os Devedores II quando mencionados em conjunto e indistintamente</t>
        </is>
      </c>
      <c r="Z47" s="75" t="inlineStr">
        <is>
          <t>encontrado_explicito</t>
        </is>
      </c>
      <c r="AA47" s="75" t="inlineStr">
        <is>
          <t>N/D</t>
        </is>
      </c>
      <c r="AB47" s="75" t="inlineStr">
        <is>
          <t>737326</t>
        </is>
      </c>
      <c r="AC47" s="75" t="inlineStr">
        <is>
          <t>09/09/2024</t>
        </is>
      </c>
      <c r="AD47" s="75" t="inlineStr">
        <is>
          <t>83</t>
        </is>
      </c>
      <c r="AE47" s="75" t="inlineStr">
        <is>
          <t>https://fnet.bmfbovespa.com.br/fnet/publico/downloadDocumento?id=737326</t>
        </is>
      </c>
      <c r="AF47" s="75" t="inlineStr">
        <is>
          <t>regulamento</t>
        </is>
      </c>
      <c r="AG47" s="75" t="inlineStr">
        <is>
          <t>Risco Bancos Emissores Diversos</t>
        </is>
      </c>
      <c r="AH47" s="75" t="inlineStr">
        <is>
          <t>aceito_payload</t>
        </is>
      </c>
      <c r="AI47" s="75" t="inlineStr">
        <is>
          <t>N/D</t>
        </is>
      </c>
      <c r="AJ47" s="75" t="inlineStr">
        <is>
          <t>IMG_8705.JPG</t>
        </is>
      </c>
      <c r="AK47" s="75" t="inlineStr">
        <is>
          <t>2025-07-08</t>
        </is>
      </c>
      <c r="AL47" s="75" t="inlineStr">
        <is>
          <t>85</t>
        </is>
      </c>
      <c r="AM47" s="75" t="inlineStr">
        <is>
          <t>N/D</t>
        </is>
      </c>
      <c r="AN47" s="75" t="inlineStr">
        <is>
          <t>planilha_manual</t>
        </is>
      </c>
      <c r="AO47" s="75" t="inlineStr">
        <is>
          <t>3%</t>
        </is>
      </c>
      <c r="AP47" s="75" t="inlineStr">
        <is>
          <t>aceito_payload</t>
        </is>
      </c>
      <c r="AQ47" s="75" t="inlineStr">
        <is>
          <t>junior_pl</t>
        </is>
      </c>
      <c r="AR47" s="75" t="inlineStr">
        <is>
          <t>951239</t>
        </is>
      </c>
      <c r="AS47" s="75" t="inlineStr">
        <is>
          <t>2025-07-08</t>
        </is>
      </c>
      <c r="AT47" s="75" t="inlineStr">
        <is>
          <t>85</t>
        </is>
      </c>
      <c r="AU47" s="75" t="inlineStr">
        <is>
          <t>https://fnet.bmfbovespa.com.br/fnet/publico/downloadDocumento?id=951239</t>
        </is>
      </c>
      <c r="AV47" s="75" t="inlineStr">
        <is>
          <t>payload_documental</t>
        </is>
      </c>
      <c r="AW47" s="75" t="inlineStr">
        <is>
          <t>22.15%</t>
        </is>
      </c>
      <c r="AX47" s="75" t="inlineStr">
        <is>
          <t>encontrado_explicito</t>
        </is>
      </c>
      <c r="AY47" s="75" t="inlineStr">
        <is>
          <t>suporte_total_pl</t>
        </is>
      </c>
      <c r="AZ47" s="75" t="inlineStr">
        <is>
          <t>1048506</t>
        </is>
      </c>
      <c r="BA47" s="75" t="inlineStr">
        <is>
          <t>30/09/2025</t>
        </is>
      </c>
      <c r="BB47" s="75" t="inlineStr">
        <is>
          <t>1</t>
        </is>
      </c>
      <c r="BC47" s="75" t="inlineStr">
        <is>
          <t>https://fnet.bmfbovespa.com.br/fnet/publico/downloadDocumento?id=1048506</t>
        </is>
      </c>
      <c r="BD47" s="75" t="inlineStr">
        <is>
          <t>rating_report</t>
        </is>
      </c>
      <c r="BE47" s="75" t="inlineStr">
        <is>
          <t>junior_pl</t>
        </is>
      </c>
      <c r="BF47" s="75" t="inlineStr">
        <is>
          <t>aceito_payload</t>
        </is>
      </c>
      <c r="BG47" s="75" t="inlineStr">
        <is>
          <t>junior_pl</t>
        </is>
      </c>
      <c r="BH47" s="75" t="inlineStr">
        <is>
          <t>951239</t>
        </is>
      </c>
      <c r="BI47" s="75" t="inlineStr">
        <is>
          <t>2025-07-08</t>
        </is>
      </c>
      <c r="BJ47" s="75" t="inlineStr">
        <is>
          <t>85</t>
        </is>
      </c>
      <c r="BK47" s="75" t="inlineStr">
        <is>
          <t>https://fnet.bmfbovespa.com.br/fnet/publico/downloadDocumento?id=951239</t>
        </is>
      </c>
      <c r="BL47" s="75" t="inlineStr">
        <is>
          <t>payload_documental</t>
        </is>
      </c>
    </row>
    <row r="48" ht="42" customHeight="1">
      <c r="A48" s="141" t="n">
        <v>44</v>
      </c>
      <c r="B48" s="138" t="n">
        <v>55401645000128</v>
      </c>
      <c r="C48" s="74" t="inlineStr">
        <is>
          <t>55.401.645/0001-28</t>
        </is>
      </c>
      <c r="D48" s="74" t="inlineStr">
        <is>
          <t>QUATÁ FDC FGTS FUNDO DE INVESTIMENTO EM DIREITOS CREDITÓRIOS</t>
        </is>
      </c>
      <c r="E48" s="74" t="inlineStr">
        <is>
          <t>concluído</t>
        </is>
      </c>
      <c r="F48" s="141" t="n">
        <v>8</v>
      </c>
      <c r="G48" s="74" t="inlineStr">
        <is>
          <t>consultado</t>
        </is>
      </c>
      <c r="H48" s="74" t="inlineStr">
        <is>
          <t>N/D</t>
        </is>
      </c>
      <c r="I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J48" s="74" t="inlineStr">
        <is>
          <t>encontrado_explicito</t>
        </is>
      </c>
      <c r="K48" s="74" t="inlineStr">
        <is>
          <t>N/D</t>
        </is>
      </c>
      <c r="L48" s="74" t="inlineStr">
        <is>
          <t>1051890</t>
        </is>
      </c>
      <c r="M48" s="74" t="inlineStr">
        <is>
          <t>2025-12-01</t>
        </is>
      </c>
      <c r="N48" s="74" t="inlineStr">
        <is>
          <t>N/D</t>
        </is>
      </c>
      <c r="O48" s="74" t="inlineStr">
        <is>
          <t>https://fnet.bmfbovespa.com.br/fnet/publico/downloadDocumento?id=1051890</t>
        </is>
      </c>
      <c r="P48" s="74" t="inlineStr">
        <is>
          <t>regulamento</t>
        </is>
      </c>
      <c r="Q48" s="74" t="inlineStr">
        <is>
          <t>QI Tech</t>
        </is>
      </c>
      <c r="R48" s="74" t="inlineStr">
        <is>
          <t>aceito_payload</t>
        </is>
      </c>
      <c r="S48" s="74" t="inlineStr">
        <is>
          <t>N/D</t>
        </is>
      </c>
      <c r="T48" s="74" t="inlineStr">
        <is>
          <t>IMG_8705.JPG</t>
        </is>
      </c>
      <c r="U48" s="74" t="inlineStr">
        <is>
          <t>2025-12-01</t>
        </is>
      </c>
      <c r="V48" s="74" t="inlineStr">
        <is>
          <t>17</t>
        </is>
      </c>
      <c r="W48" s="74" t="inlineStr">
        <is>
          <t>N/D</t>
        </is>
      </c>
      <c r="X48" s="74" t="inlineStr">
        <is>
          <t>planilha_manual</t>
        </is>
      </c>
      <c r="Y48" s="74" t="inlineStr">
        <is>
          <t>N/D</t>
        </is>
      </c>
      <c r="Z48" s="74" t="inlineStr">
        <is>
          <t>não encontrado</t>
        </is>
      </c>
      <c r="AA48" s="74" t="inlineStr">
        <is>
          <t>N/D</t>
        </is>
      </c>
      <c r="AB48" s="74" t="inlineStr">
        <is>
          <t>N/D</t>
        </is>
      </c>
      <c r="AC48" s="74" t="inlineStr">
        <is>
          <t>N/D</t>
        </is>
      </c>
      <c r="AD48" s="74" t="inlineStr">
        <is>
          <t>N/D</t>
        </is>
      </c>
      <c r="AE48" s="74" t="inlineStr">
        <is>
          <t>N/D</t>
        </is>
      </c>
      <c r="AF48" s="74" t="inlineStr">
        <is>
          <t>N/D</t>
        </is>
      </c>
      <c r="AG48" s="74" t="inlineStr">
        <is>
          <t>Crédito FGTS</t>
        </is>
      </c>
      <c r="AH48" s="74" t="inlineStr">
        <is>
          <t>aceito_payload</t>
        </is>
      </c>
      <c r="AI48" s="74" t="inlineStr">
        <is>
          <t>N/D</t>
        </is>
      </c>
      <c r="AJ48" s="74" t="inlineStr">
        <is>
          <t>IMG_8705.JPG</t>
        </is>
      </c>
      <c r="AK48" s="74" t="inlineStr">
        <is>
          <t>2025-12-01</t>
        </is>
      </c>
      <c r="AL48" s="74" t="inlineStr">
        <is>
          <t>17</t>
        </is>
      </c>
      <c r="AM48" s="74" t="inlineStr">
        <is>
          <t>N/D</t>
        </is>
      </c>
      <c r="AN48" s="74" t="inlineStr">
        <is>
          <t>planilha_manual</t>
        </is>
      </c>
      <c r="AO48" s="74" t="inlineStr">
        <is>
          <t>3%</t>
        </is>
      </c>
      <c r="AP48" s="74" t="inlineStr">
        <is>
          <t>aceito_payload</t>
        </is>
      </c>
      <c r="AQ48" s="74" t="inlineStr">
        <is>
          <t>junior_pl</t>
        </is>
      </c>
      <c r="AR48" s="74" t="inlineStr">
        <is>
          <t>1051890</t>
        </is>
      </c>
      <c r="AS48" s="74" t="inlineStr">
        <is>
          <t>2025-12-01</t>
        </is>
      </c>
      <c r="AT48" s="74" t="inlineStr">
        <is>
          <t>17</t>
        </is>
      </c>
      <c r="AU48" s="74" t="inlineStr">
        <is>
          <t>https://fnet.bmfbovespa.com.br/fnet/publico/downloadDocumento?id=1051890</t>
        </is>
      </c>
      <c r="AV48" s="74" t="inlineStr">
        <is>
          <t>payload_documental</t>
        </is>
      </c>
      <c r="AW48" s="74" t="inlineStr">
        <is>
          <t>15%</t>
        </is>
      </c>
      <c r="AX48" s="74" t="inlineStr">
        <is>
          <t>encontrado_explicito</t>
        </is>
      </c>
      <c r="AY48" s="74" t="inlineStr">
        <is>
          <t>suporte_total_pl</t>
        </is>
      </c>
      <c r="AZ48" s="74" t="inlineStr">
        <is>
          <t>823271</t>
        </is>
      </c>
      <c r="BA48" s="74" t="inlineStr">
        <is>
          <t>2025-01-20</t>
        </is>
      </c>
      <c r="BB48" s="74" t="inlineStr">
        <is>
          <t>2</t>
        </is>
      </c>
      <c r="BC48" s="74" t="inlineStr">
        <is>
          <t>https://fnet.bmfbovespa.com.br/fnet/publico/downloadDocumento?id=823271</t>
        </is>
      </c>
      <c r="BD48" s="74" t="inlineStr">
        <is>
          <t>assembleia</t>
        </is>
      </c>
      <c r="BE48" s="74" t="inlineStr">
        <is>
          <t>junior_pl</t>
        </is>
      </c>
      <c r="BF48" s="74" t="inlineStr">
        <is>
          <t>aceito_payload</t>
        </is>
      </c>
      <c r="BG48" s="74" t="inlineStr">
        <is>
          <t>junior_pl</t>
        </is>
      </c>
      <c r="BH48" s="74" t="inlineStr">
        <is>
          <t>1051890</t>
        </is>
      </c>
      <c r="BI48" s="74" t="inlineStr">
        <is>
          <t>2025-12-01</t>
        </is>
      </c>
      <c r="BJ48" s="74" t="inlineStr">
        <is>
          <t>17</t>
        </is>
      </c>
      <c r="BK48" s="74" t="inlineStr">
        <is>
          <t>https://fnet.bmfbovespa.com.br/fnet/publico/downloadDocumento?id=1051890</t>
        </is>
      </c>
      <c r="BL48" s="74" t="inlineStr">
        <is>
          <t>payload_documental</t>
        </is>
      </c>
    </row>
    <row r="49" ht="42" customHeight="1">
      <c r="A49" s="145" t="n">
        <v>45</v>
      </c>
      <c r="B49" s="142" t="n">
        <v>63622842000103</v>
      </c>
      <c r="C49" s="75" t="inlineStr">
        <is>
          <t>63.622.842/0001-03</t>
        </is>
      </c>
      <c r="D49" s="75" t="inlineStr">
        <is>
          <t>DESBRAVA UNO ARTIGOS ESPORTIVOS FUNDO DE INVESTIMENTO EM DIREITOS CREDITÓRIOS RESP LIMITADA</t>
        </is>
      </c>
      <c r="E49" s="75" t="inlineStr">
        <is>
          <t>concluído</t>
        </is>
      </c>
      <c r="F49" s="145" t="n">
        <v>7</v>
      </c>
      <c r="G49" s="75" t="inlineStr">
        <is>
          <t>consultado</t>
        </is>
      </c>
      <c r="H49" s="75" t="inlineStr">
        <is>
          <t>N/D</t>
        </is>
      </c>
      <c r="I49" s="75" t="inlineStr">
        <is>
          <t>N/D</t>
        </is>
      </c>
      <c r="J49" s="75" t="inlineStr">
        <is>
          <t>não encontrado</t>
        </is>
      </c>
      <c r="K49" s="75" t="inlineStr">
        <is>
          <t>N/D</t>
        </is>
      </c>
      <c r="L49" s="75" t="inlineStr">
        <is>
          <t>N/D</t>
        </is>
      </c>
      <c r="M49" s="75" t="inlineStr">
        <is>
          <t>N/D</t>
        </is>
      </c>
      <c r="N49" s="75" t="inlineStr">
        <is>
          <t>N/D</t>
        </is>
      </c>
      <c r="O49" s="75" t="inlineStr">
        <is>
          <t>N/D</t>
        </is>
      </c>
      <c r="P49" s="75" t="inlineStr">
        <is>
          <t>N/D</t>
        </is>
      </c>
      <c r="Q49" s="75" t="inlineStr">
        <is>
          <t>Empresas grupo Dass</t>
        </is>
      </c>
      <c r="R49" s="75" t="inlineStr">
        <is>
          <t>aceito_payload</t>
        </is>
      </c>
      <c r="S49" s="75" t="inlineStr">
        <is>
          <t>N/D</t>
        </is>
      </c>
      <c r="T49" s="75" t="inlineStr">
        <is>
          <t>IMG_8705.JPG</t>
        </is>
      </c>
      <c r="U49" s="75" t="inlineStr">
        <is>
          <t>2025-12-01</t>
        </is>
      </c>
      <c r="V49" s="75" t="inlineStr">
        <is>
          <t>69</t>
        </is>
      </c>
      <c r="W49" s="75" t="inlineStr">
        <is>
          <t>N/D</t>
        </is>
      </c>
      <c r="X49" s="75" t="inlineStr">
        <is>
          <t>planilha_manual</t>
        </is>
      </c>
      <c r="Y49" s="75" t="inlineStr">
        <is>
          <t>N/D</t>
        </is>
      </c>
      <c r="Z49" s="75" t="inlineStr">
        <is>
          <t>não encontrado</t>
        </is>
      </c>
      <c r="AA49" s="75" t="inlineStr">
        <is>
          <t>N/D</t>
        </is>
      </c>
      <c r="AB49" s="75" t="inlineStr">
        <is>
          <t>N/D</t>
        </is>
      </c>
      <c r="AC49" s="75" t="inlineStr">
        <is>
          <t>N/D</t>
        </is>
      </c>
      <c r="AD49" s="75" t="inlineStr">
        <is>
          <t>N/D</t>
        </is>
      </c>
      <c r="AE49" s="75" t="inlineStr">
        <is>
          <t>N/D</t>
        </is>
      </c>
      <c r="AF49" s="75" t="inlineStr">
        <is>
          <t>N/D</t>
        </is>
      </c>
      <c r="AG49" s="75" t="inlineStr">
        <is>
          <t>N/D</t>
        </is>
      </c>
      <c r="AH49" s="75" t="inlineStr">
        <is>
          <t>não encontrado</t>
        </is>
      </c>
      <c r="AI49" s="75" t="inlineStr">
        <is>
          <t>N/D</t>
        </is>
      </c>
      <c r="AJ49" s="75" t="inlineStr">
        <is>
          <t>N/D</t>
        </is>
      </c>
      <c r="AK49" s="75" t="inlineStr">
        <is>
          <t>N/D</t>
        </is>
      </c>
      <c r="AL49" s="75" t="inlineStr">
        <is>
          <t>N/D</t>
        </is>
      </c>
      <c r="AM49" s="75" t="inlineStr">
        <is>
          <t>N/D</t>
        </is>
      </c>
      <c r="AN49" s="75" t="inlineStr">
        <is>
          <t>N/D</t>
        </is>
      </c>
      <c r="AO49" s="75" t="inlineStr">
        <is>
          <t>50%</t>
        </is>
      </c>
      <c r="AP49" s="75" t="inlineStr">
        <is>
          <t>aceito_payload</t>
        </is>
      </c>
      <c r="AQ49" s="75" t="inlineStr">
        <is>
          <t>junior_pl</t>
        </is>
      </c>
      <c r="AR49" s="75" t="inlineStr">
        <is>
          <t>1051646</t>
        </is>
      </c>
      <c r="AS49" s="75" t="inlineStr">
        <is>
          <t>2025-12-01</t>
        </is>
      </c>
      <c r="AT49" s="75" t="inlineStr">
        <is>
          <t>69</t>
        </is>
      </c>
      <c r="AU49" s="75" t="inlineStr">
        <is>
          <t>https://fnet.bmfbovespa.com.br/fnet/publico/downloadDocumento?id=1051646</t>
        </is>
      </c>
      <c r="AV49" s="75" t="inlineStr">
        <is>
          <t>payload_documental</t>
        </is>
      </c>
      <c r="AW49" s="75" t="inlineStr">
        <is>
          <t>50%</t>
        </is>
      </c>
      <c r="AX49" s="75" t="inlineStr">
        <is>
          <t>aceito_payload</t>
        </is>
      </c>
      <c r="AY49" s="75" t="inlineStr">
        <is>
          <t>suporte_total_pl</t>
        </is>
      </c>
      <c r="AZ49" s="75" t="inlineStr">
        <is>
          <t>1051646</t>
        </is>
      </c>
      <c r="BA49" s="75" t="inlineStr">
        <is>
          <t>2025-12-01</t>
        </is>
      </c>
      <c r="BB49" s="75" t="inlineStr">
        <is>
          <t>69</t>
        </is>
      </c>
      <c r="BC49" s="75" t="inlineStr">
        <is>
          <t>https://fnet.bmfbovespa.com.br/fnet/publico/downloadDocumento?id=1051646</t>
        </is>
      </c>
      <c r="BD49" s="75" t="inlineStr">
        <is>
          <t>payload_documental</t>
        </is>
      </c>
      <c r="BE49" s="75" t="inlineStr">
        <is>
          <t>junior_pl</t>
        </is>
      </c>
      <c r="BF49" s="75" t="inlineStr">
        <is>
          <t>aceito_payload</t>
        </is>
      </c>
      <c r="BG49" s="75" t="inlineStr">
        <is>
          <t>junior_pl</t>
        </is>
      </c>
      <c r="BH49" s="75" t="inlineStr">
        <is>
          <t>1051646</t>
        </is>
      </c>
      <c r="BI49" s="75" t="inlineStr">
        <is>
          <t>2025-12-01</t>
        </is>
      </c>
      <c r="BJ49" s="75" t="inlineStr">
        <is>
          <t>69</t>
        </is>
      </c>
      <c r="BK49" s="75" t="inlineStr">
        <is>
          <t>https://fnet.bmfbovespa.com.br/fnet/publico/downloadDocumento?id=1051646</t>
        </is>
      </c>
      <c r="BL49" s="75" t="inlineStr">
        <is>
          <t>payload_documental</t>
        </is>
      </c>
    </row>
    <row r="50" ht="42" customHeight="1">
      <c r="A50" s="141" t="n">
        <v>46</v>
      </c>
      <c r="B50" s="138" t="n">
        <v>44272584000120</v>
      </c>
      <c r="C50" s="74" t="inlineStr">
        <is>
          <t>44.272.584/0001-20</t>
        </is>
      </c>
      <c r="D50" s="74" t="inlineStr">
        <is>
          <t>LAVORO AGRO FIAGRO - DIREITOS CREDITÓRIOS - RESPONSABILIDADE LIMITADA</t>
        </is>
      </c>
      <c r="E50" s="74" t="inlineStr">
        <is>
          <t>concluído</t>
        </is>
      </c>
      <c r="F50" s="141" t="n">
        <v>6</v>
      </c>
      <c r="G50" s="74" t="inlineStr">
        <is>
          <t>consultado</t>
        </is>
      </c>
      <c r="H50" s="74" t="inlineStr">
        <is>
          <t>N/D</t>
        </is>
      </c>
      <c r="I50" s="74" t="inlineStr">
        <is>
          <t>N/D</t>
        </is>
      </c>
      <c r="J50" s="74" t="inlineStr">
        <is>
          <t>não encontrado</t>
        </is>
      </c>
      <c r="K50" s="74" t="inlineStr">
        <is>
          <t>N/D</t>
        </is>
      </c>
      <c r="L50" s="74" t="inlineStr">
        <is>
          <t>N/D</t>
        </is>
      </c>
      <c r="M50" s="74" t="inlineStr">
        <is>
          <t>N/D</t>
        </is>
      </c>
      <c r="N50" s="74" t="inlineStr">
        <is>
          <t>N/D</t>
        </is>
      </c>
      <c r="O50" s="74" t="inlineStr">
        <is>
          <t>N/D</t>
        </is>
      </c>
      <c r="P50" s="74" t="inlineStr">
        <is>
          <t>N/D</t>
        </is>
      </c>
      <c r="Q50" s="74" t="inlineStr">
        <is>
          <t>Lavoro Agrocomercial S.A., Agrocontato Comércio e Representações de Produtos Agropecuários S.A., Agrovenci - Comércio, Importação, Exportação e Agropecuário Ltda. e Distribuidora Pitangueiras de Produtos Agropecuários S.A. (em conjunto, Grupo Lavoro)</t>
        </is>
      </c>
      <c r="R50" s="74" t="inlineStr">
        <is>
          <t>encontrado_explicito</t>
        </is>
      </c>
      <c r="S50" s="74" t="inlineStr">
        <is>
          <t>rótulo explícito de participante v2</t>
        </is>
      </c>
      <c r="T50" s="74" t="inlineStr">
        <is>
          <t>798158</t>
        </is>
      </c>
      <c r="U50" s="74" t="inlineStr">
        <is>
          <t>30/09/2024</t>
        </is>
      </c>
      <c r="V50" s="74" t="inlineStr">
        <is>
          <t>1</t>
        </is>
      </c>
      <c r="W50" s="74" t="inlineStr">
        <is>
          <t>https://fnet.bmfbovespa.com.br/fnet/publico/downloadDocumento?id=798158</t>
        </is>
      </c>
      <c r="X50" s="74" t="inlineStr">
        <is>
          <t>rating_report</t>
        </is>
      </c>
      <c r="Y50" s="74" t="inlineStr">
        <is>
          <t>N/D</t>
        </is>
      </c>
      <c r="Z50" s="74" t="inlineStr">
        <is>
          <t>não encontrado</t>
        </is>
      </c>
      <c r="AA50" s="74" t="inlineStr">
        <is>
          <t>N/D</t>
        </is>
      </c>
      <c r="AB50" s="74" t="inlineStr">
        <is>
          <t>N/D</t>
        </is>
      </c>
      <c r="AC50" s="74" t="inlineStr">
        <is>
          <t>N/D</t>
        </is>
      </c>
      <c r="AD50" s="74" t="inlineStr">
        <is>
          <t>N/D</t>
        </is>
      </c>
      <c r="AE50" s="74" t="inlineStr">
        <is>
          <t>N/D</t>
        </is>
      </c>
      <c r="AF50" s="74" t="inlineStr">
        <is>
          <t>N/D</t>
        </is>
      </c>
      <c r="AG50" s="74" t="inlineStr">
        <is>
          <t>N/D</t>
        </is>
      </c>
      <c r="AH50" s="74" t="inlineStr">
        <is>
          <t>não encontrado</t>
        </is>
      </c>
      <c r="AI50" s="74" t="inlineStr">
        <is>
          <t>N/D</t>
        </is>
      </c>
      <c r="AJ50" s="74" t="inlineStr">
        <is>
          <t>N/D</t>
        </is>
      </c>
      <c r="AK50" s="74" t="inlineStr">
        <is>
          <t>N/D</t>
        </is>
      </c>
      <c r="AL50" s="74" t="inlineStr">
        <is>
          <t>N/D</t>
        </is>
      </c>
      <c r="AM50" s="74" t="inlineStr">
        <is>
          <t>N/D</t>
        </is>
      </c>
      <c r="AN50" s="74" t="inlineStr">
        <is>
          <t>N/D</t>
        </is>
      </c>
      <c r="AO50" s="74" t="inlineStr">
        <is>
          <t>5%</t>
        </is>
      </c>
      <c r="AP50" s="74" t="inlineStr">
        <is>
          <t>aceito_payload</t>
        </is>
      </c>
      <c r="AQ50" s="74" t="inlineStr">
        <is>
          <t>junior_pl</t>
        </is>
      </c>
      <c r="AR50" s="74" t="inlineStr">
        <is>
          <t>1003378</t>
        </is>
      </c>
      <c r="AS50" s="74" t="inlineStr">
        <is>
          <t>2025-09-30</t>
        </is>
      </c>
      <c r="AT50" s="74" t="inlineStr">
        <is>
          <t>133</t>
        </is>
      </c>
      <c r="AU50" s="74" t="inlineStr">
        <is>
          <t>https://fnet.bmfbovespa.com.br/fnet/publico/downloadDocumento?id=1003378</t>
        </is>
      </c>
      <c r="AV50" s="74" t="inlineStr">
        <is>
          <t>payload_documental</t>
        </is>
      </c>
      <c r="AW50" s="74" t="inlineStr">
        <is>
          <t>N/D</t>
        </is>
      </c>
      <c r="AX50" s="74" t="inlineStr">
        <is>
          <t>não encontrado</t>
        </is>
      </c>
      <c r="AY50" s="74" t="inlineStr">
        <is>
          <t>N/D</t>
        </is>
      </c>
      <c r="AZ50" s="74" t="inlineStr">
        <is>
          <t>N/D</t>
        </is>
      </c>
      <c r="BA50" s="74" t="inlineStr">
        <is>
          <t>N/D</t>
        </is>
      </c>
      <c r="BB50" s="74" t="inlineStr">
        <is>
          <t>N/D</t>
        </is>
      </c>
      <c r="BC50" s="74" t="inlineStr">
        <is>
          <t>N/D</t>
        </is>
      </c>
      <c r="BD50" s="74" t="inlineStr">
        <is>
          <t>N/D</t>
        </is>
      </c>
      <c r="BE50" s="74" t="inlineStr">
        <is>
          <t>junior_pl</t>
        </is>
      </c>
      <c r="BF50" s="74" t="inlineStr">
        <is>
          <t>aceito_payload</t>
        </is>
      </c>
      <c r="BG50" s="74" t="inlineStr">
        <is>
          <t>junior_pl</t>
        </is>
      </c>
      <c r="BH50" s="74" t="inlineStr">
        <is>
          <t>1003378</t>
        </is>
      </c>
      <c r="BI50" s="74" t="inlineStr">
        <is>
          <t>2025-09-30</t>
        </is>
      </c>
      <c r="BJ50" s="74" t="inlineStr">
        <is>
          <t>133</t>
        </is>
      </c>
      <c r="BK50" s="74" t="inlineStr">
        <is>
          <t>https://fnet.bmfbovespa.com.br/fnet/publico/downloadDocumento?id=1003378</t>
        </is>
      </c>
      <c r="BL50" s="74" t="inlineStr">
        <is>
          <t>payload_documental</t>
        </is>
      </c>
    </row>
    <row r="51" ht="42" customHeight="1">
      <c r="A51" s="145" t="n">
        <v>47</v>
      </c>
      <c r="B51" s="142" t="n">
        <v>62838025000116</v>
      </c>
      <c r="C51" s="75" t="inlineStr">
        <is>
          <t>62.838.025/0001-16</t>
        </is>
      </c>
      <c r="D51" s="75" t="inlineStr">
        <is>
          <t>ENDURANCE FUNDO DE INVESTIMENTO EM DIREITOS CREDITÓRIOS RESPONSABILIDADE LIMITADA</t>
        </is>
      </c>
      <c r="E51" s="75" t="inlineStr">
        <is>
          <t>concluído</t>
        </is>
      </c>
      <c r="F51" s="145" t="n">
        <v>7</v>
      </c>
      <c r="G51" s="75" t="inlineStr">
        <is>
          <t>consultado</t>
        </is>
      </c>
      <c r="H51" s="75" t="inlineStr">
        <is>
          <t>N/D</t>
        </is>
      </c>
      <c r="I51" s="75" t="inlineStr">
        <is>
          <t>N/D</t>
        </is>
      </c>
      <c r="J51" s="75" t="inlineStr">
        <is>
          <t>não encontrado</t>
        </is>
      </c>
      <c r="K51" s="75" t="inlineStr">
        <is>
          <t>N/D</t>
        </is>
      </c>
      <c r="L51" s="75" t="inlineStr">
        <is>
          <t>N/D</t>
        </is>
      </c>
      <c r="M51" s="75" t="inlineStr">
        <is>
          <t>N/D</t>
        </is>
      </c>
      <c r="N51" s="75" t="inlineStr">
        <is>
          <t>N/D</t>
        </is>
      </c>
      <c r="O51" s="75" t="inlineStr">
        <is>
          <t>N/D</t>
        </is>
      </c>
      <c r="P51" s="75" t="inlineStr">
        <is>
          <t>N/D</t>
        </is>
      </c>
      <c r="Q51" s="75" t="inlineStr">
        <is>
          <t>Pague Veloz / Serasa</t>
        </is>
      </c>
      <c r="R51" s="75" t="inlineStr">
        <is>
          <t>aceito_payload</t>
        </is>
      </c>
      <c r="S51" s="75" t="inlineStr">
        <is>
          <t>N/D</t>
        </is>
      </c>
      <c r="T51" s="75" t="inlineStr">
        <is>
          <t>IMG_8705.JPG</t>
        </is>
      </c>
      <c r="U51" s="75" t="inlineStr">
        <is>
          <t>2025-12-10</t>
        </is>
      </c>
      <c r="V51" s="75" t="inlineStr">
        <is>
          <t>39</t>
        </is>
      </c>
      <c r="W51" s="75" t="inlineStr">
        <is>
          <t>N/D</t>
        </is>
      </c>
      <c r="X51" s="75" t="inlineStr">
        <is>
          <t>planilha_manual</t>
        </is>
      </c>
      <c r="Y51" s="75" t="inlineStr">
        <is>
          <t>os emissores, devedores e/ou garantidores dos Direitos Creditórios, conforme o caso</t>
        </is>
      </c>
      <c r="Z51" s="75" t="inlineStr">
        <is>
          <t>encontrado_explicito</t>
        </is>
      </c>
      <c r="AA51" s="75" t="inlineStr">
        <is>
          <t>N/D</t>
        </is>
      </c>
      <c r="AB51" s="75" t="inlineStr">
        <is>
          <t>1058234</t>
        </is>
      </c>
      <c r="AC51" s="75" t="inlineStr">
        <is>
          <t>2025-12-10</t>
        </is>
      </c>
      <c r="AD51" s="75" t="inlineStr">
        <is>
          <t>5</t>
        </is>
      </c>
      <c r="AE51" s="75" t="inlineStr">
        <is>
          <t>https://fnet.bmfbovespa.com.br/fnet/publico/downloadDocumento?id=1058234</t>
        </is>
      </c>
      <c r="AF51" s="75" t="inlineStr">
        <is>
          <t>regulamento</t>
        </is>
      </c>
      <c r="AG51" s="75" t="inlineStr">
        <is>
          <t>recebíveis de Rede, GetNet, Cielo e Pag</t>
        </is>
      </c>
      <c r="AH51" s="75" t="inlineStr">
        <is>
          <t>aceito_payload</t>
        </is>
      </c>
      <c r="AI51" s="75" t="inlineStr">
        <is>
          <t>N/D</t>
        </is>
      </c>
      <c r="AJ51" s="75" t="inlineStr">
        <is>
          <t>IMG_8705.JPG</t>
        </is>
      </c>
      <c r="AK51" s="75" t="inlineStr">
        <is>
          <t>2025-12-10</t>
        </is>
      </c>
      <c r="AL51" s="75" t="inlineStr">
        <is>
          <t>39</t>
        </is>
      </c>
      <c r="AM51" s="75" t="inlineStr">
        <is>
          <t>N/D</t>
        </is>
      </c>
      <c r="AN51" s="75" t="inlineStr">
        <is>
          <t>planilha_manual</t>
        </is>
      </c>
      <c r="AO51" s="75" t="inlineStr">
        <is>
          <t>10%</t>
        </is>
      </c>
      <c r="AP51" s="75" t="inlineStr">
        <is>
          <t>aceito_payload</t>
        </is>
      </c>
      <c r="AQ51" s="75" t="inlineStr">
        <is>
          <t>junior_pl</t>
        </is>
      </c>
      <c r="AR51" s="75" t="inlineStr">
        <is>
          <t>1058234</t>
        </is>
      </c>
      <c r="AS51" s="75" t="inlineStr">
        <is>
          <t>2025-12-10</t>
        </is>
      </c>
      <c r="AT51" s="75" t="inlineStr">
        <is>
          <t>39</t>
        </is>
      </c>
      <c r="AU51" s="75" t="inlineStr">
        <is>
          <t>https://fnet.bmfbovespa.com.br/fnet/publico/downloadDocumento?id=1058234</t>
        </is>
      </c>
      <c r="AV51" s="75" t="inlineStr">
        <is>
          <t>payload_documental</t>
        </is>
      </c>
      <c r="AW51" s="75" t="inlineStr">
        <is>
          <t>N/D</t>
        </is>
      </c>
      <c r="AX51" s="75" t="inlineStr">
        <is>
          <t>não encontrado</t>
        </is>
      </c>
      <c r="AY51" s="75" t="inlineStr">
        <is>
          <t>N/D</t>
        </is>
      </c>
      <c r="AZ51" s="75" t="inlineStr">
        <is>
          <t>N/D</t>
        </is>
      </c>
      <c r="BA51" s="75" t="inlineStr">
        <is>
          <t>N/D</t>
        </is>
      </c>
      <c r="BB51" s="75" t="inlineStr">
        <is>
          <t>N/D</t>
        </is>
      </c>
      <c r="BC51" s="75" t="inlineStr">
        <is>
          <t>N/D</t>
        </is>
      </c>
      <c r="BD51" s="75" t="inlineStr">
        <is>
          <t>N/D</t>
        </is>
      </c>
      <c r="BE51" s="75" t="inlineStr">
        <is>
          <t>junior_pl</t>
        </is>
      </c>
      <c r="BF51" s="75" t="inlineStr">
        <is>
          <t>aceito_payload</t>
        </is>
      </c>
      <c r="BG51" s="75" t="inlineStr">
        <is>
          <t>junior_pl</t>
        </is>
      </c>
      <c r="BH51" s="75" t="inlineStr">
        <is>
          <t>1058234</t>
        </is>
      </c>
      <c r="BI51" s="75" t="inlineStr">
        <is>
          <t>2025-12-10</t>
        </is>
      </c>
      <c r="BJ51" s="75" t="inlineStr">
        <is>
          <t>39</t>
        </is>
      </c>
      <c r="BK51" s="75" t="inlineStr">
        <is>
          <t>https://fnet.bmfbovespa.com.br/fnet/publico/downloadDocumento?id=1058234</t>
        </is>
      </c>
      <c r="BL51" s="75" t="inlineStr">
        <is>
          <t>payload_documental</t>
        </is>
      </c>
    </row>
    <row r="52" ht="42" customHeight="1">
      <c r="A52" s="141" t="n">
        <v>48</v>
      </c>
      <c r="B52" s="138" t="n">
        <v>47280025000150</v>
      </c>
      <c r="C52" s="74" t="inlineStr">
        <is>
          <t>47.280.025/0001-50</t>
        </is>
      </c>
      <c r="D52" s="74" t="inlineStr">
        <is>
          <t>FIDC AGRO CAPITAL FINANCE RESPONSABILIDADE LIMITADA</t>
        </is>
      </c>
      <c r="E52" s="74" t="inlineStr">
        <is>
          <t>concluído</t>
        </is>
      </c>
      <c r="F52" s="141" t="n">
        <v>9</v>
      </c>
      <c r="G52" s="74" t="inlineStr">
        <is>
          <t>consultado</t>
        </is>
      </c>
      <c r="H52" s="74" t="inlineStr">
        <is>
          <t>N/D</t>
        </is>
      </c>
      <c r="I52" s="74" t="inlineStr">
        <is>
          <t>N/D</t>
        </is>
      </c>
      <c r="J52" s="74" t="inlineStr">
        <is>
          <t>não encontrado</t>
        </is>
      </c>
      <c r="K52" s="74" t="inlineStr">
        <is>
          <t>N/D</t>
        </is>
      </c>
      <c r="L52" s="74" t="inlineStr">
        <is>
          <t>N/D</t>
        </is>
      </c>
      <c r="M52" s="74" t="inlineStr">
        <is>
          <t>N/D</t>
        </is>
      </c>
      <c r="N52" s="74" t="inlineStr">
        <is>
          <t>N/D</t>
        </is>
      </c>
      <c r="O52" s="74" t="inlineStr">
        <is>
          <t>N/D</t>
        </is>
      </c>
      <c r="P52" s="74" t="inlineStr">
        <is>
          <t>N/D</t>
        </is>
      </c>
      <c r="Q52" s="74" t="inlineStr">
        <is>
          <t>Albaugh</t>
        </is>
      </c>
      <c r="R52" s="74" t="inlineStr">
        <is>
          <t>aceito_payload</t>
        </is>
      </c>
      <c r="S52" s="74" t="inlineStr">
        <is>
          <t>N/D</t>
        </is>
      </c>
      <c r="T52" s="74" t="inlineStr">
        <is>
          <t>IMG_8705.JPG</t>
        </is>
      </c>
      <c r="U52" s="74" t="inlineStr">
        <is>
          <t>2025-12-23</t>
        </is>
      </c>
      <c r="V52" s="74" t="inlineStr">
        <is>
          <t>10; 34</t>
        </is>
      </c>
      <c r="W52" s="74" t="inlineStr">
        <is>
          <t>N/D</t>
        </is>
      </c>
      <c r="X52" s="74" t="inlineStr">
        <is>
          <t>planilha_manual</t>
        </is>
      </c>
      <c r="Y52" s="74" t="inlineStr">
        <is>
          <t>N/D</t>
        </is>
      </c>
      <c r="Z52" s="74" t="inlineStr">
        <is>
          <t>não encontrado</t>
        </is>
      </c>
      <c r="AA52" s="74" t="inlineStr">
        <is>
          <t>N/D</t>
        </is>
      </c>
      <c r="AB52" s="74" t="inlineStr">
        <is>
          <t>N/D</t>
        </is>
      </c>
      <c r="AC52" s="74" t="inlineStr">
        <is>
          <t>N/D</t>
        </is>
      </c>
      <c r="AD52" s="74" t="inlineStr">
        <is>
          <t>N/D</t>
        </is>
      </c>
      <c r="AE52" s="74" t="inlineStr">
        <is>
          <t>N/D</t>
        </is>
      </c>
      <c r="AF52" s="74" t="inlineStr">
        <is>
          <t>N/D</t>
        </is>
      </c>
      <c r="AG52" s="74" t="inlineStr">
        <is>
          <t>N/D</t>
        </is>
      </c>
      <c r="AH52" s="74" t="inlineStr">
        <is>
          <t>não encontrado</t>
        </is>
      </c>
      <c r="AI52" s="74" t="inlineStr">
        <is>
          <t>N/D</t>
        </is>
      </c>
      <c r="AJ52" s="74" t="inlineStr">
        <is>
          <t>N/D</t>
        </is>
      </c>
      <c r="AK52" s="74" t="inlineStr">
        <is>
          <t>N/D</t>
        </is>
      </c>
      <c r="AL52" s="74" t="inlineStr">
        <is>
          <t>N/D</t>
        </is>
      </c>
      <c r="AM52" s="74" t="inlineStr">
        <is>
          <t>N/D</t>
        </is>
      </c>
      <c r="AN52" s="74" t="inlineStr">
        <is>
          <t>N/D</t>
        </is>
      </c>
      <c r="AO52" s="74" t="inlineStr">
        <is>
          <t>30%</t>
        </is>
      </c>
      <c r="AP52" s="74" t="inlineStr">
        <is>
          <t>aceito_payload</t>
        </is>
      </c>
      <c r="AQ52" s="74" t="inlineStr">
        <is>
          <t>junior_pl</t>
        </is>
      </c>
      <c r="AR52" s="74" t="inlineStr">
        <is>
          <t>1074880</t>
        </is>
      </c>
      <c r="AS52" s="74" t="inlineStr">
        <is>
          <t>2025-12-23</t>
        </is>
      </c>
      <c r="AT52" s="74" t="inlineStr">
        <is>
          <t>10; 34</t>
        </is>
      </c>
      <c r="AU52" s="74" t="inlineStr">
        <is>
          <t>https://fnet.bmfbovespa.com.br/fnet/publico/downloadDocumento?id=1074880</t>
        </is>
      </c>
      <c r="AV52" s="74" t="inlineStr">
        <is>
          <t>payload_documental</t>
        </is>
      </c>
      <c r="AW52" s="74" t="inlineStr">
        <is>
          <t>30%</t>
        </is>
      </c>
      <c r="AX52" s="74" t="inlineStr">
        <is>
          <t>aceito_payload</t>
        </is>
      </c>
      <c r="AY52" s="74" t="inlineStr">
        <is>
          <t>suporte_total_pl</t>
        </is>
      </c>
      <c r="AZ52" s="74" t="inlineStr">
        <is>
          <t>1074880</t>
        </is>
      </c>
      <c r="BA52" s="74" t="inlineStr">
        <is>
          <t>2025-12-23</t>
        </is>
      </c>
      <c r="BB52" s="74" t="inlineStr">
        <is>
          <t>10; 34</t>
        </is>
      </c>
      <c r="BC52" s="74" t="inlineStr">
        <is>
          <t>https://fnet.bmfbovespa.com.br/fnet/publico/downloadDocumento?id=1074880</t>
        </is>
      </c>
      <c r="BD52" s="74" t="inlineStr">
        <is>
          <t>payload_documental</t>
        </is>
      </c>
      <c r="BE52" s="74" t="inlineStr">
        <is>
          <t>junior_pl</t>
        </is>
      </c>
      <c r="BF52" s="74" t="inlineStr">
        <is>
          <t>aceito_payload</t>
        </is>
      </c>
      <c r="BG52" s="74" t="inlineStr">
        <is>
          <t>junior_pl</t>
        </is>
      </c>
      <c r="BH52" s="74" t="inlineStr">
        <is>
          <t>1074880</t>
        </is>
      </c>
      <c r="BI52" s="74" t="inlineStr">
        <is>
          <t>2025-12-23</t>
        </is>
      </c>
      <c r="BJ52" s="74" t="inlineStr">
        <is>
          <t>10; 34</t>
        </is>
      </c>
      <c r="BK52" s="74" t="inlineStr">
        <is>
          <t>https://fnet.bmfbovespa.com.br/fnet/publico/downloadDocumento?id=1074880</t>
        </is>
      </c>
      <c r="BL52" s="74" t="inlineStr">
        <is>
          <t>payload_documental</t>
        </is>
      </c>
    </row>
    <row r="53" ht="42" customHeight="1">
      <c r="A53" s="145" t="n">
        <v>49</v>
      </c>
      <c r="B53" s="142" t="n">
        <v>57270666000187</v>
      </c>
      <c r="C53" s="75" t="inlineStr">
        <is>
          <t>57.270.666/0001-87</t>
        </is>
      </c>
      <c r="D53" s="75" t="inlineStr">
        <is>
          <t>MOBILITAS FUNDO DE INVESTIMENTO EM DIREITOS CREDITÓRIOS - RESPONSABILIDADE LIMITADA</t>
        </is>
      </c>
      <c r="E53" s="75" t="inlineStr">
        <is>
          <t>concluído</t>
        </is>
      </c>
      <c r="F53" s="145" t="n">
        <v>6</v>
      </c>
      <c r="G53" s="75" t="inlineStr">
        <is>
          <t>consultado</t>
        </is>
      </c>
      <c r="H53" s="75" t="inlineStr">
        <is>
          <t>N/D</t>
        </is>
      </c>
      <c r="I53" s="75" t="inlineStr">
        <is>
          <t>N/D</t>
        </is>
      </c>
      <c r="J53" s="75" t="inlineStr">
        <is>
          <t>não encontrado</t>
        </is>
      </c>
      <c r="K53" s="75" t="inlineStr">
        <is>
          <t>N/D</t>
        </is>
      </c>
      <c r="L53" s="75" t="inlineStr">
        <is>
          <t>N/D</t>
        </is>
      </c>
      <c r="M53" s="75" t="inlineStr">
        <is>
          <t>N/D</t>
        </is>
      </c>
      <c r="N53" s="75" t="inlineStr">
        <is>
          <t>N/D</t>
        </is>
      </c>
      <c r="O53" s="75" t="inlineStr">
        <is>
          <t>N/D</t>
        </is>
      </c>
      <c r="P53" s="75" t="inlineStr">
        <is>
          <t>N/D</t>
        </is>
      </c>
      <c r="Q53" s="75" t="inlineStr">
        <is>
          <t>N/D</t>
        </is>
      </c>
      <c r="R53" s="75" t="inlineStr">
        <is>
          <t>não encontrado</t>
        </is>
      </c>
      <c r="S53" s="75" t="inlineStr">
        <is>
          <t>N/D</t>
        </is>
      </c>
      <c r="T53" s="75" t="inlineStr">
        <is>
          <t>N/D</t>
        </is>
      </c>
      <c r="U53" s="75" t="inlineStr">
        <is>
          <t>N/D</t>
        </is>
      </c>
      <c r="V53" s="75" t="inlineStr">
        <is>
          <t>N/D</t>
        </is>
      </c>
      <c r="W53" s="75" t="inlineStr">
        <is>
          <t>N/D</t>
        </is>
      </c>
      <c r="X53" s="75" t="inlineStr">
        <is>
          <t>N/D</t>
        </is>
      </c>
      <c r="Y53" s="75" t="inlineStr">
        <is>
          <t>N/D</t>
        </is>
      </c>
      <c r="Z53" s="75" t="inlineStr">
        <is>
          <t>não encontrado</t>
        </is>
      </c>
      <c r="AA53" s="75" t="inlineStr">
        <is>
          <t>N/D</t>
        </is>
      </c>
      <c r="AB53" s="75" t="inlineStr">
        <is>
          <t>N/D</t>
        </is>
      </c>
      <c r="AC53" s="75" t="inlineStr">
        <is>
          <t>N/D</t>
        </is>
      </c>
      <c r="AD53" s="75" t="inlineStr">
        <is>
          <t>N/D</t>
        </is>
      </c>
      <c r="AE53" s="75" t="inlineStr">
        <is>
          <t>N/D</t>
        </is>
      </c>
      <c r="AF53" s="75" t="inlineStr">
        <is>
          <t>N/D</t>
        </is>
      </c>
      <c r="AG53" s="75" t="inlineStr">
        <is>
          <t>Direitos Creditórios performados; REDE como adquirente</t>
        </is>
      </c>
      <c r="AH53" s="75" t="inlineStr">
        <is>
          <t>aceito_payload</t>
        </is>
      </c>
      <c r="AI53" s="75" t="inlineStr">
        <is>
          <t>N/D</t>
        </is>
      </c>
      <c r="AJ53" s="75" t="inlineStr">
        <is>
          <t>IMG_8705.JPG</t>
        </is>
      </c>
      <c r="AK53" s="75" t="inlineStr">
        <is>
          <t>2024-10-31</t>
        </is>
      </c>
      <c r="AL53" s="75" t="inlineStr">
        <is>
          <t>49</t>
        </is>
      </c>
      <c r="AM53" s="75" t="inlineStr">
        <is>
          <t>N/D</t>
        </is>
      </c>
      <c r="AN53" s="75" t="inlineStr">
        <is>
          <t>planilha_manual</t>
        </is>
      </c>
      <c r="AO53" s="75" t="inlineStr">
        <is>
          <t>10%</t>
        </is>
      </c>
      <c r="AP53" s="75" t="inlineStr">
        <is>
          <t>aceito_payload</t>
        </is>
      </c>
      <c r="AQ53" s="75" t="inlineStr">
        <is>
          <t>junior_pl</t>
        </is>
      </c>
      <c r="AR53" s="75" t="inlineStr">
        <is>
          <t>769277</t>
        </is>
      </c>
      <c r="AS53" s="75" t="inlineStr">
        <is>
          <t>2024-10-31</t>
        </is>
      </c>
      <c r="AT53" s="75" t="inlineStr">
        <is>
          <t>49</t>
        </is>
      </c>
      <c r="AU53" s="75" t="inlineStr">
        <is>
          <t>https://fnet.bmfbovespa.com.br/fnet/publico/downloadDocumento?id=769277</t>
        </is>
      </c>
      <c r="AV53" s="75" t="inlineStr">
        <is>
          <t>payload_documental</t>
        </is>
      </c>
      <c r="AW53" s="75" t="inlineStr">
        <is>
          <t>N/D</t>
        </is>
      </c>
      <c r="AX53" s="75" t="inlineStr">
        <is>
          <t>não encontrado</t>
        </is>
      </c>
      <c r="AY53" s="75" t="inlineStr">
        <is>
          <t>N/D</t>
        </is>
      </c>
      <c r="AZ53" s="75" t="inlineStr">
        <is>
          <t>N/D</t>
        </is>
      </c>
      <c r="BA53" s="75" t="inlineStr">
        <is>
          <t>N/D</t>
        </is>
      </c>
      <c r="BB53" s="75" t="inlineStr">
        <is>
          <t>N/D</t>
        </is>
      </c>
      <c r="BC53" s="75" t="inlineStr">
        <is>
          <t>N/D</t>
        </is>
      </c>
      <c r="BD53" s="75" t="inlineStr">
        <is>
          <t>N/D</t>
        </is>
      </c>
      <c r="BE53" s="75" t="inlineStr">
        <is>
          <t>junior_pl</t>
        </is>
      </c>
      <c r="BF53" s="75" t="inlineStr">
        <is>
          <t>aceito_payload</t>
        </is>
      </c>
      <c r="BG53" s="75" t="inlineStr">
        <is>
          <t>junior_pl</t>
        </is>
      </c>
      <c r="BH53" s="75" t="inlineStr">
        <is>
          <t>769277</t>
        </is>
      </c>
      <c r="BI53" s="75" t="inlineStr">
        <is>
          <t>2024-10-31</t>
        </is>
      </c>
      <c r="BJ53" s="75" t="inlineStr">
        <is>
          <t>49</t>
        </is>
      </c>
      <c r="BK53" s="75" t="inlineStr">
        <is>
          <t>https://fnet.bmfbovespa.com.br/fnet/publico/downloadDocumento?id=769277</t>
        </is>
      </c>
      <c r="BL53" s="75" t="inlineStr">
        <is>
          <t>payload_documental</t>
        </is>
      </c>
    </row>
    <row r="54" ht="42" customHeight="1">
      <c r="A54" s="141" t="n">
        <v>50</v>
      </c>
      <c r="B54" s="138" t="n">
        <v>58288437000152</v>
      </c>
      <c r="C54" s="74" t="inlineStr">
        <is>
          <t>58.288.437/0001-52</t>
        </is>
      </c>
      <c r="D54" s="74" t="inlineStr">
        <is>
          <t>ALTOMAX FUNDO DE INVESTIMENTO EM DIREITOS CREDITÓRIOS SEGMENTO RECEBÍVEIS COMERCIAIS DE RESP LTDA</t>
        </is>
      </c>
      <c r="E54" s="74" t="inlineStr">
        <is>
          <t>concluído</t>
        </is>
      </c>
      <c r="F54" s="141" t="n">
        <v>10</v>
      </c>
      <c r="G54" s="74" t="inlineStr">
        <is>
          <t>consultado</t>
        </is>
      </c>
      <c r="H54" s="74" t="inlineStr">
        <is>
          <t>N/D</t>
        </is>
      </c>
      <c r="I54" s="74" t="inlineStr">
        <is>
          <t>N/D</t>
        </is>
      </c>
      <c r="J54" s="74" t="inlineStr">
        <is>
          <t>não encontrado</t>
        </is>
      </c>
      <c r="K54" s="74" t="inlineStr">
        <is>
          <t>N/D</t>
        </is>
      </c>
      <c r="L54" s="74" t="inlineStr">
        <is>
          <t>N/D</t>
        </is>
      </c>
      <c r="M54" s="74" t="inlineStr">
        <is>
          <t>N/D</t>
        </is>
      </c>
      <c r="N54" s="74" t="inlineStr">
        <is>
          <t>N/D</t>
        </is>
      </c>
      <c r="O54" s="74" t="inlineStr">
        <is>
          <t>N/D</t>
        </is>
      </c>
      <c r="P54" s="74" t="inlineStr">
        <is>
          <t>N/D</t>
        </is>
      </c>
      <c r="Q54" s="74" t="inlineStr">
        <is>
          <t>a ALTOMAX COMÉRCIO DE MEIAS E COBERTORES, IMPORTAÇÃO E EXPORTAÇÃO LTDA, sociedade limitada, com sede na cidade de Foz do Iguaçu, estado do Paraná, na Av</t>
        </is>
      </c>
      <c r="R54" s="74" t="inlineStr">
        <is>
          <t>encontrado_explicito</t>
        </is>
      </c>
      <c r="S54" s="74" t="inlineStr">
        <is>
          <t>N/D</t>
        </is>
      </c>
      <c r="T54" s="74" t="inlineStr">
        <is>
          <t>1240668</t>
        </is>
      </c>
      <c r="U54" s="74" t="inlineStr">
        <is>
          <t>24/02/2026</t>
        </is>
      </c>
      <c r="V54" s="74" t="inlineStr">
        <is>
          <t>83</t>
        </is>
      </c>
      <c r="W54" s="74" t="inlineStr">
        <is>
          <t>https://fnet.bmfbovespa.com.br/fnet/publico/downloadDocumento?id=1240668</t>
        </is>
      </c>
      <c r="X54" s="74" t="inlineStr">
        <is>
          <t>regulamento</t>
        </is>
      </c>
      <c r="Y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Z54" s="74" t="inlineStr">
        <is>
          <t>encontrado_explicito</t>
        </is>
      </c>
      <c r="AA54" s="74" t="inlineStr">
        <is>
          <t>N/D</t>
        </is>
      </c>
      <c r="AB54" s="74" t="inlineStr">
        <is>
          <t>1240668</t>
        </is>
      </c>
      <c r="AC54" s="74" t="inlineStr">
        <is>
          <t>24/02/2026</t>
        </is>
      </c>
      <c r="AD54" s="74" t="inlineStr">
        <is>
          <t>87</t>
        </is>
      </c>
      <c r="AE54" s="74" t="inlineStr">
        <is>
          <t>https://fnet.bmfbovespa.com.br/fnet/publico/downloadDocumento?id=1240668</t>
        </is>
      </c>
      <c r="AF54" s="74" t="inlineStr">
        <is>
          <t>regulamento</t>
        </is>
      </c>
      <c r="AG54" s="74" t="inlineStr">
        <is>
          <t>N/D</t>
        </is>
      </c>
      <c r="AH54" s="74" t="inlineStr">
        <is>
          <t>não encontrado</t>
        </is>
      </c>
      <c r="AI54" s="74" t="inlineStr">
        <is>
          <t>N/D</t>
        </is>
      </c>
      <c r="AJ54" s="74" t="inlineStr">
        <is>
          <t>N/D</t>
        </is>
      </c>
      <c r="AK54" s="74" t="inlineStr">
        <is>
          <t>N/D</t>
        </is>
      </c>
      <c r="AL54" s="74" t="inlineStr">
        <is>
          <t>N/D</t>
        </is>
      </c>
      <c r="AM54" s="74" t="inlineStr">
        <is>
          <t>N/D</t>
        </is>
      </c>
      <c r="AN54" s="74" t="inlineStr">
        <is>
          <t>N/D</t>
        </is>
      </c>
      <c r="AO54" s="74" t="inlineStr">
        <is>
          <t>20%</t>
        </is>
      </c>
      <c r="AP54" s="74" t="inlineStr">
        <is>
          <t>aceito_payload</t>
        </is>
      </c>
      <c r="AQ54" s="74" t="inlineStr">
        <is>
          <t>junior_pl</t>
        </is>
      </c>
      <c r="AR54" s="74" t="inlineStr">
        <is>
          <t>1240668</t>
        </is>
      </c>
      <c r="AS54" s="74" t="inlineStr">
        <is>
          <t>2026-02-24</t>
        </is>
      </c>
      <c r="AT54" s="74" t="inlineStr">
        <is>
          <t>94</t>
        </is>
      </c>
      <c r="AU54" s="74" t="inlineStr">
        <is>
          <t>https://fnet.bmfbovespa.com.br/fnet/publico/downloadDocumento?id=1240668</t>
        </is>
      </c>
      <c r="AV54" s="74" t="inlineStr">
        <is>
          <t>payload_documental</t>
        </is>
      </c>
      <c r="AW54" s="74" t="inlineStr">
        <is>
          <t>N/D</t>
        </is>
      </c>
      <c r="AX54" s="74" t="inlineStr">
        <is>
          <t>não encontrado</t>
        </is>
      </c>
      <c r="AY54" s="74" t="inlineStr">
        <is>
          <t>N/D</t>
        </is>
      </c>
      <c r="AZ54" s="74" t="inlineStr">
        <is>
          <t>N/D</t>
        </is>
      </c>
      <c r="BA54" s="74" t="inlineStr">
        <is>
          <t>N/D</t>
        </is>
      </c>
      <c r="BB54" s="74" t="inlineStr">
        <is>
          <t>N/D</t>
        </is>
      </c>
      <c r="BC54" s="74" t="inlineStr">
        <is>
          <t>N/D</t>
        </is>
      </c>
      <c r="BD54" s="74" t="inlineStr">
        <is>
          <t>N/D</t>
        </is>
      </c>
      <c r="BE54" s="74" t="inlineStr">
        <is>
          <t>junior_pl</t>
        </is>
      </c>
      <c r="BF54" s="74" t="inlineStr">
        <is>
          <t>aceito_payload</t>
        </is>
      </c>
      <c r="BG54" s="74" t="inlineStr">
        <is>
          <t>junior_pl</t>
        </is>
      </c>
      <c r="BH54" s="74" t="inlineStr">
        <is>
          <t>1240668</t>
        </is>
      </c>
      <c r="BI54" s="74" t="inlineStr">
        <is>
          <t>2026-02-24</t>
        </is>
      </c>
      <c r="BJ54" s="74" t="inlineStr">
        <is>
          <t>94</t>
        </is>
      </c>
      <c r="BK54" s="74" t="inlineStr">
        <is>
          <t>https://fnet.bmfbovespa.com.br/fnet/publico/downloadDocumento?id=1240668</t>
        </is>
      </c>
      <c r="BL54" s="74" t="inlineStr">
        <is>
          <t>payload_documental</t>
        </is>
      </c>
    </row>
    <row r="55" ht="42" customHeight="1">
      <c r="A55" s="145" t="n">
        <v>51</v>
      </c>
      <c r="B55" s="142" t="n">
        <v>55476342000174</v>
      </c>
      <c r="C55" s="75" t="inlineStr">
        <is>
          <t>55.476.342/0001-74</t>
        </is>
      </c>
      <c r="D55" s="75" t="inlineStr">
        <is>
          <t>LAVORO AGRO II FIAGRO - DIREITOS CREDITÓRIOS - RESPONSABILIDADE LIMITADA</t>
        </is>
      </c>
      <c r="E55" s="75" t="inlineStr">
        <is>
          <t>concluído</t>
        </is>
      </c>
      <c r="F55" s="145" t="n">
        <v>6</v>
      </c>
      <c r="G55" s="75" t="inlineStr">
        <is>
          <t>consultado</t>
        </is>
      </c>
      <c r="H55" s="75" t="inlineStr">
        <is>
          <t>N/D</t>
        </is>
      </c>
      <c r="I55" s="75" t="inlineStr">
        <is>
          <t>N/D</t>
        </is>
      </c>
      <c r="J55" s="75" t="inlineStr">
        <is>
          <t>não encontrado</t>
        </is>
      </c>
      <c r="K55" s="75" t="inlineStr">
        <is>
          <t>N/D</t>
        </is>
      </c>
      <c r="L55" s="75" t="inlineStr">
        <is>
          <t>N/D</t>
        </is>
      </c>
      <c r="M55" s="75" t="inlineStr">
        <is>
          <t>N/D</t>
        </is>
      </c>
      <c r="N55" s="75" t="inlineStr">
        <is>
          <t>N/D</t>
        </is>
      </c>
      <c r="O55" s="75" t="inlineStr">
        <is>
          <t>N/D</t>
        </is>
      </c>
      <c r="P55" s="75" t="inlineStr">
        <is>
          <t>N/D</t>
        </is>
      </c>
      <c r="Q55" s="75" t="inlineStr">
        <is>
          <t>Lavoro</t>
        </is>
      </c>
      <c r="R55" s="75" t="inlineStr">
        <is>
          <t>aceito_payload</t>
        </is>
      </c>
      <c r="S55" s="75" t="inlineStr">
        <is>
          <t>N/D</t>
        </is>
      </c>
      <c r="T55" s="75" t="inlineStr">
        <is>
          <t>IMG_8705.JPG</t>
        </is>
      </c>
      <c r="U55" s="75" t="inlineStr">
        <is>
          <t>2025-09-30</t>
        </is>
      </c>
      <c r="V55" s="75" t="inlineStr">
        <is>
          <t>107; 122</t>
        </is>
      </c>
      <c r="W55" s="75" t="inlineStr">
        <is>
          <t>N/D</t>
        </is>
      </c>
      <c r="X55" s="75" t="inlineStr">
        <is>
          <t>planilha_manual</t>
        </is>
      </c>
      <c r="Y55" s="75" t="inlineStr">
        <is>
          <t>N/D</t>
        </is>
      </c>
      <c r="Z55" s="75" t="inlineStr">
        <is>
          <t>não encontrado</t>
        </is>
      </c>
      <c r="AA55" s="75" t="inlineStr">
        <is>
          <t>N/D</t>
        </is>
      </c>
      <c r="AB55" s="75" t="inlineStr">
        <is>
          <t>N/D</t>
        </is>
      </c>
      <c r="AC55" s="75" t="inlineStr">
        <is>
          <t>N/D</t>
        </is>
      </c>
      <c r="AD55" s="75" t="inlineStr">
        <is>
          <t>N/D</t>
        </is>
      </c>
      <c r="AE55" s="75" t="inlineStr">
        <is>
          <t>N/D</t>
        </is>
      </c>
      <c r="AF55" s="75" t="inlineStr">
        <is>
          <t>N/D</t>
        </is>
      </c>
      <c r="AG55" s="75" t="inlineStr">
        <is>
          <t>N/D</t>
        </is>
      </c>
      <c r="AH55" s="75" t="inlineStr">
        <is>
          <t>não encontrado</t>
        </is>
      </c>
      <c r="AI55" s="75" t="inlineStr">
        <is>
          <t>N/D</t>
        </is>
      </c>
      <c r="AJ55" s="75" t="inlineStr">
        <is>
          <t>N/D</t>
        </is>
      </c>
      <c r="AK55" s="75" t="inlineStr">
        <is>
          <t>N/D</t>
        </is>
      </c>
      <c r="AL55" s="75" t="inlineStr">
        <is>
          <t>N/D</t>
        </is>
      </c>
      <c r="AM55" s="75" t="inlineStr">
        <is>
          <t>N/D</t>
        </is>
      </c>
      <c r="AN55" s="75" t="inlineStr">
        <is>
          <t>N/D</t>
        </is>
      </c>
      <c r="AO55" s="75" t="inlineStr">
        <is>
          <t>20%</t>
        </is>
      </c>
      <c r="AP55" s="75" t="inlineStr">
        <is>
          <t>aceito_payload</t>
        </is>
      </c>
      <c r="AQ55" s="75" t="inlineStr">
        <is>
          <t>junior_pl</t>
        </is>
      </c>
      <c r="AR55" s="75" t="inlineStr">
        <is>
          <t>1003108</t>
        </is>
      </c>
      <c r="AS55" s="75" t="inlineStr">
        <is>
          <t>2025-09-30</t>
        </is>
      </c>
      <c r="AT55" s="75" t="inlineStr">
        <is>
          <t>107; 122</t>
        </is>
      </c>
      <c r="AU55" s="75" t="inlineStr">
        <is>
          <t>https://fnet.bmfbovespa.com.br/fnet/publico/downloadDocumento?id=1003108</t>
        </is>
      </c>
      <c r="AV55" s="75" t="inlineStr">
        <is>
          <t>payload_documental</t>
        </is>
      </c>
      <c r="AW55" s="75" t="inlineStr">
        <is>
          <t>20%</t>
        </is>
      </c>
      <c r="AX55" s="75" t="inlineStr">
        <is>
          <t>aceito_payload</t>
        </is>
      </c>
      <c r="AY55" s="75" t="inlineStr">
        <is>
          <t>suporte_total_pl</t>
        </is>
      </c>
      <c r="AZ55" s="75" t="inlineStr">
        <is>
          <t>1003108</t>
        </is>
      </c>
      <c r="BA55" s="75" t="inlineStr">
        <is>
          <t>2025-09-30</t>
        </is>
      </c>
      <c r="BB55" s="75" t="inlineStr">
        <is>
          <t>107; 122</t>
        </is>
      </c>
      <c r="BC55" s="75" t="inlineStr">
        <is>
          <t>https://fnet.bmfbovespa.com.br/fnet/publico/downloadDocumento?id=1003108</t>
        </is>
      </c>
      <c r="BD55" s="75" t="inlineStr">
        <is>
          <t>payload_documental</t>
        </is>
      </c>
      <c r="BE55" s="75" t="inlineStr">
        <is>
          <t>junior_pl</t>
        </is>
      </c>
      <c r="BF55" s="75" t="inlineStr">
        <is>
          <t>aceito_payload</t>
        </is>
      </c>
      <c r="BG55" s="75" t="inlineStr">
        <is>
          <t>junior_pl</t>
        </is>
      </c>
      <c r="BH55" s="75" t="inlineStr">
        <is>
          <t>1003108</t>
        </is>
      </c>
      <c r="BI55" s="75" t="inlineStr">
        <is>
          <t>2025-09-30</t>
        </is>
      </c>
      <c r="BJ55" s="75" t="inlineStr">
        <is>
          <t>107; 122</t>
        </is>
      </c>
      <c r="BK55" s="75" t="inlineStr">
        <is>
          <t>https://fnet.bmfbovespa.com.br/fnet/publico/downloadDocumento?id=1003108</t>
        </is>
      </c>
      <c r="BL55" s="75" t="inlineStr">
        <is>
          <t>payload_documental</t>
        </is>
      </c>
    </row>
    <row r="56" ht="42" customHeight="1">
      <c r="A56" s="141" t="n">
        <v>52</v>
      </c>
      <c r="B56" s="138" t="n">
        <v>63679792000192</v>
      </c>
      <c r="C56" s="74" t="inlineStr">
        <is>
          <t>63.679.792/0001-92</t>
        </is>
      </c>
      <c r="D56" s="74" t="inlineStr">
        <is>
          <t>BLUE HEALTH FIDC RECEBÍVEIS COMERCIAIS DE RESPONSABILIDADE LIMITADA</t>
        </is>
      </c>
      <c r="E56" s="74" t="inlineStr">
        <is>
          <t>concluído</t>
        </is>
      </c>
      <c r="F56" s="141" t="n">
        <v>6</v>
      </c>
      <c r="G56" s="74" t="inlineStr">
        <is>
          <t>consultado</t>
        </is>
      </c>
      <c r="H56" s="74" t="inlineStr">
        <is>
          <t>N/D</t>
        </is>
      </c>
      <c r="I56" s="74" t="inlineStr">
        <is>
          <t>N/D</t>
        </is>
      </c>
      <c r="J56" s="74" t="inlineStr">
        <is>
          <t>não encontrado</t>
        </is>
      </c>
      <c r="K56" s="74" t="inlineStr">
        <is>
          <t>N/D</t>
        </is>
      </c>
      <c r="L56" s="74" t="inlineStr">
        <is>
          <t>N/D</t>
        </is>
      </c>
      <c r="M56" s="74" t="inlineStr">
        <is>
          <t>N/D</t>
        </is>
      </c>
      <c r="N56" s="74" t="inlineStr">
        <is>
          <t>N/D</t>
        </is>
      </c>
      <c r="O56" s="74" t="inlineStr">
        <is>
          <t>N/D</t>
        </is>
      </c>
      <c r="P56" s="74" t="inlineStr">
        <is>
          <t>N/D</t>
        </is>
      </c>
      <c r="Q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R56" s="74" t="inlineStr">
        <is>
          <t>encontrado_explicito</t>
        </is>
      </c>
      <c r="S56" s="74" t="inlineStr">
        <is>
          <t>N/D</t>
        </is>
      </c>
      <c r="T56" s="74" t="inlineStr">
        <is>
          <t>1101558</t>
        </is>
      </c>
      <c r="U56" s="74" t="inlineStr">
        <is>
          <t>26/01/2026</t>
        </is>
      </c>
      <c r="V56" s="74" t="inlineStr">
        <is>
          <t>85</t>
        </is>
      </c>
      <c r="W56" s="74" t="inlineStr">
        <is>
          <t>https://fnet.bmfbovespa.com.br/fnet/publico/downloadDocumento?id=1101558</t>
        </is>
      </c>
      <c r="X56" s="74" t="inlineStr">
        <is>
          <t>regulamento</t>
        </is>
      </c>
      <c r="Y56" s="74" t="inlineStr">
        <is>
          <t>N/D</t>
        </is>
      </c>
      <c r="Z56" s="74" t="inlineStr">
        <is>
          <t>não encontrado</t>
        </is>
      </c>
      <c r="AA56" s="74" t="inlineStr">
        <is>
          <t>N/D</t>
        </is>
      </c>
      <c r="AB56" s="74" t="inlineStr">
        <is>
          <t>N/D</t>
        </is>
      </c>
      <c r="AC56" s="74" t="inlineStr">
        <is>
          <t>N/D</t>
        </is>
      </c>
      <c r="AD56" s="74" t="inlineStr">
        <is>
          <t>N/D</t>
        </is>
      </c>
      <c r="AE56" s="74" t="inlineStr">
        <is>
          <t>N/D</t>
        </is>
      </c>
      <c r="AF56" s="74" t="inlineStr">
        <is>
          <t>N/D</t>
        </is>
      </c>
      <c r="AG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AH56" s="74" t="inlineStr">
        <is>
          <t>encontrado_explicito</t>
        </is>
      </c>
      <c r="AI56" s="74" t="inlineStr">
        <is>
          <t>N/D</t>
        </is>
      </c>
      <c r="AJ56" s="74" t="inlineStr">
        <is>
          <t>1101558</t>
        </is>
      </c>
      <c r="AK56" s="74" t="inlineStr">
        <is>
          <t>26/01/2026</t>
        </is>
      </c>
      <c r="AL56" s="74" t="inlineStr">
        <is>
          <t>88</t>
        </is>
      </c>
      <c r="AM56" s="74" t="inlineStr">
        <is>
          <t>https://fnet.bmfbovespa.com.br/fnet/publico/downloadDocumento?id=1101558</t>
        </is>
      </c>
      <c r="AN56" s="74" t="inlineStr">
        <is>
          <t>regulamento</t>
        </is>
      </c>
      <c r="AO56" s="74" t="inlineStr">
        <is>
          <t>20%</t>
        </is>
      </c>
      <c r="AP56" s="74" t="inlineStr">
        <is>
          <t>aceito_payload</t>
        </is>
      </c>
      <c r="AQ56" s="74" t="inlineStr">
        <is>
          <t>junior_pl</t>
        </is>
      </c>
      <c r="AR56" s="74" t="inlineStr">
        <is>
          <t>1101558</t>
        </is>
      </c>
      <c r="AS56" s="74" t="inlineStr">
        <is>
          <t>2026-01-26</t>
        </is>
      </c>
      <c r="AT56" s="74" t="inlineStr">
        <is>
          <t>92</t>
        </is>
      </c>
      <c r="AU56" s="74" t="inlineStr">
        <is>
          <t>https://fnet.bmfbovespa.com.br/fnet/publico/downloadDocumento?id=1101558</t>
        </is>
      </c>
      <c r="AV56" s="74" t="inlineStr">
        <is>
          <t>payload_documental</t>
        </is>
      </c>
      <c r="AW56" s="74" t="inlineStr">
        <is>
          <t>N/D</t>
        </is>
      </c>
      <c r="AX56" s="74" t="inlineStr">
        <is>
          <t>não encontrado</t>
        </is>
      </c>
      <c r="AY56" s="74" t="inlineStr">
        <is>
          <t>N/D</t>
        </is>
      </c>
      <c r="AZ56" s="74" t="inlineStr">
        <is>
          <t>N/D</t>
        </is>
      </c>
      <c r="BA56" s="74" t="inlineStr">
        <is>
          <t>N/D</t>
        </is>
      </c>
      <c r="BB56" s="74" t="inlineStr">
        <is>
          <t>N/D</t>
        </is>
      </c>
      <c r="BC56" s="74" t="inlineStr">
        <is>
          <t>N/D</t>
        </is>
      </c>
      <c r="BD56" s="74" t="inlineStr">
        <is>
          <t>N/D</t>
        </is>
      </c>
      <c r="BE56" s="74" t="inlineStr">
        <is>
          <t>junior_pl</t>
        </is>
      </c>
      <c r="BF56" s="74" t="inlineStr">
        <is>
          <t>aceito_payload</t>
        </is>
      </c>
      <c r="BG56" s="74" t="inlineStr">
        <is>
          <t>junior_pl</t>
        </is>
      </c>
      <c r="BH56" s="74" t="inlineStr">
        <is>
          <t>1101558</t>
        </is>
      </c>
      <c r="BI56" s="74" t="inlineStr">
        <is>
          <t>2026-01-26</t>
        </is>
      </c>
      <c r="BJ56" s="74" t="inlineStr">
        <is>
          <t>92</t>
        </is>
      </c>
      <c r="BK56" s="74" t="inlineStr">
        <is>
          <t>https://fnet.bmfbovespa.com.br/fnet/publico/downloadDocumento?id=1101558</t>
        </is>
      </c>
      <c r="BL56" s="74" t="inlineStr">
        <is>
          <t>payload_documental</t>
        </is>
      </c>
    </row>
    <row r="57" ht="42" customHeight="1">
      <c r="A57" s="145" t="n">
        <v>53</v>
      </c>
      <c r="B57" s="142" t="n">
        <v>42154687000160</v>
      </c>
      <c r="C57" s="75" t="inlineStr">
        <is>
          <t>42.154.687/0001-60</t>
        </is>
      </c>
      <c r="D57" s="75" t="inlineStr">
        <is>
          <t>MULTIPLIKE PLUS FUNDO DE INVESTIMENTO EM DIREITOS CREDITÓRIOS</t>
        </is>
      </c>
      <c r="E57" s="75" t="inlineStr">
        <is>
          <t>concluído</t>
        </is>
      </c>
      <c r="F57" s="145" t="n">
        <v>13</v>
      </c>
      <c r="G57" s="75" t="inlineStr">
        <is>
          <t>consultado</t>
        </is>
      </c>
      <c r="H57" s="75" t="inlineStr">
        <is>
          <t>N/D</t>
        </is>
      </c>
      <c r="I57" s="75" t="inlineStr">
        <is>
          <t>N/D</t>
        </is>
      </c>
      <c r="J57" s="75" t="inlineStr">
        <is>
          <t>não encontrado</t>
        </is>
      </c>
      <c r="K57" s="75" t="inlineStr">
        <is>
          <t>N/D</t>
        </is>
      </c>
      <c r="L57" s="75" t="inlineStr">
        <is>
          <t>N/D</t>
        </is>
      </c>
      <c r="M57" s="75" t="inlineStr">
        <is>
          <t>N/D</t>
        </is>
      </c>
      <c r="N57" s="75" t="inlineStr">
        <is>
          <t>N/D</t>
        </is>
      </c>
      <c r="O57" s="75" t="inlineStr">
        <is>
          <t>N/D</t>
        </is>
      </c>
      <c r="P57" s="75" t="inlineStr">
        <is>
          <t>N/D</t>
        </is>
      </c>
      <c r="Q57" s="75" t="inlineStr">
        <is>
          <t>Multicedentes &amp; Multisacados</t>
        </is>
      </c>
      <c r="R57" s="75" t="inlineStr">
        <is>
          <t>aceito_payload</t>
        </is>
      </c>
      <c r="S57" s="75" t="inlineStr">
        <is>
          <t>N/D</t>
        </is>
      </c>
      <c r="T57" s="75" t="inlineStr">
        <is>
          <t>IMG_8705.JPG</t>
        </is>
      </c>
      <c r="U57" s="75" t="inlineStr">
        <is>
          <t>2026-06-08</t>
        </is>
      </c>
      <c r="V57" s="75" t="inlineStr">
        <is>
          <t>54</t>
        </is>
      </c>
      <c r="W57" s="75" t="inlineStr">
        <is>
          <t>N/D</t>
        </is>
      </c>
      <c r="X57" s="75" t="inlineStr">
        <is>
          <t>planilha_manual</t>
        </is>
      </c>
      <c r="Y57" s="75" t="inlineStr">
        <is>
          <t>N/D</t>
        </is>
      </c>
      <c r="Z57" s="75" t="inlineStr">
        <is>
          <t>não encontrado</t>
        </is>
      </c>
      <c r="AA57" s="75" t="inlineStr">
        <is>
          <t>N/D</t>
        </is>
      </c>
      <c r="AB57" s="75" t="inlineStr">
        <is>
          <t>N/D</t>
        </is>
      </c>
      <c r="AC57" s="75" t="inlineStr">
        <is>
          <t>N/D</t>
        </is>
      </c>
      <c r="AD57" s="75" t="inlineStr">
        <is>
          <t>N/D</t>
        </is>
      </c>
      <c r="AE57" s="75" t="inlineStr">
        <is>
          <t>N/D</t>
        </is>
      </c>
      <c r="AF57" s="75" t="inlineStr">
        <is>
          <t>N/D</t>
        </is>
      </c>
      <c r="AG57" s="75" t="inlineStr">
        <is>
          <t>FIDC MultiCedente / Multisacado</t>
        </is>
      </c>
      <c r="AH57" s="75" t="inlineStr">
        <is>
          <t>aceito_payload</t>
        </is>
      </c>
      <c r="AI57" s="75" t="inlineStr">
        <is>
          <t>N/D</t>
        </is>
      </c>
      <c r="AJ57" s="75" t="inlineStr">
        <is>
          <t>IMG_8705.JPG</t>
        </is>
      </c>
      <c r="AK57" s="75" t="inlineStr">
        <is>
          <t>2026-06-08</t>
        </is>
      </c>
      <c r="AL57" s="75" t="inlineStr">
        <is>
          <t>54</t>
        </is>
      </c>
      <c r="AM57" s="75" t="inlineStr">
        <is>
          <t>N/D</t>
        </is>
      </c>
      <c r="AN57" s="75" t="inlineStr">
        <is>
          <t>planilha_manual</t>
        </is>
      </c>
      <c r="AO57" s="75" t="inlineStr">
        <is>
          <t>20%</t>
        </is>
      </c>
      <c r="AP57" s="75" t="inlineStr">
        <is>
          <t>aceito_payload</t>
        </is>
      </c>
      <c r="AQ57" s="75" t="inlineStr">
        <is>
          <t>junior_pl</t>
        </is>
      </c>
      <c r="AR57" s="75" t="inlineStr">
        <is>
          <t>1223029</t>
        </is>
      </c>
      <c r="AS57" s="75" t="inlineStr">
        <is>
          <t>2026-06-08</t>
        </is>
      </c>
      <c r="AT57" s="75" t="inlineStr">
        <is>
          <t>54</t>
        </is>
      </c>
      <c r="AU57" s="75" t="inlineStr">
        <is>
          <t>https://fnet.bmfbovespa.com.br/fnet/publico/downloadDocumento?id=1223029</t>
        </is>
      </c>
      <c r="AV57" s="75" t="inlineStr">
        <is>
          <t>payload_documental</t>
        </is>
      </c>
      <c r="AW57" s="75" t="inlineStr">
        <is>
          <t>N/D</t>
        </is>
      </c>
      <c r="AX57" s="75" t="inlineStr">
        <is>
          <t>não encontrado</t>
        </is>
      </c>
      <c r="AY57" s="75" t="inlineStr">
        <is>
          <t>N/D</t>
        </is>
      </c>
      <c r="AZ57" s="75" t="inlineStr">
        <is>
          <t>N/D</t>
        </is>
      </c>
      <c r="BA57" s="75" t="inlineStr">
        <is>
          <t>N/D</t>
        </is>
      </c>
      <c r="BB57" s="75" t="inlineStr">
        <is>
          <t>N/D</t>
        </is>
      </c>
      <c r="BC57" s="75" t="inlineStr">
        <is>
          <t>N/D</t>
        </is>
      </c>
      <c r="BD57" s="75" t="inlineStr">
        <is>
          <t>N/D</t>
        </is>
      </c>
      <c r="BE57" s="75" t="inlineStr">
        <is>
          <t>junior_pl</t>
        </is>
      </c>
      <c r="BF57" s="75" t="inlineStr">
        <is>
          <t>aceito_payload</t>
        </is>
      </c>
      <c r="BG57" s="75" t="inlineStr">
        <is>
          <t>junior_pl</t>
        </is>
      </c>
      <c r="BH57" s="75" t="inlineStr">
        <is>
          <t>1223029</t>
        </is>
      </c>
      <c r="BI57" s="75" t="inlineStr">
        <is>
          <t>2026-06-08</t>
        </is>
      </c>
      <c r="BJ57" s="75" t="inlineStr">
        <is>
          <t>54</t>
        </is>
      </c>
      <c r="BK57" s="75" t="inlineStr">
        <is>
          <t>https://fnet.bmfbovespa.com.br/fnet/publico/downloadDocumento?id=1223029</t>
        </is>
      </c>
      <c r="BL57" s="75" t="inlineStr">
        <is>
          <t>payload_documental</t>
        </is>
      </c>
    </row>
    <row r="58" ht="42" customHeight="1">
      <c r="A58" s="141" t="n">
        <v>54</v>
      </c>
      <c r="B58" s="138" t="n">
        <v>48946335000123</v>
      </c>
      <c r="C58" s="74" t="inlineStr">
        <is>
          <t>48.946.335/0001-23</t>
        </is>
      </c>
      <c r="D58" s="74" t="inlineStr">
        <is>
          <t>NAGRO OIKOS FUNDO DE INVESTIMENTO NAS CADEIAS PRODUTIVAS DO AGRONEGÓCIO</t>
        </is>
      </c>
      <c r="E58" s="74" t="inlineStr">
        <is>
          <t>concluído</t>
        </is>
      </c>
      <c r="F58" s="141" t="n">
        <v>8</v>
      </c>
      <c r="G58" s="74" t="inlineStr">
        <is>
          <t>consultado</t>
        </is>
      </c>
      <c r="H58" s="74" t="inlineStr">
        <is>
          <t>N/D</t>
        </is>
      </c>
      <c r="I58" s="74" t="inlineStr">
        <is>
          <t>N/D</t>
        </is>
      </c>
      <c r="J58" s="74" t="inlineStr">
        <is>
          <t>não encontrado</t>
        </is>
      </c>
      <c r="K58" s="74" t="inlineStr">
        <is>
          <t>N/D</t>
        </is>
      </c>
      <c r="L58" s="74" t="inlineStr">
        <is>
          <t>N/D</t>
        </is>
      </c>
      <c r="M58" s="74" t="inlineStr">
        <is>
          <t>N/D</t>
        </is>
      </c>
      <c r="N58" s="74" t="inlineStr">
        <is>
          <t>N/D</t>
        </is>
      </c>
      <c r="O58" s="74" t="inlineStr">
        <is>
          <t>N/D</t>
        </is>
      </c>
      <c r="P58" s="74" t="inlineStr">
        <is>
          <t>N/D</t>
        </is>
      </c>
      <c r="Q58" s="74" t="inlineStr">
        <is>
          <t>Multicedentes</t>
        </is>
      </c>
      <c r="R58" s="74" t="inlineStr">
        <is>
          <t>aceito_payload</t>
        </is>
      </c>
      <c r="S58" s="74" t="inlineStr">
        <is>
          <t>N/D</t>
        </is>
      </c>
      <c r="T58" s="74" t="inlineStr">
        <is>
          <t>IMG_8705.JPG</t>
        </is>
      </c>
      <c r="U58" s="74" t="inlineStr">
        <is>
          <t>2025-09-29</t>
        </is>
      </c>
      <c r="V58" s="74" t="inlineStr">
        <is>
          <t>57</t>
        </is>
      </c>
      <c r="W58" s="74" t="inlineStr">
        <is>
          <t>N/D</t>
        </is>
      </c>
      <c r="X58" s="74" t="inlineStr">
        <is>
          <t>planilha_manual</t>
        </is>
      </c>
      <c r="Y58" s="74" t="inlineStr">
        <is>
          <t>N/D</t>
        </is>
      </c>
      <c r="Z58" s="74" t="inlineStr">
        <is>
          <t>não encontrado</t>
        </is>
      </c>
      <c r="AA58" s="74" t="inlineStr">
        <is>
          <t>N/D</t>
        </is>
      </c>
      <c r="AB58" s="74" t="inlineStr">
        <is>
          <t>N/D</t>
        </is>
      </c>
      <c r="AC58" s="74" t="inlineStr">
        <is>
          <t>N/D</t>
        </is>
      </c>
      <c r="AD58" s="74" t="inlineStr">
        <is>
          <t>N/D</t>
        </is>
      </c>
      <c r="AE58" s="74" t="inlineStr">
        <is>
          <t>N/D</t>
        </is>
      </c>
      <c r="AF58" s="74" t="inlineStr">
        <is>
          <t>N/D</t>
        </is>
      </c>
      <c r="AG58" s="74" t="inlineStr">
        <is>
          <t>N/D</t>
        </is>
      </c>
      <c r="AH58" s="74" t="inlineStr">
        <is>
          <t>não encontrado</t>
        </is>
      </c>
      <c r="AI58" s="74" t="inlineStr">
        <is>
          <t>N/D</t>
        </is>
      </c>
      <c r="AJ58" s="74" t="inlineStr">
        <is>
          <t>N/D</t>
        </is>
      </c>
      <c r="AK58" s="74" t="inlineStr">
        <is>
          <t>N/D</t>
        </is>
      </c>
      <c r="AL58" s="74" t="inlineStr">
        <is>
          <t>N/D</t>
        </is>
      </c>
      <c r="AM58" s="74" t="inlineStr">
        <is>
          <t>N/D</t>
        </is>
      </c>
      <c r="AN58" s="74" t="inlineStr">
        <is>
          <t>N/D</t>
        </is>
      </c>
      <c r="AO58" s="74" t="inlineStr">
        <is>
          <t>10%</t>
        </is>
      </c>
      <c r="AP58" s="74" t="inlineStr">
        <is>
          <t>aceito_payload</t>
        </is>
      </c>
      <c r="AQ58" s="74" t="inlineStr">
        <is>
          <t>junior_pl</t>
        </is>
      </c>
      <c r="AR58" s="74" t="inlineStr">
        <is>
          <t>1000248</t>
        </is>
      </c>
      <c r="AS58" s="74" t="inlineStr">
        <is>
          <t>2025-09-29</t>
        </is>
      </c>
      <c r="AT58" s="74" t="inlineStr">
        <is>
          <t>57</t>
        </is>
      </c>
      <c r="AU58" s="74" t="inlineStr">
        <is>
          <t>https://fnet.bmfbovespa.com.br/fnet/publico/downloadDocumento?id=1000248</t>
        </is>
      </c>
      <c r="AV58" s="74" t="inlineStr">
        <is>
          <t>payload_documental</t>
        </is>
      </c>
      <c r="AW58" s="74" t="inlineStr">
        <is>
          <t>N/D</t>
        </is>
      </c>
      <c r="AX58" s="74" t="inlineStr">
        <is>
          <t>não encontrado</t>
        </is>
      </c>
      <c r="AY58" s="74" t="inlineStr">
        <is>
          <t>N/D</t>
        </is>
      </c>
      <c r="AZ58" s="74" t="inlineStr">
        <is>
          <t>N/D</t>
        </is>
      </c>
      <c r="BA58" s="74" t="inlineStr">
        <is>
          <t>N/D</t>
        </is>
      </c>
      <c r="BB58" s="74" t="inlineStr">
        <is>
          <t>N/D</t>
        </is>
      </c>
      <c r="BC58" s="74" t="inlineStr">
        <is>
          <t>N/D</t>
        </is>
      </c>
      <c r="BD58" s="74" t="inlineStr">
        <is>
          <t>N/D</t>
        </is>
      </c>
      <c r="BE58" s="74" t="inlineStr">
        <is>
          <t>junior_pl</t>
        </is>
      </c>
      <c r="BF58" s="74" t="inlineStr">
        <is>
          <t>aceito_payload</t>
        </is>
      </c>
      <c r="BG58" s="74" t="inlineStr">
        <is>
          <t>junior_pl</t>
        </is>
      </c>
      <c r="BH58" s="74" t="inlineStr">
        <is>
          <t>1000248</t>
        </is>
      </c>
      <c r="BI58" s="74" t="inlineStr">
        <is>
          <t>2025-09-29</t>
        </is>
      </c>
      <c r="BJ58" s="74" t="inlineStr">
        <is>
          <t>57</t>
        </is>
      </c>
      <c r="BK58" s="74" t="inlineStr">
        <is>
          <t>https://fnet.bmfbovespa.com.br/fnet/publico/downloadDocumento?id=1000248</t>
        </is>
      </c>
      <c r="BL58" s="74" t="inlineStr">
        <is>
          <t>payload_documental</t>
        </is>
      </c>
    </row>
    <row r="59" ht="42" customHeight="1">
      <c r="A59" s="145" t="n">
        <v>55</v>
      </c>
      <c r="B59" s="142" t="n">
        <v>55374251000128</v>
      </c>
      <c r="C59" s="75" t="inlineStr">
        <is>
          <t>55.374.251/0001-28</t>
        </is>
      </c>
      <c r="D59" s="75" t="inlineStr">
        <is>
          <t>FUNDO DE INVESTIMENTO EM DIREITOS CREDITÓRIOS BLUE II SEGMENTO CRÉDITO CORPORATIVO DE RESP LTDA</t>
        </is>
      </c>
      <c r="E59" s="75" t="inlineStr">
        <is>
          <t>concluído</t>
        </is>
      </c>
      <c r="F59" s="145" t="n">
        <v>8</v>
      </c>
      <c r="G59" s="75" t="inlineStr">
        <is>
          <t>consultado</t>
        </is>
      </c>
      <c r="H59" s="75" t="inlineStr">
        <is>
          <t>N/D</t>
        </is>
      </c>
      <c r="I59" s="75" t="inlineStr">
        <is>
          <t>N/D</t>
        </is>
      </c>
      <c r="J59" s="75" t="inlineStr">
        <is>
          <t>não encontrado</t>
        </is>
      </c>
      <c r="K59" s="75" t="inlineStr">
        <is>
          <t>N/D</t>
        </is>
      </c>
      <c r="L59" s="75" t="inlineStr">
        <is>
          <t>N/D</t>
        </is>
      </c>
      <c r="M59" s="75" t="inlineStr">
        <is>
          <t>N/D</t>
        </is>
      </c>
      <c r="N59" s="75" t="inlineStr">
        <is>
          <t>N/D</t>
        </is>
      </c>
      <c r="O59" s="75" t="inlineStr">
        <is>
          <t>N/D</t>
        </is>
      </c>
      <c r="P59" s="75" t="inlineStr">
        <is>
          <t>N/D</t>
        </is>
      </c>
      <c r="Q59" s="75" t="inlineStr">
        <is>
          <t>Azul</t>
        </is>
      </c>
      <c r="R59" s="75" t="inlineStr">
        <is>
          <t>aceito_payload</t>
        </is>
      </c>
      <c r="S59" s="75" t="inlineStr">
        <is>
          <t>N/D</t>
        </is>
      </c>
      <c r="T59" s="75" t="inlineStr">
        <is>
          <t>IMG_8705.JPG</t>
        </is>
      </c>
      <c r="U59" s="75" t="inlineStr">
        <is>
          <t>2024-06-25</t>
        </is>
      </c>
      <c r="V59" s="75" t="inlineStr">
        <is>
          <t>61</t>
        </is>
      </c>
      <c r="W59" s="75" t="inlineStr">
        <is>
          <t>N/D</t>
        </is>
      </c>
      <c r="X59" s="75" t="inlineStr">
        <is>
          <t>planilha_manual</t>
        </is>
      </c>
      <c r="Y59" s="75" t="inlineStr">
        <is>
          <t>N/D</t>
        </is>
      </c>
      <c r="Z59" s="75" t="inlineStr">
        <is>
          <t>não encontrado</t>
        </is>
      </c>
      <c r="AA59" s="75" t="inlineStr">
        <is>
          <t>N/D</t>
        </is>
      </c>
      <c r="AB59" s="75" t="inlineStr">
        <is>
          <t>N/D</t>
        </is>
      </c>
      <c r="AC59" s="75" t="inlineStr">
        <is>
          <t>N/D</t>
        </is>
      </c>
      <c r="AD59" s="75" t="inlineStr">
        <is>
          <t>N/D</t>
        </is>
      </c>
      <c r="AE59" s="75" t="inlineStr">
        <is>
          <t>N/D</t>
        </is>
      </c>
      <c r="AF59" s="75" t="inlineStr">
        <is>
          <t>N/D</t>
        </is>
      </c>
      <c r="AG59" s="75" t="inlineStr">
        <is>
          <t>Debênture</t>
        </is>
      </c>
      <c r="AH59" s="75" t="inlineStr">
        <is>
          <t>aceito_payload</t>
        </is>
      </c>
      <c r="AI59" s="75" t="inlineStr">
        <is>
          <t>N/D</t>
        </is>
      </c>
      <c r="AJ59" s="75" t="inlineStr">
        <is>
          <t>IMG_8705.JPG</t>
        </is>
      </c>
      <c r="AK59" s="75" t="inlineStr">
        <is>
          <t>2024-06-25</t>
        </is>
      </c>
      <c r="AL59" s="75" t="inlineStr">
        <is>
          <t>61</t>
        </is>
      </c>
      <c r="AM59" s="75" t="inlineStr">
        <is>
          <t>N/D</t>
        </is>
      </c>
      <c r="AN59" s="75" t="inlineStr">
        <is>
          <t>planilha_manual</t>
        </is>
      </c>
      <c r="AO59" s="75" t="inlineStr">
        <is>
          <t>5%</t>
        </is>
      </c>
      <c r="AP59" s="75" t="inlineStr">
        <is>
          <t>aceito_payload</t>
        </is>
      </c>
      <c r="AQ59" s="75" t="inlineStr">
        <is>
          <t>junior_pl</t>
        </is>
      </c>
      <c r="AR59" s="75" t="inlineStr">
        <is>
          <t>686750</t>
        </is>
      </c>
      <c r="AS59" s="75" t="inlineStr">
        <is>
          <t>2024-06-25</t>
        </is>
      </c>
      <c r="AT59" s="75" t="inlineStr">
        <is>
          <t>61</t>
        </is>
      </c>
      <c r="AU59" s="75" t="inlineStr">
        <is>
          <t>https://fnet.bmfbovespa.com.br/fnet/publico/downloadDocumento?id=686750</t>
        </is>
      </c>
      <c r="AV59" s="75" t="inlineStr">
        <is>
          <t>payload_documental</t>
        </is>
      </c>
      <c r="AW59" s="75" t="inlineStr">
        <is>
          <t>N/D</t>
        </is>
      </c>
      <c r="AX59" s="75" t="inlineStr">
        <is>
          <t>não encontrado</t>
        </is>
      </c>
      <c r="AY59" s="75" t="inlineStr">
        <is>
          <t>N/D</t>
        </is>
      </c>
      <c r="AZ59" s="75" t="inlineStr">
        <is>
          <t>N/D</t>
        </is>
      </c>
      <c r="BA59" s="75" t="inlineStr">
        <is>
          <t>N/D</t>
        </is>
      </c>
      <c r="BB59" s="75" t="inlineStr">
        <is>
          <t>N/D</t>
        </is>
      </c>
      <c r="BC59" s="75" t="inlineStr">
        <is>
          <t>N/D</t>
        </is>
      </c>
      <c r="BD59" s="75" t="inlineStr">
        <is>
          <t>N/D</t>
        </is>
      </c>
      <c r="BE59" s="75" t="inlineStr">
        <is>
          <t>junior_pl</t>
        </is>
      </c>
      <c r="BF59" s="75" t="inlineStr">
        <is>
          <t>aceito_payload</t>
        </is>
      </c>
      <c r="BG59" s="75" t="inlineStr">
        <is>
          <t>junior_pl</t>
        </is>
      </c>
      <c r="BH59" s="75" t="inlineStr">
        <is>
          <t>686750</t>
        </is>
      </c>
      <c r="BI59" s="75" t="inlineStr">
        <is>
          <t>2024-06-25</t>
        </is>
      </c>
      <c r="BJ59" s="75" t="inlineStr">
        <is>
          <t>61</t>
        </is>
      </c>
      <c r="BK59" s="75" t="inlineStr">
        <is>
          <t>https://fnet.bmfbovespa.com.br/fnet/publico/downloadDocumento?id=686750</t>
        </is>
      </c>
      <c r="BL59" s="75" t="inlineStr">
        <is>
          <t>payload_documental</t>
        </is>
      </c>
    </row>
    <row r="60" ht="42" customHeight="1">
      <c r="A60" s="141" t="n">
        <v>56</v>
      </c>
      <c r="B60" s="138" t="n">
        <v>35868110000154</v>
      </c>
      <c r="C60" s="74" t="inlineStr">
        <is>
          <t>35.868.110/0001-54</t>
        </is>
      </c>
      <c r="D60" s="74" t="inlineStr">
        <is>
          <t>FUNDO DE INVESTIMENTO EM DIREITOS CREDITÓRIOS BV - CRÉDITO DE VEÍCULOS RESPONSABILIDADE LIMITADA</t>
        </is>
      </c>
      <c r="E60" s="74" t="inlineStr">
        <is>
          <t>concluído</t>
        </is>
      </c>
      <c r="F60" s="141" t="n">
        <v>9</v>
      </c>
      <c r="G60" s="74" t="inlineStr">
        <is>
          <t>consultado</t>
        </is>
      </c>
      <c r="H60" s="74" t="inlineStr">
        <is>
          <t>N/D</t>
        </is>
      </c>
      <c r="I60" s="74" t="inlineStr">
        <is>
          <t>N/D</t>
        </is>
      </c>
      <c r="J60" s="74" t="inlineStr">
        <is>
          <t>não encontrado</t>
        </is>
      </c>
      <c r="K60" s="74" t="inlineStr">
        <is>
          <t>N/D</t>
        </is>
      </c>
      <c r="L60" s="74" t="inlineStr">
        <is>
          <t>N/D</t>
        </is>
      </c>
      <c r="M60" s="74" t="inlineStr">
        <is>
          <t>N/D</t>
        </is>
      </c>
      <c r="N60" s="74" t="inlineStr">
        <is>
          <t>N/D</t>
        </is>
      </c>
      <c r="O60" s="74" t="inlineStr">
        <is>
          <t>N/D</t>
        </is>
      </c>
      <c r="P60" s="74" t="inlineStr">
        <is>
          <t>N/D</t>
        </is>
      </c>
      <c r="Q60" s="74" t="inlineStr">
        <is>
          <t>Banco Votorantim</t>
        </is>
      </c>
      <c r="R60" s="74" t="inlineStr">
        <is>
          <t>aceito_payload</t>
        </is>
      </c>
      <c r="S60" s="74" t="inlineStr">
        <is>
          <t>N/D</t>
        </is>
      </c>
      <c r="T60" s="74" t="inlineStr">
        <is>
          <t>IMG_8705.JPG</t>
        </is>
      </c>
      <c r="U60" s="74" t="inlineStr">
        <is>
          <t>2024-11-27</t>
        </is>
      </c>
      <c r="V60" s="74" t="inlineStr">
        <is>
          <t>48</t>
        </is>
      </c>
      <c r="W60" s="74" t="inlineStr">
        <is>
          <t>N/D</t>
        </is>
      </c>
      <c r="X60" s="74" t="inlineStr">
        <is>
          <t>planilha_manual</t>
        </is>
      </c>
      <c r="Y60" s="74" t="inlineStr">
        <is>
          <t>N/D</t>
        </is>
      </c>
      <c r="Z60" s="74" t="inlineStr">
        <is>
          <t>não encontrado</t>
        </is>
      </c>
      <c r="AA60" s="74" t="inlineStr">
        <is>
          <t>N/D</t>
        </is>
      </c>
      <c r="AB60" s="74" t="inlineStr">
        <is>
          <t>N/D</t>
        </is>
      </c>
      <c r="AC60" s="74" t="inlineStr">
        <is>
          <t>N/D</t>
        </is>
      </c>
      <c r="AD60" s="74" t="inlineStr">
        <is>
          <t>N/D</t>
        </is>
      </c>
      <c r="AE60" s="74" t="inlineStr">
        <is>
          <t>N/D</t>
        </is>
      </c>
      <c r="AF60" s="74" t="inlineStr">
        <is>
          <t>N/D</t>
        </is>
      </c>
      <c r="AG60" s="74" t="inlineStr">
        <is>
          <t>Carteira Veículos com coobrigação BV</t>
        </is>
      </c>
      <c r="AH60" s="74" t="inlineStr">
        <is>
          <t>aceito_payload</t>
        </is>
      </c>
      <c r="AI60" s="74" t="inlineStr">
        <is>
          <t>N/D</t>
        </is>
      </c>
      <c r="AJ60" s="74" t="inlineStr">
        <is>
          <t>IMG_8705.JPG</t>
        </is>
      </c>
      <c r="AK60" s="74" t="inlineStr">
        <is>
          <t>2024-11-27</t>
        </is>
      </c>
      <c r="AL60" s="74" t="inlineStr">
        <is>
          <t>48</t>
        </is>
      </c>
      <c r="AM60" s="74" t="inlineStr">
        <is>
          <t>N/D</t>
        </is>
      </c>
      <c r="AN60" s="74" t="inlineStr">
        <is>
          <t>planilha_manual</t>
        </is>
      </c>
      <c r="AO60" s="74" t="inlineStr">
        <is>
          <t>25%</t>
        </is>
      </c>
      <c r="AP60" s="74" t="inlineStr">
        <is>
          <t>aceito_payload</t>
        </is>
      </c>
      <c r="AQ60" s="74" t="inlineStr">
        <is>
          <t>junior_pl</t>
        </is>
      </c>
      <c r="AR60" s="74" t="inlineStr">
        <is>
          <t>792021</t>
        </is>
      </c>
      <c r="AS60" s="74" t="inlineStr">
        <is>
          <t>2024-11-27</t>
        </is>
      </c>
      <c r="AT60" s="74" t="inlineStr">
        <is>
          <t>48</t>
        </is>
      </c>
      <c r="AU60" s="74" t="inlineStr">
        <is>
          <t>https://fnet.bmfbovespa.com.br/fnet/publico/downloadDocumento?id=792021</t>
        </is>
      </c>
      <c r="AV60" s="74" t="inlineStr">
        <is>
          <t>payload_documental</t>
        </is>
      </c>
      <c r="AW60" s="74" t="inlineStr">
        <is>
          <t>25%</t>
        </is>
      </c>
      <c r="AX60" s="74" t="inlineStr">
        <is>
          <t>aceito_payload</t>
        </is>
      </c>
      <c r="AY60" s="74" t="inlineStr">
        <is>
          <t>suporte_total_pl</t>
        </is>
      </c>
      <c r="AZ60" s="74" t="inlineStr">
        <is>
          <t>792021</t>
        </is>
      </c>
      <c r="BA60" s="74" t="inlineStr">
        <is>
          <t>2024-11-27</t>
        </is>
      </c>
      <c r="BB60" s="74" t="inlineStr">
        <is>
          <t>48</t>
        </is>
      </c>
      <c r="BC60" s="74" t="inlineStr">
        <is>
          <t>https://fnet.bmfbovespa.com.br/fnet/publico/downloadDocumento?id=792021</t>
        </is>
      </c>
      <c r="BD60" s="74" t="inlineStr">
        <is>
          <t>payload_documental</t>
        </is>
      </c>
      <c r="BE60" s="74" t="inlineStr">
        <is>
          <t>junior_pl</t>
        </is>
      </c>
      <c r="BF60" s="74" t="inlineStr">
        <is>
          <t>aceito_payload</t>
        </is>
      </c>
      <c r="BG60" s="74" t="inlineStr">
        <is>
          <t>junior_pl</t>
        </is>
      </c>
      <c r="BH60" s="74" t="inlineStr">
        <is>
          <t>792021</t>
        </is>
      </c>
      <c r="BI60" s="74" t="inlineStr">
        <is>
          <t>2024-11-27</t>
        </is>
      </c>
      <c r="BJ60" s="74" t="inlineStr">
        <is>
          <t>48</t>
        </is>
      </c>
      <c r="BK60" s="74" t="inlineStr">
        <is>
          <t>https://fnet.bmfbovespa.com.br/fnet/publico/downloadDocumento?id=792021</t>
        </is>
      </c>
      <c r="BL60" s="74" t="inlineStr">
        <is>
          <t>payload_documental</t>
        </is>
      </c>
    </row>
    <row r="61" ht="42" customHeight="1">
      <c r="A61" s="145" t="n">
        <v>57</v>
      </c>
      <c r="B61" s="142" t="n">
        <v>48953864000154</v>
      </c>
      <c r="C61" s="75" t="inlineStr">
        <is>
          <t>48.953.864/0001-54</t>
        </is>
      </c>
      <c r="D61" s="75" t="inlineStr">
        <is>
          <t>FUNDO DE INVESTIMENTO EM DIREITOS CREDITORIOS ASAAS II - RESPONSABILIDADE LIMITADA</t>
        </is>
      </c>
      <c r="E61" s="75" t="inlineStr">
        <is>
          <t>concluído</t>
        </is>
      </c>
      <c r="F61" s="145" t="n">
        <v>6</v>
      </c>
      <c r="G61" s="75" t="inlineStr">
        <is>
          <t>consultado</t>
        </is>
      </c>
      <c r="H61" s="75" t="inlineStr">
        <is>
          <t>N/D</t>
        </is>
      </c>
      <c r="I61" s="75" t="inlineStr">
        <is>
          <t>N/D</t>
        </is>
      </c>
      <c r="J61" s="75" t="inlineStr">
        <is>
          <t>não encontrado</t>
        </is>
      </c>
      <c r="K61" s="75" t="inlineStr">
        <is>
          <t>N/D</t>
        </is>
      </c>
      <c r="L61" s="75" t="inlineStr">
        <is>
          <t>N/D</t>
        </is>
      </c>
      <c r="M61" s="75" t="inlineStr">
        <is>
          <t>N/D</t>
        </is>
      </c>
      <c r="N61" s="75" t="inlineStr">
        <is>
          <t>N/D</t>
        </is>
      </c>
      <c r="O61" s="75" t="inlineStr">
        <is>
          <t>N/D</t>
        </is>
      </c>
      <c r="P61" s="75" t="inlineStr">
        <is>
          <t>N/D</t>
        </is>
      </c>
      <c r="Q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R61" s="75" t="inlineStr">
        <is>
          <t>encontrado_explicito</t>
        </is>
      </c>
      <c r="S61" s="75" t="inlineStr">
        <is>
          <t>N/D</t>
        </is>
      </c>
      <c r="T61" s="75" t="inlineStr">
        <is>
          <t>473796</t>
        </is>
      </c>
      <c r="U61" s="75" t="inlineStr">
        <is>
          <t>01/06/2023</t>
        </is>
      </c>
      <c r="V61" s="75" t="inlineStr">
        <is>
          <t>7</t>
        </is>
      </c>
      <c r="W61" s="75" t="inlineStr">
        <is>
          <t>https://fnet.bmfbovespa.com.br/fnet/publico/downloadDocumento?id=473796</t>
        </is>
      </c>
      <c r="X61" s="75" t="inlineStr">
        <is>
          <t>regulamento</t>
        </is>
      </c>
      <c r="Y61" s="75" t="inlineStr">
        <is>
          <t>N/D</t>
        </is>
      </c>
      <c r="Z61" s="75" t="inlineStr">
        <is>
          <t>não encontrado</t>
        </is>
      </c>
      <c r="AA61" s="75" t="inlineStr">
        <is>
          <t>N/D</t>
        </is>
      </c>
      <c r="AB61" s="75" t="inlineStr">
        <is>
          <t>N/D</t>
        </is>
      </c>
      <c r="AC61" s="75" t="inlineStr">
        <is>
          <t>N/D</t>
        </is>
      </c>
      <c r="AD61" s="75" t="inlineStr">
        <is>
          <t>N/D</t>
        </is>
      </c>
      <c r="AE61" s="75" t="inlineStr">
        <is>
          <t>N/D</t>
        </is>
      </c>
      <c r="AF61" s="75" t="inlineStr">
        <is>
          <t>N/D</t>
        </is>
      </c>
      <c r="AG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AH61" s="75" t="inlineStr">
        <is>
          <t>encontrado_explicito</t>
        </is>
      </c>
      <c r="AI61" s="75" t="inlineStr">
        <is>
          <t>N/D</t>
        </is>
      </c>
      <c r="AJ61" s="75" t="inlineStr">
        <is>
          <t>473796</t>
        </is>
      </c>
      <c r="AK61" s="75" t="inlineStr">
        <is>
          <t>01/06/2023</t>
        </is>
      </c>
      <c r="AL61" s="75" t="inlineStr">
        <is>
          <t>11</t>
        </is>
      </c>
      <c r="AM61" s="75" t="inlineStr">
        <is>
          <t>https://fnet.bmfbovespa.com.br/fnet/publico/downloadDocumento?id=473796</t>
        </is>
      </c>
      <c r="AN61" s="75" t="inlineStr">
        <is>
          <t>regulamento</t>
        </is>
      </c>
      <c r="AO61" s="75" t="inlineStr">
        <is>
          <t>15%</t>
        </is>
      </c>
      <c r="AP61" s="75" t="inlineStr">
        <is>
          <t>aceito_payload</t>
        </is>
      </c>
      <c r="AQ61" s="75" t="inlineStr">
        <is>
          <t>junior_pl</t>
        </is>
      </c>
      <c r="AR61" s="75" t="inlineStr">
        <is>
          <t>774314</t>
        </is>
      </c>
      <c r="AS61" s="75" t="inlineStr">
        <is>
          <t>2024-11-05</t>
        </is>
      </c>
      <c r="AT61" s="75" t="inlineStr">
        <is>
          <t>33; 107</t>
        </is>
      </c>
      <c r="AU61" s="75" t="inlineStr">
        <is>
          <t>https://fnet.bmfbovespa.com.br/fnet/publico/downloadDocumento?id=774314</t>
        </is>
      </c>
      <c r="AV61" s="75" t="inlineStr">
        <is>
          <t>payload_documental</t>
        </is>
      </c>
      <c r="AW61" s="75" t="inlineStr">
        <is>
          <t>15%</t>
        </is>
      </c>
      <c r="AX61" s="75" t="inlineStr">
        <is>
          <t>aceito_payload</t>
        </is>
      </c>
      <c r="AY61" s="75" t="inlineStr">
        <is>
          <t>suporte_total_pl</t>
        </is>
      </c>
      <c r="AZ61" s="75" t="inlineStr">
        <is>
          <t>774314</t>
        </is>
      </c>
      <c r="BA61" s="75" t="inlineStr">
        <is>
          <t>2024-11-05</t>
        </is>
      </c>
      <c r="BB61" s="75" t="inlineStr">
        <is>
          <t>33; 107</t>
        </is>
      </c>
      <c r="BC61" s="75" t="inlineStr">
        <is>
          <t>https://fnet.bmfbovespa.com.br/fnet/publico/downloadDocumento?id=774314</t>
        </is>
      </c>
      <c r="BD61" s="75" t="inlineStr">
        <is>
          <t>payload_documental</t>
        </is>
      </c>
      <c r="BE61" s="75" t="inlineStr">
        <is>
          <t>junior_pl</t>
        </is>
      </c>
      <c r="BF61" s="75" t="inlineStr">
        <is>
          <t>aceito_payload</t>
        </is>
      </c>
      <c r="BG61" s="75" t="inlineStr">
        <is>
          <t>junior_pl</t>
        </is>
      </c>
      <c r="BH61" s="75" t="inlineStr">
        <is>
          <t>774314</t>
        </is>
      </c>
      <c r="BI61" s="75" t="inlineStr">
        <is>
          <t>2024-11-05</t>
        </is>
      </c>
      <c r="BJ61" s="75" t="inlineStr">
        <is>
          <t>33; 107</t>
        </is>
      </c>
      <c r="BK61" s="75" t="inlineStr">
        <is>
          <t>https://fnet.bmfbovespa.com.br/fnet/publico/downloadDocumento?id=774314</t>
        </is>
      </c>
      <c r="BL61" s="75" t="inlineStr">
        <is>
          <t>payload_documental</t>
        </is>
      </c>
    </row>
    <row r="62" ht="42" customHeight="1">
      <c r="A62" s="141" t="n">
        <v>58</v>
      </c>
      <c r="B62" s="138" t="n">
        <v>65976848000104</v>
      </c>
      <c r="C62" s="74" t="inlineStr">
        <is>
          <t>65.976.848/0001-04</t>
        </is>
      </c>
      <c r="D62" s="74" t="inlineStr">
        <is>
          <t>FUNDO DE INVESTIMENTO EM DIREITOS CREDITÓRIOS AGIBANK II RESPONSABILIDADE LIMITADA</t>
        </is>
      </c>
      <c r="E62" s="74" t="inlineStr">
        <is>
          <t>concluído</t>
        </is>
      </c>
      <c r="F62" s="141" t="n">
        <v>6</v>
      </c>
      <c r="G62" s="74" t="inlineStr">
        <is>
          <t>consultado</t>
        </is>
      </c>
      <c r="H62" s="74" t="inlineStr">
        <is>
          <t>N/D</t>
        </is>
      </c>
      <c r="I62" s="74" t="inlineStr">
        <is>
          <t>N/D</t>
        </is>
      </c>
      <c r="J62" s="74" t="inlineStr">
        <is>
          <t>não encontrado</t>
        </is>
      </c>
      <c r="K62" s="74" t="inlineStr">
        <is>
          <t>N/D</t>
        </is>
      </c>
      <c r="L62" s="74" t="inlineStr">
        <is>
          <t>N/D</t>
        </is>
      </c>
      <c r="M62" s="74" t="inlineStr">
        <is>
          <t>N/D</t>
        </is>
      </c>
      <c r="N62" s="74" t="inlineStr">
        <is>
          <t>N/D</t>
        </is>
      </c>
      <c r="O62" s="74" t="inlineStr">
        <is>
          <t>N/D</t>
        </is>
      </c>
      <c r="P62" s="74" t="inlineStr">
        <is>
          <t>N/D</t>
        </is>
      </c>
      <c r="Q62" s="74" t="inlineStr">
        <is>
          <t>N/D</t>
        </is>
      </c>
      <c r="R62" s="74" t="inlineStr">
        <is>
          <t>não encontrado</t>
        </is>
      </c>
      <c r="S62" s="74" t="inlineStr">
        <is>
          <t>N/D</t>
        </is>
      </c>
      <c r="T62" s="74" t="inlineStr">
        <is>
          <t>N/D</t>
        </is>
      </c>
      <c r="U62" s="74" t="inlineStr">
        <is>
          <t>N/D</t>
        </is>
      </c>
      <c r="V62" s="74" t="inlineStr">
        <is>
          <t>N/D</t>
        </is>
      </c>
      <c r="W62" s="74" t="inlineStr">
        <is>
          <t>N/D</t>
        </is>
      </c>
      <c r="X62" s="74" t="inlineStr">
        <is>
          <t>N/D</t>
        </is>
      </c>
      <c r="Y62" s="74" t="inlineStr">
        <is>
          <t>N/D</t>
        </is>
      </c>
      <c r="Z62" s="74" t="inlineStr">
        <is>
          <t>não encontrado</t>
        </is>
      </c>
      <c r="AA62" s="74" t="inlineStr">
        <is>
          <t>N/D</t>
        </is>
      </c>
      <c r="AB62" s="74" t="inlineStr">
        <is>
          <t>N/D</t>
        </is>
      </c>
      <c r="AC62" s="74" t="inlineStr">
        <is>
          <t>N/D</t>
        </is>
      </c>
      <c r="AD62" s="74" t="inlineStr">
        <is>
          <t>N/D</t>
        </is>
      </c>
      <c r="AE62" s="74" t="inlineStr">
        <is>
          <t>N/D</t>
        </is>
      </c>
      <c r="AF62" s="74" t="inlineStr">
        <is>
          <t>N/D</t>
        </is>
      </c>
      <c r="AG62" s="74" t="inlineStr">
        <is>
          <t>N/D</t>
        </is>
      </c>
      <c r="AH62" s="74" t="inlineStr">
        <is>
          <t>não encontrado</t>
        </is>
      </c>
      <c r="AI62" s="74" t="inlineStr">
        <is>
          <t>N/D</t>
        </is>
      </c>
      <c r="AJ62" s="74" t="inlineStr">
        <is>
          <t>N/D</t>
        </is>
      </c>
      <c r="AK62" s="74" t="inlineStr">
        <is>
          <t>N/D</t>
        </is>
      </c>
      <c r="AL62" s="74" t="inlineStr">
        <is>
          <t>N/D</t>
        </is>
      </c>
      <c r="AM62" s="74" t="inlineStr">
        <is>
          <t>N/D</t>
        </is>
      </c>
      <c r="AN62" s="74" t="inlineStr">
        <is>
          <t>N/D</t>
        </is>
      </c>
      <c r="AO62" s="74" t="inlineStr">
        <is>
          <t>5%</t>
        </is>
      </c>
      <c r="AP62" s="74" t="inlineStr">
        <is>
          <t>aceito_payload</t>
        </is>
      </c>
      <c r="AQ62" s="74" t="inlineStr">
        <is>
          <t>junior_pl</t>
        </is>
      </c>
      <c r="AR62" s="74" t="inlineStr">
        <is>
          <t>1239452</t>
        </is>
      </c>
      <c r="AS62" s="74" t="inlineStr">
        <is>
          <t>2026-06-22</t>
        </is>
      </c>
      <c r="AT62" s="74" t="inlineStr">
        <is>
          <t>35</t>
        </is>
      </c>
      <c r="AU62" s="74" t="inlineStr">
        <is>
          <t>https://fnet.bmfbovespa.com.br/fnet/publico/downloadDocumento?id=1239452</t>
        </is>
      </c>
      <c r="AV62" s="74" t="inlineStr">
        <is>
          <t>payload_documental</t>
        </is>
      </c>
      <c r="AW62" s="74" t="inlineStr">
        <is>
          <t>N/D</t>
        </is>
      </c>
      <c r="AX62" s="74" t="inlineStr">
        <is>
          <t>não encontrado</t>
        </is>
      </c>
      <c r="AY62" s="74" t="inlineStr">
        <is>
          <t>N/D</t>
        </is>
      </c>
      <c r="AZ62" s="74" t="inlineStr">
        <is>
          <t>N/D</t>
        </is>
      </c>
      <c r="BA62" s="74" t="inlineStr">
        <is>
          <t>N/D</t>
        </is>
      </c>
      <c r="BB62" s="74" t="inlineStr">
        <is>
          <t>N/D</t>
        </is>
      </c>
      <c r="BC62" s="74" t="inlineStr">
        <is>
          <t>N/D</t>
        </is>
      </c>
      <c r="BD62" s="74" t="inlineStr">
        <is>
          <t>N/D</t>
        </is>
      </c>
      <c r="BE62" s="74" t="inlineStr">
        <is>
          <t>junior_pl</t>
        </is>
      </c>
      <c r="BF62" s="74" t="inlineStr">
        <is>
          <t>aceito_payload</t>
        </is>
      </c>
      <c r="BG62" s="74" t="inlineStr">
        <is>
          <t>junior_pl</t>
        </is>
      </c>
      <c r="BH62" s="74" t="inlineStr">
        <is>
          <t>1239452</t>
        </is>
      </c>
      <c r="BI62" s="74" t="inlineStr">
        <is>
          <t>2026-06-22</t>
        </is>
      </c>
      <c r="BJ62" s="74" t="inlineStr">
        <is>
          <t>35</t>
        </is>
      </c>
      <c r="BK62" s="74" t="inlineStr">
        <is>
          <t>https://fnet.bmfbovespa.com.br/fnet/publico/downloadDocumento?id=1239452</t>
        </is>
      </c>
      <c r="BL62" s="74" t="inlineStr">
        <is>
          <t>payload_documental</t>
        </is>
      </c>
    </row>
    <row r="63" ht="42" customHeight="1">
      <c r="A63" s="145" t="n">
        <v>59</v>
      </c>
      <c r="B63" s="142" t="n">
        <v>50536324000117</v>
      </c>
      <c r="C63" s="75" t="inlineStr">
        <is>
          <t>50.536.324/0001-17</t>
        </is>
      </c>
      <c r="D63" s="75" t="inlineStr">
        <is>
          <t>MAQNELSON FUNDO DE INVESTIMENTO EM DIREITOS CREDITÓRIOS - RESPONSABILIDADE LIMITADA</t>
        </is>
      </c>
      <c r="E63" s="75" t="inlineStr">
        <is>
          <t>concluído</t>
        </is>
      </c>
      <c r="F63" s="145" t="n">
        <v>7</v>
      </c>
      <c r="G63" s="75" t="inlineStr">
        <is>
          <t>consultado</t>
        </is>
      </c>
      <c r="H63" s="75" t="inlineStr">
        <is>
          <t>N/D</t>
        </is>
      </c>
      <c r="I63" s="75" t="inlineStr">
        <is>
          <t>N/D</t>
        </is>
      </c>
      <c r="J63" s="75" t="inlineStr">
        <is>
          <t>não encontrado</t>
        </is>
      </c>
      <c r="K63" s="75" t="inlineStr">
        <is>
          <t>N/D</t>
        </is>
      </c>
      <c r="L63" s="75" t="inlineStr">
        <is>
          <t>N/D</t>
        </is>
      </c>
      <c r="M63" s="75" t="inlineStr">
        <is>
          <t>N/D</t>
        </is>
      </c>
      <c r="N63" s="75" t="inlineStr">
        <is>
          <t>N/D</t>
        </is>
      </c>
      <c r="O63" s="75" t="inlineStr">
        <is>
          <t>N/D</t>
        </is>
      </c>
      <c r="P63" s="75" t="inlineStr">
        <is>
          <t>N/D</t>
        </is>
      </c>
      <c r="Q63" s="75" t="inlineStr">
        <is>
          <t>Maqnelson</t>
        </is>
      </c>
      <c r="R63" s="75" t="inlineStr">
        <is>
          <t>aceito_payload</t>
        </is>
      </c>
      <c r="S63" s="75" t="inlineStr">
        <is>
          <t>N/D</t>
        </is>
      </c>
      <c r="T63" s="75" t="inlineStr">
        <is>
          <t>IMG_8706.JPG</t>
        </is>
      </c>
      <c r="U63" s="75" t="inlineStr">
        <is>
          <t>2025-06-04</t>
        </is>
      </c>
      <c r="V63" s="75" t="inlineStr">
        <is>
          <t>111</t>
        </is>
      </c>
      <c r="W63" s="75" t="inlineStr">
        <is>
          <t>N/D</t>
        </is>
      </c>
      <c r="X63" s="75" t="inlineStr">
        <is>
          <t>planilha_manual</t>
        </is>
      </c>
      <c r="Y63" s="75" t="inlineStr">
        <is>
          <t>N/D</t>
        </is>
      </c>
      <c r="Z63" s="75" t="inlineStr">
        <is>
          <t>não encontrado</t>
        </is>
      </c>
      <c r="AA63" s="75" t="inlineStr">
        <is>
          <t>N/D</t>
        </is>
      </c>
      <c r="AB63" s="75" t="inlineStr">
        <is>
          <t>N/D</t>
        </is>
      </c>
      <c r="AC63" s="75" t="inlineStr">
        <is>
          <t>N/D</t>
        </is>
      </c>
      <c r="AD63" s="75" t="inlineStr">
        <is>
          <t>N/D</t>
        </is>
      </c>
      <c r="AE63" s="75" t="inlineStr">
        <is>
          <t>N/D</t>
        </is>
      </c>
      <c r="AF63" s="75" t="inlineStr">
        <is>
          <t>N/D</t>
        </is>
      </c>
      <c r="AG63" s="75" t="inlineStr">
        <is>
          <t>os direitos creditórios performados originados da venda a prazo de Bens, representados pelos Documentos Comprobatórios, conforme o caso, detidas pelas Cedentes contra as Devedoras</t>
        </is>
      </c>
      <c r="AH63" s="75" t="inlineStr">
        <is>
          <t>encontrado_explicito</t>
        </is>
      </c>
      <c r="AI63" s="75" t="inlineStr">
        <is>
          <t>N/D</t>
        </is>
      </c>
      <c r="AJ63" s="75" t="inlineStr">
        <is>
          <t>918862</t>
        </is>
      </c>
      <c r="AK63" s="75" t="inlineStr">
        <is>
          <t>2025-06-04</t>
        </is>
      </c>
      <c r="AL63" s="75" t="inlineStr">
        <is>
          <t>99</t>
        </is>
      </c>
      <c r="AM63" s="75" t="inlineStr">
        <is>
          <t>https://fnet.bmfbovespa.com.br/fnet/publico/downloadDocumento?id=918862</t>
        </is>
      </c>
      <c r="AN63" s="75" t="inlineStr">
        <is>
          <t>regulamento</t>
        </is>
      </c>
      <c r="AO63" s="75" t="inlineStr">
        <is>
          <t>50%</t>
        </is>
      </c>
      <c r="AP63" s="75" t="inlineStr">
        <is>
          <t>aceito_payload</t>
        </is>
      </c>
      <c r="AQ63" s="75" t="inlineStr">
        <is>
          <t>junior_pl</t>
        </is>
      </c>
      <c r="AR63" s="75" t="inlineStr">
        <is>
          <t>918862</t>
        </is>
      </c>
      <c r="AS63" s="75" t="inlineStr">
        <is>
          <t>2025-06-04</t>
        </is>
      </c>
      <c r="AT63" s="75" t="inlineStr">
        <is>
          <t>111</t>
        </is>
      </c>
      <c r="AU63" s="75" t="inlineStr">
        <is>
          <t>https://fnet.bmfbovespa.com.br/fnet/publico/downloadDocumento?id=918862</t>
        </is>
      </c>
      <c r="AV63" s="75" t="inlineStr">
        <is>
          <t>payload_documental</t>
        </is>
      </c>
      <c r="AW63" s="75" t="inlineStr">
        <is>
          <t>50%</t>
        </is>
      </c>
      <c r="AX63" s="75" t="inlineStr">
        <is>
          <t>aceito_payload</t>
        </is>
      </c>
      <c r="AY63" s="75" t="inlineStr">
        <is>
          <t>suporte_total_pl</t>
        </is>
      </c>
      <c r="AZ63" s="75" t="inlineStr">
        <is>
          <t>918862</t>
        </is>
      </c>
      <c r="BA63" s="75" t="inlineStr">
        <is>
          <t>2025-06-04</t>
        </is>
      </c>
      <c r="BB63" s="75" t="inlineStr">
        <is>
          <t>111</t>
        </is>
      </c>
      <c r="BC63" s="75" t="inlineStr">
        <is>
          <t>https://fnet.bmfbovespa.com.br/fnet/publico/downloadDocumento?id=918862</t>
        </is>
      </c>
      <c r="BD63" s="75" t="inlineStr">
        <is>
          <t>payload_documental</t>
        </is>
      </c>
      <c r="BE63" s="75" t="inlineStr">
        <is>
          <t>junior_pl</t>
        </is>
      </c>
      <c r="BF63" s="75" t="inlineStr">
        <is>
          <t>aceito_payload</t>
        </is>
      </c>
      <c r="BG63" s="75" t="inlineStr">
        <is>
          <t>junior_pl</t>
        </is>
      </c>
      <c r="BH63" s="75" t="inlineStr">
        <is>
          <t>918862</t>
        </is>
      </c>
      <c r="BI63" s="75" t="inlineStr">
        <is>
          <t>2025-06-04</t>
        </is>
      </c>
      <c r="BJ63" s="75" t="inlineStr">
        <is>
          <t>111</t>
        </is>
      </c>
      <c r="BK63" s="75" t="inlineStr">
        <is>
          <t>https://fnet.bmfbovespa.com.br/fnet/publico/downloadDocumento?id=918862</t>
        </is>
      </c>
      <c r="BL63" s="75" t="inlineStr">
        <is>
          <t>payload_documental</t>
        </is>
      </c>
    </row>
    <row r="64" ht="42" customHeight="1">
      <c r="A64" s="141" t="n">
        <v>60</v>
      </c>
      <c r="B64" s="138" t="n">
        <v>57816252000100</v>
      </c>
      <c r="C64" s="74" t="inlineStr">
        <is>
          <t>57.816.252/0001-00</t>
        </is>
      </c>
      <c r="D64" s="74" t="inlineStr">
        <is>
          <t>NATURA PAY FUNDO DE INVESTIMENTO EM DIREITOS CREDITÓRIOS CRÉDITO PESSOAL SOCIAL E IS RESP LTDA</t>
        </is>
      </c>
      <c r="E64" s="74" t="inlineStr">
        <is>
          <t>concluído</t>
        </is>
      </c>
      <c r="F64" s="141" t="n">
        <v>6</v>
      </c>
      <c r="G64" s="74" t="inlineStr">
        <is>
          <t>consultado</t>
        </is>
      </c>
      <c r="H64" s="74" t="inlineStr">
        <is>
          <t>N/D</t>
        </is>
      </c>
      <c r="I64" s="74" t="inlineStr">
        <is>
          <t>N/D</t>
        </is>
      </c>
      <c r="J64" s="74" t="inlineStr">
        <is>
          <t>não encontrado</t>
        </is>
      </c>
      <c r="K64" s="74" t="inlineStr">
        <is>
          <t>N/D</t>
        </is>
      </c>
      <c r="L64" s="74" t="inlineStr">
        <is>
          <t>N/D</t>
        </is>
      </c>
      <c r="M64" s="74" t="inlineStr">
        <is>
          <t>N/D</t>
        </is>
      </c>
      <c r="N64" s="74" t="inlineStr">
        <is>
          <t>N/D</t>
        </is>
      </c>
      <c r="O64" s="74" t="inlineStr">
        <is>
          <t>N/D</t>
        </is>
      </c>
      <c r="P64" s="74" t="inlineStr">
        <is>
          <t>N/D</t>
        </is>
      </c>
      <c r="Q64" s="74" t="inlineStr">
        <is>
          <t>Natura &amp;CO Pay Sociedade de Crédito Direto S.A.</t>
        </is>
      </c>
      <c r="R64" s="74" t="inlineStr">
        <is>
          <t>aceito_payload</t>
        </is>
      </c>
      <c r="S64" s="74" t="inlineStr">
        <is>
          <t>N/D</t>
        </is>
      </c>
      <c r="T64" s="74" t="inlineStr">
        <is>
          <t>IMG_8706.JPG</t>
        </is>
      </c>
      <c r="U64" s="74" t="inlineStr">
        <is>
          <t>2026-05-07</t>
        </is>
      </c>
      <c r="V64" s="74" t="inlineStr">
        <is>
          <t>28; 68</t>
        </is>
      </c>
      <c r="W64" s="74" t="inlineStr">
        <is>
          <t>N/D</t>
        </is>
      </c>
      <c r="X64" s="74" t="inlineStr">
        <is>
          <t>planilha_manual</t>
        </is>
      </c>
      <c r="Y64" s="74" t="inlineStr">
        <is>
          <t>N/D</t>
        </is>
      </c>
      <c r="Z64" s="74" t="inlineStr">
        <is>
          <t>não encontrado</t>
        </is>
      </c>
      <c r="AA64" s="74" t="inlineStr">
        <is>
          <t>N/D</t>
        </is>
      </c>
      <c r="AB64" s="74" t="inlineStr">
        <is>
          <t>N/D</t>
        </is>
      </c>
      <c r="AC64" s="74" t="inlineStr">
        <is>
          <t>N/D</t>
        </is>
      </c>
      <c r="AD64" s="74" t="inlineStr">
        <is>
          <t>N/D</t>
        </is>
      </c>
      <c r="AE64" s="74" t="inlineStr">
        <is>
          <t>N/D</t>
        </is>
      </c>
      <c r="AF64" s="74" t="inlineStr">
        <is>
          <t>N/D</t>
        </is>
      </c>
      <c r="AG64" s="74" t="inlineStr">
        <is>
          <t>os recebíveis alienados pela Endossante à Classe, originados no âmbito de operações de financiamentos concedidos pela Natura SCD às Devedoras, mediante a emissão de CCB em favor da Natura SCD</t>
        </is>
      </c>
      <c r="AH64" s="74" t="inlineStr">
        <is>
          <t>encontrado_explicito</t>
        </is>
      </c>
      <c r="AI64" s="74" t="inlineStr">
        <is>
          <t>N/D</t>
        </is>
      </c>
      <c r="AJ64" s="74" t="inlineStr">
        <is>
          <t>1182394</t>
        </is>
      </c>
      <c r="AK64" s="74" t="inlineStr">
        <is>
          <t>07/05/2026</t>
        </is>
      </c>
      <c r="AL64" s="74" t="inlineStr">
        <is>
          <t>65</t>
        </is>
      </c>
      <c r="AM64" s="74" t="inlineStr">
        <is>
          <t>https://fnet.bmfbovespa.com.br/fnet/publico/downloadDocumento?id=1182394</t>
        </is>
      </c>
      <c r="AN64" s="74" t="inlineStr">
        <is>
          <t>regulamento</t>
        </is>
      </c>
      <c r="AO64" s="74" t="inlineStr">
        <is>
          <t>25.26%</t>
        </is>
      </c>
      <c r="AP64" s="74" t="inlineStr">
        <is>
          <t>aceito_payload</t>
        </is>
      </c>
      <c r="AQ64" s="74" t="inlineStr">
        <is>
          <t>junior_pl</t>
        </is>
      </c>
      <c r="AR64" s="74" t="inlineStr">
        <is>
          <t>1182394</t>
        </is>
      </c>
      <c r="AS64" s="74" t="inlineStr">
        <is>
          <t>2026-05-07</t>
        </is>
      </c>
      <c r="AT64" s="74" t="inlineStr">
        <is>
          <t>28; 68</t>
        </is>
      </c>
      <c r="AU64" s="74" t="inlineStr">
        <is>
          <t>https://fnet.bmfbovespa.com.br/fnet/publico/downloadDocumento?id=1182394</t>
        </is>
      </c>
      <c r="AV64" s="74" t="inlineStr">
        <is>
          <t>payload_documental</t>
        </is>
      </c>
      <c r="AW64" s="74" t="inlineStr">
        <is>
          <t>25.26%</t>
        </is>
      </c>
      <c r="AX64" s="74" t="inlineStr">
        <is>
          <t>aceito_payload</t>
        </is>
      </c>
      <c r="AY64" s="74" t="inlineStr">
        <is>
          <t>suporte_total_pl</t>
        </is>
      </c>
      <c r="AZ64" s="74" t="inlineStr">
        <is>
          <t>1182394</t>
        </is>
      </c>
      <c r="BA64" s="74" t="inlineStr">
        <is>
          <t>2026-05-07</t>
        </is>
      </c>
      <c r="BB64" s="74" t="inlineStr">
        <is>
          <t>28; 68</t>
        </is>
      </c>
      <c r="BC64" s="74" t="inlineStr">
        <is>
          <t>https://fnet.bmfbovespa.com.br/fnet/publico/downloadDocumento?id=1182394</t>
        </is>
      </c>
      <c r="BD64" s="74" t="inlineStr">
        <is>
          <t>payload_documental</t>
        </is>
      </c>
      <c r="BE64" s="74" t="inlineStr">
        <is>
          <t>junior_pl</t>
        </is>
      </c>
      <c r="BF64" s="74" t="inlineStr">
        <is>
          <t>aceito_payload</t>
        </is>
      </c>
      <c r="BG64" s="74" t="inlineStr">
        <is>
          <t>junior_pl</t>
        </is>
      </c>
      <c r="BH64" s="74" t="inlineStr">
        <is>
          <t>1182394</t>
        </is>
      </c>
      <c r="BI64" s="74" t="inlineStr">
        <is>
          <t>2026-05-07</t>
        </is>
      </c>
      <c r="BJ64" s="74" t="inlineStr">
        <is>
          <t>28; 68</t>
        </is>
      </c>
      <c r="BK64" s="74" t="inlineStr">
        <is>
          <t>https://fnet.bmfbovespa.com.br/fnet/publico/downloadDocumento?id=1182394</t>
        </is>
      </c>
      <c r="BL64" s="74" t="inlineStr">
        <is>
          <t>payload_documental</t>
        </is>
      </c>
    </row>
    <row r="65" ht="42" customHeight="1">
      <c r="A65" s="145" t="n">
        <v>61</v>
      </c>
      <c r="B65" s="142" t="n">
        <v>50473039000102</v>
      </c>
      <c r="C65" s="75" t="inlineStr">
        <is>
          <t>50.473.039/0001-02</t>
        </is>
      </c>
      <c r="D65" s="75" t="inlineStr">
        <is>
          <t>SELLER FIDC SEGMENTO MEIOS DE PAGAMENTO DE RESPONSABILIDADE LIMITADA</t>
        </is>
      </c>
      <c r="E65" s="75" t="inlineStr">
        <is>
          <t>concluído</t>
        </is>
      </c>
      <c r="F65" s="145" t="n">
        <v>11</v>
      </c>
      <c r="G65" s="75" t="inlineStr">
        <is>
          <t>consultado</t>
        </is>
      </c>
      <c r="H65" s="75" t="inlineStr">
        <is>
          <t>N/D</t>
        </is>
      </c>
      <c r="I65" s="75" t="inlineStr">
        <is>
          <t>N/D</t>
        </is>
      </c>
      <c r="J65" s="75" t="inlineStr">
        <is>
          <t>não encontrado</t>
        </is>
      </c>
      <c r="K65" s="75" t="inlineStr">
        <is>
          <t>N/D</t>
        </is>
      </c>
      <c r="L65" s="75" t="inlineStr">
        <is>
          <t>N/D</t>
        </is>
      </c>
      <c r="M65" s="75" t="inlineStr">
        <is>
          <t>N/D</t>
        </is>
      </c>
      <c r="N65" s="75" t="inlineStr">
        <is>
          <t>N/D</t>
        </is>
      </c>
      <c r="O65" s="75" t="inlineStr">
        <is>
          <t>N/D</t>
        </is>
      </c>
      <c r="P65" s="75" t="inlineStr">
        <is>
          <t>N/D</t>
        </is>
      </c>
      <c r="Q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R65" s="75" t="inlineStr">
        <is>
          <t>encontrado_explicito</t>
        </is>
      </c>
      <c r="S65" s="75" t="inlineStr">
        <is>
          <t>N/D</t>
        </is>
      </c>
      <c r="T65" s="75" t="inlineStr">
        <is>
          <t>790777</t>
        </is>
      </c>
      <c r="U65" s="75" t="inlineStr">
        <is>
          <t>28/11/2024</t>
        </is>
      </c>
      <c r="V65" s="75" t="inlineStr">
        <is>
          <t>35</t>
        </is>
      </c>
      <c r="W65" s="75" t="inlineStr">
        <is>
          <t>https://fnet.bmfbovespa.com.br/fnet/publico/downloadDocumento?id=790777</t>
        </is>
      </c>
      <c r="X65" s="75" t="inlineStr">
        <is>
          <t>regulamento</t>
        </is>
      </c>
      <c r="Y65" s="75" t="inlineStr">
        <is>
          <t>o MERCADO PAGO INSTITUIÇÃO DE PAGAMENTO LTDA., sociedade limitada, com sede na Avenida das Nações Unidas, nº 3.003, Parte E, Bonfim, no Município de Osasco, Estado de São Paulo, CEP 06.233-903, inscrita no CNPJ sob o nº 10.573.521/0001-91</t>
        </is>
      </c>
      <c r="Z65" s="75" t="inlineStr">
        <is>
          <t>encontrado_explicito</t>
        </is>
      </c>
      <c r="AA65" s="75" t="inlineStr">
        <is>
          <t>N/D</t>
        </is>
      </c>
      <c r="AB65" s="75" t="inlineStr">
        <is>
          <t>790777</t>
        </is>
      </c>
      <c r="AC65" s="75" t="inlineStr">
        <is>
          <t>28/11/2024</t>
        </is>
      </c>
      <c r="AD65" s="75" t="inlineStr">
        <is>
          <t>40</t>
        </is>
      </c>
      <c r="AE65" s="75" t="inlineStr">
        <is>
          <t>https://fnet.bmfbovespa.com.br/fnet/publico/downloadDocumento?id=790777</t>
        </is>
      </c>
      <c r="AF65" s="75" t="inlineStr">
        <is>
          <t>regulamento</t>
        </is>
      </c>
      <c r="AG65" s="75" t="inlineStr">
        <is>
          <t>os Direitos Creditórios dos Estabelecimentos Comerciais e os Direitos Creditórios do Mercado Crédito quando referidos em co njunto ou de forma indistinta, conforme aplicável</t>
        </is>
      </c>
      <c r="AH65" s="75" t="inlineStr">
        <is>
          <t>encontrado_explicito</t>
        </is>
      </c>
      <c r="AI65" s="75" t="inlineStr">
        <is>
          <t>N/D</t>
        </is>
      </c>
      <c r="AJ65" s="75" t="inlineStr">
        <is>
          <t>467929</t>
        </is>
      </c>
      <c r="AK65" s="75" t="inlineStr">
        <is>
          <t>N/D</t>
        </is>
      </c>
      <c r="AL65" s="75" t="inlineStr">
        <is>
          <t>1</t>
        </is>
      </c>
      <c r="AM65" s="75" t="inlineStr">
        <is>
          <t>https://fnet.bmfbovespa.com.br/fnet/publico/downloadDocumento?id=467929</t>
        </is>
      </c>
      <c r="AN65" s="75" t="inlineStr">
        <is>
          <t>assembleia</t>
        </is>
      </c>
      <c r="AO65" s="75" t="inlineStr">
        <is>
          <t>10%</t>
        </is>
      </c>
      <c r="AP65" s="75" t="inlineStr">
        <is>
          <t>aceito_payload</t>
        </is>
      </c>
      <c r="AQ65" s="75" t="inlineStr">
        <is>
          <t>junior_pl</t>
        </is>
      </c>
      <c r="AR65" s="75" t="inlineStr">
        <is>
          <t>909547</t>
        </is>
      </c>
      <c r="AS65" s="75" t="inlineStr">
        <is>
          <t>2025-05-19</t>
        </is>
      </c>
      <c r="AT65" s="75" t="inlineStr">
        <is>
          <t>99</t>
        </is>
      </c>
      <c r="AU65" s="75" t="inlineStr">
        <is>
          <t>https://fnet.bmfbovespa.com.br/fnet/publico/downloadDocumento?id=909547</t>
        </is>
      </c>
      <c r="AV65" s="75" t="inlineStr">
        <is>
          <t>payload_documental</t>
        </is>
      </c>
      <c r="AW65" s="75" t="inlineStr">
        <is>
          <t>N/D</t>
        </is>
      </c>
      <c r="AX65" s="75" t="inlineStr">
        <is>
          <t>não encontrado</t>
        </is>
      </c>
      <c r="AY65" s="75" t="inlineStr">
        <is>
          <t>N/D</t>
        </is>
      </c>
      <c r="AZ65" s="75" t="inlineStr">
        <is>
          <t>N/D</t>
        </is>
      </c>
      <c r="BA65" s="75" t="inlineStr">
        <is>
          <t>N/D</t>
        </is>
      </c>
      <c r="BB65" s="75" t="inlineStr">
        <is>
          <t>N/D</t>
        </is>
      </c>
      <c r="BC65" s="75" t="inlineStr">
        <is>
          <t>N/D</t>
        </is>
      </c>
      <c r="BD65" s="75" t="inlineStr">
        <is>
          <t>N/D</t>
        </is>
      </c>
      <c r="BE65" s="75" t="inlineStr">
        <is>
          <t>junior_pl</t>
        </is>
      </c>
      <c r="BF65" s="75" t="inlineStr">
        <is>
          <t>aceito_payload</t>
        </is>
      </c>
      <c r="BG65" s="75" t="inlineStr">
        <is>
          <t>junior_pl</t>
        </is>
      </c>
      <c r="BH65" s="75" t="inlineStr">
        <is>
          <t>909547</t>
        </is>
      </c>
      <c r="BI65" s="75" t="inlineStr">
        <is>
          <t>2025-05-19</t>
        </is>
      </c>
      <c r="BJ65" s="75" t="inlineStr">
        <is>
          <t>99</t>
        </is>
      </c>
      <c r="BK65" s="75" t="inlineStr">
        <is>
          <t>https://fnet.bmfbovespa.com.br/fnet/publico/downloadDocumento?id=909547</t>
        </is>
      </c>
      <c r="BL65" s="75" t="inlineStr">
        <is>
          <t>payload_documental</t>
        </is>
      </c>
    </row>
    <row r="66" ht="42" customHeight="1">
      <c r="A66" s="141" t="n">
        <v>62</v>
      </c>
      <c r="B66" s="138" t="n">
        <v>62588266000154</v>
      </c>
      <c r="C66" s="74" t="inlineStr">
        <is>
          <t>62.588.266/0001-54</t>
        </is>
      </c>
      <c r="D66" s="74" t="inlineStr">
        <is>
          <t>VTK FUNDO DE INVESTIMENTO EM DIREITOS CREDITÓRIOS RESPONSABILIDADE LIMITADA</t>
        </is>
      </c>
      <c r="E66" s="74" t="inlineStr">
        <is>
          <t>concluído</t>
        </is>
      </c>
      <c r="F66" s="141" t="n">
        <v>7</v>
      </c>
      <c r="G66" s="74" t="inlineStr">
        <is>
          <t>consultado</t>
        </is>
      </c>
      <c r="H66" s="74" t="inlineStr">
        <is>
          <t>N/D</t>
        </is>
      </c>
      <c r="I66" s="74" t="inlineStr">
        <is>
          <t>N/D</t>
        </is>
      </c>
      <c r="J66" s="74" t="inlineStr">
        <is>
          <t>não encontrado</t>
        </is>
      </c>
      <c r="K66" s="74" t="inlineStr">
        <is>
          <t>N/D</t>
        </is>
      </c>
      <c r="L66" s="74" t="inlineStr">
        <is>
          <t>N/D</t>
        </is>
      </c>
      <c r="M66" s="74" t="inlineStr">
        <is>
          <t>N/D</t>
        </is>
      </c>
      <c r="N66" s="74" t="inlineStr">
        <is>
          <t>N/D</t>
        </is>
      </c>
      <c r="O66" s="74" t="inlineStr">
        <is>
          <t>N/D</t>
        </is>
      </c>
      <c r="P66" s="74" t="inlineStr">
        <is>
          <t>N/D</t>
        </is>
      </c>
      <c r="Q66" s="74" t="inlineStr">
        <is>
          <t>Facta</t>
        </is>
      </c>
      <c r="R66" s="74" t="inlineStr">
        <is>
          <t>aceito_payload</t>
        </is>
      </c>
      <c r="S66" s="74" t="inlineStr">
        <is>
          <t>N/D</t>
        </is>
      </c>
      <c r="T66" s="74" t="inlineStr">
        <is>
          <t>IMG_8706.JPG</t>
        </is>
      </c>
      <c r="U66" s="74" t="inlineStr">
        <is>
          <t>2025-09-29</t>
        </is>
      </c>
      <c r="V66" s="74" t="inlineStr">
        <is>
          <t>35</t>
        </is>
      </c>
      <c r="W66" s="74" t="inlineStr">
        <is>
          <t>N/D</t>
        </is>
      </c>
      <c r="X66" s="74" t="inlineStr">
        <is>
          <t>planilha_manual</t>
        </is>
      </c>
      <c r="Y66" s="74" t="inlineStr">
        <is>
          <t>N/D</t>
        </is>
      </c>
      <c r="Z66" s="74" t="inlineStr">
        <is>
          <t>não encontrado</t>
        </is>
      </c>
      <c r="AA66" s="74" t="inlineStr">
        <is>
          <t>N/D</t>
        </is>
      </c>
      <c r="AB66" s="74" t="inlineStr">
        <is>
          <t>N/D</t>
        </is>
      </c>
      <c r="AC66" s="74" t="inlineStr">
        <is>
          <t>N/D</t>
        </is>
      </c>
      <c r="AD66" s="74" t="inlineStr">
        <is>
          <t>N/D</t>
        </is>
      </c>
      <c r="AE66" s="74" t="inlineStr">
        <is>
          <t>N/D</t>
        </is>
      </c>
      <c r="AF66" s="74" t="inlineStr">
        <is>
          <t>N/D</t>
        </is>
      </c>
      <c r="AG66" s="74" t="inlineStr">
        <is>
          <t>Crédito INSS</t>
        </is>
      </c>
      <c r="AH66" s="74" t="inlineStr">
        <is>
          <t>aceito_payload</t>
        </is>
      </c>
      <c r="AI66" s="74" t="inlineStr">
        <is>
          <t>N/D</t>
        </is>
      </c>
      <c r="AJ66" s="74" t="inlineStr">
        <is>
          <t>IMG_8706.JPG</t>
        </is>
      </c>
      <c r="AK66" s="74" t="inlineStr">
        <is>
          <t>2025-09-29</t>
        </is>
      </c>
      <c r="AL66" s="74" t="inlineStr">
        <is>
          <t>35</t>
        </is>
      </c>
      <c r="AM66" s="74" t="inlineStr">
        <is>
          <t>N/D</t>
        </is>
      </c>
      <c r="AN66" s="74" t="inlineStr">
        <is>
          <t>planilha_manual</t>
        </is>
      </c>
      <c r="AO66" s="74" t="inlineStr">
        <is>
          <t>5%</t>
        </is>
      </c>
      <c r="AP66" s="74" t="inlineStr">
        <is>
          <t>aceito_payload</t>
        </is>
      </c>
      <c r="AQ66" s="74" t="inlineStr">
        <is>
          <t>junior_pl</t>
        </is>
      </c>
      <c r="AR66" s="74" t="inlineStr">
        <is>
          <t>1002580</t>
        </is>
      </c>
      <c r="AS66" s="74" t="inlineStr">
        <is>
          <t>2025-09-29</t>
        </is>
      </c>
      <c r="AT66" s="74" t="inlineStr">
        <is>
          <t>35</t>
        </is>
      </c>
      <c r="AU66" s="74" t="inlineStr">
        <is>
          <t>https://fnet.bmfbovespa.com.br/fnet/publico/downloadDocumento?id=1002580</t>
        </is>
      </c>
      <c r="AV66" s="74" t="inlineStr">
        <is>
          <t>payload_documental</t>
        </is>
      </c>
      <c r="AW66" s="74" t="inlineStr">
        <is>
          <t>15%</t>
        </is>
      </c>
      <c r="AX66" s="74" t="inlineStr">
        <is>
          <t>encontrado_explicito</t>
        </is>
      </c>
      <c r="AY66" s="74" t="inlineStr">
        <is>
          <t>suporte_total_pl</t>
        </is>
      </c>
      <c r="AZ66" s="74" t="inlineStr">
        <is>
          <t>1002580</t>
        </is>
      </c>
      <c r="BA66" s="74" t="inlineStr">
        <is>
          <t>2025-09-29</t>
        </is>
      </c>
      <c r="BB66" s="74" t="inlineStr">
        <is>
          <t>26</t>
        </is>
      </c>
      <c r="BC66" s="74" t="inlineStr">
        <is>
          <t>https://fnet.bmfbovespa.com.br/fnet/publico/downloadDocumento?id=1002580</t>
        </is>
      </c>
      <c r="BD66" s="74" t="inlineStr">
        <is>
          <t>regulamento</t>
        </is>
      </c>
      <c r="BE66" s="74" t="inlineStr">
        <is>
          <t>junior_pl</t>
        </is>
      </c>
      <c r="BF66" s="74" t="inlineStr">
        <is>
          <t>aceito_payload</t>
        </is>
      </c>
      <c r="BG66" s="74" t="inlineStr">
        <is>
          <t>junior_pl</t>
        </is>
      </c>
      <c r="BH66" s="74" t="inlineStr">
        <is>
          <t>1002580</t>
        </is>
      </c>
      <c r="BI66" s="74" t="inlineStr">
        <is>
          <t>2025-09-29</t>
        </is>
      </c>
      <c r="BJ66" s="74" t="inlineStr">
        <is>
          <t>35</t>
        </is>
      </c>
      <c r="BK66" s="74" t="inlineStr">
        <is>
          <t>https://fnet.bmfbovespa.com.br/fnet/publico/downloadDocumento?id=1002580</t>
        </is>
      </c>
      <c r="BL66" s="74" t="inlineStr">
        <is>
          <t>payload_documental</t>
        </is>
      </c>
    </row>
    <row r="67" ht="42" customHeight="1">
      <c r="A67" s="145" t="n">
        <v>63</v>
      </c>
      <c r="B67" s="142" t="n">
        <v>50988212000105</v>
      </c>
      <c r="C67" s="75" t="inlineStr">
        <is>
          <t>50.988.212/0001-05</t>
        </is>
      </c>
      <c r="D67" s="75" t="inlineStr">
        <is>
          <t>CARTÃO DE COMPRA SUPPLIER FUNDO DE INVESTIMENTO EM DIREITOS CREDITÓRIOS II-RESPONSABILIDADE LIMITADA</t>
        </is>
      </c>
      <c r="E67" s="75" t="inlineStr">
        <is>
          <t>concluído</t>
        </is>
      </c>
      <c r="F67" s="145" t="n">
        <v>7</v>
      </c>
      <c r="G67" s="75" t="inlineStr">
        <is>
          <t>consultado</t>
        </is>
      </c>
      <c r="H67" s="75" t="inlineStr">
        <is>
          <t>N/D</t>
        </is>
      </c>
      <c r="I67" s="75" t="inlineStr">
        <is>
          <t>N/D</t>
        </is>
      </c>
      <c r="J67" s="75" t="inlineStr">
        <is>
          <t>não encontrado</t>
        </is>
      </c>
      <c r="K67" s="75" t="inlineStr">
        <is>
          <t>N/D</t>
        </is>
      </c>
      <c r="L67" s="75" t="inlineStr">
        <is>
          <t>N/D</t>
        </is>
      </c>
      <c r="M67" s="75" t="inlineStr">
        <is>
          <t>N/D</t>
        </is>
      </c>
      <c r="N67" s="75" t="inlineStr">
        <is>
          <t>N/D</t>
        </is>
      </c>
      <c r="O67" s="75" t="inlineStr">
        <is>
          <t>N/D</t>
        </is>
      </c>
      <c r="P67" s="75" t="inlineStr">
        <is>
          <t>N/D</t>
        </is>
      </c>
      <c r="Q67" s="75" t="inlineStr">
        <is>
          <t>Supplier</t>
        </is>
      </c>
      <c r="R67" s="75" t="inlineStr">
        <is>
          <t>aceito_payload</t>
        </is>
      </c>
      <c r="S67" s="75" t="inlineStr">
        <is>
          <t>N/D</t>
        </is>
      </c>
      <c r="T67" s="75" t="inlineStr">
        <is>
          <t>IMG_8706.JPG</t>
        </is>
      </c>
      <c r="U67" s="75" t="inlineStr">
        <is>
          <t>2024-11-14</t>
        </is>
      </c>
      <c r="V67" s="75" t="inlineStr">
        <is>
          <t>29; 62</t>
        </is>
      </c>
      <c r="W67" s="75" t="inlineStr">
        <is>
          <t>N/D</t>
        </is>
      </c>
      <c r="X67" s="75" t="inlineStr">
        <is>
          <t>planilha_manual</t>
        </is>
      </c>
      <c r="Y67" s="75" t="inlineStr">
        <is>
          <t>N/D</t>
        </is>
      </c>
      <c r="Z67" s="75" t="inlineStr">
        <is>
          <t>não encontrado</t>
        </is>
      </c>
      <c r="AA67" s="75" t="inlineStr">
        <is>
          <t>N/D</t>
        </is>
      </c>
      <c r="AB67" s="75" t="inlineStr">
        <is>
          <t>N/D</t>
        </is>
      </c>
      <c r="AC67" s="75" t="inlineStr">
        <is>
          <t>N/D</t>
        </is>
      </c>
      <c r="AD67" s="75" t="inlineStr">
        <is>
          <t>N/D</t>
        </is>
      </c>
      <c r="AE67" s="75" t="inlineStr">
        <is>
          <t>N/D</t>
        </is>
      </c>
      <c r="AF67" s="75" t="inlineStr">
        <is>
          <t>N/D</t>
        </is>
      </c>
      <c r="AG67" s="75" t="inlineStr">
        <is>
          <t>Crédito Curto Prazo com o segurado; Crédito PME</t>
        </is>
      </c>
      <c r="AH67" s="75" t="inlineStr">
        <is>
          <t>aceito_payload</t>
        </is>
      </c>
      <c r="AI67" s="75" t="inlineStr">
        <is>
          <t>N/D</t>
        </is>
      </c>
      <c r="AJ67" s="75" t="inlineStr">
        <is>
          <t>IMG_8706.JPG</t>
        </is>
      </c>
      <c r="AK67" s="75" t="inlineStr">
        <is>
          <t>2024-11-14</t>
        </is>
      </c>
      <c r="AL67" s="75" t="inlineStr">
        <is>
          <t>29; 62</t>
        </is>
      </c>
      <c r="AM67" s="75" t="inlineStr">
        <is>
          <t>N/D</t>
        </is>
      </c>
      <c r="AN67" s="75" t="inlineStr">
        <is>
          <t>planilha_manual</t>
        </is>
      </c>
      <c r="AO67" s="75" t="inlineStr">
        <is>
          <t>4.5%</t>
        </is>
      </c>
      <c r="AP67" s="75" t="inlineStr">
        <is>
          <t>aceito_payload</t>
        </is>
      </c>
      <c r="AQ67" s="75" t="inlineStr">
        <is>
          <t>junior_pl_ajustado</t>
        </is>
      </c>
      <c r="AR67" s="75" t="inlineStr">
        <is>
          <t>1013021</t>
        </is>
      </c>
      <c r="AS67" s="75" t="inlineStr">
        <is>
          <t>2024-11-14</t>
        </is>
      </c>
      <c r="AT67" s="75" t="inlineStr">
        <is>
          <t>29; 62</t>
        </is>
      </c>
      <c r="AU67" s="75" t="inlineStr">
        <is>
          <t>https://fnet.bmfbovespa.com.br/fnet/publico/downloadDocumento?id=1013021</t>
        </is>
      </c>
      <c r="AV67" s="75" t="inlineStr">
        <is>
          <t>payload_documental</t>
        </is>
      </c>
      <c r="AW67" s="75" t="inlineStr">
        <is>
          <t>N/D</t>
        </is>
      </c>
      <c r="AX67" s="75" t="inlineStr">
        <is>
          <t>não encontrado</t>
        </is>
      </c>
      <c r="AY67" s="75" t="inlineStr">
        <is>
          <t>N/D</t>
        </is>
      </c>
      <c r="AZ67" s="75" t="inlineStr">
        <is>
          <t>N/D</t>
        </is>
      </c>
      <c r="BA67" s="75" t="inlineStr">
        <is>
          <t>N/D</t>
        </is>
      </c>
      <c r="BB67" s="75" t="inlineStr">
        <is>
          <t>N/D</t>
        </is>
      </c>
      <c r="BC67" s="75" t="inlineStr">
        <is>
          <t>N/D</t>
        </is>
      </c>
      <c r="BD67" s="75" t="inlineStr">
        <is>
          <t>N/D</t>
        </is>
      </c>
      <c r="BE67" s="75" t="inlineStr">
        <is>
          <t>junior_pl_ajustado</t>
        </is>
      </c>
      <c r="BF67" s="75" t="inlineStr">
        <is>
          <t>aceito_payload</t>
        </is>
      </c>
      <c r="BG67" s="75" t="inlineStr">
        <is>
          <t>junior_pl_ajustado</t>
        </is>
      </c>
      <c r="BH67" s="75" t="inlineStr">
        <is>
          <t>1013021</t>
        </is>
      </c>
      <c r="BI67" s="75" t="inlineStr">
        <is>
          <t>2024-11-14</t>
        </is>
      </c>
      <c r="BJ67" s="75" t="inlineStr">
        <is>
          <t>29; 62</t>
        </is>
      </c>
      <c r="BK67" s="75" t="inlineStr">
        <is>
          <t>https://fnet.bmfbovespa.com.br/fnet/publico/downloadDocumento?id=1013021</t>
        </is>
      </c>
      <c r="BL67" s="75" t="inlineStr">
        <is>
          <t>payload_documental</t>
        </is>
      </c>
    </row>
    <row r="68" ht="42" customHeight="1">
      <c r="A68" s="141" t="n">
        <v>64</v>
      </c>
      <c r="B68" s="138" t="n">
        <v>58476088000100</v>
      </c>
      <c r="C68" s="74" t="inlineStr">
        <is>
          <t>58.476.088/0001-00</t>
        </is>
      </c>
      <c r="D68" s="74" t="inlineStr">
        <is>
          <t>SAGA FUNDO DE INVESTIMENTO EM DIREITOS CREDITÓRIOS CRÉDITO PRIVADO - RESPONSABILIDADE LIMITADA</t>
        </is>
      </c>
      <c r="E68" s="74" t="inlineStr">
        <is>
          <t>concluído</t>
        </is>
      </c>
      <c r="F68" s="141" t="n">
        <v>4</v>
      </c>
      <c r="G68" s="74" t="inlineStr">
        <is>
          <t>consultado</t>
        </is>
      </c>
      <c r="H68" s="74" t="inlineStr">
        <is>
          <t>N/D</t>
        </is>
      </c>
      <c r="I68" s="74" t="inlineStr">
        <is>
          <t>N/D</t>
        </is>
      </c>
      <c r="J68" s="74" t="inlineStr">
        <is>
          <t>não encontrado</t>
        </is>
      </c>
      <c r="K68" s="74" t="inlineStr">
        <is>
          <t>N/D</t>
        </is>
      </c>
      <c r="L68" s="74" t="inlineStr">
        <is>
          <t>N/D</t>
        </is>
      </c>
      <c r="M68" s="74" t="inlineStr">
        <is>
          <t>N/D</t>
        </is>
      </c>
      <c r="N68" s="74" t="inlineStr">
        <is>
          <t>N/D</t>
        </is>
      </c>
      <c r="O68" s="74" t="inlineStr">
        <is>
          <t>N/D</t>
        </is>
      </c>
      <c r="P68" s="74" t="inlineStr">
        <is>
          <t>N/D</t>
        </is>
      </c>
      <c r="Q68" s="74" t="inlineStr">
        <is>
          <t>Saga Brasil</t>
        </is>
      </c>
      <c r="R68" s="74" t="inlineStr">
        <is>
          <t>aceito_payload</t>
        </is>
      </c>
      <c r="S68" s="74" t="inlineStr">
        <is>
          <t>N/D</t>
        </is>
      </c>
      <c r="T68" s="74" t="inlineStr">
        <is>
          <t>IMG_8706.JPG</t>
        </is>
      </c>
      <c r="U68" s="74" t="inlineStr">
        <is>
          <t>2025-02-25</t>
        </is>
      </c>
      <c r="V68" s="74" t="inlineStr">
        <is>
          <t>18</t>
        </is>
      </c>
      <c r="W68" s="74" t="inlineStr">
        <is>
          <t>N/D</t>
        </is>
      </c>
      <c r="X68" s="74" t="inlineStr">
        <is>
          <t>planilha_manual</t>
        </is>
      </c>
      <c r="Y68" s="74" t="inlineStr">
        <is>
          <t>N/D</t>
        </is>
      </c>
      <c r="Z68" s="74" t="inlineStr">
        <is>
          <t>não encontrado</t>
        </is>
      </c>
      <c r="AA68" s="74" t="inlineStr">
        <is>
          <t>N/D</t>
        </is>
      </c>
      <c r="AB68" s="74" t="inlineStr">
        <is>
          <t>N/D</t>
        </is>
      </c>
      <c r="AC68" s="74" t="inlineStr">
        <is>
          <t>N/D</t>
        </is>
      </c>
      <c r="AD68" s="74" t="inlineStr">
        <is>
          <t>N/D</t>
        </is>
      </c>
      <c r="AE68" s="74" t="inlineStr">
        <is>
          <t>N/D</t>
        </is>
      </c>
      <c r="AF68" s="74" t="inlineStr">
        <is>
          <t>N/D</t>
        </is>
      </c>
      <c r="AG68" s="74" t="inlineStr">
        <is>
          <t>os direitos creditórios originados das Notas Comerciais emitidas pelos Devedores, representados pelos Documentos Comprobatórios, conforme o caso, detidas pela Fundo contra os Devedores</t>
        </is>
      </c>
      <c r="AH68" s="74" t="inlineStr">
        <is>
          <t>encontrado_explicito</t>
        </is>
      </c>
      <c r="AI68" s="74" t="inlineStr">
        <is>
          <t>N/D</t>
        </is>
      </c>
      <c r="AJ68" s="74" t="inlineStr">
        <is>
          <t>852325</t>
        </is>
      </c>
      <c r="AK68" s="74" t="inlineStr">
        <is>
          <t>25/02/2025</t>
        </is>
      </c>
      <c r="AL68" s="74" t="inlineStr">
        <is>
          <t>15</t>
        </is>
      </c>
      <c r="AM68" s="74" t="inlineStr">
        <is>
          <t>https://fnet.bmfbovespa.com.br/fnet/publico/downloadDocumento?id=852325</t>
        </is>
      </c>
      <c r="AN68" s="74" t="inlineStr">
        <is>
          <t>regulamento</t>
        </is>
      </c>
      <c r="AO68" s="74" t="inlineStr">
        <is>
          <t>33.33%</t>
        </is>
      </c>
      <c r="AP68" s="74" t="inlineStr">
        <is>
          <t>aceito_payload</t>
        </is>
      </c>
      <c r="AQ68" s="74" t="inlineStr">
        <is>
          <t>junior_pl</t>
        </is>
      </c>
      <c r="AR68" s="74" t="inlineStr">
        <is>
          <t>852325</t>
        </is>
      </c>
      <c r="AS68" s="74" t="inlineStr">
        <is>
          <t>2025-02-25</t>
        </is>
      </c>
      <c r="AT68" s="74" t="inlineStr">
        <is>
          <t>18</t>
        </is>
      </c>
      <c r="AU68" s="74" t="inlineStr">
        <is>
          <t>https://fnet.bmfbovespa.com.br/fnet/publico/downloadDocumento?id=852325</t>
        </is>
      </c>
      <c r="AV68" s="74" t="inlineStr">
        <is>
          <t>payload_documental</t>
        </is>
      </c>
      <c r="AW68" s="74" t="inlineStr">
        <is>
          <t>33.33%</t>
        </is>
      </c>
      <c r="AX68" s="74" t="inlineStr">
        <is>
          <t>aceito_payload</t>
        </is>
      </c>
      <c r="AY68" s="74" t="inlineStr">
        <is>
          <t>suporte_total_pl</t>
        </is>
      </c>
      <c r="AZ68" s="74" t="inlineStr">
        <is>
          <t>852325</t>
        </is>
      </c>
      <c r="BA68" s="74" t="inlineStr">
        <is>
          <t>2025-02-25</t>
        </is>
      </c>
      <c r="BB68" s="74" t="inlineStr">
        <is>
          <t>18</t>
        </is>
      </c>
      <c r="BC68" s="74" t="inlineStr">
        <is>
          <t>https://fnet.bmfbovespa.com.br/fnet/publico/downloadDocumento?id=852325</t>
        </is>
      </c>
      <c r="BD68" s="74" t="inlineStr">
        <is>
          <t>payload_documental</t>
        </is>
      </c>
      <c r="BE68" s="74" t="inlineStr">
        <is>
          <t>junior_pl</t>
        </is>
      </c>
      <c r="BF68" s="74" t="inlineStr">
        <is>
          <t>aceito_payload</t>
        </is>
      </c>
      <c r="BG68" s="74" t="inlineStr">
        <is>
          <t>junior_pl</t>
        </is>
      </c>
      <c r="BH68" s="74" t="inlineStr">
        <is>
          <t>852325</t>
        </is>
      </c>
      <c r="BI68" s="74" t="inlineStr">
        <is>
          <t>2025-02-25</t>
        </is>
      </c>
      <c r="BJ68" s="74" t="inlineStr">
        <is>
          <t>18</t>
        </is>
      </c>
      <c r="BK68" s="74" t="inlineStr">
        <is>
          <t>https://fnet.bmfbovespa.com.br/fnet/publico/downloadDocumento?id=852325</t>
        </is>
      </c>
      <c r="BL68" s="74" t="inlineStr">
        <is>
          <t>payload_documental</t>
        </is>
      </c>
    </row>
    <row r="69" ht="42" customHeight="1">
      <c r="A69" s="145" t="n">
        <v>65</v>
      </c>
      <c r="B69" s="142" t="n">
        <v>58349979000198</v>
      </c>
      <c r="C69" s="75" t="inlineStr">
        <is>
          <t>58.349.979/0001-98</t>
        </is>
      </c>
      <c r="D69" s="75" t="inlineStr">
        <is>
          <t>VOLKSWAGEN TERA FUNDO DE INVESTIMENTO EM DIREITOS CREDITÓRIOS RECEBÍVEIS COMERCIAIS RESP LTDA</t>
        </is>
      </c>
      <c r="E69" s="75" t="inlineStr">
        <is>
          <t>concluído</t>
        </is>
      </c>
      <c r="F69" s="145" t="n">
        <v>6</v>
      </c>
      <c r="G69" s="75" t="inlineStr">
        <is>
          <t>consultado</t>
        </is>
      </c>
      <c r="H69" s="75" t="inlineStr">
        <is>
          <t>N/D</t>
        </is>
      </c>
      <c r="I69" s="75" t="inlineStr">
        <is>
          <t>N/D</t>
        </is>
      </c>
      <c r="J69" s="75" t="inlineStr">
        <is>
          <t>não encontrado</t>
        </is>
      </c>
      <c r="K69" s="75" t="inlineStr">
        <is>
          <t>N/D</t>
        </is>
      </c>
      <c r="L69" s="75" t="inlineStr">
        <is>
          <t>N/D</t>
        </is>
      </c>
      <c r="M69" s="75" t="inlineStr">
        <is>
          <t>N/D</t>
        </is>
      </c>
      <c r="N69" s="75" t="inlineStr">
        <is>
          <t>N/D</t>
        </is>
      </c>
      <c r="O69" s="75" t="inlineStr">
        <is>
          <t>N/D</t>
        </is>
      </c>
      <c r="P69" s="75" t="inlineStr">
        <is>
          <t>N/D</t>
        </is>
      </c>
      <c r="Q69" s="75" t="inlineStr">
        <is>
          <t>a VOLKSWAGEN DO BRASIL INDÚSTRIA DE VEÍCULOS AUTOMOTORES LTDA., sociedade empresária, com sede na cidade de São Bernardo do Campo, Estado de São Paulo, na Estrada Marginal da Via Anchieta, s/n, Km 23,5, CEP 09823-901, inscrita no CNPJ sob</t>
        </is>
      </c>
      <c r="R69" s="75" t="inlineStr">
        <is>
          <t>encontrado_explicito</t>
        </is>
      </c>
      <c r="S69" s="75" t="inlineStr">
        <is>
          <t>N/D</t>
        </is>
      </c>
      <c r="T69" s="75" t="inlineStr">
        <is>
          <t>826212</t>
        </is>
      </c>
      <c r="U69" s="75" t="inlineStr">
        <is>
          <t>28/01/2025</t>
        </is>
      </c>
      <c r="V69" s="75" t="inlineStr">
        <is>
          <t>88</t>
        </is>
      </c>
      <c r="W69" s="75" t="inlineStr">
        <is>
          <t>https://fnet.bmfbovespa.com.br/fnet/publico/downloadDocumento?id=826212</t>
        </is>
      </c>
      <c r="X69" s="75" t="inlineStr">
        <is>
          <t>regulamento</t>
        </is>
      </c>
      <c r="Y69" s="75" t="inlineStr">
        <is>
          <t>os clientes da Cedente que tenham adquirido Produtos e sejam devedores dos Direitos Creditórios , compostos por Devedores Concentrados e Devedores Pulverizados</t>
        </is>
      </c>
      <c r="Z69" s="75" t="inlineStr">
        <is>
          <t>encontrado_explicito</t>
        </is>
      </c>
      <c r="AA69" s="75" t="inlineStr">
        <is>
          <t>N/D</t>
        </is>
      </c>
      <c r="AB69" s="75" t="inlineStr">
        <is>
          <t>826212</t>
        </is>
      </c>
      <c r="AC69" s="75" t="inlineStr">
        <is>
          <t>28/01/2025</t>
        </is>
      </c>
      <c r="AD69" s="75" t="inlineStr">
        <is>
          <t>91</t>
        </is>
      </c>
      <c r="AE69" s="75" t="inlineStr">
        <is>
          <t>https://fnet.bmfbovespa.com.br/fnet/publico/downloadDocumento?id=826212</t>
        </is>
      </c>
      <c r="AF69" s="75" t="inlineStr">
        <is>
          <t>regulamento</t>
        </is>
      </c>
      <c r="AG69" s="75" t="inlineStr">
        <is>
          <t>Direitos creditórios</t>
        </is>
      </c>
      <c r="AH69" s="75" t="inlineStr">
        <is>
          <t>aceito_payload</t>
        </is>
      </c>
      <c r="AI69" s="75" t="inlineStr">
        <is>
          <t>N/D</t>
        </is>
      </c>
      <c r="AJ69" s="75" t="inlineStr">
        <is>
          <t>IMG_8706.JPG</t>
        </is>
      </c>
      <c r="AK69" s="75" t="inlineStr">
        <is>
          <t>2025-01-28</t>
        </is>
      </c>
      <c r="AL69" s="75" t="inlineStr">
        <is>
          <t>94</t>
        </is>
      </c>
      <c r="AM69" s="75" t="inlineStr">
        <is>
          <t>N/D</t>
        </is>
      </c>
      <c r="AN69" s="75" t="inlineStr">
        <is>
          <t>planilha_manual</t>
        </is>
      </c>
      <c r="AO69" s="75" t="inlineStr">
        <is>
          <t>25%</t>
        </is>
      </c>
      <c r="AP69" s="75" t="inlineStr">
        <is>
          <t>aceito_payload</t>
        </is>
      </c>
      <c r="AQ69" s="75" t="inlineStr">
        <is>
          <t>junior_pl</t>
        </is>
      </c>
      <c r="AR69" s="75" t="inlineStr">
        <is>
          <t>826213</t>
        </is>
      </c>
      <c r="AS69" s="75" t="inlineStr">
        <is>
          <t>2025-01-28</t>
        </is>
      </c>
      <c r="AT69" s="75" t="inlineStr">
        <is>
          <t>94</t>
        </is>
      </c>
      <c r="AU69" s="75" t="inlineStr">
        <is>
          <t>https://fnet.bmfbovespa.com.br/fnet/publico/downloadDocumento?id=826213</t>
        </is>
      </c>
      <c r="AV69" s="75" t="inlineStr">
        <is>
          <t>payload_documental</t>
        </is>
      </c>
      <c r="AW69" s="75" t="inlineStr">
        <is>
          <t>25%</t>
        </is>
      </c>
      <c r="AX69" s="75" t="inlineStr">
        <is>
          <t>aceito_payload</t>
        </is>
      </c>
      <c r="AY69" s="75" t="inlineStr">
        <is>
          <t>suporte_total_pl</t>
        </is>
      </c>
      <c r="AZ69" s="75" t="inlineStr">
        <is>
          <t>826213</t>
        </is>
      </c>
      <c r="BA69" s="75" t="inlineStr">
        <is>
          <t>2025-01-28</t>
        </is>
      </c>
      <c r="BB69" s="75" t="inlineStr">
        <is>
          <t>94</t>
        </is>
      </c>
      <c r="BC69" s="75" t="inlineStr">
        <is>
          <t>https://fnet.bmfbovespa.com.br/fnet/publico/downloadDocumento?id=826213</t>
        </is>
      </c>
      <c r="BD69" s="75" t="inlineStr">
        <is>
          <t>payload_documental</t>
        </is>
      </c>
      <c r="BE69" s="75" t="inlineStr">
        <is>
          <t>junior_pl</t>
        </is>
      </c>
      <c r="BF69" s="75" t="inlineStr">
        <is>
          <t>aceito_payload</t>
        </is>
      </c>
      <c r="BG69" s="75" t="inlineStr">
        <is>
          <t>junior_pl</t>
        </is>
      </c>
      <c r="BH69" s="75" t="inlineStr">
        <is>
          <t>826213</t>
        </is>
      </c>
      <c r="BI69" s="75" t="inlineStr">
        <is>
          <t>2025-01-28</t>
        </is>
      </c>
      <c r="BJ69" s="75" t="inlineStr">
        <is>
          <t>94</t>
        </is>
      </c>
      <c r="BK69" s="75" t="inlineStr">
        <is>
          <t>https://fnet.bmfbovespa.com.br/fnet/publico/downloadDocumento?id=826213</t>
        </is>
      </c>
      <c r="BL69" s="75" t="inlineStr">
        <is>
          <t>payload_documental</t>
        </is>
      </c>
    </row>
    <row r="70" ht="42" customHeight="1">
      <c r="A70" s="141" t="n">
        <v>66</v>
      </c>
      <c r="B70" s="138" t="n">
        <v>54559035000194</v>
      </c>
      <c r="C70" s="74" t="inlineStr">
        <is>
          <t>54.559.035/0001-94</t>
        </is>
      </c>
      <c r="D70" s="74" t="inlineStr">
        <is>
          <t>ESTRATÉGIA VINCULADA I FUNDO DE INVESTIMENTO EM DIREITOS CREDITÓRIOS - RESPONSABILIDADE LIMITADA</t>
        </is>
      </c>
      <c r="E70" s="74" t="inlineStr">
        <is>
          <t>concluído</t>
        </is>
      </c>
      <c r="F70" s="141" t="n">
        <v>7</v>
      </c>
      <c r="G70" s="74" t="inlineStr">
        <is>
          <t>consultado</t>
        </is>
      </c>
      <c r="H70" s="74" t="inlineStr">
        <is>
          <t>N/D</t>
        </is>
      </c>
      <c r="I70" s="74" t="inlineStr">
        <is>
          <t>N/D</t>
        </is>
      </c>
      <c r="J70" s="74" t="inlineStr">
        <is>
          <t>não encontrado</t>
        </is>
      </c>
      <c r="K70" s="74" t="inlineStr">
        <is>
          <t>N/D</t>
        </is>
      </c>
      <c r="L70" s="74" t="inlineStr">
        <is>
          <t>N/D</t>
        </is>
      </c>
      <c r="M70" s="74" t="inlineStr">
        <is>
          <t>N/D</t>
        </is>
      </c>
      <c r="N70" s="74" t="inlineStr">
        <is>
          <t>N/D</t>
        </is>
      </c>
      <c r="O70" s="74" t="inlineStr">
        <is>
          <t>N/D</t>
        </is>
      </c>
      <c r="P70" s="74" t="inlineStr">
        <is>
          <t>N/D</t>
        </is>
      </c>
      <c r="Q70" s="74" t="inlineStr">
        <is>
          <t>Banco IBM</t>
        </is>
      </c>
      <c r="R70" s="74" t="inlineStr">
        <is>
          <t>aceito_payload</t>
        </is>
      </c>
      <c r="S70" s="74" t="inlineStr">
        <is>
          <t>N/D</t>
        </is>
      </c>
      <c r="T70" s="74" t="inlineStr">
        <is>
          <t>IMG_8706.JPG</t>
        </is>
      </c>
      <c r="U70" s="74" t="inlineStr">
        <is>
          <t>2024-04-05</t>
        </is>
      </c>
      <c r="V70" s="74" t="inlineStr">
        <is>
          <t>50</t>
        </is>
      </c>
      <c r="W70" s="74" t="inlineStr">
        <is>
          <t>N/D</t>
        </is>
      </c>
      <c r="X70" s="74" t="inlineStr">
        <is>
          <t>planilha_manual</t>
        </is>
      </c>
      <c r="Y70" s="74" t="inlineStr">
        <is>
          <t>N/D</t>
        </is>
      </c>
      <c r="Z70" s="74" t="inlineStr">
        <is>
          <t>não encontrado</t>
        </is>
      </c>
      <c r="AA70" s="74" t="inlineStr">
        <is>
          <t>N/D</t>
        </is>
      </c>
      <c r="AB70" s="74" t="inlineStr">
        <is>
          <t>N/D</t>
        </is>
      </c>
      <c r="AC70" s="74" t="inlineStr">
        <is>
          <t>N/D</t>
        </is>
      </c>
      <c r="AD70" s="74" t="inlineStr">
        <is>
          <t>N/D</t>
        </is>
      </c>
      <c r="AE70" s="74" t="inlineStr">
        <is>
          <t>N/D</t>
        </is>
      </c>
      <c r="AF70" s="74" t="inlineStr">
        <is>
          <t>N/D</t>
        </is>
      </c>
      <c r="AG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AH70" s="74" t="inlineStr">
        <is>
          <t>encontrado_explicito</t>
        </is>
      </c>
      <c r="AI70" s="74" t="inlineStr">
        <is>
          <t>N/D</t>
        </is>
      </c>
      <c r="AJ70" s="74" t="inlineStr">
        <is>
          <t>634437</t>
        </is>
      </c>
      <c r="AK70" s="74" t="inlineStr">
        <is>
          <t>2024-04-05</t>
        </is>
      </c>
      <c r="AL70" s="74" t="inlineStr">
        <is>
          <t>49</t>
        </is>
      </c>
      <c r="AM70" s="74" t="inlineStr">
        <is>
          <t>https://fnet.bmfbovespa.com.br/fnet/publico/downloadDocumento?id=634437</t>
        </is>
      </c>
      <c r="AN70" s="74" t="inlineStr">
        <is>
          <t>regulamento</t>
        </is>
      </c>
      <c r="AO70" s="74" t="inlineStr">
        <is>
          <t>10%</t>
        </is>
      </c>
      <c r="AP70" s="74" t="inlineStr">
        <is>
          <t>aceito_payload</t>
        </is>
      </c>
      <c r="AQ70" s="74" t="inlineStr">
        <is>
          <t>junior_pl</t>
        </is>
      </c>
      <c r="AR70" s="74" t="inlineStr">
        <is>
          <t>634463</t>
        </is>
      </c>
      <c r="AS70" s="74" t="inlineStr">
        <is>
          <t>2024-04-05</t>
        </is>
      </c>
      <c r="AT70" s="74" t="inlineStr">
        <is>
          <t>50</t>
        </is>
      </c>
      <c r="AU70" s="74" t="inlineStr">
        <is>
          <t>https://fnet.bmfbovespa.com.br/fnet/publico/downloadDocumento?id=634463</t>
        </is>
      </c>
      <c r="AV70" s="74" t="inlineStr">
        <is>
          <t>payload_documental</t>
        </is>
      </c>
      <c r="AW70" s="74" t="inlineStr">
        <is>
          <t>10%</t>
        </is>
      </c>
      <c r="AX70" s="74" t="inlineStr">
        <is>
          <t>aceito_payload</t>
        </is>
      </c>
      <c r="AY70" s="74" t="inlineStr">
        <is>
          <t>suporte_total_pl</t>
        </is>
      </c>
      <c r="AZ70" s="74" t="inlineStr">
        <is>
          <t>634463</t>
        </is>
      </c>
      <c r="BA70" s="74" t="inlineStr">
        <is>
          <t>2024-04-05</t>
        </is>
      </c>
      <c r="BB70" s="74" t="inlineStr">
        <is>
          <t>50</t>
        </is>
      </c>
      <c r="BC70" s="74" t="inlineStr">
        <is>
          <t>https://fnet.bmfbovespa.com.br/fnet/publico/downloadDocumento?id=634463</t>
        </is>
      </c>
      <c r="BD70" s="74" t="inlineStr">
        <is>
          <t>payload_documental</t>
        </is>
      </c>
      <c r="BE70" s="74" t="inlineStr">
        <is>
          <t>junior_pl</t>
        </is>
      </c>
      <c r="BF70" s="74" t="inlineStr">
        <is>
          <t>aceito_payload</t>
        </is>
      </c>
      <c r="BG70" s="74" t="inlineStr">
        <is>
          <t>junior_pl</t>
        </is>
      </c>
      <c r="BH70" s="74" t="inlineStr">
        <is>
          <t>634463</t>
        </is>
      </c>
      <c r="BI70" s="74" t="inlineStr">
        <is>
          <t>2024-04-05</t>
        </is>
      </c>
      <c r="BJ70" s="74" t="inlineStr">
        <is>
          <t>50</t>
        </is>
      </c>
      <c r="BK70" s="74" t="inlineStr">
        <is>
          <t>https://fnet.bmfbovespa.com.br/fnet/publico/downloadDocumento?id=634463</t>
        </is>
      </c>
      <c r="BL70" s="74" t="inlineStr">
        <is>
          <t>payload_documental</t>
        </is>
      </c>
    </row>
    <row r="71" ht="42" customHeight="1">
      <c r="A71" s="145" t="n">
        <v>67</v>
      </c>
      <c r="B71" s="142" t="n">
        <v>55070804000159</v>
      </c>
      <c r="C71" s="75" t="inlineStr">
        <is>
          <t>55.070.804/0001-59</t>
        </is>
      </c>
      <c r="D71" s="75" t="inlineStr">
        <is>
          <t>ESTRATÉGIA VINCULADA II FUNDO DE INVESTIMENTO EM DIREITOS CREDITÓRIOS - RESPONSABILIDADE LIMITADA</t>
        </is>
      </c>
      <c r="E71" s="75" t="inlineStr">
        <is>
          <t>concluído</t>
        </is>
      </c>
      <c r="F71" s="145" t="n">
        <v>6</v>
      </c>
      <c r="G71" s="75" t="inlineStr">
        <is>
          <t>consultado</t>
        </is>
      </c>
      <c r="H71" s="75" t="inlineStr">
        <is>
          <t>N/D</t>
        </is>
      </c>
      <c r="I71" s="75" t="inlineStr">
        <is>
          <t>N/D</t>
        </is>
      </c>
      <c r="J71" s="75" t="inlineStr">
        <is>
          <t>não encontrado</t>
        </is>
      </c>
      <c r="K71" s="75" t="inlineStr">
        <is>
          <t>N/D</t>
        </is>
      </c>
      <c r="L71" s="75" t="inlineStr">
        <is>
          <t>N/D</t>
        </is>
      </c>
      <c r="M71" s="75" t="inlineStr">
        <is>
          <t>N/D</t>
        </is>
      </c>
      <c r="N71" s="75" t="inlineStr">
        <is>
          <t>N/D</t>
        </is>
      </c>
      <c r="O71" s="75" t="inlineStr">
        <is>
          <t>N/D</t>
        </is>
      </c>
      <c r="P71" s="75" t="inlineStr">
        <is>
          <t>N/D</t>
        </is>
      </c>
      <c r="Q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R71" s="75" t="inlineStr">
        <is>
          <t>encontrado_explicito</t>
        </is>
      </c>
      <c r="S71" s="75" t="inlineStr">
        <is>
          <t>N/D</t>
        </is>
      </c>
      <c r="T71" s="75" t="inlineStr">
        <is>
          <t>667195</t>
        </is>
      </c>
      <c r="U71" s="75" t="inlineStr">
        <is>
          <t>2024-05-22</t>
        </is>
      </c>
      <c r="V71" s="75" t="inlineStr">
        <is>
          <t>48</t>
        </is>
      </c>
      <c r="W71" s="75" t="inlineStr">
        <is>
          <t>https://fnet.bmfbovespa.com.br/fnet/publico/downloadDocumento?id=667195</t>
        </is>
      </c>
      <c r="X71" s="75" t="inlineStr">
        <is>
          <t>regulamento</t>
        </is>
      </c>
      <c r="Y71" s="75" t="inlineStr">
        <is>
          <t>N/D</t>
        </is>
      </c>
      <c r="Z71" s="75" t="inlineStr">
        <is>
          <t>não encontrado</t>
        </is>
      </c>
      <c r="AA71" s="75" t="inlineStr">
        <is>
          <t>N/D</t>
        </is>
      </c>
      <c r="AB71" s="75" t="inlineStr">
        <is>
          <t>N/D</t>
        </is>
      </c>
      <c r="AC71" s="75" t="inlineStr">
        <is>
          <t>N/D</t>
        </is>
      </c>
      <c r="AD71" s="75" t="inlineStr">
        <is>
          <t>N/D</t>
        </is>
      </c>
      <c r="AE71" s="75" t="inlineStr">
        <is>
          <t>N/D</t>
        </is>
      </c>
      <c r="AF71" s="75" t="inlineStr">
        <is>
          <t>N/D</t>
        </is>
      </c>
      <c r="AG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AH71" s="75" t="inlineStr">
        <is>
          <t>encontrado_explicito</t>
        </is>
      </c>
      <c r="AI71" s="75" t="inlineStr">
        <is>
          <t>N/D</t>
        </is>
      </c>
      <c r="AJ71" s="75" t="inlineStr">
        <is>
          <t>667195</t>
        </is>
      </c>
      <c r="AK71" s="75" t="inlineStr">
        <is>
          <t>2024-05-22</t>
        </is>
      </c>
      <c r="AL71" s="75" t="inlineStr">
        <is>
          <t>52</t>
        </is>
      </c>
      <c r="AM71" s="75" t="inlineStr">
        <is>
          <t>https://fnet.bmfbovespa.com.br/fnet/publico/downloadDocumento?id=667195</t>
        </is>
      </c>
      <c r="AN71" s="75" t="inlineStr">
        <is>
          <t>regulamento</t>
        </is>
      </c>
      <c r="AO71" s="75" t="inlineStr">
        <is>
          <t>10%</t>
        </is>
      </c>
      <c r="AP71" s="75" t="inlineStr">
        <is>
          <t>aceito_payload</t>
        </is>
      </c>
      <c r="AQ71" s="75" t="inlineStr">
        <is>
          <t>junior_pl</t>
        </is>
      </c>
      <c r="AR71" s="75" t="inlineStr">
        <is>
          <t>667195</t>
        </is>
      </c>
      <c r="AS71" s="75" t="inlineStr">
        <is>
          <t>2024-05-22</t>
        </is>
      </c>
      <c r="AT71" s="75" t="inlineStr">
        <is>
          <t>57</t>
        </is>
      </c>
      <c r="AU71" s="75" t="inlineStr">
        <is>
          <t>https://fnet.bmfbovespa.com.br/fnet/publico/downloadDocumento?id=667195</t>
        </is>
      </c>
      <c r="AV71" s="75" t="inlineStr">
        <is>
          <t>payload_documental</t>
        </is>
      </c>
      <c r="AW71" s="75" t="inlineStr">
        <is>
          <t>10%</t>
        </is>
      </c>
      <c r="AX71" s="75" t="inlineStr">
        <is>
          <t>aceito_payload</t>
        </is>
      </c>
      <c r="AY71" s="75" t="inlineStr">
        <is>
          <t>suporte_total_pl</t>
        </is>
      </c>
      <c r="AZ71" s="75" t="inlineStr">
        <is>
          <t>667195</t>
        </is>
      </c>
      <c r="BA71" s="75" t="inlineStr">
        <is>
          <t>2024-05-22</t>
        </is>
      </c>
      <c r="BB71" s="75" t="inlineStr">
        <is>
          <t>57</t>
        </is>
      </c>
      <c r="BC71" s="75" t="inlineStr">
        <is>
          <t>https://fnet.bmfbovespa.com.br/fnet/publico/downloadDocumento?id=667195</t>
        </is>
      </c>
      <c r="BD71" s="75" t="inlineStr">
        <is>
          <t>payload_documental</t>
        </is>
      </c>
      <c r="BE71" s="75" t="inlineStr">
        <is>
          <t>junior_pl</t>
        </is>
      </c>
      <c r="BF71" s="75" t="inlineStr">
        <is>
          <t>aceito_payload</t>
        </is>
      </c>
      <c r="BG71" s="75" t="inlineStr">
        <is>
          <t>junior_pl</t>
        </is>
      </c>
      <c r="BH71" s="75" t="inlineStr">
        <is>
          <t>667195</t>
        </is>
      </c>
      <c r="BI71" s="75" t="inlineStr">
        <is>
          <t>2024-05-22</t>
        </is>
      </c>
      <c r="BJ71" s="75" t="inlineStr">
        <is>
          <t>57</t>
        </is>
      </c>
      <c r="BK71" s="75" t="inlineStr">
        <is>
          <t>https://fnet.bmfbovespa.com.br/fnet/publico/downloadDocumento?id=667195</t>
        </is>
      </c>
      <c r="BL71" s="75" t="inlineStr">
        <is>
          <t>payload_documental</t>
        </is>
      </c>
    </row>
    <row r="72" ht="42" customHeight="1">
      <c r="A72" s="141" t="n">
        <v>68</v>
      </c>
      <c r="B72" s="138" t="n">
        <v>43866348000179</v>
      </c>
      <c r="C72" s="74" t="inlineStr">
        <is>
          <t>43.866.348/0001-79</t>
        </is>
      </c>
      <c r="D72" s="74" t="inlineStr">
        <is>
          <t>FUNDO DE INVESTIMENTO EM DIREITOS CREDITÓRIOS OPEA AGRO SUMITOMO CHEMICAL RESP LIMITADA</t>
        </is>
      </c>
      <c r="E72" s="74" t="inlineStr">
        <is>
          <t>concluído</t>
        </is>
      </c>
      <c r="F72" s="141" t="n">
        <v>8</v>
      </c>
      <c r="G72" s="74" t="inlineStr">
        <is>
          <t>consultado</t>
        </is>
      </c>
      <c r="H72" s="74" t="inlineStr">
        <is>
          <t>N/D</t>
        </is>
      </c>
      <c r="I72" s="74" t="inlineStr">
        <is>
          <t>a Sumitomo</t>
        </is>
      </c>
      <c r="J72" s="74" t="inlineStr">
        <is>
          <t>encontrado_explicito</t>
        </is>
      </c>
      <c r="K72" s="74" t="inlineStr">
        <is>
          <t>N/D</t>
        </is>
      </c>
      <c r="L72" s="74" t="inlineStr">
        <is>
          <t>741138</t>
        </is>
      </c>
      <c r="M72" s="74" t="inlineStr">
        <is>
          <t>17/09/2024</t>
        </is>
      </c>
      <c r="N72" s="74" t="inlineStr">
        <is>
          <t>79</t>
        </is>
      </c>
      <c r="O72" s="74" t="inlineStr">
        <is>
          <t>https://fnet.bmfbovespa.com.br/fnet/publico/downloadDocumento?id=741138</t>
        </is>
      </c>
      <c r="P72" s="74" t="inlineStr">
        <is>
          <t>regulamento</t>
        </is>
      </c>
      <c r="Q72" s="74" t="inlineStr">
        <is>
          <t>(i) a Sumitomo, cujas cessões não contarão com coobrigação</t>
        </is>
      </c>
      <c r="R72" s="74" t="inlineStr">
        <is>
          <t>encontrado_explicito</t>
        </is>
      </c>
      <c r="S72" s="74" t="inlineStr">
        <is>
          <t>N/D</t>
        </is>
      </c>
      <c r="T72" s="74" t="inlineStr">
        <is>
          <t>741138</t>
        </is>
      </c>
      <c r="U72" s="74" t="inlineStr">
        <is>
          <t>17/09/2024</t>
        </is>
      </c>
      <c r="V72" s="74" t="inlineStr">
        <is>
          <t>61</t>
        </is>
      </c>
      <c r="W72" s="74" t="inlineStr">
        <is>
          <t>https://fnet.bmfbovespa.com.br/fnet/publico/downloadDocumento?id=741138</t>
        </is>
      </c>
      <c r="X72" s="74" t="inlineStr">
        <is>
          <t>regulamento</t>
        </is>
      </c>
      <c r="Y72" s="74" t="inlineStr">
        <is>
          <t>N/D</t>
        </is>
      </c>
      <c r="Z72" s="74" t="inlineStr">
        <is>
          <t>não encontrado</t>
        </is>
      </c>
      <c r="AA72" s="74" t="inlineStr">
        <is>
          <t>N/D</t>
        </is>
      </c>
      <c r="AB72" s="74" t="inlineStr">
        <is>
          <t>N/D</t>
        </is>
      </c>
      <c r="AC72" s="74" t="inlineStr">
        <is>
          <t>N/D</t>
        </is>
      </c>
      <c r="AD72" s="74" t="inlineStr">
        <is>
          <t>N/D</t>
        </is>
      </c>
      <c r="AE72" s="74" t="inlineStr">
        <is>
          <t>N/D</t>
        </is>
      </c>
      <c r="AF72" s="74" t="inlineStr">
        <is>
          <t>N/D</t>
        </is>
      </c>
      <c r="AG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AH72" s="74" t="inlineStr">
        <is>
          <t>encontrado_explicito</t>
        </is>
      </c>
      <c r="AI72" s="74" t="inlineStr">
        <is>
          <t>N/D</t>
        </is>
      </c>
      <c r="AJ72" s="74" t="inlineStr">
        <is>
          <t>741138</t>
        </is>
      </c>
      <c r="AK72" s="74" t="inlineStr">
        <is>
          <t>17/09/2024</t>
        </is>
      </c>
      <c r="AL72" s="74" t="inlineStr">
        <is>
          <t>70</t>
        </is>
      </c>
      <c r="AM72" s="74" t="inlineStr">
        <is>
          <t>https://fnet.bmfbovespa.com.br/fnet/publico/downloadDocumento?id=741138</t>
        </is>
      </c>
      <c r="AN72" s="74" t="inlineStr">
        <is>
          <t>regulamento</t>
        </is>
      </c>
      <c r="AO72" s="74" t="inlineStr">
        <is>
          <t>5%</t>
        </is>
      </c>
      <c r="AP72" s="74" t="inlineStr">
        <is>
          <t>aceito_payload</t>
        </is>
      </c>
      <c r="AQ72" s="74" t="inlineStr">
        <is>
          <t>junior_pl</t>
        </is>
      </c>
      <c r="AR72" s="74" t="inlineStr">
        <is>
          <t>741139</t>
        </is>
      </c>
      <c r="AS72" s="74" t="inlineStr">
        <is>
          <t>2024-09-17</t>
        </is>
      </c>
      <c r="AT72" s="74" t="inlineStr">
        <is>
          <t>81</t>
        </is>
      </c>
      <c r="AU72" s="74" t="inlineStr">
        <is>
          <t>https://fnet.bmfbovespa.com.br/fnet/publico/downloadDocumento?id=741139</t>
        </is>
      </c>
      <c r="AV72" s="74" t="inlineStr">
        <is>
          <t>payload_documental</t>
        </is>
      </c>
      <c r="AW72" s="74" t="inlineStr">
        <is>
          <t>N/D</t>
        </is>
      </c>
      <c r="AX72" s="74" t="inlineStr">
        <is>
          <t>não encontrado</t>
        </is>
      </c>
      <c r="AY72" s="74" t="inlineStr">
        <is>
          <t>N/D</t>
        </is>
      </c>
      <c r="AZ72" s="74" t="inlineStr">
        <is>
          <t>N/D</t>
        </is>
      </c>
      <c r="BA72" s="74" t="inlineStr">
        <is>
          <t>N/D</t>
        </is>
      </c>
      <c r="BB72" s="74" t="inlineStr">
        <is>
          <t>N/D</t>
        </is>
      </c>
      <c r="BC72" s="74" t="inlineStr">
        <is>
          <t>N/D</t>
        </is>
      </c>
      <c r="BD72" s="74" t="inlineStr">
        <is>
          <t>N/D</t>
        </is>
      </c>
      <c r="BE72" s="74" t="inlineStr">
        <is>
          <t>junior_pl</t>
        </is>
      </c>
      <c r="BF72" s="74" t="inlineStr">
        <is>
          <t>aceito_payload</t>
        </is>
      </c>
      <c r="BG72" s="74" t="inlineStr">
        <is>
          <t>junior_pl</t>
        </is>
      </c>
      <c r="BH72" s="74" t="inlineStr">
        <is>
          <t>741139</t>
        </is>
      </c>
      <c r="BI72" s="74" t="inlineStr">
        <is>
          <t>2024-09-17</t>
        </is>
      </c>
      <c r="BJ72" s="74" t="inlineStr">
        <is>
          <t>81</t>
        </is>
      </c>
      <c r="BK72" s="74" t="inlineStr">
        <is>
          <t>https://fnet.bmfbovespa.com.br/fnet/publico/downloadDocumento?id=741139</t>
        </is>
      </c>
      <c r="BL72" s="74" t="inlineStr">
        <is>
          <t>payload_documental</t>
        </is>
      </c>
    </row>
    <row r="73" ht="42" customHeight="1">
      <c r="A73" s="145" t="n">
        <v>69</v>
      </c>
      <c r="B73" s="142" t="n">
        <v>47936340000192</v>
      </c>
      <c r="C73" s="75" t="inlineStr">
        <is>
          <t>47.936.340/0001-92</t>
        </is>
      </c>
      <c r="D73" s="75" t="inlineStr">
        <is>
          <t>FUNDO DE INVESTIMENTO NAS CADEIAS PRODUTIVAS AGROINDUSTRIAIS OPEA AGRO INSUMOS RESPONSABILIDADE LIMI</t>
        </is>
      </c>
      <c r="E73" s="75" t="inlineStr">
        <is>
          <t>concluído</t>
        </is>
      </c>
      <c r="F73" s="145" t="n">
        <v>9</v>
      </c>
      <c r="G73" s="75" t="inlineStr">
        <is>
          <t>consultado</t>
        </is>
      </c>
      <c r="H73" s="75" t="inlineStr">
        <is>
          <t>N/D</t>
        </is>
      </c>
      <c r="I73" s="75" t="inlineStr">
        <is>
          <t>N/D</t>
        </is>
      </c>
      <c r="J73" s="75" t="inlineStr">
        <is>
          <t>não encontrado</t>
        </is>
      </c>
      <c r="K73" s="75" t="inlineStr">
        <is>
          <t>N/D</t>
        </is>
      </c>
      <c r="L73" s="75" t="inlineStr">
        <is>
          <t>N/D</t>
        </is>
      </c>
      <c r="M73" s="75" t="inlineStr">
        <is>
          <t>N/D</t>
        </is>
      </c>
      <c r="N73" s="75" t="inlineStr">
        <is>
          <t>N/D</t>
        </is>
      </c>
      <c r="O73" s="75" t="inlineStr">
        <is>
          <t>N/D</t>
        </is>
      </c>
      <c r="P73" s="75" t="inlineStr">
        <is>
          <t>N/D</t>
        </is>
      </c>
      <c r="Q73" s="75" t="inlineStr">
        <is>
          <t>BASF</t>
        </is>
      </c>
      <c r="R73" s="75" t="inlineStr">
        <is>
          <t>aceito_payload</t>
        </is>
      </c>
      <c r="S73" s="75" t="inlineStr">
        <is>
          <t>N/D</t>
        </is>
      </c>
      <c r="T73" s="75" t="inlineStr">
        <is>
          <t>IMG_8706.JPG</t>
        </is>
      </c>
      <c r="U73" s="75" t="inlineStr">
        <is>
          <t>2025-03-11</t>
        </is>
      </c>
      <c r="V73" s="75" t="inlineStr">
        <is>
          <t>4</t>
        </is>
      </c>
      <c r="W73" s="75" t="inlineStr">
        <is>
          <t>N/D</t>
        </is>
      </c>
      <c r="X73" s="75" t="inlineStr">
        <is>
          <t>planilha_manual</t>
        </is>
      </c>
      <c r="Y73" s="75" t="inlineStr">
        <is>
          <t>N/D</t>
        </is>
      </c>
      <c r="Z73" s="75" t="inlineStr">
        <is>
          <t>não encontrado</t>
        </is>
      </c>
      <c r="AA73" s="75" t="inlineStr">
        <is>
          <t>N/D</t>
        </is>
      </c>
      <c r="AB73" s="75" t="inlineStr">
        <is>
          <t>N/D</t>
        </is>
      </c>
      <c r="AC73" s="75" t="inlineStr">
        <is>
          <t>N/D</t>
        </is>
      </c>
      <c r="AD73" s="75" t="inlineStr">
        <is>
          <t>N/D</t>
        </is>
      </c>
      <c r="AE73" s="75" t="inlineStr">
        <is>
          <t>N/D</t>
        </is>
      </c>
      <c r="AF73" s="75" t="inlineStr">
        <is>
          <t>N/D</t>
        </is>
      </c>
      <c r="AG73" s="75" t="inlineStr">
        <is>
          <t>Insumos Agrícolas - prazo Safra</t>
        </is>
      </c>
      <c r="AH73" s="75" t="inlineStr">
        <is>
          <t>aceito_payload</t>
        </is>
      </c>
      <c r="AI73" s="75" t="inlineStr">
        <is>
          <t>N/D</t>
        </is>
      </c>
      <c r="AJ73" s="75" t="inlineStr">
        <is>
          <t>IMG_8706.JPG</t>
        </is>
      </c>
      <c r="AK73" s="75" t="inlineStr">
        <is>
          <t>2025-03-11</t>
        </is>
      </c>
      <c r="AL73" s="75" t="inlineStr">
        <is>
          <t>4</t>
        </is>
      </c>
      <c r="AM73" s="75" t="inlineStr">
        <is>
          <t>N/D</t>
        </is>
      </c>
      <c r="AN73" s="75" t="inlineStr">
        <is>
          <t>planilha_manual</t>
        </is>
      </c>
      <c r="AO73" s="75" t="inlineStr">
        <is>
          <t>N/D</t>
        </is>
      </c>
      <c r="AP73" s="75" t="inlineStr">
        <is>
          <t>não encontrado</t>
        </is>
      </c>
      <c r="AQ73" s="75" t="inlineStr">
        <is>
          <t>N/D</t>
        </is>
      </c>
      <c r="AR73" s="75" t="inlineStr">
        <is>
          <t>N/D</t>
        </is>
      </c>
      <c r="AS73" s="75" t="inlineStr">
        <is>
          <t>N/D</t>
        </is>
      </c>
      <c r="AT73" s="75" t="inlineStr">
        <is>
          <t>N/D</t>
        </is>
      </c>
      <c r="AU73" s="75" t="inlineStr">
        <is>
          <t>N/D</t>
        </is>
      </c>
      <c r="AV73" s="75" t="inlineStr">
        <is>
          <t>N/D</t>
        </is>
      </c>
      <c r="AW73" s="75" t="inlineStr">
        <is>
          <t>25%</t>
        </is>
      </c>
      <c r="AX73" s="75" t="inlineStr">
        <is>
          <t>aceito_payload</t>
        </is>
      </c>
      <c r="AY73" s="75" t="inlineStr">
        <is>
          <t>suporte_total_pl</t>
        </is>
      </c>
      <c r="AZ73" s="75" t="inlineStr">
        <is>
          <t>801978</t>
        </is>
      </c>
      <c r="BA73" s="75" t="inlineStr">
        <is>
          <t>2025-03-11</t>
        </is>
      </c>
      <c r="BB73" s="75" t="inlineStr">
        <is>
          <t>4</t>
        </is>
      </c>
      <c r="BC73" s="75" t="inlineStr">
        <is>
          <t>https://fnet.bmfbovespa.com.br/fnet/publico/downloadDocumento?id=801978</t>
        </is>
      </c>
      <c r="BD73" s="75" t="inlineStr">
        <is>
          <t>payload_documental</t>
        </is>
      </c>
      <c r="BE73" s="75" t="inlineStr">
        <is>
          <t>suporte_total_pl</t>
        </is>
      </c>
      <c r="BF73" s="75" t="inlineStr">
        <is>
          <t>aceito_payload</t>
        </is>
      </c>
      <c r="BG73" s="75" t="inlineStr">
        <is>
          <t>suporte_total_pl</t>
        </is>
      </c>
      <c r="BH73" s="75" t="inlineStr">
        <is>
          <t>801978</t>
        </is>
      </c>
      <c r="BI73" s="75" t="inlineStr">
        <is>
          <t>2025-03-11</t>
        </is>
      </c>
      <c r="BJ73" s="75" t="inlineStr">
        <is>
          <t>4</t>
        </is>
      </c>
      <c r="BK73" s="75" t="inlineStr">
        <is>
          <t>https://fnet.bmfbovespa.com.br/fnet/publico/downloadDocumento?id=801978</t>
        </is>
      </c>
      <c r="BL73" s="75" t="inlineStr">
        <is>
          <t>payload_documental</t>
        </is>
      </c>
    </row>
    <row r="74" ht="42" customHeight="1">
      <c r="A74" s="141" t="n">
        <v>70</v>
      </c>
      <c r="B74" s="138" t="n">
        <v>58291962000127</v>
      </c>
      <c r="C74" s="74" t="inlineStr">
        <is>
          <t>58.291.962/0001-27</t>
        </is>
      </c>
      <c r="D74" s="74" t="inlineStr">
        <is>
          <t>HELM FUNDO DE INVESTIMENTO NAS CADEIAS PRODUTIVAS DO AGRONEGÓCIO - RESPONSABILIDADE LIMITADA</t>
        </is>
      </c>
      <c r="E74" s="74" t="inlineStr">
        <is>
          <t>concluído</t>
        </is>
      </c>
      <c r="F74" s="141" t="n">
        <v>7</v>
      </c>
      <c r="G74" s="74" t="inlineStr">
        <is>
          <t>consultado</t>
        </is>
      </c>
      <c r="H74" s="74" t="inlineStr">
        <is>
          <t>N/D</t>
        </is>
      </c>
      <c r="I74" s="74" t="inlineStr">
        <is>
          <t>N/D</t>
        </is>
      </c>
      <c r="J74" s="74" t="inlineStr">
        <is>
          <t>não encontrado</t>
        </is>
      </c>
      <c r="K74" s="74" t="inlineStr">
        <is>
          <t>N/D</t>
        </is>
      </c>
      <c r="L74" s="74" t="inlineStr">
        <is>
          <t>N/D</t>
        </is>
      </c>
      <c r="M74" s="74" t="inlineStr">
        <is>
          <t>N/D</t>
        </is>
      </c>
      <c r="N74" s="74" t="inlineStr">
        <is>
          <t>N/D</t>
        </is>
      </c>
      <c r="O74" s="74" t="inlineStr">
        <is>
          <t>N/D</t>
        </is>
      </c>
      <c r="P74" s="74" t="inlineStr">
        <is>
          <t>N/D</t>
        </is>
      </c>
      <c r="Q74" s="74" t="inlineStr">
        <is>
          <t>a HELM DO BRASIL MERCANTIL LTDA. , sociedade empresária de responsabilidade limitada, com sede na</t>
        </is>
      </c>
      <c r="R74" s="74" t="inlineStr">
        <is>
          <t>encontrado_explicito</t>
        </is>
      </c>
      <c r="S74" s="74" t="inlineStr">
        <is>
          <t>N/D</t>
        </is>
      </c>
      <c r="T74" s="74" t="inlineStr">
        <is>
          <t>957854</t>
        </is>
      </c>
      <c r="U74" s="74" t="inlineStr">
        <is>
          <t>2025-07-30</t>
        </is>
      </c>
      <c r="V74" s="74" t="inlineStr">
        <is>
          <t>45</t>
        </is>
      </c>
      <c r="W74" s="74" t="inlineStr">
        <is>
          <t>https://fnet.bmfbovespa.com.br/fnet/publico/downloadDocumento?id=957854</t>
        </is>
      </c>
      <c r="X74" s="74" t="inlineStr">
        <is>
          <t>regulamento</t>
        </is>
      </c>
      <c r="Y74" s="74" t="inlineStr">
        <is>
          <t>qualquer cliente da Cedente cujos Direitos Creditórios venham a ser cedidos ao Fundo, observadas as características e condições descritas neste Anexo Descritivo , e que estejam de acordo com a Política de Crédito e Originação</t>
        </is>
      </c>
      <c r="Z74" s="74" t="inlineStr">
        <is>
          <t>encontrado_explicito</t>
        </is>
      </c>
      <c r="AA74" s="74" t="inlineStr">
        <is>
          <t>N/D</t>
        </is>
      </c>
      <c r="AB74" s="74" t="inlineStr">
        <is>
          <t>957854</t>
        </is>
      </c>
      <c r="AC74" s="74" t="inlineStr">
        <is>
          <t>2025-07-30</t>
        </is>
      </c>
      <c r="AD74" s="74" t="inlineStr">
        <is>
          <t>50</t>
        </is>
      </c>
      <c r="AE74" s="74" t="inlineStr">
        <is>
          <t>https://fnet.bmfbovespa.com.br/fnet/publico/downloadDocumento?id=957854</t>
        </is>
      </c>
      <c r="AF74" s="74" t="inlineStr">
        <is>
          <t>regulamento</t>
        </is>
      </c>
      <c r="AG74" s="74" t="inlineStr">
        <is>
          <t>os direitos creditórios cedidos pela Cedente , representados pelos Documentos Comprobatórios, detidos pela Cedente contra os Devedores</t>
        </is>
      </c>
      <c r="AH74" s="74" t="inlineStr">
        <is>
          <t>encontrado_explicito</t>
        </is>
      </c>
      <c r="AI74" s="74" t="inlineStr">
        <is>
          <t>N/D</t>
        </is>
      </c>
      <c r="AJ74" s="74" t="inlineStr">
        <is>
          <t>957854</t>
        </is>
      </c>
      <c r="AK74" s="74" t="inlineStr">
        <is>
          <t>2025-07-30</t>
        </is>
      </c>
      <c r="AL74" s="74" t="inlineStr">
        <is>
          <t>51</t>
        </is>
      </c>
      <c r="AM74" s="74" t="inlineStr">
        <is>
          <t>https://fnet.bmfbovespa.com.br/fnet/publico/downloadDocumento?id=957854</t>
        </is>
      </c>
      <c r="AN74" s="74" t="inlineStr">
        <is>
          <t>regulamento</t>
        </is>
      </c>
      <c r="AO74" s="74" t="inlineStr">
        <is>
          <t>N/D</t>
        </is>
      </c>
      <c r="AP74" s="74" t="inlineStr">
        <is>
          <t>não encontrado</t>
        </is>
      </c>
      <c r="AQ74" s="74" t="inlineStr">
        <is>
          <t>N/D</t>
        </is>
      </c>
      <c r="AR74" s="74" t="inlineStr">
        <is>
          <t>N/D</t>
        </is>
      </c>
      <c r="AS74" s="74" t="inlineStr">
        <is>
          <t>N/D</t>
        </is>
      </c>
      <c r="AT74" s="74" t="inlineStr">
        <is>
          <t>N/D</t>
        </is>
      </c>
      <c r="AU74" s="74" t="inlineStr">
        <is>
          <t>N/D</t>
        </is>
      </c>
      <c r="AV74" s="74" t="inlineStr">
        <is>
          <t>N/D</t>
        </is>
      </c>
      <c r="AW74" s="74" t="inlineStr">
        <is>
          <t>20%</t>
        </is>
      </c>
      <c r="AX74" s="74" t="inlineStr">
        <is>
          <t>aceito_payload</t>
        </is>
      </c>
      <c r="AY74" s="74" t="inlineStr">
        <is>
          <t>suporte_total_pl</t>
        </is>
      </c>
      <c r="AZ74" s="74" t="inlineStr">
        <is>
          <t>957854</t>
        </is>
      </c>
      <c r="BA74" s="74" t="inlineStr">
        <is>
          <t>2025-07-30</t>
        </is>
      </c>
      <c r="BB74" s="74" t="inlineStr">
        <is>
          <t>99–100</t>
        </is>
      </c>
      <c r="BC74" s="74" t="inlineStr">
        <is>
          <t>https://fnet.bmfbovespa.com.br/fnet/publico/downloadDocumento?id=957854</t>
        </is>
      </c>
      <c r="BD74" s="74" t="inlineStr">
        <is>
          <t>payload_documental</t>
        </is>
      </c>
      <c r="BE74" s="74" t="inlineStr">
        <is>
          <t>suporte_total_pl</t>
        </is>
      </c>
      <c r="BF74" s="74" t="inlineStr">
        <is>
          <t>aceito_payload</t>
        </is>
      </c>
      <c r="BG74" s="74" t="inlineStr">
        <is>
          <t>suporte_total_pl</t>
        </is>
      </c>
      <c r="BH74" s="74" t="inlineStr">
        <is>
          <t>957854</t>
        </is>
      </c>
      <c r="BI74" s="74" t="inlineStr">
        <is>
          <t>2025-07-30</t>
        </is>
      </c>
      <c r="BJ74" s="74" t="inlineStr">
        <is>
          <t>99–100</t>
        </is>
      </c>
      <c r="BK74" s="74" t="inlineStr">
        <is>
          <t>https://fnet.bmfbovespa.com.br/fnet/publico/downloadDocumento?id=957854</t>
        </is>
      </c>
      <c r="BL74" s="74" t="inlineStr">
        <is>
          <t>payload_documental</t>
        </is>
      </c>
    </row>
    <row r="75" ht="42" customHeight="1">
      <c r="A75" s="145" t="n">
        <v>71</v>
      </c>
      <c r="B75" s="142" t="n">
        <v>57259989000170</v>
      </c>
      <c r="C75" s="75" t="inlineStr">
        <is>
          <t>57.259.989/0001-70</t>
        </is>
      </c>
      <c r="D75" s="75" t="inlineStr">
        <is>
          <t>TRÊS TENTOS FIAGRO RESPONSABILIDADE LIMITADA</t>
        </is>
      </c>
      <c r="E75" s="75" t="inlineStr">
        <is>
          <t>concluído</t>
        </is>
      </c>
      <c r="F75" s="145" t="n">
        <v>7</v>
      </c>
      <c r="G75" s="75" t="inlineStr">
        <is>
          <t>consultado</t>
        </is>
      </c>
      <c r="H75" s="75" t="inlineStr">
        <is>
          <t>N/D</t>
        </is>
      </c>
      <c r="I75" s="75" t="inlineStr">
        <is>
          <t>N/D</t>
        </is>
      </c>
      <c r="J75" s="75" t="inlineStr">
        <is>
          <t>não encontrado</t>
        </is>
      </c>
      <c r="K75" s="75" t="inlineStr">
        <is>
          <t>N/D</t>
        </is>
      </c>
      <c r="L75" s="75" t="inlineStr">
        <is>
          <t>N/D</t>
        </is>
      </c>
      <c r="M75" s="75" t="inlineStr">
        <is>
          <t>N/D</t>
        </is>
      </c>
      <c r="N75" s="75" t="inlineStr">
        <is>
          <t>N/D</t>
        </is>
      </c>
      <c r="O75" s="75" t="inlineStr">
        <is>
          <t>N/D</t>
        </is>
      </c>
      <c r="P75" s="75" t="inlineStr">
        <is>
          <t>N/D</t>
        </is>
      </c>
      <c r="Q75" s="75" t="inlineStr">
        <is>
          <t>Tres Tentos</t>
        </is>
      </c>
      <c r="R75" s="75" t="inlineStr">
        <is>
          <t>aceito_payload</t>
        </is>
      </c>
      <c r="S75" s="75" t="inlineStr">
        <is>
          <t>N/D</t>
        </is>
      </c>
      <c r="T75" s="75" t="inlineStr">
        <is>
          <t>IMG_8706.JPG</t>
        </is>
      </c>
      <c r="U75" s="75" t="inlineStr">
        <is>
          <t>2025-10-16</t>
        </is>
      </c>
      <c r="V75" s="75" t="inlineStr">
        <is>
          <t>104</t>
        </is>
      </c>
      <c r="W75" s="75" t="inlineStr">
        <is>
          <t>N/D</t>
        </is>
      </c>
      <c r="X75" s="75" t="inlineStr">
        <is>
          <t>planilha_manual</t>
        </is>
      </c>
      <c r="Y75" s="75" t="inlineStr">
        <is>
          <t>qualquer cliente das Cedentes, atuantes no segmento</t>
        </is>
      </c>
      <c r="Z75" s="75" t="inlineStr">
        <is>
          <t>encontrado_explicito</t>
        </is>
      </c>
      <c r="AA75" s="75" t="inlineStr">
        <is>
          <t>N/D</t>
        </is>
      </c>
      <c r="AB75" s="75" t="inlineStr">
        <is>
          <t>1016583</t>
        </is>
      </c>
      <c r="AC75" s="75" t="inlineStr">
        <is>
          <t>2025-10-16</t>
        </is>
      </c>
      <c r="AD75" s="75" t="inlineStr">
        <is>
          <t>55</t>
        </is>
      </c>
      <c r="AE75" s="75" t="inlineStr">
        <is>
          <t>https://fnet.bmfbovespa.com.br/fnet/publico/downloadDocumento?id=1016583</t>
        </is>
      </c>
      <c r="AF75" s="75" t="inlineStr">
        <is>
          <t>regulamento</t>
        </is>
      </c>
      <c r="AG75" s="75" t="inlineStr">
        <is>
          <t>os direitos creditórios originados pelas Cedentes, representados pelos Documentos Comprobatórios, detidos pelas Cedentes contra os Devedores, os quais incluem os Direitos Creditórios CPR</t>
        </is>
      </c>
      <c r="AH75" s="75" t="inlineStr">
        <is>
          <t>encontrado_explicito</t>
        </is>
      </c>
      <c r="AI75" s="75" t="inlineStr">
        <is>
          <t>N/D</t>
        </is>
      </c>
      <c r="AJ75" s="75" t="inlineStr">
        <is>
          <t>1016583</t>
        </is>
      </c>
      <c r="AK75" s="75" t="inlineStr">
        <is>
          <t>2025-10-16</t>
        </is>
      </c>
      <c r="AL75" s="75" t="inlineStr">
        <is>
          <t>56</t>
        </is>
      </c>
      <c r="AM75" s="75" t="inlineStr">
        <is>
          <t>https://fnet.bmfbovespa.com.br/fnet/publico/downloadDocumento?id=1016583</t>
        </is>
      </c>
      <c r="AN75" s="75" t="inlineStr">
        <is>
          <t>regulamento</t>
        </is>
      </c>
      <c r="AO75" s="75" t="inlineStr">
        <is>
          <t>N/D</t>
        </is>
      </c>
      <c r="AP75" s="75" t="inlineStr">
        <is>
          <t>não encontrado</t>
        </is>
      </c>
      <c r="AQ75" s="75" t="inlineStr">
        <is>
          <t>N/D</t>
        </is>
      </c>
      <c r="AR75" s="75" t="inlineStr">
        <is>
          <t>N/D</t>
        </is>
      </c>
      <c r="AS75" s="75" t="inlineStr">
        <is>
          <t>N/D</t>
        </is>
      </c>
      <c r="AT75" s="75" t="inlineStr">
        <is>
          <t>N/D</t>
        </is>
      </c>
      <c r="AU75" s="75" t="inlineStr">
        <is>
          <t>N/D</t>
        </is>
      </c>
      <c r="AV75" s="75" t="inlineStr">
        <is>
          <t>N/D</t>
        </is>
      </c>
      <c r="AW75" s="75" t="inlineStr">
        <is>
          <t>20%</t>
        </is>
      </c>
      <c r="AX75" s="75" t="inlineStr">
        <is>
          <t>aceito_payload</t>
        </is>
      </c>
      <c r="AY75" s="75" t="inlineStr">
        <is>
          <t>suporte_total_pl</t>
        </is>
      </c>
      <c r="AZ75" s="75" t="inlineStr">
        <is>
          <t>1016583</t>
        </is>
      </c>
      <c r="BA75" s="75" t="inlineStr">
        <is>
          <t>2025-10-16</t>
        </is>
      </c>
      <c r="BB75" s="75" t="inlineStr">
        <is>
          <t>104</t>
        </is>
      </c>
      <c r="BC75" s="75" t="inlineStr">
        <is>
          <t>https://fnet.bmfbovespa.com.br/fnet/publico/downloadDocumento?id=1016583</t>
        </is>
      </c>
      <c r="BD75" s="75" t="inlineStr">
        <is>
          <t>payload_documental</t>
        </is>
      </c>
      <c r="BE75" s="75" t="inlineStr">
        <is>
          <t>suporte_total_pl</t>
        </is>
      </c>
      <c r="BF75" s="75" t="inlineStr">
        <is>
          <t>aceito_payload</t>
        </is>
      </c>
      <c r="BG75" s="75" t="inlineStr">
        <is>
          <t>suporte_total_pl</t>
        </is>
      </c>
      <c r="BH75" s="75" t="inlineStr">
        <is>
          <t>1016583</t>
        </is>
      </c>
      <c r="BI75" s="75" t="inlineStr">
        <is>
          <t>2025-10-16</t>
        </is>
      </c>
      <c r="BJ75" s="75" t="inlineStr">
        <is>
          <t>104</t>
        </is>
      </c>
      <c r="BK75" s="75" t="inlineStr">
        <is>
          <t>https://fnet.bmfbovespa.com.br/fnet/publico/downloadDocumento?id=1016583</t>
        </is>
      </c>
      <c r="BL75" s="75" t="inlineStr">
        <is>
          <t>payload_documental</t>
        </is>
      </c>
    </row>
    <row r="76" ht="42" customHeight="1">
      <c r="A76" s="141" t="n">
        <v>72</v>
      </c>
      <c r="B76" s="138" t="n">
        <v>58171340000165</v>
      </c>
      <c r="C76" s="74" t="inlineStr">
        <is>
          <t>58.171.340/0001-65</t>
        </is>
      </c>
      <c r="D76" s="74" t="inlineStr">
        <is>
          <t>FRIMESA FUNDO DE INVESTIMENTO EM DIREITOS CREDITÓRIOS DE RESPONSABILIDADE LIMITADA</t>
        </is>
      </c>
      <c r="E76" s="74" t="inlineStr">
        <is>
          <t>concluído</t>
        </is>
      </c>
      <c r="F76" s="141" t="n">
        <v>7</v>
      </c>
      <c r="G76" s="74" t="inlineStr">
        <is>
          <t>consultado</t>
        </is>
      </c>
      <c r="H76" s="74" t="inlineStr">
        <is>
          <t>N/D</t>
        </is>
      </c>
      <c r="I76" s="74" t="inlineStr">
        <is>
          <t>N/D</t>
        </is>
      </c>
      <c r="J76" s="74" t="inlineStr">
        <is>
          <t>não encontrado</t>
        </is>
      </c>
      <c r="K76" s="74" t="inlineStr">
        <is>
          <t>N/D</t>
        </is>
      </c>
      <c r="L76" s="74" t="inlineStr">
        <is>
          <t>N/D</t>
        </is>
      </c>
      <c r="M76" s="74" t="inlineStr">
        <is>
          <t>N/D</t>
        </is>
      </c>
      <c r="N76" s="74" t="inlineStr">
        <is>
          <t>N/D</t>
        </is>
      </c>
      <c r="O76" s="74" t="inlineStr">
        <is>
          <t>N/D</t>
        </is>
      </c>
      <c r="P76" s="74" t="inlineStr">
        <is>
          <t>N/D</t>
        </is>
      </c>
      <c r="Q76" s="74" t="inlineStr">
        <is>
          <t>a FRIMESA COOPERATIVA CENTRAL, com sede na cidade de Medianeira, Estado do Paraná, na Rua Bahia, nº 159, CEP 85723-006, inscrita no CNPJ sob o nº 77.595.395/0001-47, inclusive por meio de suas filiais</t>
        </is>
      </c>
      <c r="R76" s="74" t="inlineStr">
        <is>
          <t>encontrado_explicito</t>
        </is>
      </c>
      <c r="S76" s="74" t="inlineStr">
        <is>
          <t>N/D</t>
        </is>
      </c>
      <c r="T76" s="74" t="inlineStr">
        <is>
          <t>861191</t>
        </is>
      </c>
      <c r="U76" s="74" t="inlineStr">
        <is>
          <t>2025-03-13</t>
        </is>
      </c>
      <c r="V76" s="74" t="inlineStr">
        <is>
          <t>42</t>
        </is>
      </c>
      <c r="W76" s="74" t="inlineStr">
        <is>
          <t>https://fnet.bmfbovespa.com.br/fnet/publico/downloadDocumento?id=861191</t>
        </is>
      </c>
      <c r="X76" s="74" t="inlineStr">
        <is>
          <t>regulamento</t>
        </is>
      </c>
      <c r="Y76" s="74" t="inlineStr">
        <is>
          <t>N/D</t>
        </is>
      </c>
      <c r="Z76" s="74" t="inlineStr">
        <is>
          <t>não encontrado</t>
        </is>
      </c>
      <c r="AA76" s="74" t="inlineStr">
        <is>
          <t>N/D</t>
        </is>
      </c>
      <c r="AB76" s="74" t="inlineStr">
        <is>
          <t>N/D</t>
        </is>
      </c>
      <c r="AC76" s="74" t="inlineStr">
        <is>
          <t>N/D</t>
        </is>
      </c>
      <c r="AD76" s="74" t="inlineStr">
        <is>
          <t>N/D</t>
        </is>
      </c>
      <c r="AE76" s="74" t="inlineStr">
        <is>
          <t>N/D</t>
        </is>
      </c>
      <c r="AF76" s="74" t="inlineStr">
        <is>
          <t>N/D</t>
        </is>
      </c>
      <c r="AG76" s="74" t="inlineStr">
        <is>
          <t>recebíveis supermercados</t>
        </is>
      </c>
      <c r="AH76" s="74" t="inlineStr">
        <is>
          <t>aceito_payload</t>
        </is>
      </c>
      <c r="AI76" s="74" t="inlineStr">
        <is>
          <t>N/D</t>
        </is>
      </c>
      <c r="AJ76" s="74" t="inlineStr">
        <is>
          <t>IMG_8706.JPG</t>
        </is>
      </c>
      <c r="AK76" s="74" t="inlineStr">
        <is>
          <t>2025-03-13</t>
        </is>
      </c>
      <c r="AL76" s="74" t="inlineStr">
        <is>
          <t>51</t>
        </is>
      </c>
      <c r="AM76" s="74" t="inlineStr">
        <is>
          <t>N/D</t>
        </is>
      </c>
      <c r="AN76" s="74" t="inlineStr">
        <is>
          <t>planilha_manual</t>
        </is>
      </c>
      <c r="AO76" s="74" t="inlineStr">
        <is>
          <t>1%</t>
        </is>
      </c>
      <c r="AP76" s="74" t="inlineStr">
        <is>
          <t>aceito_payload</t>
        </is>
      </c>
      <c r="AQ76" s="74" t="inlineStr">
        <is>
          <t>junior_pl</t>
        </is>
      </c>
      <c r="AR76" s="74" t="inlineStr">
        <is>
          <t>861191</t>
        </is>
      </c>
      <c r="AS76" s="74" t="inlineStr">
        <is>
          <t>2025-03-13</t>
        </is>
      </c>
      <c r="AT76" s="74" t="inlineStr">
        <is>
          <t>51</t>
        </is>
      </c>
      <c r="AU76" s="74" t="inlineStr">
        <is>
          <t>https://fnet.bmfbovespa.com.br/fnet/publico/downloadDocumento?id=861191</t>
        </is>
      </c>
      <c r="AV76" s="74" t="inlineStr">
        <is>
          <t>payload_documental</t>
        </is>
      </c>
      <c r="AW76" s="74" t="inlineStr">
        <is>
          <t>N/D</t>
        </is>
      </c>
      <c r="AX76" s="74" t="inlineStr">
        <is>
          <t>não encontrado</t>
        </is>
      </c>
      <c r="AY76" s="74" t="inlineStr">
        <is>
          <t>N/D</t>
        </is>
      </c>
      <c r="AZ76" s="74" t="inlineStr">
        <is>
          <t>N/D</t>
        </is>
      </c>
      <c r="BA76" s="74" t="inlineStr">
        <is>
          <t>N/D</t>
        </is>
      </c>
      <c r="BB76" s="74" t="inlineStr">
        <is>
          <t>N/D</t>
        </is>
      </c>
      <c r="BC76" s="74" t="inlineStr">
        <is>
          <t>N/D</t>
        </is>
      </c>
      <c r="BD76" s="74" t="inlineStr">
        <is>
          <t>N/D</t>
        </is>
      </c>
      <c r="BE76" s="74" t="inlineStr">
        <is>
          <t>junior_pl</t>
        </is>
      </c>
      <c r="BF76" s="74" t="inlineStr">
        <is>
          <t>aceito_payload</t>
        </is>
      </c>
      <c r="BG76" s="74" t="inlineStr">
        <is>
          <t>junior_pl</t>
        </is>
      </c>
      <c r="BH76" s="74" t="inlineStr">
        <is>
          <t>861191</t>
        </is>
      </c>
      <c r="BI76" s="74" t="inlineStr">
        <is>
          <t>2025-03-13</t>
        </is>
      </c>
      <c r="BJ76" s="74" t="inlineStr">
        <is>
          <t>51</t>
        </is>
      </c>
      <c r="BK76" s="74" t="inlineStr">
        <is>
          <t>https://fnet.bmfbovespa.com.br/fnet/publico/downloadDocumento?id=861191</t>
        </is>
      </c>
      <c r="BL76" s="74" t="inlineStr">
        <is>
          <t>payload_documental</t>
        </is>
      </c>
    </row>
    <row r="77" ht="42" customHeight="1">
      <c r="A77" s="145" t="n">
        <v>73</v>
      </c>
      <c r="B77" s="142" t="n">
        <v>51554551000138</v>
      </c>
      <c r="C77" s="75" t="inlineStr">
        <is>
          <t>51.554.551/0001-38</t>
        </is>
      </c>
      <c r="D77" s="75" t="inlineStr">
        <is>
          <t>CLASSE ÚNICA DO FIDC CRÉDITO NITRO AGRO - RESPONSABILIDADE LIMITADA</t>
        </is>
      </c>
      <c r="E77" s="75" t="inlineStr">
        <is>
          <t>concluído</t>
        </is>
      </c>
      <c r="F77" s="145" t="n">
        <v>8</v>
      </c>
      <c r="G77" s="75" t="inlineStr">
        <is>
          <t>consultado</t>
        </is>
      </c>
      <c r="H77" s="75" t="inlineStr">
        <is>
          <t>N/D</t>
        </is>
      </c>
      <c r="I77" s="75" t="inlineStr">
        <is>
          <t>N/D</t>
        </is>
      </c>
      <c r="J77" s="75" t="inlineStr">
        <is>
          <t>não encontrado</t>
        </is>
      </c>
      <c r="K77" s="75" t="inlineStr">
        <is>
          <t>N/D</t>
        </is>
      </c>
      <c r="L77" s="75" t="inlineStr">
        <is>
          <t>N/D</t>
        </is>
      </c>
      <c r="M77" s="75" t="inlineStr">
        <is>
          <t>N/D</t>
        </is>
      </c>
      <c r="N77" s="75" t="inlineStr">
        <is>
          <t>N/D</t>
        </is>
      </c>
      <c r="O77" s="75" t="inlineStr">
        <is>
          <t>N/D</t>
        </is>
      </c>
      <c r="P77" s="75" t="inlineStr">
        <is>
          <t>N/D</t>
        </is>
      </c>
      <c r="Q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R77" s="75" t="inlineStr">
        <is>
          <t>encontrado_explicito</t>
        </is>
      </c>
      <c r="S77" s="75" t="inlineStr">
        <is>
          <t>N/D</t>
        </is>
      </c>
      <c r="T77" s="75" t="inlineStr">
        <is>
          <t>1261911</t>
        </is>
      </c>
      <c r="U77" s="75" t="inlineStr">
        <is>
          <t>18/06/2026</t>
        </is>
      </c>
      <c r="V77" s="75" t="inlineStr">
        <is>
          <t>63</t>
        </is>
      </c>
      <c r="W77" s="75" t="inlineStr">
        <is>
          <t>https://fnet.bmfbovespa.com.br/fnet/publico/downloadDocumento?id=1261911</t>
        </is>
      </c>
      <c r="X77" s="75" t="inlineStr">
        <is>
          <t>regulamento</t>
        </is>
      </c>
      <c r="Y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Z77" s="75" t="inlineStr">
        <is>
          <t>encontrado_explicito</t>
        </is>
      </c>
      <c r="AA77" s="75" t="inlineStr">
        <is>
          <t>N/D</t>
        </is>
      </c>
      <c r="AB77" s="75" t="inlineStr">
        <is>
          <t>1261911</t>
        </is>
      </c>
      <c r="AC77" s="75" t="inlineStr">
        <is>
          <t>18/06/2026</t>
        </is>
      </c>
      <c r="AD77" s="75" t="inlineStr">
        <is>
          <t>68</t>
        </is>
      </c>
      <c r="AE77" s="75" t="inlineStr">
        <is>
          <t>https://fnet.bmfbovespa.com.br/fnet/publico/downloadDocumento?id=1261911</t>
        </is>
      </c>
      <c r="AF77" s="75" t="inlineStr">
        <is>
          <t>regulamento</t>
        </is>
      </c>
      <c r="AG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AH77" s="75" t="inlineStr">
        <is>
          <t>encontrado_explicito</t>
        </is>
      </c>
      <c r="AI77" s="75" t="inlineStr">
        <is>
          <t>N/D</t>
        </is>
      </c>
      <c r="AJ77" s="75" t="inlineStr">
        <is>
          <t>1261911</t>
        </is>
      </c>
      <c r="AK77" s="75" t="inlineStr">
        <is>
          <t>18/06/2026</t>
        </is>
      </c>
      <c r="AL77" s="75" t="inlineStr">
        <is>
          <t>15</t>
        </is>
      </c>
      <c r="AM77" s="75" t="inlineStr">
        <is>
          <t>https://fnet.bmfbovespa.com.br/fnet/publico/downloadDocumento?id=1261911</t>
        </is>
      </c>
      <c r="AN77" s="75" t="inlineStr">
        <is>
          <t>regulamento</t>
        </is>
      </c>
      <c r="AO77" s="75" t="inlineStr">
        <is>
          <t>N/D</t>
        </is>
      </c>
      <c r="AP77" s="75" t="inlineStr">
        <is>
          <t>não encontrado</t>
        </is>
      </c>
      <c r="AQ77" s="75" t="inlineStr">
        <is>
          <t>N/D</t>
        </is>
      </c>
      <c r="AR77" s="75" t="inlineStr">
        <is>
          <t>N/D</t>
        </is>
      </c>
      <c r="AS77" s="75" t="inlineStr">
        <is>
          <t>N/D</t>
        </is>
      </c>
      <c r="AT77" s="75" t="inlineStr">
        <is>
          <t>N/D</t>
        </is>
      </c>
      <c r="AU77" s="75" t="inlineStr">
        <is>
          <t>N/D</t>
        </is>
      </c>
      <c r="AV77" s="75" t="inlineStr">
        <is>
          <t>N/D</t>
        </is>
      </c>
      <c r="AW77" s="75" t="inlineStr">
        <is>
          <t>25%</t>
        </is>
      </c>
      <c r="AX77" s="75" t="inlineStr">
        <is>
          <t>aceito_payload</t>
        </is>
      </c>
      <c r="AY77" s="75" t="inlineStr">
        <is>
          <t>suporte_combinado_pl</t>
        </is>
      </c>
      <c r="AZ77" s="75" t="inlineStr">
        <is>
          <t>1261911</t>
        </is>
      </c>
      <c r="BA77" s="75" t="inlineStr">
        <is>
          <t>2026-06-18</t>
        </is>
      </c>
      <c r="BB77" s="75" t="inlineStr">
        <is>
          <t>71</t>
        </is>
      </c>
      <c r="BC77" s="75" t="inlineStr">
        <is>
          <t>https://fnet.bmfbovespa.com.br/fnet/publico/downloadDocumento?id=1261911</t>
        </is>
      </c>
      <c r="BD77" s="75" t="inlineStr">
        <is>
          <t>payload_documental</t>
        </is>
      </c>
      <c r="BE77" s="75" t="inlineStr">
        <is>
          <t>suporte_combinado_pl</t>
        </is>
      </c>
      <c r="BF77" s="75" t="inlineStr">
        <is>
          <t>aceito_payload</t>
        </is>
      </c>
      <c r="BG77" s="75" t="inlineStr">
        <is>
          <t>suporte_combinado_pl</t>
        </is>
      </c>
      <c r="BH77" s="75" t="inlineStr">
        <is>
          <t>1261911</t>
        </is>
      </c>
      <c r="BI77" s="75" t="inlineStr">
        <is>
          <t>2026-06-18</t>
        </is>
      </c>
      <c r="BJ77" s="75" t="inlineStr">
        <is>
          <t>71</t>
        </is>
      </c>
      <c r="BK77" s="75" t="inlineStr">
        <is>
          <t>https://fnet.bmfbovespa.com.br/fnet/publico/downloadDocumento?id=1261911</t>
        </is>
      </c>
      <c r="BL77" s="75" t="inlineStr">
        <is>
          <t>payload_documental</t>
        </is>
      </c>
    </row>
    <row r="78" ht="42" customHeight="1">
      <c r="A78" s="141" t="n">
        <v>74</v>
      </c>
      <c r="B78" s="138" t="n">
        <v>57752597000148</v>
      </c>
      <c r="C78" s="74" t="inlineStr">
        <is>
          <t>57.752.597/0001-48</t>
        </is>
      </c>
      <c r="D78" s="74" t="inlineStr">
        <is>
          <t>AGROMERCANTIL CRÉDITO AGRO FUNDO DE INVESTIMENTO EM DIREITOS CREDITÓRIOS - RESPONSABILIDADE LIMITADA</t>
        </is>
      </c>
      <c r="E78" s="74" t="inlineStr">
        <is>
          <t>concluído</t>
        </is>
      </c>
      <c r="F78" s="141" t="n">
        <v>6</v>
      </c>
      <c r="G78" s="74" t="inlineStr">
        <is>
          <t>consultado</t>
        </is>
      </c>
      <c r="H78" s="74" t="inlineStr">
        <is>
          <t>N/D</t>
        </is>
      </c>
      <c r="I78" s="74" t="inlineStr">
        <is>
          <t>N/D</t>
        </is>
      </c>
      <c r="J78" s="74" t="inlineStr">
        <is>
          <t>não encontrado</t>
        </is>
      </c>
      <c r="K78" s="74" t="inlineStr">
        <is>
          <t>N/D</t>
        </is>
      </c>
      <c r="L78" s="74" t="inlineStr">
        <is>
          <t>N/D</t>
        </is>
      </c>
      <c r="M78" s="74" t="inlineStr">
        <is>
          <t>N/D</t>
        </is>
      </c>
      <c r="N78" s="74" t="inlineStr">
        <is>
          <t>N/D</t>
        </is>
      </c>
      <c r="O78" s="74" t="inlineStr">
        <is>
          <t>N/D</t>
        </is>
      </c>
      <c r="P78" s="74" t="inlineStr">
        <is>
          <t>N/D</t>
        </is>
      </c>
      <c r="Q78" s="74" t="inlineStr">
        <is>
          <t>AGROMERCANTIL</t>
        </is>
      </c>
      <c r="R78" s="74" t="inlineStr">
        <is>
          <t>aceito_payload</t>
        </is>
      </c>
      <c r="S78" s="74" t="inlineStr">
        <is>
          <t>N/D</t>
        </is>
      </c>
      <c r="T78" s="74" t="inlineStr">
        <is>
          <t>IMG_8706.JPG</t>
        </is>
      </c>
      <c r="U78" s="74" t="inlineStr">
        <is>
          <t>2026-05-21</t>
        </is>
      </c>
      <c r="V78" s="74" t="inlineStr">
        <is>
          <t>44</t>
        </is>
      </c>
      <c r="W78" s="74" t="inlineStr">
        <is>
          <t>N/D</t>
        </is>
      </c>
      <c r="X78" s="74" t="inlineStr">
        <is>
          <t>planilha_manual</t>
        </is>
      </c>
      <c r="Y78" s="74" t="inlineStr">
        <is>
          <t>N/D</t>
        </is>
      </c>
      <c r="Z78" s="74" t="inlineStr">
        <is>
          <t>não encontrado</t>
        </is>
      </c>
      <c r="AA78" s="74" t="inlineStr">
        <is>
          <t>N/D</t>
        </is>
      </c>
      <c r="AB78" s="74" t="inlineStr">
        <is>
          <t>N/D</t>
        </is>
      </c>
      <c r="AC78" s="74" t="inlineStr">
        <is>
          <t>N/D</t>
        </is>
      </c>
      <c r="AD78" s="74" t="inlineStr">
        <is>
          <t>N/D</t>
        </is>
      </c>
      <c r="AE78" s="74" t="inlineStr">
        <is>
          <t>N/D</t>
        </is>
      </c>
      <c r="AF78" s="74" t="inlineStr">
        <is>
          <t>N/D</t>
        </is>
      </c>
      <c r="AG78" s="74" t="inlineStr">
        <is>
          <t>Comercializadora de grãos</t>
        </is>
      </c>
      <c r="AH78" s="74" t="inlineStr">
        <is>
          <t>aceito_payload</t>
        </is>
      </c>
      <c r="AI78" s="74" t="inlineStr">
        <is>
          <t>N/D</t>
        </is>
      </c>
      <c r="AJ78" s="74" t="inlineStr">
        <is>
          <t>IMG_8706.JPG</t>
        </is>
      </c>
      <c r="AK78" s="74" t="inlineStr">
        <is>
          <t>2026-05-21</t>
        </is>
      </c>
      <c r="AL78" s="74" t="inlineStr">
        <is>
          <t>44</t>
        </is>
      </c>
      <c r="AM78" s="74" t="inlineStr">
        <is>
          <t>N/D</t>
        </is>
      </c>
      <c r="AN78" s="74" t="inlineStr">
        <is>
          <t>planilha_manual</t>
        </is>
      </c>
      <c r="AO78" s="74" t="inlineStr">
        <is>
          <t>30%</t>
        </is>
      </c>
      <c r="AP78" s="74" t="inlineStr">
        <is>
          <t>aceito_payload</t>
        </is>
      </c>
      <c r="AQ78" s="74" t="inlineStr">
        <is>
          <t>junior_pl</t>
        </is>
      </c>
      <c r="AR78" s="74" t="inlineStr">
        <is>
          <t>1200681</t>
        </is>
      </c>
      <c r="AS78" s="74" t="inlineStr">
        <is>
          <t>2026-05-21</t>
        </is>
      </c>
      <c r="AT78" s="74" t="inlineStr">
        <is>
          <t>44</t>
        </is>
      </c>
      <c r="AU78" s="74" t="inlineStr">
        <is>
          <t>https://fnet.bmfbovespa.com.br/fnet/publico/downloadDocumento?id=1200681</t>
        </is>
      </c>
      <c r="AV78" s="74" t="inlineStr">
        <is>
          <t>payload_documental</t>
        </is>
      </c>
      <c r="AW78" s="74" t="inlineStr">
        <is>
          <t>N/D</t>
        </is>
      </c>
      <c r="AX78" s="74" t="inlineStr">
        <is>
          <t>não encontrado</t>
        </is>
      </c>
      <c r="AY78" s="74" t="inlineStr">
        <is>
          <t>N/D</t>
        </is>
      </c>
      <c r="AZ78" s="74" t="inlineStr">
        <is>
          <t>N/D</t>
        </is>
      </c>
      <c r="BA78" s="74" t="inlineStr">
        <is>
          <t>N/D</t>
        </is>
      </c>
      <c r="BB78" s="74" t="inlineStr">
        <is>
          <t>N/D</t>
        </is>
      </c>
      <c r="BC78" s="74" t="inlineStr">
        <is>
          <t>N/D</t>
        </is>
      </c>
      <c r="BD78" s="74" t="inlineStr">
        <is>
          <t>N/D</t>
        </is>
      </c>
      <c r="BE78" s="74" t="inlineStr">
        <is>
          <t>junior_pl</t>
        </is>
      </c>
      <c r="BF78" s="74" t="inlineStr">
        <is>
          <t>aceito_payload</t>
        </is>
      </c>
      <c r="BG78" s="74" t="inlineStr">
        <is>
          <t>junior_pl</t>
        </is>
      </c>
      <c r="BH78" s="74" t="inlineStr">
        <is>
          <t>1200681</t>
        </is>
      </c>
      <c r="BI78" s="74" t="inlineStr">
        <is>
          <t>2026-05-21</t>
        </is>
      </c>
      <c r="BJ78" s="74" t="inlineStr">
        <is>
          <t>44</t>
        </is>
      </c>
      <c r="BK78" s="74" t="inlineStr">
        <is>
          <t>https://fnet.bmfbovespa.com.br/fnet/publico/downloadDocumento?id=1200681</t>
        </is>
      </c>
      <c r="BL78" s="74" t="inlineStr">
        <is>
          <t>payload_documental</t>
        </is>
      </c>
    </row>
    <row r="79" ht="42" customHeight="1">
      <c r="A79" s="145" t="n">
        <v>75</v>
      </c>
      <c r="B79" s="142" t="n">
        <v>47425750000179</v>
      </c>
      <c r="C79" s="75" t="inlineStr">
        <is>
          <t>47.425.750/0001-79</t>
        </is>
      </c>
      <c r="D79" s="75" t="inlineStr">
        <is>
          <t>CEREALIS FUNDO DE INVESTIMENTO EM DIREITOS CREDITÓRIOS</t>
        </is>
      </c>
      <c r="E79" s="75" t="inlineStr">
        <is>
          <t>concluído</t>
        </is>
      </c>
      <c r="F79" s="145" t="n">
        <v>9</v>
      </c>
      <c r="G79" s="75" t="inlineStr">
        <is>
          <t>consultado</t>
        </is>
      </c>
      <c r="H79" s="75" t="inlineStr">
        <is>
          <t>N/D</t>
        </is>
      </c>
      <c r="I79" s="75" t="inlineStr">
        <is>
          <t>N/D</t>
        </is>
      </c>
      <c r="J79" s="75" t="inlineStr">
        <is>
          <t>não encontrado</t>
        </is>
      </c>
      <c r="K79" s="75" t="inlineStr">
        <is>
          <t>N/D</t>
        </is>
      </c>
      <c r="L79" s="75" t="inlineStr">
        <is>
          <t>N/D</t>
        </is>
      </c>
      <c r="M79" s="75" t="inlineStr">
        <is>
          <t>N/D</t>
        </is>
      </c>
      <c r="N79" s="75" t="inlineStr">
        <is>
          <t>N/D</t>
        </is>
      </c>
      <c r="O79" s="75" t="inlineStr">
        <is>
          <t>N/D</t>
        </is>
      </c>
      <c r="P79" s="75" t="inlineStr">
        <is>
          <t>N/D</t>
        </is>
      </c>
      <c r="Q79" s="75" t="inlineStr">
        <is>
          <t>N/D</t>
        </is>
      </c>
      <c r="R79" s="75" t="inlineStr">
        <is>
          <t>não encontrado</t>
        </is>
      </c>
      <c r="S79" s="75" t="inlineStr">
        <is>
          <t>N/D</t>
        </is>
      </c>
      <c r="T79" s="75" t="inlineStr">
        <is>
          <t>N/D</t>
        </is>
      </c>
      <c r="U79" s="75" t="inlineStr">
        <is>
          <t>N/D</t>
        </is>
      </c>
      <c r="V79" s="75" t="inlineStr">
        <is>
          <t>N/D</t>
        </is>
      </c>
      <c r="W79" s="75" t="inlineStr">
        <is>
          <t>N/D</t>
        </is>
      </c>
      <c r="X79" s="75" t="inlineStr">
        <is>
          <t>N/D</t>
        </is>
      </c>
      <c r="Y79" s="75" t="inlineStr">
        <is>
          <t>N/D</t>
        </is>
      </c>
      <c r="Z79" s="75" t="inlineStr">
        <is>
          <t>não encontrado</t>
        </is>
      </c>
      <c r="AA79" s="75" t="inlineStr">
        <is>
          <t>N/D</t>
        </is>
      </c>
      <c r="AB79" s="75" t="inlineStr">
        <is>
          <t>N/D</t>
        </is>
      </c>
      <c r="AC79" s="75" t="inlineStr">
        <is>
          <t>N/D</t>
        </is>
      </c>
      <c r="AD79" s="75" t="inlineStr">
        <is>
          <t>N/D</t>
        </is>
      </c>
      <c r="AE79" s="75" t="inlineStr">
        <is>
          <t>N/D</t>
        </is>
      </c>
      <c r="AF79" s="75" t="inlineStr">
        <is>
          <t>N/D</t>
        </is>
      </c>
      <c r="AG79" s="75" t="inlineStr">
        <is>
          <t>N/D</t>
        </is>
      </c>
      <c r="AH79" s="75" t="inlineStr">
        <is>
          <t>não encontrado</t>
        </is>
      </c>
      <c r="AI79" s="75" t="inlineStr">
        <is>
          <t>N/D</t>
        </is>
      </c>
      <c r="AJ79" s="75" t="inlineStr">
        <is>
          <t>N/D</t>
        </is>
      </c>
      <c r="AK79" s="75" t="inlineStr">
        <is>
          <t>N/D</t>
        </is>
      </c>
      <c r="AL79" s="75" t="inlineStr">
        <is>
          <t>N/D</t>
        </is>
      </c>
      <c r="AM79" s="75" t="inlineStr">
        <is>
          <t>N/D</t>
        </is>
      </c>
      <c r="AN79" s="75" t="inlineStr">
        <is>
          <t>N/D</t>
        </is>
      </c>
      <c r="AO79" s="75" t="inlineStr">
        <is>
          <t>25%</t>
        </is>
      </c>
      <c r="AP79" s="75" t="inlineStr">
        <is>
          <t>aceito_payload</t>
        </is>
      </c>
      <c r="AQ79" s="75" t="inlineStr">
        <is>
          <t>junior_pl</t>
        </is>
      </c>
      <c r="AR79" s="75" t="inlineStr">
        <is>
          <t>1237988</t>
        </is>
      </c>
      <c r="AS79" s="75" t="inlineStr">
        <is>
          <t>2026-07-02</t>
        </is>
      </c>
      <c r="AT79" s="75" t="inlineStr">
        <is>
          <t>30</t>
        </is>
      </c>
      <c r="AU79" s="75" t="inlineStr">
        <is>
          <t>https://fnet.bmfbovespa.com.br/fnet/publico/downloadDocumento?id=1237988</t>
        </is>
      </c>
      <c r="AV79" s="75" t="inlineStr">
        <is>
          <t>payload_documental</t>
        </is>
      </c>
      <c r="AW79" s="75" t="inlineStr">
        <is>
          <t>N/D</t>
        </is>
      </c>
      <c r="AX79" s="75" t="inlineStr">
        <is>
          <t>não encontrado</t>
        </is>
      </c>
      <c r="AY79" s="75" t="inlineStr">
        <is>
          <t>N/D</t>
        </is>
      </c>
      <c r="AZ79" s="75" t="inlineStr">
        <is>
          <t>N/D</t>
        </is>
      </c>
      <c r="BA79" s="75" t="inlineStr">
        <is>
          <t>N/D</t>
        </is>
      </c>
      <c r="BB79" s="75" t="inlineStr">
        <is>
          <t>N/D</t>
        </is>
      </c>
      <c r="BC79" s="75" t="inlineStr">
        <is>
          <t>N/D</t>
        </is>
      </c>
      <c r="BD79" s="75" t="inlineStr">
        <is>
          <t>N/D</t>
        </is>
      </c>
      <c r="BE79" s="75" t="inlineStr">
        <is>
          <t>junior_pl</t>
        </is>
      </c>
      <c r="BF79" s="75" t="inlineStr">
        <is>
          <t>aceito_payload</t>
        </is>
      </c>
      <c r="BG79" s="75" t="inlineStr">
        <is>
          <t>junior_pl</t>
        </is>
      </c>
      <c r="BH79" s="75" t="inlineStr">
        <is>
          <t>1237988</t>
        </is>
      </c>
      <c r="BI79" s="75" t="inlineStr">
        <is>
          <t>2026-07-02</t>
        </is>
      </c>
      <c r="BJ79" s="75" t="inlineStr">
        <is>
          <t>30</t>
        </is>
      </c>
      <c r="BK79" s="75" t="inlineStr">
        <is>
          <t>https://fnet.bmfbovespa.com.br/fnet/publico/downloadDocumento?id=1237988</t>
        </is>
      </c>
      <c r="BL79" s="75" t="inlineStr">
        <is>
          <t>payload_documental</t>
        </is>
      </c>
    </row>
    <row r="80" ht="42" customHeight="1">
      <c r="A80" s="141" t="n">
        <v>76</v>
      </c>
      <c r="B80" s="138" t="n">
        <v>37035970000132</v>
      </c>
      <c r="C80" s="74" t="inlineStr">
        <is>
          <t>37.035.970/0001-32</t>
        </is>
      </c>
      <c r="D80" s="74" t="inlineStr">
        <is>
          <t>CD CASH FUNDO DE INVESTIMENTO EM DIREITOS CREDITÓRIOS RESPONSABILIDADE LIMITADA</t>
        </is>
      </c>
      <c r="E80" s="74" t="inlineStr">
        <is>
          <t>concluído</t>
        </is>
      </c>
      <c r="F80" s="141" t="n">
        <v>9</v>
      </c>
      <c r="G80" s="74" t="inlineStr">
        <is>
          <t>consultado</t>
        </is>
      </c>
      <c r="H80" s="74" t="inlineStr">
        <is>
          <t>N/D</t>
        </is>
      </c>
      <c r="I80" s="74" t="inlineStr">
        <is>
          <t>N/D</t>
        </is>
      </c>
      <c r="J80" s="74" t="inlineStr">
        <is>
          <t>não encontrado</t>
        </is>
      </c>
      <c r="K80" s="74" t="inlineStr">
        <is>
          <t>N/D</t>
        </is>
      </c>
      <c r="L80" s="74" t="inlineStr">
        <is>
          <t>N/D</t>
        </is>
      </c>
      <c r="M80" s="74" t="inlineStr">
        <is>
          <t>N/D</t>
        </is>
      </c>
      <c r="N80" s="74" t="inlineStr">
        <is>
          <t>N/D</t>
        </is>
      </c>
      <c r="O80" s="74" t="inlineStr">
        <is>
          <t>N/D</t>
        </is>
      </c>
      <c r="P80" s="74" t="inlineStr">
        <is>
          <t>N/D</t>
        </is>
      </c>
      <c r="Q80" s="74" t="inlineStr">
        <is>
          <t>CHDS do Brasil</t>
        </is>
      </c>
      <c r="R80" s="74" t="inlineStr">
        <is>
          <t>encontrado_explicito</t>
        </is>
      </c>
      <c r="S80" s="74" t="inlineStr">
        <is>
          <t>rótulo explícito de participante v2</t>
        </is>
      </c>
      <c r="T80" s="74" t="inlineStr">
        <is>
          <t>1128089</t>
        </is>
      </c>
      <c r="U80" s="74" t="inlineStr">
        <is>
          <t>20/08/2025</t>
        </is>
      </c>
      <c r="V80" s="74" t="inlineStr">
        <is>
          <t>6</t>
        </is>
      </c>
      <c r="W80" s="74" t="inlineStr">
        <is>
          <t>https://fnet.bmfbovespa.com.br/fnet/publico/downloadDocumento?id=1128089</t>
        </is>
      </c>
      <c r="X80" s="74" t="inlineStr">
        <is>
          <t>rating_report</t>
        </is>
      </c>
      <c r="Y80" s="74" t="inlineStr">
        <is>
          <t>N/D</t>
        </is>
      </c>
      <c r="Z80" s="74" t="inlineStr">
        <is>
          <t>não encontrado</t>
        </is>
      </c>
      <c r="AA80" s="74" t="inlineStr">
        <is>
          <t>N/D</t>
        </is>
      </c>
      <c r="AB80" s="74" t="inlineStr">
        <is>
          <t>N/D</t>
        </is>
      </c>
      <c r="AC80" s="74" t="inlineStr">
        <is>
          <t>N/D</t>
        </is>
      </c>
      <c r="AD80" s="74" t="inlineStr">
        <is>
          <t>N/D</t>
        </is>
      </c>
      <c r="AE80" s="74" t="inlineStr">
        <is>
          <t>N/D</t>
        </is>
      </c>
      <c r="AF80" s="74" t="inlineStr">
        <is>
          <t>N/D</t>
        </is>
      </c>
      <c r="AG80" s="74" t="inlineStr">
        <is>
          <t>Insumos Agrícolas - prazo Safra; possui não performados</t>
        </is>
      </c>
      <c r="AH80" s="74" t="inlineStr">
        <is>
          <t>aceito_payload</t>
        </is>
      </c>
      <c r="AI80" s="74" t="inlineStr">
        <is>
          <t>N/D</t>
        </is>
      </c>
      <c r="AJ80" s="74" t="inlineStr">
        <is>
          <t>IMG_8706.JPG</t>
        </is>
      </c>
      <c r="AK80" s="74" t="inlineStr">
        <is>
          <t>2026-05-12</t>
        </is>
      </c>
      <c r="AL80" s="74" t="inlineStr">
        <is>
          <t>43</t>
        </is>
      </c>
      <c r="AM80" s="74" t="inlineStr">
        <is>
          <t>N/D</t>
        </is>
      </c>
      <c r="AN80" s="74" t="inlineStr">
        <is>
          <t>planilha_manual</t>
        </is>
      </c>
      <c r="AO80" s="74" t="inlineStr">
        <is>
          <t>30%</t>
        </is>
      </c>
      <c r="AP80" s="74" t="inlineStr">
        <is>
          <t>aceito_payload</t>
        </is>
      </c>
      <c r="AQ80" s="74" t="inlineStr">
        <is>
          <t>junior_pl</t>
        </is>
      </c>
      <c r="AR80" s="74" t="inlineStr">
        <is>
          <t>1187379</t>
        </is>
      </c>
      <c r="AS80" s="74" t="inlineStr">
        <is>
          <t>2026-05-12</t>
        </is>
      </c>
      <c r="AT80" s="74" t="inlineStr">
        <is>
          <t>43</t>
        </is>
      </c>
      <c r="AU80" s="74" t="inlineStr">
        <is>
          <t>https://fnet.bmfbovespa.com.br/fnet/publico/downloadDocumento?id=1187379</t>
        </is>
      </c>
      <c r="AV80" s="74" t="inlineStr">
        <is>
          <t>payload_documental</t>
        </is>
      </c>
      <c r="AW80" s="74" t="inlineStr">
        <is>
          <t>N/D</t>
        </is>
      </c>
      <c r="AX80" s="74" t="inlineStr">
        <is>
          <t>não encontrado</t>
        </is>
      </c>
      <c r="AY80" s="74" t="inlineStr">
        <is>
          <t>N/D</t>
        </is>
      </c>
      <c r="AZ80" s="74" t="inlineStr">
        <is>
          <t>N/D</t>
        </is>
      </c>
      <c r="BA80" s="74" t="inlineStr">
        <is>
          <t>N/D</t>
        </is>
      </c>
      <c r="BB80" s="74" t="inlineStr">
        <is>
          <t>N/D</t>
        </is>
      </c>
      <c r="BC80" s="74" t="inlineStr">
        <is>
          <t>N/D</t>
        </is>
      </c>
      <c r="BD80" s="74" t="inlineStr">
        <is>
          <t>N/D</t>
        </is>
      </c>
      <c r="BE80" s="74" t="inlineStr">
        <is>
          <t>junior_pl</t>
        </is>
      </c>
      <c r="BF80" s="74" t="inlineStr">
        <is>
          <t>aceito_payload</t>
        </is>
      </c>
      <c r="BG80" s="74" t="inlineStr">
        <is>
          <t>junior_pl</t>
        </is>
      </c>
      <c r="BH80" s="74" t="inlineStr">
        <is>
          <t>1187379</t>
        </is>
      </c>
      <c r="BI80" s="74" t="inlineStr">
        <is>
          <t>2026-05-12</t>
        </is>
      </c>
      <c r="BJ80" s="74" t="inlineStr">
        <is>
          <t>43</t>
        </is>
      </c>
      <c r="BK80" s="74" t="inlineStr">
        <is>
          <t>https://fnet.bmfbovespa.com.br/fnet/publico/downloadDocumento?id=1187379</t>
        </is>
      </c>
      <c r="BL80" s="74" t="inlineStr">
        <is>
          <t>payload_documental</t>
        </is>
      </c>
    </row>
    <row r="81" ht="42" customHeight="1">
      <c r="A81" s="145" t="n">
        <v>77</v>
      </c>
      <c r="B81" s="142" t="n">
        <v>17468142000180</v>
      </c>
      <c r="C81" s="75" t="inlineStr">
        <is>
          <t>17.468.142/0001-80</t>
        </is>
      </c>
      <c r="D81" s="75" t="inlineStr">
        <is>
          <t>VALOREM FUNDO DE INVESTIMENTO EM DIREITOS CREDITÓRIOS MULTISETORIAL RESPONSABILIDADE LIMITADA</t>
        </is>
      </c>
      <c r="E81" s="75" t="inlineStr">
        <is>
          <t>concluído</t>
        </is>
      </c>
      <c r="F81" s="145" t="n">
        <v>12</v>
      </c>
      <c r="G81" s="75" t="inlineStr">
        <is>
          <t>consultado</t>
        </is>
      </c>
      <c r="H81" s="75" t="inlineStr">
        <is>
          <t>N/D</t>
        </is>
      </c>
      <c r="I81" s="75" t="inlineStr">
        <is>
          <t>N/D</t>
        </is>
      </c>
      <c r="J81" s="75" t="inlineStr">
        <is>
          <t>não encontrado</t>
        </is>
      </c>
      <c r="K81" s="75" t="inlineStr">
        <is>
          <t>N/D</t>
        </is>
      </c>
      <c r="L81" s="75" t="inlineStr">
        <is>
          <t>N/D</t>
        </is>
      </c>
      <c r="M81" s="75" t="inlineStr">
        <is>
          <t>N/D</t>
        </is>
      </c>
      <c r="N81" s="75" t="inlineStr">
        <is>
          <t>N/D</t>
        </is>
      </c>
      <c r="O81" s="75" t="inlineStr">
        <is>
          <t>N/D</t>
        </is>
      </c>
      <c r="P81" s="75" t="inlineStr">
        <is>
          <t>N/D</t>
        </is>
      </c>
      <c r="Q81" s="75" t="inlineStr">
        <is>
          <t>todas as pessoas físicas ou jurídicas que cedem os Direitos Creditórios para a Classe</t>
        </is>
      </c>
      <c r="R81" s="75" t="inlineStr">
        <is>
          <t>encontrado_explicito</t>
        </is>
      </c>
      <c r="S81" s="75" t="inlineStr">
        <is>
          <t>N/D</t>
        </is>
      </c>
      <c r="T81" s="75" t="inlineStr">
        <is>
          <t>1271235</t>
        </is>
      </c>
      <c r="U81" s="75" t="inlineStr">
        <is>
          <t>30/07/2026</t>
        </is>
      </c>
      <c r="V81" s="75" t="inlineStr">
        <is>
          <t>50</t>
        </is>
      </c>
      <c r="W81" s="75" t="inlineStr">
        <is>
          <t>https://fnet.bmfbovespa.com.br/fnet/publico/downloadDocumento?id=1271235</t>
        </is>
      </c>
      <c r="X81" s="75" t="inlineStr">
        <is>
          <t>regulamento</t>
        </is>
      </c>
      <c r="Y81" s="75" t="inlineStr">
        <is>
          <t>pessoas físicas e/ou jurídicas que figurem na qualidade de devedores dos Direitos Creditórios, podendo ser denominado também como “Sacado”</t>
        </is>
      </c>
      <c r="Z81" s="75" t="inlineStr">
        <is>
          <t>encontrado_explicito</t>
        </is>
      </c>
      <c r="AA81" s="75" t="inlineStr">
        <is>
          <t>N/D</t>
        </is>
      </c>
      <c r="AB81" s="75" t="inlineStr">
        <is>
          <t>1271235</t>
        </is>
      </c>
      <c r="AC81" s="75" t="inlineStr">
        <is>
          <t>30/07/2026</t>
        </is>
      </c>
      <c r="AD81" s="75" t="inlineStr">
        <is>
          <t>55</t>
        </is>
      </c>
      <c r="AE81" s="75" t="inlineStr">
        <is>
          <t>https://fnet.bmfbovespa.com.br/fnet/publico/downloadDocumento?id=1271235</t>
        </is>
      </c>
      <c r="AF81" s="75" t="inlineStr">
        <is>
          <t>regulamento</t>
        </is>
      </c>
      <c r="AG81" s="75" t="inlineStr">
        <is>
          <t>a) direitos e títulos representativos de crédito,</t>
        </is>
      </c>
      <c r="AH81" s="75" t="inlineStr">
        <is>
          <t>encontrado_explicito</t>
        </is>
      </c>
      <c r="AI81" s="75" t="inlineStr">
        <is>
          <t>N/D</t>
        </is>
      </c>
      <c r="AJ81" s="75" t="inlineStr">
        <is>
          <t>1271235</t>
        </is>
      </c>
      <c r="AK81" s="75" t="inlineStr">
        <is>
          <t>30/07/2026</t>
        </is>
      </c>
      <c r="AL81" s="75" t="inlineStr">
        <is>
          <t>55</t>
        </is>
      </c>
      <c r="AM81" s="75" t="inlineStr">
        <is>
          <t>https://fnet.bmfbovespa.com.br/fnet/publico/downloadDocumento?id=1271235</t>
        </is>
      </c>
      <c r="AN81" s="75" t="inlineStr">
        <is>
          <t>regulamento</t>
        </is>
      </c>
      <c r="AO81" s="75" t="inlineStr">
        <is>
          <t>15%</t>
        </is>
      </c>
      <c r="AP81" s="75" t="inlineStr">
        <is>
          <t>aceito_payload</t>
        </is>
      </c>
      <c r="AQ81" s="75" t="inlineStr">
        <is>
          <t>junior_pl</t>
        </is>
      </c>
      <c r="AR81" s="75" t="inlineStr">
        <is>
          <t>1157934</t>
        </is>
      </c>
      <c r="AS81" s="75" t="inlineStr">
        <is>
          <t>2026-04-09</t>
        </is>
      </c>
      <c r="AT81" s="75" t="inlineStr">
        <is>
          <t>102</t>
        </is>
      </c>
      <c r="AU81" s="75" t="inlineStr">
        <is>
          <t>https://fnet.bmfbovespa.com.br/fnet/publico/downloadDocumento?id=1157934</t>
        </is>
      </c>
      <c r="AV81" s="75" t="inlineStr">
        <is>
          <t>payload_documental</t>
        </is>
      </c>
      <c r="AW81" s="75" t="inlineStr">
        <is>
          <t>45%</t>
        </is>
      </c>
      <c r="AX81" s="75" t="inlineStr">
        <is>
          <t>encontrado_explicito</t>
        </is>
      </c>
      <c r="AY81" s="75" t="inlineStr">
        <is>
          <t>suporte_total_pl</t>
        </is>
      </c>
      <c r="AZ81" s="75" t="inlineStr">
        <is>
          <t>1271235</t>
        </is>
      </c>
      <c r="BA81" s="75" t="inlineStr">
        <is>
          <t>30/07/2026</t>
        </is>
      </c>
      <c r="BB81" s="75" t="inlineStr">
        <is>
          <t>102</t>
        </is>
      </c>
      <c r="BC81" s="75" t="inlineStr">
        <is>
          <t>https://fnet.bmfbovespa.com.br/fnet/publico/downloadDocumento?id=1271235</t>
        </is>
      </c>
      <c r="BD81" s="75" t="inlineStr">
        <is>
          <t>regulamento</t>
        </is>
      </c>
      <c r="BE81" s="75" t="inlineStr">
        <is>
          <t>junior_pl</t>
        </is>
      </c>
      <c r="BF81" s="75" t="inlineStr">
        <is>
          <t>aceito_payload</t>
        </is>
      </c>
      <c r="BG81" s="75" t="inlineStr">
        <is>
          <t>junior_pl</t>
        </is>
      </c>
      <c r="BH81" s="75" t="inlineStr">
        <is>
          <t>1157934</t>
        </is>
      </c>
      <c r="BI81" s="75" t="inlineStr">
        <is>
          <t>2026-04-09</t>
        </is>
      </c>
      <c r="BJ81" s="75" t="inlineStr">
        <is>
          <t>102</t>
        </is>
      </c>
      <c r="BK81" s="75" t="inlineStr">
        <is>
          <t>https://fnet.bmfbovespa.com.br/fnet/publico/downloadDocumento?id=1157934</t>
        </is>
      </c>
      <c r="BL81" s="75" t="inlineStr">
        <is>
          <t>payload_documental</t>
        </is>
      </c>
    </row>
    <row r="82" ht="42" customHeight="1">
      <c r="A82" s="141" t="n">
        <v>78</v>
      </c>
      <c r="B82" s="138" t="n">
        <v>29492605000129</v>
      </c>
      <c r="C82" s="74" t="inlineStr">
        <is>
          <t>29.492.605/0001-29</t>
        </is>
      </c>
      <c r="D82" s="74" t="inlineStr">
        <is>
          <t>GAZIN FUNDO DE INVESTIMENTO EM DIREITOS CREDITÓRIOS MULTISSEGMENTOS - RESPONSABILIDADE LIMITADA</t>
        </is>
      </c>
      <c r="E82" s="74" t="inlineStr">
        <is>
          <t>concluído</t>
        </is>
      </c>
      <c r="F82" s="141" t="n">
        <v>6</v>
      </c>
      <c r="G82" s="74" t="inlineStr">
        <is>
          <t>consultado</t>
        </is>
      </c>
      <c r="H82" s="74" t="inlineStr">
        <is>
          <t>N/D</t>
        </is>
      </c>
      <c r="I82" s="74" t="inlineStr">
        <is>
          <t>N/D</t>
        </is>
      </c>
      <c r="J82" s="74" t="inlineStr">
        <is>
          <t>não encontrado</t>
        </is>
      </c>
      <c r="K82" s="74" t="inlineStr">
        <is>
          <t>N/D</t>
        </is>
      </c>
      <c r="L82" s="74" t="inlineStr">
        <is>
          <t>N/D</t>
        </is>
      </c>
      <c r="M82" s="74" t="inlineStr">
        <is>
          <t>N/D</t>
        </is>
      </c>
      <c r="N82" s="74" t="inlineStr">
        <is>
          <t>N/D</t>
        </is>
      </c>
      <c r="O82" s="74" t="inlineStr">
        <is>
          <t>N/D</t>
        </is>
      </c>
      <c r="P82" s="74" t="inlineStr">
        <is>
          <t>N/D</t>
        </is>
      </c>
      <c r="Q82" s="74" t="inlineStr">
        <is>
          <t>Gazin</t>
        </is>
      </c>
      <c r="R82" s="74" t="inlineStr">
        <is>
          <t>encontrado_explicito</t>
        </is>
      </c>
      <c r="S82" s="74" t="inlineStr">
        <is>
          <t>rótulo explícito de participante v2</t>
        </is>
      </c>
      <c r="T82" s="74" t="inlineStr">
        <is>
          <t>321548</t>
        </is>
      </c>
      <c r="U82" s="74" t="inlineStr">
        <is>
          <t>06/06/2022</t>
        </is>
      </c>
      <c r="V82" s="74" t="inlineStr">
        <is>
          <t>1</t>
        </is>
      </c>
      <c r="W82" s="74" t="inlineStr">
        <is>
          <t>https://fnet.bmfbovespa.com.br/fnet/publico/downloadDocumento?id=321548</t>
        </is>
      </c>
      <c r="X82" s="74" t="inlineStr">
        <is>
          <t>rating_report</t>
        </is>
      </c>
      <c r="Y82" s="74" t="inlineStr">
        <is>
          <t>N/D</t>
        </is>
      </c>
      <c r="Z82" s="74" t="inlineStr">
        <is>
          <t>não encontrado</t>
        </is>
      </c>
      <c r="AA82" s="74" t="inlineStr">
        <is>
          <t>N/D</t>
        </is>
      </c>
      <c r="AB82" s="74" t="inlineStr">
        <is>
          <t>N/D</t>
        </is>
      </c>
      <c r="AC82" s="74" t="inlineStr">
        <is>
          <t>N/D</t>
        </is>
      </c>
      <c r="AD82" s="74" t="inlineStr">
        <is>
          <t>N/D</t>
        </is>
      </c>
      <c r="AE82" s="74" t="inlineStr">
        <is>
          <t>N/D</t>
        </is>
      </c>
      <c r="AF82" s="74" t="inlineStr">
        <is>
          <t>N/D</t>
        </is>
      </c>
      <c r="AG82" s="74" t="inlineStr">
        <is>
          <t>N/D</t>
        </is>
      </c>
      <c r="AH82" s="74" t="inlineStr">
        <is>
          <t>não encontrado</t>
        </is>
      </c>
      <c r="AI82" s="74" t="inlineStr">
        <is>
          <t>N/D</t>
        </is>
      </c>
      <c r="AJ82" s="74" t="inlineStr">
        <is>
          <t>N/D</t>
        </is>
      </c>
      <c r="AK82" s="74" t="inlineStr">
        <is>
          <t>N/D</t>
        </is>
      </c>
      <c r="AL82" s="74" t="inlineStr">
        <is>
          <t>N/D</t>
        </is>
      </c>
      <c r="AM82" s="74" t="inlineStr">
        <is>
          <t>N/D</t>
        </is>
      </c>
      <c r="AN82" s="74" t="inlineStr">
        <is>
          <t>N/D</t>
        </is>
      </c>
      <c r="AO82" s="74" t="inlineStr">
        <is>
          <t>51%</t>
        </is>
      </c>
      <c r="AP82" s="74" t="inlineStr">
        <is>
          <t>aceito_payload</t>
        </is>
      </c>
      <c r="AQ82" s="74" t="inlineStr">
        <is>
          <t>junior_pl</t>
        </is>
      </c>
      <c r="AR82" s="74" t="inlineStr">
        <is>
          <t>1117213</t>
        </is>
      </c>
      <c r="AS82" s="74" t="inlineStr">
        <is>
          <t>2026-02-12</t>
        </is>
      </c>
      <c r="AT82" s="74" t="inlineStr">
        <is>
          <t>44</t>
        </is>
      </c>
      <c r="AU82" s="74" t="inlineStr">
        <is>
          <t>https://fnet.bmfbovespa.com.br/fnet/publico/downloadDocumento?id=1117213</t>
        </is>
      </c>
      <c r="AV82" s="74" t="inlineStr">
        <is>
          <t>payload_documental</t>
        </is>
      </c>
      <c r="AW82" s="74" t="inlineStr">
        <is>
          <t>51%</t>
        </is>
      </c>
      <c r="AX82" s="74" t="inlineStr">
        <is>
          <t>aceito_payload</t>
        </is>
      </c>
      <c r="AY82" s="74" t="inlineStr">
        <is>
          <t>suporte_total_pl</t>
        </is>
      </c>
      <c r="AZ82" s="74" t="inlineStr">
        <is>
          <t>1117213</t>
        </is>
      </c>
      <c r="BA82" s="74" t="inlineStr">
        <is>
          <t>2026-02-12</t>
        </is>
      </c>
      <c r="BB82" s="74" t="inlineStr">
        <is>
          <t>44</t>
        </is>
      </c>
      <c r="BC82" s="74" t="inlineStr">
        <is>
          <t>https://fnet.bmfbovespa.com.br/fnet/publico/downloadDocumento?id=1117213</t>
        </is>
      </c>
      <c r="BD82" s="74" t="inlineStr">
        <is>
          <t>payload_documental</t>
        </is>
      </c>
      <c r="BE82" s="74" t="inlineStr">
        <is>
          <t>junior_pl</t>
        </is>
      </c>
      <c r="BF82" s="74" t="inlineStr">
        <is>
          <t>aceito_payload</t>
        </is>
      </c>
      <c r="BG82" s="74" t="inlineStr">
        <is>
          <t>junior_pl</t>
        </is>
      </c>
      <c r="BH82" s="74" t="inlineStr">
        <is>
          <t>1117213</t>
        </is>
      </c>
      <c r="BI82" s="74" t="inlineStr">
        <is>
          <t>2026-02-12</t>
        </is>
      </c>
      <c r="BJ82" s="74" t="inlineStr">
        <is>
          <t>44</t>
        </is>
      </c>
      <c r="BK82" s="74" t="inlineStr">
        <is>
          <t>https://fnet.bmfbovespa.com.br/fnet/publico/downloadDocumento?id=1117213</t>
        </is>
      </c>
      <c r="BL82" s="74" t="inlineStr">
        <is>
          <t>payload_documental</t>
        </is>
      </c>
    </row>
    <row r="83" ht="42" customHeight="1">
      <c r="A83" s="145" t="n">
        <v>79</v>
      </c>
      <c r="B83" s="142" t="n">
        <v>31739396000117</v>
      </c>
      <c r="C83" s="75" t="inlineStr">
        <is>
          <t>31.739.396/0001-17</t>
        </is>
      </c>
      <c r="D83" s="75" t="inlineStr">
        <is>
          <t>LF III FUNDO DE INVESTIMENTO EM DIREITOS CREDITÓRIOS DE RESPONSABILIDADE LIMITADA</t>
        </is>
      </c>
      <c r="E83" s="75" t="inlineStr">
        <is>
          <t>concluído</t>
        </is>
      </c>
      <c r="F83" s="145" t="n">
        <v>8</v>
      </c>
      <c r="G83" s="75" t="inlineStr">
        <is>
          <t>consultado</t>
        </is>
      </c>
      <c r="H83" s="75" t="inlineStr">
        <is>
          <t>N/D</t>
        </is>
      </c>
      <c r="I83" s="75" t="inlineStr">
        <is>
          <t>LISTO INSTITUIÇÃO DE PAGAMENTO LTDA.</t>
        </is>
      </c>
      <c r="J83" s="75" t="inlineStr">
        <is>
          <t>encontrado_explicito</t>
        </is>
      </c>
      <c r="K83" s="75" t="inlineStr">
        <is>
          <t>rótulo explícito de participante v2</t>
        </is>
      </c>
      <c r="L83" s="75" t="inlineStr">
        <is>
          <t>1237167</t>
        </is>
      </c>
      <c r="M83" s="75" t="inlineStr">
        <is>
          <t>26/06/2026</t>
        </is>
      </c>
      <c r="N83" s="75" t="inlineStr">
        <is>
          <t>1</t>
        </is>
      </c>
      <c r="O83" s="75" t="inlineStr">
        <is>
          <t>https://fnet.bmfbovespa.com.br/fnet/publico/downloadDocumento?id=1237167</t>
        </is>
      </c>
      <c r="P83" s="75" t="inlineStr">
        <is>
          <t>rating_report</t>
        </is>
      </c>
      <c r="Q83" s="75" t="inlineStr">
        <is>
          <t>Listo IP</t>
        </is>
      </c>
      <c r="R83" s="75" t="inlineStr">
        <is>
          <t>aceito_payload</t>
        </is>
      </c>
      <c r="S83" s="75" t="inlineStr">
        <is>
          <t>N/D</t>
        </is>
      </c>
      <c r="T83" s="75" t="inlineStr">
        <is>
          <t>IMG_8706.JPG</t>
        </is>
      </c>
      <c r="U83" s="75" t="inlineStr">
        <is>
          <t>2026-03-27</t>
        </is>
      </c>
      <c r="V83" s="75" t="inlineStr">
        <is>
          <t>39</t>
        </is>
      </c>
      <c r="W83" s="75" t="inlineStr">
        <is>
          <t>N/D</t>
        </is>
      </c>
      <c r="X83" s="75" t="inlineStr">
        <is>
          <t>planilha_manual</t>
        </is>
      </c>
      <c r="Y83" s="75" t="inlineStr">
        <is>
          <t>N/D</t>
        </is>
      </c>
      <c r="Z83" s="75" t="inlineStr">
        <is>
          <t>não encontrado</t>
        </is>
      </c>
      <c r="AA83" s="75" t="inlineStr">
        <is>
          <t>N/D</t>
        </is>
      </c>
      <c r="AB83" s="75" t="inlineStr">
        <is>
          <t>N/D</t>
        </is>
      </c>
      <c r="AC83" s="75" t="inlineStr">
        <is>
          <t>N/D</t>
        </is>
      </c>
      <c r="AD83" s="75" t="inlineStr">
        <is>
          <t>N/D</t>
        </is>
      </c>
      <c r="AE83" s="75" t="inlineStr">
        <is>
          <t>N/D</t>
        </is>
      </c>
      <c r="AF83" s="75" t="inlineStr">
        <is>
          <t>N/D</t>
        </is>
      </c>
      <c r="AG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AH83" s="75" t="inlineStr">
        <is>
          <t>encontrado_explicito</t>
        </is>
      </c>
      <c r="AI83" s="75" t="inlineStr">
        <is>
          <t>N/D</t>
        </is>
      </c>
      <c r="AJ83" s="75" t="inlineStr">
        <is>
          <t>1146939</t>
        </is>
      </c>
      <c r="AK83" s="75" t="inlineStr">
        <is>
          <t>27/03/2026</t>
        </is>
      </c>
      <c r="AL83" s="75" t="inlineStr">
        <is>
          <t>10</t>
        </is>
      </c>
      <c r="AM83" s="75" t="inlineStr">
        <is>
          <t>https://fnet.bmfbovespa.com.br/fnet/publico/downloadDocumento?id=1146939</t>
        </is>
      </c>
      <c r="AN83" s="75" t="inlineStr">
        <is>
          <t>regulamento</t>
        </is>
      </c>
      <c r="AO83" s="75" t="inlineStr">
        <is>
          <t>0.5%</t>
        </is>
      </c>
      <c r="AP83" s="75" t="inlineStr">
        <is>
          <t>aceito_payload</t>
        </is>
      </c>
      <c r="AQ83" s="75" t="inlineStr">
        <is>
          <t>junior_pl</t>
        </is>
      </c>
      <c r="AR83" s="75" t="inlineStr">
        <is>
          <t>1146939</t>
        </is>
      </c>
      <c r="AS83" s="75" t="inlineStr">
        <is>
          <t>2026-03-27</t>
        </is>
      </c>
      <c r="AT83" s="75" t="inlineStr">
        <is>
          <t>39</t>
        </is>
      </c>
      <c r="AU83" s="75" t="inlineStr">
        <is>
          <t>https://fnet.bmfbovespa.com.br/fnet/publico/downloadDocumento?id=1146939</t>
        </is>
      </c>
      <c r="AV83" s="75" t="inlineStr">
        <is>
          <t>payload_documental</t>
        </is>
      </c>
      <c r="AW83" s="75" t="inlineStr">
        <is>
          <t>N/D</t>
        </is>
      </c>
      <c r="AX83" s="75" t="inlineStr">
        <is>
          <t>não encontrado</t>
        </is>
      </c>
      <c r="AY83" s="75" t="inlineStr">
        <is>
          <t>N/D</t>
        </is>
      </c>
      <c r="AZ83" s="75" t="inlineStr">
        <is>
          <t>N/D</t>
        </is>
      </c>
      <c r="BA83" s="75" t="inlineStr">
        <is>
          <t>N/D</t>
        </is>
      </c>
      <c r="BB83" s="75" t="inlineStr">
        <is>
          <t>N/D</t>
        </is>
      </c>
      <c r="BC83" s="75" t="inlineStr">
        <is>
          <t>N/D</t>
        </is>
      </c>
      <c r="BD83" s="75" t="inlineStr">
        <is>
          <t>N/D</t>
        </is>
      </c>
      <c r="BE83" s="75" t="inlineStr">
        <is>
          <t>junior_pl</t>
        </is>
      </c>
      <c r="BF83" s="75" t="inlineStr">
        <is>
          <t>aceito_payload</t>
        </is>
      </c>
      <c r="BG83" s="75" t="inlineStr">
        <is>
          <t>junior_pl</t>
        </is>
      </c>
      <c r="BH83" s="75" t="inlineStr">
        <is>
          <t>1146939</t>
        </is>
      </c>
      <c r="BI83" s="75" t="inlineStr">
        <is>
          <t>2026-03-27</t>
        </is>
      </c>
      <c r="BJ83" s="75" t="inlineStr">
        <is>
          <t>39</t>
        </is>
      </c>
      <c r="BK83" s="75" t="inlineStr">
        <is>
          <t>https://fnet.bmfbovespa.com.br/fnet/publico/downloadDocumento?id=1146939</t>
        </is>
      </c>
      <c r="BL83" s="75" t="inlineStr">
        <is>
          <t>payload_documental</t>
        </is>
      </c>
    </row>
    <row r="84" ht="42" customHeight="1">
      <c r="A84" s="141" t="n">
        <v>80</v>
      </c>
      <c r="B84" s="138" t="n">
        <v>26749095000134</v>
      </c>
      <c r="C84" s="74" t="inlineStr">
        <is>
          <t>26.749.095/0001-34</t>
        </is>
      </c>
      <c r="D84" s="74" t="inlineStr">
        <is>
          <t>PRAVALER CRÉDITO UNIVERSITÁRIO II FUNDO DE INVESTIMENTO EM DIREITOS CREDITÓRIOS - RESP LIMITADAL</t>
        </is>
      </c>
      <c r="E84" s="74" t="inlineStr">
        <is>
          <t>concluído</t>
        </is>
      </c>
      <c r="F84" s="141" t="n">
        <v>13</v>
      </c>
      <c r="G84" s="74" t="inlineStr">
        <is>
          <t>consultado</t>
        </is>
      </c>
      <c r="H84" s="74" t="inlineStr">
        <is>
          <t>N/D</t>
        </is>
      </c>
      <c r="I84" s="74" t="inlineStr">
        <is>
          <t>N/D</t>
        </is>
      </c>
      <c r="J84" s="74" t="inlineStr">
        <is>
          <t>não encontrado</t>
        </is>
      </c>
      <c r="K84" s="74" t="inlineStr">
        <is>
          <t>N/D</t>
        </is>
      </c>
      <c r="L84" s="74" t="inlineStr">
        <is>
          <t>N/D</t>
        </is>
      </c>
      <c r="M84" s="74" t="inlineStr">
        <is>
          <t>N/D</t>
        </is>
      </c>
      <c r="N84" s="74" t="inlineStr">
        <is>
          <t>N/D</t>
        </is>
      </c>
      <c r="O84" s="74" t="inlineStr">
        <is>
          <t>N/D</t>
        </is>
      </c>
      <c r="P84" s="74" t="inlineStr">
        <is>
          <t>N/D</t>
        </is>
      </c>
      <c r="Q84" s="74" t="inlineStr">
        <is>
          <t>Pravaler</t>
        </is>
      </c>
      <c r="R84" s="74" t="inlineStr">
        <is>
          <t>aceito_payload</t>
        </is>
      </c>
      <c r="S84" s="74" t="inlineStr">
        <is>
          <t>N/D</t>
        </is>
      </c>
      <c r="T84" s="74" t="inlineStr">
        <is>
          <t>IMG_8706.JPG</t>
        </is>
      </c>
      <c r="U84" s="74" t="inlineStr">
        <is>
          <t>2025-11-19</t>
        </is>
      </c>
      <c r="V84" s="74" t="inlineStr">
        <is>
          <t>152</t>
        </is>
      </c>
      <c r="W84" s="74" t="inlineStr">
        <is>
          <t>N/D</t>
        </is>
      </c>
      <c r="X84" s="74" t="inlineStr">
        <is>
          <t>planilha_manual</t>
        </is>
      </c>
      <c r="Y84" s="74" t="inlineStr">
        <is>
          <t>N/D</t>
        </is>
      </c>
      <c r="Z84" s="74" t="inlineStr">
        <is>
          <t>não encontrado</t>
        </is>
      </c>
      <c r="AA84" s="74" t="inlineStr">
        <is>
          <t>N/D</t>
        </is>
      </c>
      <c r="AB84" s="74" t="inlineStr">
        <is>
          <t>N/D</t>
        </is>
      </c>
      <c r="AC84" s="74" t="inlineStr">
        <is>
          <t>N/D</t>
        </is>
      </c>
      <c r="AD84" s="74" t="inlineStr">
        <is>
          <t>N/D</t>
        </is>
      </c>
      <c r="AE84" s="74" t="inlineStr">
        <is>
          <t>N/D</t>
        </is>
      </c>
      <c r="AF84" s="74" t="inlineStr">
        <is>
          <t>N/D</t>
        </is>
      </c>
      <c r="AG84" s="74" t="inlineStr">
        <is>
          <t>Crédito Estudantil</t>
        </is>
      </c>
      <c r="AH84" s="74" t="inlineStr">
        <is>
          <t>aceito_payload</t>
        </is>
      </c>
      <c r="AI84" s="74" t="inlineStr">
        <is>
          <t>N/D</t>
        </is>
      </c>
      <c r="AJ84" s="74" t="inlineStr">
        <is>
          <t>IMG_8706.JPG</t>
        </is>
      </c>
      <c r="AK84" s="74" t="inlineStr">
        <is>
          <t>2025-11-19</t>
        </is>
      </c>
      <c r="AL84" s="74" t="inlineStr">
        <is>
          <t>152</t>
        </is>
      </c>
      <c r="AM84" s="74" t="inlineStr">
        <is>
          <t>N/D</t>
        </is>
      </c>
      <c r="AN84" s="74" t="inlineStr">
        <is>
          <t>planilha_manual</t>
        </is>
      </c>
      <c r="AO84" s="74" t="inlineStr">
        <is>
          <t>10%</t>
        </is>
      </c>
      <c r="AP84" s="74" t="inlineStr">
        <is>
          <t>aceito_payload</t>
        </is>
      </c>
      <c r="AQ84" s="74" t="inlineStr">
        <is>
          <t>junior_pl</t>
        </is>
      </c>
      <c r="AR84" s="74" t="inlineStr">
        <is>
          <t>1061833</t>
        </is>
      </c>
      <c r="AS84" s="74" t="inlineStr">
        <is>
          <t>2025-11-19</t>
        </is>
      </c>
      <c r="AT84" s="74" t="inlineStr">
        <is>
          <t>152</t>
        </is>
      </c>
      <c r="AU84" s="74" t="inlineStr">
        <is>
          <t>https://fnet.bmfbovespa.com.br/fnet/publico/downloadDocumento?id=1061833</t>
        </is>
      </c>
      <c r="AV84" s="74" t="inlineStr">
        <is>
          <t>payload_documental</t>
        </is>
      </c>
      <c r="AW84" s="74" t="inlineStr">
        <is>
          <t>N/D</t>
        </is>
      </c>
      <c r="AX84" s="74" t="inlineStr">
        <is>
          <t>não encontrado</t>
        </is>
      </c>
      <c r="AY84" s="74" t="inlineStr">
        <is>
          <t>N/D</t>
        </is>
      </c>
      <c r="AZ84" s="74" t="inlineStr">
        <is>
          <t>N/D</t>
        </is>
      </c>
      <c r="BA84" s="74" t="inlineStr">
        <is>
          <t>N/D</t>
        </is>
      </c>
      <c r="BB84" s="74" t="inlineStr">
        <is>
          <t>N/D</t>
        </is>
      </c>
      <c r="BC84" s="74" t="inlineStr">
        <is>
          <t>N/D</t>
        </is>
      </c>
      <c r="BD84" s="74" t="inlineStr">
        <is>
          <t>N/D</t>
        </is>
      </c>
      <c r="BE84" s="74" t="inlineStr">
        <is>
          <t>junior_pl</t>
        </is>
      </c>
      <c r="BF84" s="74" t="inlineStr">
        <is>
          <t>aceito_payload</t>
        </is>
      </c>
      <c r="BG84" s="74" t="inlineStr">
        <is>
          <t>junior_pl</t>
        </is>
      </c>
      <c r="BH84" s="74" t="inlineStr">
        <is>
          <t>1061833</t>
        </is>
      </c>
      <c r="BI84" s="74" t="inlineStr">
        <is>
          <t>2025-11-19</t>
        </is>
      </c>
      <c r="BJ84" s="74" t="inlineStr">
        <is>
          <t>152</t>
        </is>
      </c>
      <c r="BK84" s="74" t="inlineStr">
        <is>
          <t>https://fnet.bmfbovespa.com.br/fnet/publico/downloadDocumento?id=1061833</t>
        </is>
      </c>
      <c r="BL84" s="74" t="inlineStr">
        <is>
          <t>payload_documental</t>
        </is>
      </c>
    </row>
    <row r="85" ht="42" customHeight="1">
      <c r="A85" s="145" t="n">
        <v>81</v>
      </c>
      <c r="B85" s="142" t="n">
        <v>62393829000159</v>
      </c>
      <c r="C85" s="75" t="inlineStr">
        <is>
          <t>62.393.829/0001-59</t>
        </is>
      </c>
      <c r="D85" s="75" t="inlineStr">
        <is>
          <t>FUNDO DE INVESTIMENTO EM DIREITOS CREDITÓRIOS COMERCIAIS MEDICI I - RESPONSABILIDADE LIMITADA</t>
        </is>
      </c>
      <c r="E85" s="75" t="inlineStr">
        <is>
          <t>concluído</t>
        </is>
      </c>
      <c r="F85" s="145" t="n">
        <v>7</v>
      </c>
      <c r="G85" s="75" t="inlineStr">
        <is>
          <t>consultado</t>
        </is>
      </c>
      <c r="H85" s="75" t="inlineStr">
        <is>
          <t>N/D</t>
        </is>
      </c>
      <c r="I85" s="75" t="inlineStr">
        <is>
          <t>N/D</t>
        </is>
      </c>
      <c r="J85" s="75" t="inlineStr">
        <is>
          <t>não encontrado</t>
        </is>
      </c>
      <c r="K85" s="75" t="inlineStr">
        <is>
          <t>N/D</t>
        </is>
      </c>
      <c r="L85" s="75" t="inlineStr">
        <is>
          <t>N/D</t>
        </is>
      </c>
      <c r="M85" s="75" t="inlineStr">
        <is>
          <t>N/D</t>
        </is>
      </c>
      <c r="N85" s="75" t="inlineStr">
        <is>
          <t>N/D</t>
        </is>
      </c>
      <c r="O85" s="75" t="inlineStr">
        <is>
          <t>N/D</t>
        </is>
      </c>
      <c r="P85" s="75" t="inlineStr">
        <is>
          <t>N/D</t>
        </is>
      </c>
      <c r="Q85" s="75" t="inlineStr">
        <is>
          <t>Multicedente</t>
        </is>
      </c>
      <c r="R85" s="75" t="inlineStr">
        <is>
          <t>aceito_payload</t>
        </is>
      </c>
      <c r="S85" s="75" t="inlineStr">
        <is>
          <t>N/D</t>
        </is>
      </c>
      <c r="T85" s="75" t="inlineStr">
        <is>
          <t>IMG_8706.JPG</t>
        </is>
      </c>
      <c r="U85" s="75" t="inlineStr">
        <is>
          <t>2026-07-08</t>
        </is>
      </c>
      <c r="V85" s="75" t="inlineStr">
        <is>
          <t>40–41</t>
        </is>
      </c>
      <c r="W85" s="75" t="inlineStr">
        <is>
          <t>N/D</t>
        </is>
      </c>
      <c r="X85" s="75" t="inlineStr">
        <is>
          <t>planilha_manual</t>
        </is>
      </c>
      <c r="Y85" s="75" t="inlineStr">
        <is>
          <t>BRF</t>
        </is>
      </c>
      <c r="Z85" s="75" t="inlineStr">
        <is>
          <t>aceito_payload</t>
        </is>
      </c>
      <c r="AA85" s="75" t="inlineStr">
        <is>
          <t>N/D</t>
        </is>
      </c>
      <c r="AB85" s="75" t="inlineStr">
        <is>
          <t>IMG_8706.JPG</t>
        </is>
      </c>
      <c r="AC85" s="75" t="inlineStr">
        <is>
          <t>2026-07-08</t>
        </is>
      </c>
      <c r="AD85" s="75" t="inlineStr">
        <is>
          <t>40–41</t>
        </is>
      </c>
      <c r="AE85" s="75" t="inlineStr">
        <is>
          <t>N/D</t>
        </is>
      </c>
      <c r="AF85" s="75" t="inlineStr">
        <is>
          <t>planilha_manual</t>
        </is>
      </c>
      <c r="AG85" s="75" t="inlineStr">
        <is>
          <t>Risco Sacado BRF</t>
        </is>
      </c>
      <c r="AH85" s="75" t="inlineStr">
        <is>
          <t>aceito_payload</t>
        </is>
      </c>
      <c r="AI85" s="75" t="inlineStr">
        <is>
          <t>N/D</t>
        </is>
      </c>
      <c r="AJ85" s="75" t="inlineStr">
        <is>
          <t>IMG_8706.JPG</t>
        </is>
      </c>
      <c r="AK85" s="75" t="inlineStr">
        <is>
          <t>2026-07-08</t>
        </is>
      </c>
      <c r="AL85" s="75" t="inlineStr">
        <is>
          <t>40–41</t>
        </is>
      </c>
      <c r="AM85" s="75" t="inlineStr">
        <is>
          <t>N/D</t>
        </is>
      </c>
      <c r="AN85" s="75" t="inlineStr">
        <is>
          <t>planilha_manual</t>
        </is>
      </c>
      <c r="AO85" s="75" t="inlineStr">
        <is>
          <t>5%</t>
        </is>
      </c>
      <c r="AP85" s="75" t="inlineStr">
        <is>
          <t>aceito_payload</t>
        </is>
      </c>
      <c r="AQ85" s="75" t="inlineStr">
        <is>
          <t>junior_pl</t>
        </is>
      </c>
      <c r="AR85" s="75" t="inlineStr">
        <is>
          <t>1242436</t>
        </is>
      </c>
      <c r="AS85" s="75" t="inlineStr">
        <is>
          <t>2026-07-08</t>
        </is>
      </c>
      <c r="AT85" s="75" t="inlineStr">
        <is>
          <t>40–41</t>
        </is>
      </c>
      <c r="AU85" s="75" t="inlineStr">
        <is>
          <t>https://fnet.bmfbovespa.com.br/fnet/publico/downloadDocumento?id=1242436</t>
        </is>
      </c>
      <c r="AV85" s="75" t="inlineStr">
        <is>
          <t>payload_documental</t>
        </is>
      </c>
      <c r="AW85" s="75" t="inlineStr">
        <is>
          <t>5%</t>
        </is>
      </c>
      <c r="AX85" s="75" t="inlineStr">
        <is>
          <t>aceito_payload</t>
        </is>
      </c>
      <c r="AY85" s="75" t="inlineStr">
        <is>
          <t>suporte_total_pl</t>
        </is>
      </c>
      <c r="AZ85" s="75" t="inlineStr">
        <is>
          <t>1242436</t>
        </is>
      </c>
      <c r="BA85" s="75" t="inlineStr">
        <is>
          <t>2026-07-08</t>
        </is>
      </c>
      <c r="BB85" s="75" t="inlineStr">
        <is>
          <t>40–41</t>
        </is>
      </c>
      <c r="BC85" s="75" t="inlineStr">
        <is>
          <t>https://fnet.bmfbovespa.com.br/fnet/publico/downloadDocumento?id=1242436</t>
        </is>
      </c>
      <c r="BD85" s="75" t="inlineStr">
        <is>
          <t>payload_documental</t>
        </is>
      </c>
      <c r="BE85" s="75" t="inlineStr">
        <is>
          <t>junior_pl</t>
        </is>
      </c>
      <c r="BF85" s="75" t="inlineStr">
        <is>
          <t>aceito_payload</t>
        </is>
      </c>
      <c r="BG85" s="75" t="inlineStr">
        <is>
          <t>junior_pl</t>
        </is>
      </c>
      <c r="BH85" s="75" t="inlineStr">
        <is>
          <t>1242436</t>
        </is>
      </c>
      <c r="BI85" s="75" t="inlineStr">
        <is>
          <t>2026-07-08</t>
        </is>
      </c>
      <c r="BJ85" s="75" t="inlineStr">
        <is>
          <t>40–41</t>
        </is>
      </c>
      <c r="BK85" s="75" t="inlineStr">
        <is>
          <t>https://fnet.bmfbovespa.com.br/fnet/publico/downloadDocumento?id=1242436</t>
        </is>
      </c>
      <c r="BL85" s="75" t="inlineStr">
        <is>
          <t>payload_documental</t>
        </is>
      </c>
    </row>
    <row r="86" ht="42" customHeight="1">
      <c r="A86" s="141" t="n">
        <v>82</v>
      </c>
      <c r="B86" s="138" t="n">
        <v>47640584000123</v>
      </c>
      <c r="C86" s="74" t="inlineStr">
        <is>
          <t>47.640.584/0001-23</t>
        </is>
      </c>
      <c r="D86" s="74" t="inlineStr">
        <is>
          <t>SOL AGORA GREEN ESG FIDC IS SEGMENTO FINANCEIRO DE RESPONSABILIDADE LIMITADA</t>
        </is>
      </c>
      <c r="E86" s="74" t="inlineStr">
        <is>
          <t>concluído</t>
        </is>
      </c>
      <c r="F86" s="141" t="n">
        <v>8</v>
      </c>
      <c r="G86" s="74" t="inlineStr">
        <is>
          <t>consultado</t>
        </is>
      </c>
      <c r="H86" s="74" t="inlineStr">
        <is>
          <t>N/D</t>
        </is>
      </c>
      <c r="I86" s="74" t="inlineStr">
        <is>
          <t>Sol Agora</t>
        </is>
      </c>
      <c r="J86" s="74" t="inlineStr">
        <is>
          <t>encontrado_explicito</t>
        </is>
      </c>
      <c r="K86" s="74" t="inlineStr">
        <is>
          <t>rótulo explícito de participante v2</t>
        </is>
      </c>
      <c r="L86" s="74" t="inlineStr">
        <is>
          <t>721487</t>
        </is>
      </c>
      <c r="M86" s="74" t="inlineStr">
        <is>
          <t>30/06/2024</t>
        </is>
      </c>
      <c r="N86" s="74" t="inlineStr">
        <is>
          <t>5</t>
        </is>
      </c>
      <c r="O86" s="74" t="inlineStr">
        <is>
          <t>https://fnet.bmfbovespa.com.br/fnet/publico/downloadDocumento?id=721487</t>
        </is>
      </c>
      <c r="P86" s="74" t="inlineStr">
        <is>
          <t>rating_report</t>
        </is>
      </c>
      <c r="Q86" s="74" t="inlineStr">
        <is>
          <t>BMP</t>
        </is>
      </c>
      <c r="R86" s="74" t="inlineStr">
        <is>
          <t>aceito_payload</t>
        </is>
      </c>
      <c r="S86" s="74" t="inlineStr">
        <is>
          <t>N/D</t>
        </is>
      </c>
      <c r="T86" s="74" t="inlineStr">
        <is>
          <t>IMG_8706.JPG</t>
        </is>
      </c>
      <c r="U86" s="74" t="inlineStr">
        <is>
          <t>2025-06-13</t>
        </is>
      </c>
      <c r="V86" s="74" t="inlineStr">
        <is>
          <t>91</t>
        </is>
      </c>
      <c r="W86" s="74" t="inlineStr">
        <is>
          <t>N/D</t>
        </is>
      </c>
      <c r="X86" s="74" t="inlineStr">
        <is>
          <t>planilha_manual</t>
        </is>
      </c>
      <c r="Y86" s="74" t="inlineStr">
        <is>
          <t>pessoas físicas ou jurídicas que obtenham um financiamento de Projetos de Geração Energia Elétrica junto a uma Instituição Financeira Parceira por meio da Plataforma Sol Agora</t>
        </is>
      </c>
      <c r="Z86" s="74" t="inlineStr">
        <is>
          <t>encontrado_explicito</t>
        </is>
      </c>
      <c r="AA86" s="74" t="inlineStr">
        <is>
          <t>N/D</t>
        </is>
      </c>
      <c r="AB86" s="74" t="inlineStr">
        <is>
          <t>930974</t>
        </is>
      </c>
      <c r="AC86" s="74" t="inlineStr">
        <is>
          <t>13/06/2025</t>
        </is>
      </c>
      <c r="AD86" s="74" t="inlineStr">
        <is>
          <t>87</t>
        </is>
      </c>
      <c r="AE86" s="74" t="inlineStr">
        <is>
          <t>https://fnet.bmfbovespa.com.br/fnet/publico/downloadDocumento?id=930974</t>
        </is>
      </c>
      <c r="AF86" s="74" t="inlineStr">
        <is>
          <t>regulamento</t>
        </is>
      </c>
      <c r="AG86" s="74" t="inlineStr">
        <is>
          <t>Recebíveis: CCBs</t>
        </is>
      </c>
      <c r="AH86" s="74" t="inlineStr">
        <is>
          <t>aceito_payload</t>
        </is>
      </c>
      <c r="AI86" s="74" t="inlineStr">
        <is>
          <t>N/D</t>
        </is>
      </c>
      <c r="AJ86" s="74" t="inlineStr">
        <is>
          <t>IMG_8706.JPG</t>
        </is>
      </c>
      <c r="AK86" s="74" t="inlineStr">
        <is>
          <t>2025-06-13</t>
        </is>
      </c>
      <c r="AL86" s="74" t="inlineStr">
        <is>
          <t>91</t>
        </is>
      </c>
      <c r="AM86" s="74" t="inlineStr">
        <is>
          <t>N/D</t>
        </is>
      </c>
      <c r="AN86" s="74" t="inlineStr">
        <is>
          <t>planilha_manual</t>
        </is>
      </c>
      <c r="AO86" s="74" t="inlineStr">
        <is>
          <t>10%</t>
        </is>
      </c>
      <c r="AP86" s="74" t="inlineStr">
        <is>
          <t>aceito_payload</t>
        </is>
      </c>
      <c r="AQ86" s="74" t="inlineStr">
        <is>
          <t>junior_pl</t>
        </is>
      </c>
      <c r="AR86" s="74" t="inlineStr">
        <is>
          <t>930974</t>
        </is>
      </c>
      <c r="AS86" s="74" t="inlineStr">
        <is>
          <t>2025-06-13</t>
        </is>
      </c>
      <c r="AT86" s="74" t="inlineStr">
        <is>
          <t>91</t>
        </is>
      </c>
      <c r="AU86" s="74" t="inlineStr">
        <is>
          <t>https://fnet.bmfbovespa.com.br/fnet/publico/downloadDocumento?id=930974</t>
        </is>
      </c>
      <c r="AV86" s="74" t="inlineStr">
        <is>
          <t>payload_documental</t>
        </is>
      </c>
      <c r="AW86" s="74" t="inlineStr">
        <is>
          <t>N/D</t>
        </is>
      </c>
      <c r="AX86" s="74" t="inlineStr">
        <is>
          <t>não encontrado</t>
        </is>
      </c>
      <c r="AY86" s="74" t="inlineStr">
        <is>
          <t>N/D</t>
        </is>
      </c>
      <c r="AZ86" s="74" t="inlineStr">
        <is>
          <t>N/D</t>
        </is>
      </c>
      <c r="BA86" s="74" t="inlineStr">
        <is>
          <t>N/D</t>
        </is>
      </c>
      <c r="BB86" s="74" t="inlineStr">
        <is>
          <t>N/D</t>
        </is>
      </c>
      <c r="BC86" s="74" t="inlineStr">
        <is>
          <t>N/D</t>
        </is>
      </c>
      <c r="BD86" s="74" t="inlineStr">
        <is>
          <t>N/D</t>
        </is>
      </c>
      <c r="BE86" s="74" t="inlineStr">
        <is>
          <t>junior_pl</t>
        </is>
      </c>
      <c r="BF86" s="74" t="inlineStr">
        <is>
          <t>aceito_payload</t>
        </is>
      </c>
      <c r="BG86" s="74" t="inlineStr">
        <is>
          <t>junior_pl</t>
        </is>
      </c>
      <c r="BH86" s="74" t="inlineStr">
        <is>
          <t>930974</t>
        </is>
      </c>
      <c r="BI86" s="74" t="inlineStr">
        <is>
          <t>2025-06-13</t>
        </is>
      </c>
      <c r="BJ86" s="74" t="inlineStr">
        <is>
          <t>91</t>
        </is>
      </c>
      <c r="BK86" s="74" t="inlineStr">
        <is>
          <t>https://fnet.bmfbovespa.com.br/fnet/publico/downloadDocumento?id=930974</t>
        </is>
      </c>
      <c r="BL86" s="74" t="inlineStr">
        <is>
          <t>payload_documental</t>
        </is>
      </c>
    </row>
    <row r="87" ht="42" customHeight="1">
      <c r="A87" s="145" t="n">
        <v>83</v>
      </c>
      <c r="B87" s="142" t="n">
        <v>57028406000108</v>
      </c>
      <c r="C87" s="75" t="inlineStr">
        <is>
          <t>57.028.406/0001-08</t>
        </is>
      </c>
      <c r="D87" s="75" t="inlineStr">
        <is>
          <t>IS GREEN SOLFÁCIL VI FUNDO DE INVESTIMENTO EM DIREITOS CREDITÓRIOS RESPONSABILIDADE LIMITADA</t>
        </is>
      </c>
      <c r="E87" s="75" t="inlineStr">
        <is>
          <t>concluído</t>
        </is>
      </c>
      <c r="F87" s="145" t="n">
        <v>8</v>
      </c>
      <c r="G87" s="75" t="inlineStr">
        <is>
          <t>consultado</t>
        </is>
      </c>
      <c r="H87" s="75" t="inlineStr">
        <is>
          <t>N/D</t>
        </is>
      </c>
      <c r="I87" s="75" t="inlineStr">
        <is>
          <t>Solfácil Energia</t>
        </is>
      </c>
      <c r="J87" s="75" t="inlineStr">
        <is>
          <t>encontrado_explicito</t>
        </is>
      </c>
      <c r="K87" s="75" t="inlineStr">
        <is>
          <t>rótulo explícito de participante v2</t>
        </is>
      </c>
      <c r="L87" s="75" t="inlineStr">
        <is>
          <t>1048522</t>
        </is>
      </c>
      <c r="M87" s="75" t="inlineStr">
        <is>
          <t>29/08/2025</t>
        </is>
      </c>
      <c r="N87" s="75" t="inlineStr">
        <is>
          <t>5</t>
        </is>
      </c>
      <c r="O87" s="75" t="inlineStr">
        <is>
          <t>https://fnet.bmfbovespa.com.br/fnet/publico/downloadDocumento?id=1048522</t>
        </is>
      </c>
      <c r="P87" s="75" t="inlineStr">
        <is>
          <t>rating_report</t>
        </is>
      </c>
      <c r="Q87" s="75" t="inlineStr">
        <is>
          <t>Solfácil SCD</t>
        </is>
      </c>
      <c r="R87" s="75" t="inlineStr">
        <is>
          <t>aceito_payload</t>
        </is>
      </c>
      <c r="S87" s="75" t="inlineStr">
        <is>
          <t>N/D</t>
        </is>
      </c>
      <c r="T87" s="75" t="inlineStr">
        <is>
          <t>IMG_8706.JPG</t>
        </is>
      </c>
      <c r="U87" s="75" t="inlineStr">
        <is>
          <t>2026-05-21</t>
        </is>
      </c>
      <c r="V87" s="75" t="inlineStr">
        <is>
          <t>112</t>
        </is>
      </c>
      <c r="W87" s="75" t="inlineStr">
        <is>
          <t>N/D</t>
        </is>
      </c>
      <c r="X87" s="75" t="inlineStr">
        <is>
          <t>planilha_manual</t>
        </is>
      </c>
      <c r="Y87" s="75" t="inlineStr">
        <is>
          <t>N/D</t>
        </is>
      </c>
      <c r="Z87" s="75" t="inlineStr">
        <is>
          <t>não encontrado</t>
        </is>
      </c>
      <c r="AA87" s="75" t="inlineStr">
        <is>
          <t>N/D</t>
        </is>
      </c>
      <c r="AB87" s="75" t="inlineStr">
        <is>
          <t>N/D</t>
        </is>
      </c>
      <c r="AC87" s="75" t="inlineStr">
        <is>
          <t>N/D</t>
        </is>
      </c>
      <c r="AD87" s="75" t="inlineStr">
        <is>
          <t>N/D</t>
        </is>
      </c>
      <c r="AE87" s="75" t="inlineStr">
        <is>
          <t>N/D</t>
        </is>
      </c>
      <c r="AF87" s="75" t="inlineStr">
        <is>
          <t>N/D</t>
        </is>
      </c>
      <c r="AG87" s="75" t="inlineStr">
        <is>
          <t>Direitos Creditórios performados oriundos de financiamento de instalação de placas solares</t>
        </is>
      </c>
      <c r="AH87" s="75" t="inlineStr">
        <is>
          <t>aceito_payload</t>
        </is>
      </c>
      <c r="AI87" s="75" t="inlineStr">
        <is>
          <t>N/D</t>
        </is>
      </c>
      <c r="AJ87" s="75" t="inlineStr">
        <is>
          <t>IMG_8706.JPG</t>
        </is>
      </c>
      <c r="AK87" s="75" t="inlineStr">
        <is>
          <t>2026-05-21</t>
        </is>
      </c>
      <c r="AL87" s="75" t="inlineStr">
        <is>
          <t>112</t>
        </is>
      </c>
      <c r="AM87" s="75" t="inlineStr">
        <is>
          <t>N/D</t>
        </is>
      </c>
      <c r="AN87" s="75" t="inlineStr">
        <is>
          <t>planilha_manual</t>
        </is>
      </c>
      <c r="AO87" s="75" t="inlineStr">
        <is>
          <t>2%</t>
        </is>
      </c>
      <c r="AP87" s="75" t="inlineStr">
        <is>
          <t>aceito_payload</t>
        </is>
      </c>
      <c r="AQ87" s="75" t="inlineStr">
        <is>
          <t>junior_pl</t>
        </is>
      </c>
      <c r="AR87" s="75" t="inlineStr">
        <is>
          <t>1202319</t>
        </is>
      </c>
      <c r="AS87" s="75" t="inlineStr">
        <is>
          <t>2026-05-21</t>
        </is>
      </c>
      <c r="AT87" s="75" t="inlineStr">
        <is>
          <t>112</t>
        </is>
      </c>
      <c r="AU87" s="75" t="inlineStr">
        <is>
          <t>https://fnet.bmfbovespa.com.br/fnet/publico/downloadDocumento?id=1202319</t>
        </is>
      </c>
      <c r="AV87" s="75" t="inlineStr">
        <is>
          <t>payload_documental</t>
        </is>
      </c>
      <c r="AW87" s="75" t="inlineStr">
        <is>
          <t>N/D</t>
        </is>
      </c>
      <c r="AX87" s="75" t="inlineStr">
        <is>
          <t>não encontrado</t>
        </is>
      </c>
      <c r="AY87" s="75" t="inlineStr">
        <is>
          <t>N/D</t>
        </is>
      </c>
      <c r="AZ87" s="75" t="inlineStr">
        <is>
          <t>N/D</t>
        </is>
      </c>
      <c r="BA87" s="75" t="inlineStr">
        <is>
          <t>N/D</t>
        </is>
      </c>
      <c r="BB87" s="75" t="inlineStr">
        <is>
          <t>N/D</t>
        </is>
      </c>
      <c r="BC87" s="75" t="inlineStr">
        <is>
          <t>N/D</t>
        </is>
      </c>
      <c r="BD87" s="75" t="inlineStr">
        <is>
          <t>N/D</t>
        </is>
      </c>
      <c r="BE87" s="75" t="inlineStr">
        <is>
          <t>junior_pl</t>
        </is>
      </c>
      <c r="BF87" s="75" t="inlineStr">
        <is>
          <t>aceito_payload</t>
        </is>
      </c>
      <c r="BG87" s="75" t="inlineStr">
        <is>
          <t>junior_pl</t>
        </is>
      </c>
      <c r="BH87" s="75" t="inlineStr">
        <is>
          <t>1202319</t>
        </is>
      </c>
      <c r="BI87" s="75" t="inlineStr">
        <is>
          <t>2026-05-21</t>
        </is>
      </c>
      <c r="BJ87" s="75" t="inlineStr">
        <is>
          <t>112</t>
        </is>
      </c>
      <c r="BK87" s="75" t="inlineStr">
        <is>
          <t>https://fnet.bmfbovespa.com.br/fnet/publico/downloadDocumento?id=1202319</t>
        </is>
      </c>
      <c r="BL87" s="75" t="inlineStr">
        <is>
          <t>payload_documental</t>
        </is>
      </c>
    </row>
    <row r="88" ht="42" customHeight="1">
      <c r="A88" s="141" t="n">
        <v>84</v>
      </c>
      <c r="B88" s="138" t="n">
        <v>31570767000180</v>
      </c>
      <c r="C88" s="74" t="inlineStr">
        <is>
          <t>31.570.767/0001-80</t>
        </is>
      </c>
      <c r="D88" s="74" t="inlineStr">
        <is>
          <t>FUNDO DE INVESTIMENTO EM DIREITOS CREDITÓRIOS TRADEPAY VAREJO I - RESPONSABILIDADE LIMITADA</t>
        </is>
      </c>
      <c r="E88" s="74" t="inlineStr">
        <is>
          <t>concluído</t>
        </is>
      </c>
      <c r="F88" s="141" t="n">
        <v>9</v>
      </c>
      <c r="G88" s="74" t="inlineStr">
        <is>
          <t>consultado</t>
        </is>
      </c>
      <c r="H88" s="74" t="inlineStr">
        <is>
          <t>N/D</t>
        </is>
      </c>
      <c r="I88" s="74" t="inlineStr">
        <is>
          <t>N/D</t>
        </is>
      </c>
      <c r="J88" s="74" t="inlineStr">
        <is>
          <t>não encontrado</t>
        </is>
      </c>
      <c r="K88" s="74" t="inlineStr">
        <is>
          <t>N/D</t>
        </is>
      </c>
      <c r="L88" s="74" t="inlineStr">
        <is>
          <t>N/D</t>
        </is>
      </c>
      <c r="M88" s="74" t="inlineStr">
        <is>
          <t>N/D</t>
        </is>
      </c>
      <c r="N88" s="74" t="inlineStr">
        <is>
          <t>N/D</t>
        </is>
      </c>
      <c r="O88" s="74" t="inlineStr">
        <is>
          <t>N/D</t>
        </is>
      </c>
      <c r="P88" s="74" t="inlineStr">
        <is>
          <t>N/D</t>
        </is>
      </c>
      <c r="Q88" s="74" t="inlineStr">
        <is>
          <t>Trademaster</t>
        </is>
      </c>
      <c r="R88" s="74" t="inlineStr">
        <is>
          <t>aceito_payload</t>
        </is>
      </c>
      <c r="S88" s="74" t="inlineStr">
        <is>
          <t>N/D</t>
        </is>
      </c>
      <c r="T88" s="74" t="inlineStr">
        <is>
          <t>IMG_8706.JPG</t>
        </is>
      </c>
      <c r="U88" s="74" t="inlineStr">
        <is>
          <t>2026-05-25</t>
        </is>
      </c>
      <c r="V88" s="74" t="inlineStr">
        <is>
          <t>39</t>
        </is>
      </c>
      <c r="W88" s="74" t="inlineStr">
        <is>
          <t>N/D</t>
        </is>
      </c>
      <c r="X88" s="74" t="inlineStr">
        <is>
          <t>planilha_manual</t>
        </is>
      </c>
      <c r="Y88" s="74" t="inlineStr">
        <is>
          <t>N/D</t>
        </is>
      </c>
      <c r="Z88" s="74" t="inlineStr">
        <is>
          <t>não encontrado</t>
        </is>
      </c>
      <c r="AA88" s="74" t="inlineStr">
        <is>
          <t>N/D</t>
        </is>
      </c>
      <c r="AB88" s="74" t="inlineStr">
        <is>
          <t>N/D</t>
        </is>
      </c>
      <c r="AC88" s="74" t="inlineStr">
        <is>
          <t>N/D</t>
        </is>
      </c>
      <c r="AD88" s="74" t="inlineStr">
        <is>
          <t>N/D</t>
        </is>
      </c>
      <c r="AE88" s="74" t="inlineStr">
        <is>
          <t>N/D</t>
        </is>
      </c>
      <c r="AF88" s="74" t="inlineStr">
        <is>
          <t>N/D</t>
        </is>
      </c>
      <c r="AG88" s="74" t="inlineStr">
        <is>
          <t>N/D</t>
        </is>
      </c>
      <c r="AH88" s="74" t="inlineStr">
        <is>
          <t>não encontrado</t>
        </is>
      </c>
      <c r="AI88" s="74" t="inlineStr">
        <is>
          <t>N/D</t>
        </is>
      </c>
      <c r="AJ88" s="74" t="inlineStr">
        <is>
          <t>N/D</t>
        </is>
      </c>
      <c r="AK88" s="74" t="inlineStr">
        <is>
          <t>N/D</t>
        </is>
      </c>
      <c r="AL88" s="74" t="inlineStr">
        <is>
          <t>N/D</t>
        </is>
      </c>
      <c r="AM88" s="74" t="inlineStr">
        <is>
          <t>N/D</t>
        </is>
      </c>
      <c r="AN88" s="74" t="inlineStr">
        <is>
          <t>N/D</t>
        </is>
      </c>
      <c r="AO88" s="74" t="inlineStr">
        <is>
          <t>5%</t>
        </is>
      </c>
      <c r="AP88" s="74" t="inlineStr">
        <is>
          <t>aceito_payload</t>
        </is>
      </c>
      <c r="AQ88" s="74" t="inlineStr">
        <is>
          <t>junior_pl</t>
        </is>
      </c>
      <c r="AR88" s="74" t="inlineStr">
        <is>
          <t>1203635</t>
        </is>
      </c>
      <c r="AS88" s="74" t="inlineStr">
        <is>
          <t>2026-05-25</t>
        </is>
      </c>
      <c r="AT88" s="74" t="inlineStr">
        <is>
          <t>39</t>
        </is>
      </c>
      <c r="AU88" s="74" t="inlineStr">
        <is>
          <t>https://fnet.bmfbovespa.com.br/fnet/publico/downloadDocumento?id=1203635</t>
        </is>
      </c>
      <c r="AV88" s="74" t="inlineStr">
        <is>
          <t>payload_documental</t>
        </is>
      </c>
      <c r="AW88" s="74" t="inlineStr">
        <is>
          <t>N/D</t>
        </is>
      </c>
      <c r="AX88" s="74" t="inlineStr">
        <is>
          <t>não encontrado</t>
        </is>
      </c>
      <c r="AY88" s="74" t="inlineStr">
        <is>
          <t>N/D</t>
        </is>
      </c>
      <c r="AZ88" s="74" t="inlineStr">
        <is>
          <t>N/D</t>
        </is>
      </c>
      <c r="BA88" s="74" t="inlineStr">
        <is>
          <t>N/D</t>
        </is>
      </c>
      <c r="BB88" s="74" t="inlineStr">
        <is>
          <t>N/D</t>
        </is>
      </c>
      <c r="BC88" s="74" t="inlineStr">
        <is>
          <t>N/D</t>
        </is>
      </c>
      <c r="BD88" s="74" t="inlineStr">
        <is>
          <t>N/D</t>
        </is>
      </c>
      <c r="BE88" s="74" t="inlineStr">
        <is>
          <t>junior_pl</t>
        </is>
      </c>
      <c r="BF88" s="74" t="inlineStr">
        <is>
          <t>aceito_payload</t>
        </is>
      </c>
      <c r="BG88" s="74" t="inlineStr">
        <is>
          <t>junior_pl</t>
        </is>
      </c>
      <c r="BH88" s="74" t="inlineStr">
        <is>
          <t>1203635</t>
        </is>
      </c>
      <c r="BI88" s="74" t="inlineStr">
        <is>
          <t>2026-05-25</t>
        </is>
      </c>
      <c r="BJ88" s="74" t="inlineStr">
        <is>
          <t>39</t>
        </is>
      </c>
      <c r="BK88" s="74" t="inlineStr">
        <is>
          <t>https://fnet.bmfbovespa.com.br/fnet/publico/downloadDocumento?id=1203635</t>
        </is>
      </c>
      <c r="BL88" s="74" t="inlineStr">
        <is>
          <t>payload_documental</t>
        </is>
      </c>
    </row>
    <row r="89" ht="42" customHeight="1">
      <c r="A89" s="145" t="n">
        <v>85</v>
      </c>
      <c r="B89" s="142" t="n">
        <v>54464892000100</v>
      </c>
      <c r="C89" s="75" t="inlineStr">
        <is>
          <t>54.464.892/0001-00</t>
        </is>
      </c>
      <c r="D89" s="75" t="inlineStr">
        <is>
          <t>FUNDO DE INVESTIMENTO EM DIREITOS CREDITÓRIOS MT FGTS RECEIVABLES II</t>
        </is>
      </c>
      <c r="E89" s="75" t="inlineStr">
        <is>
          <t>concluído</t>
        </is>
      </c>
      <c r="F89" s="145" t="n">
        <v>6</v>
      </c>
      <c r="G89" s="75" t="inlineStr">
        <is>
          <t>consultado</t>
        </is>
      </c>
      <c r="H89" s="75" t="inlineStr">
        <is>
          <t>N/D</t>
        </is>
      </c>
      <c r="I89" s="75" t="inlineStr">
        <is>
          <t>N/D</t>
        </is>
      </c>
      <c r="J89" s="75" t="inlineStr">
        <is>
          <t>não encontrado</t>
        </is>
      </c>
      <c r="K89" s="75" t="inlineStr">
        <is>
          <t>N/D</t>
        </is>
      </c>
      <c r="L89" s="75" t="inlineStr">
        <is>
          <t>N/D</t>
        </is>
      </c>
      <c r="M89" s="75" t="inlineStr">
        <is>
          <t>N/D</t>
        </is>
      </c>
      <c r="N89" s="75" t="inlineStr">
        <is>
          <t>N/D</t>
        </is>
      </c>
      <c r="O89" s="75" t="inlineStr">
        <is>
          <t>N/D</t>
        </is>
      </c>
      <c r="P89" s="75" t="inlineStr">
        <is>
          <t>N/D</t>
        </is>
      </c>
      <c r="Q89" s="75" t="inlineStr">
        <is>
          <t>75% Parati / 25% QI Tech</t>
        </is>
      </c>
      <c r="R89" s="75" t="inlineStr">
        <is>
          <t>aceito_payload</t>
        </is>
      </c>
      <c r="S89" s="75" t="inlineStr">
        <is>
          <t>N/D</t>
        </is>
      </c>
      <c r="T89" s="75" t="inlineStr">
        <is>
          <t>IMG_8707.jpg</t>
        </is>
      </c>
      <c r="U89" s="75" t="inlineStr">
        <is>
          <t>2025-04-23</t>
        </is>
      </c>
      <c r="V89" s="75" t="inlineStr">
        <is>
          <t>85–86</t>
        </is>
      </c>
      <c r="W89" s="75" t="inlineStr">
        <is>
          <t>N/D</t>
        </is>
      </c>
      <c r="X89" s="75" t="inlineStr">
        <is>
          <t>planilha_manual</t>
        </is>
      </c>
      <c r="Y89" s="75" t="inlineStr">
        <is>
          <t>N/D</t>
        </is>
      </c>
      <c r="Z89" s="75" t="inlineStr">
        <is>
          <t>não encontrado</t>
        </is>
      </c>
      <c r="AA89" s="75" t="inlineStr">
        <is>
          <t>N/D</t>
        </is>
      </c>
      <c r="AB89" s="75" t="inlineStr">
        <is>
          <t>N/D</t>
        </is>
      </c>
      <c r="AC89" s="75" t="inlineStr">
        <is>
          <t>N/D</t>
        </is>
      </c>
      <c r="AD89" s="75" t="inlineStr">
        <is>
          <t>N/D</t>
        </is>
      </c>
      <c r="AE89" s="75" t="inlineStr">
        <is>
          <t>N/D</t>
        </is>
      </c>
      <c r="AF89" s="75" t="inlineStr">
        <is>
          <t>N/D</t>
        </is>
      </c>
      <c r="AG89" s="75" t="inlineStr">
        <is>
          <t>N/D</t>
        </is>
      </c>
      <c r="AH89" s="75" t="inlineStr">
        <is>
          <t>não encontrado</t>
        </is>
      </c>
      <c r="AI89" s="75" t="inlineStr">
        <is>
          <t>N/D</t>
        </is>
      </c>
      <c r="AJ89" s="75" t="inlineStr">
        <is>
          <t>N/D</t>
        </is>
      </c>
      <c r="AK89" s="75" t="inlineStr">
        <is>
          <t>N/D</t>
        </is>
      </c>
      <c r="AL89" s="75" t="inlineStr">
        <is>
          <t>N/D</t>
        </is>
      </c>
      <c r="AM89" s="75" t="inlineStr">
        <is>
          <t>N/D</t>
        </is>
      </c>
      <c r="AN89" s="75" t="inlineStr">
        <is>
          <t>N/D</t>
        </is>
      </c>
      <c r="AO89" s="75" t="inlineStr">
        <is>
          <t>3.5%</t>
        </is>
      </c>
      <c r="AP89" s="75" t="inlineStr">
        <is>
          <t>aceito_payload</t>
        </is>
      </c>
      <c r="AQ89" s="75" t="inlineStr">
        <is>
          <t>junior_pl</t>
        </is>
      </c>
      <c r="AR89" s="75" t="inlineStr">
        <is>
          <t>884293</t>
        </is>
      </c>
      <c r="AS89" s="75" t="inlineStr">
        <is>
          <t>2025-04-23</t>
        </is>
      </c>
      <c r="AT89" s="75" t="inlineStr">
        <is>
          <t>85–86</t>
        </is>
      </c>
      <c r="AU89" s="75" t="inlineStr">
        <is>
          <t>https://fnet.bmfbovespa.com.br/fnet/publico/downloadDocumento?id=884293</t>
        </is>
      </c>
      <c r="AV89" s="75" t="inlineStr">
        <is>
          <t>payload_documental</t>
        </is>
      </c>
      <c r="AW89" s="75" t="inlineStr">
        <is>
          <t>N/D</t>
        </is>
      </c>
      <c r="AX89" s="75" t="inlineStr">
        <is>
          <t>não encontrado</t>
        </is>
      </c>
      <c r="AY89" s="75" t="inlineStr">
        <is>
          <t>N/D</t>
        </is>
      </c>
      <c r="AZ89" s="75" t="inlineStr">
        <is>
          <t>N/D</t>
        </is>
      </c>
      <c r="BA89" s="75" t="inlineStr">
        <is>
          <t>N/D</t>
        </is>
      </c>
      <c r="BB89" s="75" t="inlineStr">
        <is>
          <t>N/D</t>
        </is>
      </c>
      <c r="BC89" s="75" t="inlineStr">
        <is>
          <t>N/D</t>
        </is>
      </c>
      <c r="BD89" s="75" t="inlineStr">
        <is>
          <t>N/D</t>
        </is>
      </c>
      <c r="BE89" s="75" t="inlineStr">
        <is>
          <t>junior_pl</t>
        </is>
      </c>
      <c r="BF89" s="75" t="inlineStr">
        <is>
          <t>aceito_payload</t>
        </is>
      </c>
      <c r="BG89" s="75" t="inlineStr">
        <is>
          <t>junior_pl</t>
        </is>
      </c>
      <c r="BH89" s="75" t="inlineStr">
        <is>
          <t>884293</t>
        </is>
      </c>
      <c r="BI89" s="75" t="inlineStr">
        <is>
          <t>2025-04-23</t>
        </is>
      </c>
      <c r="BJ89" s="75" t="inlineStr">
        <is>
          <t>85–86</t>
        </is>
      </c>
      <c r="BK89" s="75" t="inlineStr">
        <is>
          <t>https://fnet.bmfbovespa.com.br/fnet/publico/downloadDocumento?id=884293</t>
        </is>
      </c>
      <c r="BL89" s="75" t="inlineStr">
        <is>
          <t>payload_documental</t>
        </is>
      </c>
    </row>
    <row r="90" ht="42" customHeight="1">
      <c r="A90" s="141" t="n">
        <v>86</v>
      </c>
      <c r="B90" s="138" t="n">
        <v>11468186000124</v>
      </c>
      <c r="C90" s="74" t="inlineStr">
        <is>
          <t>11.468.186/0001-24</t>
        </is>
      </c>
      <c r="D90" s="74" t="inlineStr">
        <is>
          <t>ATLANTA FUNDO DE INVESTIMENTO EM DIREITOS CREDITÓRIOS DE RESPONSABILIDADE LIMITADA</t>
        </is>
      </c>
      <c r="E90" s="74" t="inlineStr">
        <is>
          <t>concluído</t>
        </is>
      </c>
      <c r="F90" s="141" t="n">
        <v>8</v>
      </c>
      <c r="G90" s="74" t="inlineStr">
        <is>
          <t>consultado</t>
        </is>
      </c>
      <c r="H90" s="74" t="inlineStr">
        <is>
          <t>N/D</t>
        </is>
      </c>
      <c r="I90" s="74" t="inlineStr">
        <is>
          <t>N/D</t>
        </is>
      </c>
      <c r="J90" s="74" t="inlineStr">
        <is>
          <t>não encontrado</t>
        </is>
      </c>
      <c r="K90" s="74" t="inlineStr">
        <is>
          <t>N/D</t>
        </is>
      </c>
      <c r="L90" s="74" t="inlineStr">
        <is>
          <t>N/D</t>
        </is>
      </c>
      <c r="M90" s="74" t="inlineStr">
        <is>
          <t>N/D</t>
        </is>
      </c>
      <c r="N90" s="74" t="inlineStr">
        <is>
          <t>N/D</t>
        </is>
      </c>
      <c r="O90" s="74" t="inlineStr">
        <is>
          <t>N/D</t>
        </is>
      </c>
      <c r="P90" s="74" t="inlineStr">
        <is>
          <t>N/D</t>
        </is>
      </c>
      <c r="Q90" s="74" t="inlineStr">
        <is>
          <t>Multicedentes e Multisacados</t>
        </is>
      </c>
      <c r="R90" s="74" t="inlineStr">
        <is>
          <t>aceito_payload</t>
        </is>
      </c>
      <c r="S90" s="74" t="inlineStr">
        <is>
          <t>N/D</t>
        </is>
      </c>
      <c r="T90" s="74" t="inlineStr">
        <is>
          <t>IMG_8707.jpg</t>
        </is>
      </c>
      <c r="U90" s="74" t="inlineStr">
        <is>
          <t>2026-03-06</t>
        </is>
      </c>
      <c r="V90" s="74" t="inlineStr">
        <is>
          <t>47</t>
        </is>
      </c>
      <c r="W90" s="74" t="inlineStr">
        <is>
          <t>N/D</t>
        </is>
      </c>
      <c r="X90" s="74" t="inlineStr">
        <is>
          <t>planilha_manual</t>
        </is>
      </c>
      <c r="Y90" s="74" t="inlineStr">
        <is>
          <t>N/D</t>
        </is>
      </c>
      <c r="Z90" s="74" t="inlineStr">
        <is>
          <t>não encontrado</t>
        </is>
      </c>
      <c r="AA90" s="74" t="inlineStr">
        <is>
          <t>N/D</t>
        </is>
      </c>
      <c r="AB90" s="74" t="inlineStr">
        <is>
          <t>N/D</t>
        </is>
      </c>
      <c r="AC90" s="74" t="inlineStr">
        <is>
          <t>N/D</t>
        </is>
      </c>
      <c r="AD90" s="74" t="inlineStr">
        <is>
          <t>N/D</t>
        </is>
      </c>
      <c r="AE90" s="74" t="inlineStr">
        <is>
          <t>N/D</t>
        </is>
      </c>
      <c r="AF90" s="74" t="inlineStr">
        <is>
          <t>N/D</t>
        </is>
      </c>
      <c r="AG90" s="74" t="inlineStr">
        <is>
          <t>FIDC Multicedentes &amp; Multisacados</t>
        </is>
      </c>
      <c r="AH90" s="74" t="inlineStr">
        <is>
          <t>aceito_payload</t>
        </is>
      </c>
      <c r="AI90" s="74" t="inlineStr">
        <is>
          <t>N/D</t>
        </is>
      </c>
      <c r="AJ90" s="74" t="inlineStr">
        <is>
          <t>IMG_8707.jpg</t>
        </is>
      </c>
      <c r="AK90" s="74" t="inlineStr">
        <is>
          <t>2026-03-06</t>
        </is>
      </c>
      <c r="AL90" s="74" t="inlineStr">
        <is>
          <t>47</t>
        </is>
      </c>
      <c r="AM90" s="74" t="inlineStr">
        <is>
          <t>N/D</t>
        </is>
      </c>
      <c r="AN90" s="74" t="inlineStr">
        <is>
          <t>planilha_manual</t>
        </is>
      </c>
      <c r="AO90" s="74" t="inlineStr">
        <is>
          <t>50%</t>
        </is>
      </c>
      <c r="AP90" s="74" t="inlineStr">
        <is>
          <t>aceito_payload</t>
        </is>
      </c>
      <c r="AQ90" s="74" t="inlineStr">
        <is>
          <t>junior_pl</t>
        </is>
      </c>
      <c r="AR90" s="74" t="inlineStr">
        <is>
          <t>1130308</t>
        </is>
      </c>
      <c r="AS90" s="74" t="inlineStr">
        <is>
          <t>2026-03-06</t>
        </is>
      </c>
      <c r="AT90" s="74" t="inlineStr">
        <is>
          <t>47</t>
        </is>
      </c>
      <c r="AU90" s="74" t="inlineStr">
        <is>
          <t>https://fnet.bmfbovespa.com.br/fnet/publico/downloadDocumento?id=1130308</t>
        </is>
      </c>
      <c r="AV90" s="74" t="inlineStr">
        <is>
          <t>payload_documental</t>
        </is>
      </c>
      <c r="AW90" s="74" t="inlineStr">
        <is>
          <t>N/D</t>
        </is>
      </c>
      <c r="AX90" s="74" t="inlineStr">
        <is>
          <t>não encontrado</t>
        </is>
      </c>
      <c r="AY90" s="74" t="inlineStr">
        <is>
          <t>N/D</t>
        </is>
      </c>
      <c r="AZ90" s="74" t="inlineStr">
        <is>
          <t>N/D</t>
        </is>
      </c>
      <c r="BA90" s="74" t="inlineStr">
        <is>
          <t>N/D</t>
        </is>
      </c>
      <c r="BB90" s="74" t="inlineStr">
        <is>
          <t>N/D</t>
        </is>
      </c>
      <c r="BC90" s="74" t="inlineStr">
        <is>
          <t>N/D</t>
        </is>
      </c>
      <c r="BD90" s="74" t="inlineStr">
        <is>
          <t>N/D</t>
        </is>
      </c>
      <c r="BE90" s="74" t="inlineStr">
        <is>
          <t>junior_pl</t>
        </is>
      </c>
      <c r="BF90" s="74" t="inlineStr">
        <is>
          <t>aceito_payload</t>
        </is>
      </c>
      <c r="BG90" s="74" t="inlineStr">
        <is>
          <t>junior_pl</t>
        </is>
      </c>
      <c r="BH90" s="74" t="inlineStr">
        <is>
          <t>1130308</t>
        </is>
      </c>
      <c r="BI90" s="74" t="inlineStr">
        <is>
          <t>2026-03-06</t>
        </is>
      </c>
      <c r="BJ90" s="74" t="inlineStr">
        <is>
          <t>47</t>
        </is>
      </c>
      <c r="BK90" s="74" t="inlineStr">
        <is>
          <t>https://fnet.bmfbovespa.com.br/fnet/publico/downloadDocumento?id=1130308</t>
        </is>
      </c>
      <c r="BL90" s="74" t="inlineStr">
        <is>
          <t>payload_documental</t>
        </is>
      </c>
    </row>
    <row r="91" ht="42" customHeight="1">
      <c r="A91" s="145" t="n">
        <v>87</v>
      </c>
      <c r="B91" s="142" t="n">
        <v>43193260000133</v>
      </c>
      <c r="C91" s="75" t="inlineStr">
        <is>
          <t>43.193.260/0001-33</t>
        </is>
      </c>
      <c r="D91" s="75" t="inlineStr">
        <is>
          <t>RESIDENCE CLUB FUNDO DE INVESTIMENTO EM DIREITOS CREDITÓRIOS</t>
        </is>
      </c>
      <c r="E91" s="75" t="inlineStr">
        <is>
          <t>concluído</t>
        </is>
      </c>
      <c r="F91" s="145" t="n">
        <v>8</v>
      </c>
      <c r="G91" s="75" t="inlineStr">
        <is>
          <t>consultado</t>
        </is>
      </c>
      <c r="H91" s="75" t="inlineStr">
        <is>
          <t>N/D</t>
        </is>
      </c>
      <c r="I91" s="75" t="inlineStr">
        <is>
          <t>N/D</t>
        </is>
      </c>
      <c r="J91" s="75" t="inlineStr">
        <is>
          <t>não encontrado</t>
        </is>
      </c>
      <c r="K91" s="75" t="inlineStr">
        <is>
          <t>N/D</t>
        </is>
      </c>
      <c r="L91" s="75" t="inlineStr">
        <is>
          <t>N/D</t>
        </is>
      </c>
      <c r="M91" s="75" t="inlineStr">
        <is>
          <t>N/D</t>
        </is>
      </c>
      <c r="N91" s="75" t="inlineStr">
        <is>
          <t>N/D</t>
        </is>
      </c>
      <c r="O91" s="75" t="inlineStr">
        <is>
          <t>N/D</t>
        </is>
      </c>
      <c r="P91" s="75" t="inlineStr">
        <is>
          <t>N/D</t>
        </is>
      </c>
      <c r="Q91" s="75" t="inlineStr">
        <is>
          <t>VCI</t>
        </is>
      </c>
      <c r="R91" s="75" t="inlineStr">
        <is>
          <t>aceito_payload</t>
        </is>
      </c>
      <c r="S91" s="75" t="inlineStr">
        <is>
          <t>N/D</t>
        </is>
      </c>
      <c r="T91" s="75" t="inlineStr">
        <is>
          <t>IMG_8707.jpg</t>
        </is>
      </c>
      <c r="U91" s="75" t="inlineStr">
        <is>
          <t>2025-11-17</t>
        </is>
      </c>
      <c r="V91" s="75" t="inlineStr">
        <is>
          <t>26</t>
        </is>
      </c>
      <c r="W91" s="75" t="inlineStr">
        <is>
          <t>N/D</t>
        </is>
      </c>
      <c r="X91" s="75" t="inlineStr">
        <is>
          <t>planilha_manual</t>
        </is>
      </c>
      <c r="Y91" s="75" t="inlineStr">
        <is>
          <t>N/D</t>
        </is>
      </c>
      <c r="Z91" s="75" t="inlineStr">
        <is>
          <t>não encontrado</t>
        </is>
      </c>
      <c r="AA91" s="75" t="inlineStr">
        <is>
          <t>N/D</t>
        </is>
      </c>
      <c r="AB91" s="75" t="inlineStr">
        <is>
          <t>N/D</t>
        </is>
      </c>
      <c r="AC91" s="75" t="inlineStr">
        <is>
          <t>N/D</t>
        </is>
      </c>
      <c r="AD91" s="75" t="inlineStr">
        <is>
          <t>N/D</t>
        </is>
      </c>
      <c r="AE91" s="75" t="inlineStr">
        <is>
          <t>N/D</t>
        </is>
      </c>
      <c r="AF91" s="75" t="inlineStr">
        <is>
          <t>N/D</t>
        </is>
      </c>
      <c r="AG91" s="75" t="inlineStr">
        <is>
          <t>N/D</t>
        </is>
      </c>
      <c r="AH91" s="75" t="inlineStr">
        <is>
          <t>não encontrado</t>
        </is>
      </c>
      <c r="AI91" s="75" t="inlineStr">
        <is>
          <t>N/D</t>
        </is>
      </c>
      <c r="AJ91" s="75" t="inlineStr">
        <is>
          <t>N/D</t>
        </is>
      </c>
      <c r="AK91" s="75" t="inlineStr">
        <is>
          <t>N/D</t>
        </is>
      </c>
      <c r="AL91" s="75" t="inlineStr">
        <is>
          <t>N/D</t>
        </is>
      </c>
      <c r="AM91" s="75" t="inlineStr">
        <is>
          <t>N/D</t>
        </is>
      </c>
      <c r="AN91" s="75" t="inlineStr">
        <is>
          <t>N/D</t>
        </is>
      </c>
      <c r="AO91" s="75" t="inlineStr">
        <is>
          <t>15%</t>
        </is>
      </c>
      <c r="AP91" s="75" t="inlineStr">
        <is>
          <t>aceito_payload</t>
        </is>
      </c>
      <c r="AQ91" s="75" t="inlineStr">
        <is>
          <t>junior_pl_calculado</t>
        </is>
      </c>
      <c r="AR91" s="75" t="inlineStr">
        <is>
          <t>1044387</t>
        </is>
      </c>
      <c r="AS91" s="75" t="inlineStr">
        <is>
          <t>2025-11-17</t>
        </is>
      </c>
      <c r="AT91" s="75" t="inlineStr">
        <is>
          <t>26</t>
        </is>
      </c>
      <c r="AU91" s="75" t="inlineStr">
        <is>
          <t>https://fnet.bmfbovespa.com.br/fnet/publico/downloadDocumento?id=1044387</t>
        </is>
      </c>
      <c r="AV91" s="75" t="inlineStr">
        <is>
          <t>payload_documental</t>
        </is>
      </c>
      <c r="AW91" s="75" t="inlineStr">
        <is>
          <t>50%</t>
        </is>
      </c>
      <c r="AX91" s="75" t="inlineStr">
        <is>
          <t>aceito_payload</t>
        </is>
      </c>
      <c r="AY91" s="75" t="inlineStr">
        <is>
          <t>suporte_total_pl</t>
        </is>
      </c>
      <c r="AZ91" s="75" t="inlineStr">
        <is>
          <t>1044387</t>
        </is>
      </c>
      <c r="BA91" s="75" t="inlineStr">
        <is>
          <t>2025-11-17</t>
        </is>
      </c>
      <c r="BB91" s="75" t="inlineStr">
        <is>
          <t>26</t>
        </is>
      </c>
      <c r="BC91" s="75" t="inlineStr">
        <is>
          <t>https://fnet.bmfbovespa.com.br/fnet/publico/downloadDocumento?id=1044387</t>
        </is>
      </c>
      <c r="BD91" s="75" t="inlineStr">
        <is>
          <t>payload_documental</t>
        </is>
      </c>
      <c r="BE91" s="75" t="inlineStr">
        <is>
          <t>junior_pl_calculado</t>
        </is>
      </c>
      <c r="BF91" s="75" t="inlineStr">
        <is>
          <t>aceito_payload</t>
        </is>
      </c>
      <c r="BG91" s="75" t="inlineStr">
        <is>
          <t>junior_pl_calculado</t>
        </is>
      </c>
      <c r="BH91" s="75" t="inlineStr">
        <is>
          <t>1044387</t>
        </is>
      </c>
      <c r="BI91" s="75" t="inlineStr">
        <is>
          <t>2025-11-17</t>
        </is>
      </c>
      <c r="BJ91" s="75" t="inlineStr">
        <is>
          <t>26</t>
        </is>
      </c>
      <c r="BK91" s="75" t="inlineStr">
        <is>
          <t>https://fnet.bmfbovespa.com.br/fnet/publico/downloadDocumento?id=1044387</t>
        </is>
      </c>
      <c r="BL91" s="75" t="inlineStr">
        <is>
          <t>payload_documental</t>
        </is>
      </c>
    </row>
    <row r="92" ht="42" customHeight="1">
      <c r="A92" s="141" t="n">
        <v>88</v>
      </c>
      <c r="B92" s="138" t="n">
        <v>58152340000118</v>
      </c>
      <c r="C92" s="74" t="inlineStr">
        <is>
          <t>58.152.340/0001-18</t>
        </is>
      </c>
      <c r="D92" s="74" t="inlineStr">
        <is>
          <t>MONEE II FUNDO DE INVESTIMENTO EM DIREITOS CREDITÓRIOS SEGMENTO FINANCEIRO - RESP. LIMITADA</t>
        </is>
      </c>
      <c r="E92" s="74" t="inlineStr">
        <is>
          <t>concluído</t>
        </is>
      </c>
      <c r="F92" s="141" t="n">
        <v>6</v>
      </c>
      <c r="G92" s="74" t="inlineStr">
        <is>
          <t>consultado</t>
        </is>
      </c>
      <c r="H92" s="74" t="inlineStr">
        <is>
          <t>N/D</t>
        </is>
      </c>
      <c r="I92" s="74" t="inlineStr">
        <is>
          <t>N/D</t>
        </is>
      </c>
      <c r="J92" s="74" t="inlineStr">
        <is>
          <t>não encontrado</t>
        </is>
      </c>
      <c r="K92" s="74" t="inlineStr">
        <is>
          <t>N/D</t>
        </is>
      </c>
      <c r="L92" s="74" t="inlineStr">
        <is>
          <t>N/D</t>
        </is>
      </c>
      <c r="M92" s="74" t="inlineStr">
        <is>
          <t>N/D</t>
        </is>
      </c>
      <c r="N92" s="74" t="inlineStr">
        <is>
          <t>N/D</t>
        </is>
      </c>
      <c r="O92" s="74" t="inlineStr">
        <is>
          <t>N/D</t>
        </is>
      </c>
      <c r="P92" s="74" t="inlineStr">
        <is>
          <t>N/D</t>
        </is>
      </c>
      <c r="Q92" s="74" t="inlineStr">
        <is>
          <t>SHPP IP</t>
        </is>
      </c>
      <c r="R92" s="74" t="inlineStr">
        <is>
          <t>aceito_payload</t>
        </is>
      </c>
      <c r="S92" s="74" t="inlineStr">
        <is>
          <t>N/D</t>
        </is>
      </c>
      <c r="T92" s="74" t="inlineStr">
        <is>
          <t>IMG_8707.jpg</t>
        </is>
      </c>
      <c r="U92" s="74" t="inlineStr">
        <is>
          <t>2026-05-14</t>
        </is>
      </c>
      <c r="V92" s="74" t="inlineStr">
        <is>
          <t>105</t>
        </is>
      </c>
      <c r="W92" s="74" t="inlineStr">
        <is>
          <t>N/D</t>
        </is>
      </c>
      <c r="X92" s="74" t="inlineStr">
        <is>
          <t>planilha_manual</t>
        </is>
      </c>
      <c r="Y92" s="74" t="inlineStr">
        <is>
          <t>N/D</t>
        </is>
      </c>
      <c r="Z92" s="74" t="inlineStr">
        <is>
          <t>não encontrado</t>
        </is>
      </c>
      <c r="AA92" s="74" t="inlineStr">
        <is>
          <t>N/D</t>
        </is>
      </c>
      <c r="AB92" s="74" t="inlineStr">
        <is>
          <t>N/D</t>
        </is>
      </c>
      <c r="AC92" s="74" t="inlineStr">
        <is>
          <t>N/D</t>
        </is>
      </c>
      <c r="AD92" s="74" t="inlineStr">
        <is>
          <t>N/D</t>
        </is>
      </c>
      <c r="AE92" s="74" t="inlineStr">
        <is>
          <t>N/D</t>
        </is>
      </c>
      <c r="AF92" s="74" t="inlineStr">
        <is>
          <t>N/D</t>
        </is>
      </c>
      <c r="AG92" s="74" t="inlineStr">
        <is>
          <t>N/D</t>
        </is>
      </c>
      <c r="AH92" s="74" t="inlineStr">
        <is>
          <t>não encontrado</t>
        </is>
      </c>
      <c r="AI92" s="74" t="inlineStr">
        <is>
          <t>N/D</t>
        </is>
      </c>
      <c r="AJ92" s="74" t="inlineStr">
        <is>
          <t>N/D</t>
        </is>
      </c>
      <c r="AK92" s="74" t="inlineStr">
        <is>
          <t>N/D</t>
        </is>
      </c>
      <c r="AL92" s="74" t="inlineStr">
        <is>
          <t>N/D</t>
        </is>
      </c>
      <c r="AM92" s="74" t="inlineStr">
        <is>
          <t>N/D</t>
        </is>
      </c>
      <c r="AN92" s="74" t="inlineStr">
        <is>
          <t>N/D</t>
        </is>
      </c>
      <c r="AO92" s="74" t="inlineStr">
        <is>
          <t>30%</t>
        </is>
      </c>
      <c r="AP92" s="74" t="inlineStr">
        <is>
          <t>aceito_payload</t>
        </is>
      </c>
      <c r="AQ92" s="74" t="inlineStr">
        <is>
          <t>junior_pl</t>
        </is>
      </c>
      <c r="AR92" s="74" t="inlineStr">
        <is>
          <t>1191019</t>
        </is>
      </c>
      <c r="AS92" s="74" t="inlineStr">
        <is>
          <t>2026-05-14</t>
        </is>
      </c>
      <c r="AT92" s="74" t="inlineStr">
        <is>
          <t>105</t>
        </is>
      </c>
      <c r="AU92" s="74" t="inlineStr">
        <is>
          <t>https://fnet.bmfbovespa.com.br/fnet/publico/downloadDocumento?id=1191019</t>
        </is>
      </c>
      <c r="AV92" s="74" t="inlineStr">
        <is>
          <t>payload_documental</t>
        </is>
      </c>
      <c r="AW92" s="74" t="inlineStr">
        <is>
          <t>30%</t>
        </is>
      </c>
      <c r="AX92" s="74" t="inlineStr">
        <is>
          <t>aceito_payload</t>
        </is>
      </c>
      <c r="AY92" s="74" t="inlineStr">
        <is>
          <t>suporte_total_pl</t>
        </is>
      </c>
      <c r="AZ92" s="74" t="inlineStr">
        <is>
          <t>1191019</t>
        </is>
      </c>
      <c r="BA92" s="74" t="inlineStr">
        <is>
          <t>2026-05-14</t>
        </is>
      </c>
      <c r="BB92" s="74" t="inlineStr">
        <is>
          <t>105</t>
        </is>
      </c>
      <c r="BC92" s="74" t="inlineStr">
        <is>
          <t>https://fnet.bmfbovespa.com.br/fnet/publico/downloadDocumento?id=1191019</t>
        </is>
      </c>
      <c r="BD92" s="74" t="inlineStr">
        <is>
          <t>payload_documental</t>
        </is>
      </c>
      <c r="BE92" s="74" t="inlineStr">
        <is>
          <t>junior_pl</t>
        </is>
      </c>
      <c r="BF92" s="74" t="inlineStr">
        <is>
          <t>aceito_payload</t>
        </is>
      </c>
      <c r="BG92" s="74" t="inlineStr">
        <is>
          <t>junior_pl</t>
        </is>
      </c>
      <c r="BH92" s="74" t="inlineStr">
        <is>
          <t>1191019</t>
        </is>
      </c>
      <c r="BI92" s="74" t="inlineStr">
        <is>
          <t>2026-05-14</t>
        </is>
      </c>
      <c r="BJ92" s="74" t="inlineStr">
        <is>
          <t>105</t>
        </is>
      </c>
      <c r="BK92" s="74" t="inlineStr">
        <is>
          <t>https://fnet.bmfbovespa.com.br/fnet/publico/downloadDocumento?id=1191019</t>
        </is>
      </c>
      <c r="BL92" s="74" t="inlineStr">
        <is>
          <t>payload_documental</t>
        </is>
      </c>
    </row>
    <row r="93" ht="42" customHeight="1">
      <c r="A93" s="145" t="n">
        <v>89</v>
      </c>
      <c r="B93" s="142" t="n">
        <v>52340225000190</v>
      </c>
      <c r="C93" s="75" t="inlineStr">
        <is>
          <t>52.340.225/0001-90</t>
        </is>
      </c>
      <c r="D93" s="75" t="inlineStr">
        <is>
          <t>INOVA CREDTECH III FIDC SEGMENTO MULTICARTEIRA DE RESPONSABILIDADE LIMITADA</t>
        </is>
      </c>
      <c r="E93" s="75" t="inlineStr">
        <is>
          <t>concluído</t>
        </is>
      </c>
      <c r="F93" s="145" t="n">
        <v>8</v>
      </c>
      <c r="G93" s="75" t="inlineStr">
        <is>
          <t>consultado</t>
        </is>
      </c>
      <c r="H93" s="75" t="inlineStr">
        <is>
          <t>N/D</t>
        </is>
      </c>
      <c r="I93" s="75" t="inlineStr">
        <is>
          <t>N/D</t>
        </is>
      </c>
      <c r="J93" s="75" t="inlineStr">
        <is>
          <t>não encontrado</t>
        </is>
      </c>
      <c r="K93" s="75" t="inlineStr">
        <is>
          <t>N/D</t>
        </is>
      </c>
      <c r="L93" s="75" t="inlineStr">
        <is>
          <t>N/D</t>
        </is>
      </c>
      <c r="M93" s="75" t="inlineStr">
        <is>
          <t>N/D</t>
        </is>
      </c>
      <c r="N93" s="75" t="inlineStr">
        <is>
          <t>N/D</t>
        </is>
      </c>
      <c r="O93" s="75" t="inlineStr">
        <is>
          <t>N/D</t>
        </is>
      </c>
      <c r="P93" s="75" t="inlineStr">
        <is>
          <t>N/D</t>
        </is>
      </c>
      <c r="Q93" s="75" t="inlineStr">
        <is>
          <t>N/D</t>
        </is>
      </c>
      <c r="R93" s="75" t="inlineStr">
        <is>
          <t>não encontrado</t>
        </is>
      </c>
      <c r="S93" s="75" t="inlineStr">
        <is>
          <t>N/D</t>
        </is>
      </c>
      <c r="T93" s="75" t="inlineStr">
        <is>
          <t>N/D</t>
        </is>
      </c>
      <c r="U93" s="75" t="inlineStr">
        <is>
          <t>N/D</t>
        </is>
      </c>
      <c r="V93" s="75" t="inlineStr">
        <is>
          <t>N/D</t>
        </is>
      </c>
      <c r="W93" s="75" t="inlineStr">
        <is>
          <t>N/D</t>
        </is>
      </c>
      <c r="X93" s="75" t="inlineStr">
        <is>
          <t>N/D</t>
        </is>
      </c>
      <c r="Y93" s="75" t="inlineStr">
        <is>
          <t>o devedor dos Direitos Creditórios Adquiridos</t>
        </is>
      </c>
      <c r="Z93" s="75" t="inlineStr">
        <is>
          <t>encontrado_explicito</t>
        </is>
      </c>
      <c r="AA93" s="75" t="inlineStr">
        <is>
          <t>N/D</t>
        </is>
      </c>
      <c r="AB93" s="75" t="inlineStr">
        <is>
          <t>1171206</t>
        </is>
      </c>
      <c r="AC93" s="75" t="inlineStr">
        <is>
          <t>2026-03-25</t>
        </is>
      </c>
      <c r="AD93" s="75" t="inlineStr">
        <is>
          <t>70</t>
        </is>
      </c>
      <c r="AE93" s="75" t="inlineStr">
        <is>
          <t>https://fnet.bmfbovespa.com.br/fnet/publico/downloadDocumento?id=1171206</t>
        </is>
      </c>
      <c r="AF93" s="75" t="inlineStr">
        <is>
          <t>regulamento</t>
        </is>
      </c>
      <c r="AG93" s="75" t="inlineStr">
        <is>
          <t>os direitos creditórios originados pela Originadora e devidos pelos Devedores, os quais podem ser formalizados por Duplicatas, Notas Comerciais ou CCBs</t>
        </is>
      </c>
      <c r="AH93" s="75" t="inlineStr">
        <is>
          <t>encontrado_explicito</t>
        </is>
      </c>
      <c r="AI93" s="75" t="inlineStr">
        <is>
          <t>N/D</t>
        </is>
      </c>
      <c r="AJ93" s="75" t="inlineStr">
        <is>
          <t>1171206</t>
        </is>
      </c>
      <c r="AK93" s="75" t="inlineStr">
        <is>
          <t>2026-03-25</t>
        </is>
      </c>
      <c r="AL93" s="75" t="inlineStr">
        <is>
          <t>70</t>
        </is>
      </c>
      <c r="AM93" s="75" t="inlineStr">
        <is>
          <t>https://fnet.bmfbovespa.com.br/fnet/publico/downloadDocumento?id=1171206</t>
        </is>
      </c>
      <c r="AN93" s="75" t="inlineStr">
        <is>
          <t>regulamento</t>
        </is>
      </c>
      <c r="AO93" s="75" t="inlineStr">
        <is>
          <t>7.5%</t>
        </is>
      </c>
      <c r="AP93" s="75" t="inlineStr">
        <is>
          <t>aceito_payload</t>
        </is>
      </c>
      <c r="AQ93" s="75" t="inlineStr">
        <is>
          <t>junior_pl</t>
        </is>
      </c>
      <c r="AR93" s="75" t="inlineStr">
        <is>
          <t>1171206</t>
        </is>
      </c>
      <c r="AS93" s="75" t="inlineStr">
        <is>
          <t>2026-03-25</t>
        </is>
      </c>
      <c r="AT93" s="75" t="inlineStr">
        <is>
          <t>77</t>
        </is>
      </c>
      <c r="AU93" s="75" t="inlineStr">
        <is>
          <t>https://fnet.bmfbovespa.com.br/fnet/publico/downloadDocumento?id=1171206</t>
        </is>
      </c>
      <c r="AV93" s="75" t="inlineStr">
        <is>
          <t>payload_documental</t>
        </is>
      </c>
      <c r="AW93" s="75" t="inlineStr">
        <is>
          <t>N/D</t>
        </is>
      </c>
      <c r="AX93" s="75" t="inlineStr">
        <is>
          <t>não encontrado</t>
        </is>
      </c>
      <c r="AY93" s="75" t="inlineStr">
        <is>
          <t>N/D</t>
        </is>
      </c>
      <c r="AZ93" s="75" t="inlineStr">
        <is>
          <t>N/D</t>
        </is>
      </c>
      <c r="BA93" s="75" t="inlineStr">
        <is>
          <t>N/D</t>
        </is>
      </c>
      <c r="BB93" s="75" t="inlineStr">
        <is>
          <t>N/D</t>
        </is>
      </c>
      <c r="BC93" s="75" t="inlineStr">
        <is>
          <t>N/D</t>
        </is>
      </c>
      <c r="BD93" s="75" t="inlineStr">
        <is>
          <t>N/D</t>
        </is>
      </c>
      <c r="BE93" s="75" t="inlineStr">
        <is>
          <t>junior_pl</t>
        </is>
      </c>
      <c r="BF93" s="75" t="inlineStr">
        <is>
          <t>aceito_payload</t>
        </is>
      </c>
      <c r="BG93" s="75" t="inlineStr">
        <is>
          <t>junior_pl</t>
        </is>
      </c>
      <c r="BH93" s="75" t="inlineStr">
        <is>
          <t>1171206</t>
        </is>
      </c>
      <c r="BI93" s="75" t="inlineStr">
        <is>
          <t>2026-03-25</t>
        </is>
      </c>
      <c r="BJ93" s="75" t="inlineStr">
        <is>
          <t>77</t>
        </is>
      </c>
      <c r="BK93" s="75" t="inlineStr">
        <is>
          <t>https://fnet.bmfbovespa.com.br/fnet/publico/downloadDocumento?id=1171206</t>
        </is>
      </c>
      <c r="BL93" s="75" t="inlineStr">
        <is>
          <t>payload_documental</t>
        </is>
      </c>
    </row>
    <row r="94" ht="42" customHeight="1">
      <c r="A94" s="141" t="n">
        <v>90</v>
      </c>
      <c r="B94" s="138" t="n">
        <v>63546406000194</v>
      </c>
      <c r="C94" s="74" t="inlineStr">
        <is>
          <t>63.546.406/0001-94</t>
        </is>
      </c>
      <c r="D94" s="74" t="inlineStr">
        <is>
          <t>PINE INSS III FUNDO DE INVESTIMENTO EM DIREITOS CREDITÓRIOS RESPONSABILIDADE LIMITADA</t>
        </is>
      </c>
      <c r="E94" s="74" t="inlineStr">
        <is>
          <t>concluído</t>
        </is>
      </c>
      <c r="F94" s="141" t="n">
        <v>7</v>
      </c>
      <c r="G94" s="74" t="inlineStr">
        <is>
          <t>consultado</t>
        </is>
      </c>
      <c r="H94" s="74" t="inlineStr">
        <is>
          <t>N/D</t>
        </is>
      </c>
      <c r="I94" s="74" t="inlineStr">
        <is>
          <t>N/D</t>
        </is>
      </c>
      <c r="J94" s="74" t="inlineStr">
        <is>
          <t>não encontrado</t>
        </is>
      </c>
      <c r="K94" s="74" t="inlineStr">
        <is>
          <t>N/D</t>
        </is>
      </c>
      <c r="L94" s="74" t="inlineStr">
        <is>
          <t>N/D</t>
        </is>
      </c>
      <c r="M94" s="74" t="inlineStr">
        <is>
          <t>N/D</t>
        </is>
      </c>
      <c r="N94" s="74" t="inlineStr">
        <is>
          <t>N/D</t>
        </is>
      </c>
      <c r="O94" s="74" t="inlineStr">
        <is>
          <t>N/D</t>
        </is>
      </c>
      <c r="P94" s="74" t="inlineStr">
        <is>
          <t>N/D</t>
        </is>
      </c>
      <c r="Q94" s="74" t="inlineStr">
        <is>
          <t>o Banco Pine, conforme o caso;</t>
        </is>
      </c>
      <c r="R94" s="74" t="inlineStr">
        <is>
          <t>encontrado_explicito</t>
        </is>
      </c>
      <c r="S94" s="74" t="inlineStr">
        <is>
          <t>N/D</t>
        </is>
      </c>
      <c r="T94" s="74" t="inlineStr">
        <is>
          <t>1130481</t>
        </is>
      </c>
      <c r="U94" s="74" t="inlineStr">
        <is>
          <t>2026-03-05</t>
        </is>
      </c>
      <c r="V94" s="74" t="inlineStr">
        <is>
          <t>152</t>
        </is>
      </c>
      <c r="W94" s="74" t="inlineStr">
        <is>
          <t>https://fnet.bmfbovespa.com.br/fnet/publico/downloadDocumento?id=1130481</t>
        </is>
      </c>
      <c r="X94" s="74" t="inlineStr">
        <is>
          <t>regulamento</t>
        </is>
      </c>
      <c r="Y94" s="74" t="inlineStr">
        <is>
          <t>os devedores das CCBs relativas aos Direitos Creditórios;</t>
        </is>
      </c>
      <c r="Z94" s="74" t="inlineStr">
        <is>
          <t>encontrado_explicito</t>
        </is>
      </c>
      <c r="AA94" s="74" t="inlineStr">
        <is>
          <t>N/D</t>
        </is>
      </c>
      <c r="AB94" s="74" t="inlineStr">
        <is>
          <t>1130481</t>
        </is>
      </c>
      <c r="AC94" s="74" t="inlineStr">
        <is>
          <t>2026-03-05</t>
        </is>
      </c>
      <c r="AD94" s="74" t="inlineStr">
        <is>
          <t>154</t>
        </is>
      </c>
      <c r="AE94" s="74" t="inlineStr">
        <is>
          <t>https://fnet.bmfbovespa.com.br/fnet/publico/downloadDocumento?id=1130481</t>
        </is>
      </c>
      <c r="AF94" s="74" t="inlineStr">
        <is>
          <t>regulamento</t>
        </is>
      </c>
      <c r="AG94" s="74" t="inlineStr">
        <is>
          <t>N/D</t>
        </is>
      </c>
      <c r="AH94" s="74" t="inlineStr">
        <is>
          <t>não encontrado</t>
        </is>
      </c>
      <c r="AI94" s="74" t="inlineStr">
        <is>
          <t>N/D</t>
        </is>
      </c>
      <c r="AJ94" s="74" t="inlineStr">
        <is>
          <t>N/D</t>
        </is>
      </c>
      <c r="AK94" s="74" t="inlineStr">
        <is>
          <t>N/D</t>
        </is>
      </c>
      <c r="AL94" s="74" t="inlineStr">
        <is>
          <t>N/D</t>
        </is>
      </c>
      <c r="AM94" s="74" t="inlineStr">
        <is>
          <t>N/D</t>
        </is>
      </c>
      <c r="AN94" s="74" t="inlineStr">
        <is>
          <t>N/D</t>
        </is>
      </c>
      <c r="AO94" s="74" t="inlineStr">
        <is>
          <t>1.5%</t>
        </is>
      </c>
      <c r="AP94" s="74" t="inlineStr">
        <is>
          <t>aceito_payload</t>
        </is>
      </c>
      <c r="AQ94" s="74" t="inlineStr">
        <is>
          <t>junior_pl</t>
        </is>
      </c>
      <c r="AR94" s="74" t="inlineStr">
        <is>
          <t>1130481</t>
        </is>
      </c>
      <c r="AS94" s="74" t="inlineStr">
        <is>
          <t>2026-03-05</t>
        </is>
      </c>
      <c r="AT94" s="74" t="inlineStr">
        <is>
          <t>142</t>
        </is>
      </c>
      <c r="AU94" s="74" t="inlineStr">
        <is>
          <t>https://fnet.bmfbovespa.com.br/fnet/publico/downloadDocumento?id=1130481</t>
        </is>
      </c>
      <c r="AV94" s="74" t="inlineStr">
        <is>
          <t>payload_documental</t>
        </is>
      </c>
      <c r="AW94" s="74" t="inlineStr">
        <is>
          <t>N/D</t>
        </is>
      </c>
      <c r="AX94" s="74" t="inlineStr">
        <is>
          <t>não encontrado</t>
        </is>
      </c>
      <c r="AY94" s="74" t="inlineStr">
        <is>
          <t>N/D</t>
        </is>
      </c>
      <c r="AZ94" s="74" t="inlineStr">
        <is>
          <t>N/D</t>
        </is>
      </c>
      <c r="BA94" s="74" t="inlineStr">
        <is>
          <t>N/D</t>
        </is>
      </c>
      <c r="BB94" s="74" t="inlineStr">
        <is>
          <t>N/D</t>
        </is>
      </c>
      <c r="BC94" s="74" t="inlineStr">
        <is>
          <t>N/D</t>
        </is>
      </c>
      <c r="BD94" s="74" t="inlineStr">
        <is>
          <t>N/D</t>
        </is>
      </c>
      <c r="BE94" s="74" t="inlineStr">
        <is>
          <t>junior_pl</t>
        </is>
      </c>
      <c r="BF94" s="74" t="inlineStr">
        <is>
          <t>aceito_payload</t>
        </is>
      </c>
      <c r="BG94" s="74" t="inlineStr">
        <is>
          <t>junior_pl</t>
        </is>
      </c>
      <c r="BH94" s="74" t="inlineStr">
        <is>
          <t>1130481</t>
        </is>
      </c>
      <c r="BI94" s="74" t="inlineStr">
        <is>
          <t>2026-03-05</t>
        </is>
      </c>
      <c r="BJ94" s="74" t="inlineStr">
        <is>
          <t>142</t>
        </is>
      </c>
      <c r="BK94" s="74" t="inlineStr">
        <is>
          <t>https://fnet.bmfbovespa.com.br/fnet/publico/downloadDocumento?id=1130481</t>
        </is>
      </c>
      <c r="BL94" s="74" t="inlineStr">
        <is>
          <t>payload_documental</t>
        </is>
      </c>
    </row>
    <row r="95" ht="42" customHeight="1">
      <c r="A95" s="145" t="n">
        <v>91</v>
      </c>
      <c r="B95" s="142" t="n">
        <v>37294759000134</v>
      </c>
      <c r="C95" s="75" t="inlineStr">
        <is>
          <t>37.294.759/0001-34</t>
        </is>
      </c>
      <c r="D95" s="75" t="inlineStr">
        <is>
          <t>GALLERIA HOME EQUITY FIDC</t>
        </is>
      </c>
      <c r="E95" s="75" t="inlineStr">
        <is>
          <t>concluído</t>
        </is>
      </c>
      <c r="F95" s="145" t="n">
        <v>8</v>
      </c>
      <c r="G95" s="75" t="inlineStr">
        <is>
          <t>consultado</t>
        </is>
      </c>
      <c r="H95" s="75" t="inlineStr">
        <is>
          <t>N/D</t>
        </is>
      </c>
      <c r="I95" s="75" t="inlineStr">
        <is>
          <t>N/D</t>
        </is>
      </c>
      <c r="J95" s="75" t="inlineStr">
        <is>
          <t>não encontrado</t>
        </is>
      </c>
      <c r="K95" s="75" t="inlineStr">
        <is>
          <t>N/D</t>
        </is>
      </c>
      <c r="L95" s="75" t="inlineStr">
        <is>
          <t>N/D</t>
        </is>
      </c>
      <c r="M95" s="75" t="inlineStr">
        <is>
          <t>N/D</t>
        </is>
      </c>
      <c r="N95" s="75" t="inlineStr">
        <is>
          <t>N/D</t>
        </is>
      </c>
      <c r="O95" s="75" t="inlineStr">
        <is>
          <t>N/D</t>
        </is>
      </c>
      <c r="P95" s="75" t="inlineStr">
        <is>
          <t>N/D</t>
        </is>
      </c>
      <c r="Q95" s="75" t="inlineStr">
        <is>
          <t>Galleria SCD</t>
        </is>
      </c>
      <c r="R95" s="75" t="inlineStr">
        <is>
          <t>aceito_payload</t>
        </is>
      </c>
      <c r="S95" s="75" t="inlineStr">
        <is>
          <t>N/D</t>
        </is>
      </c>
      <c r="T95" s="75" t="inlineStr">
        <is>
          <t>IMG_8707.jpg</t>
        </is>
      </c>
      <c r="U95" s="75" t="inlineStr">
        <is>
          <t>2026-07-10</t>
        </is>
      </c>
      <c r="V95" s="75" t="inlineStr">
        <is>
          <t>110</t>
        </is>
      </c>
      <c r="W95" s="75" t="inlineStr">
        <is>
          <t>N/D</t>
        </is>
      </c>
      <c r="X95" s="75" t="inlineStr">
        <is>
          <t>planilha_manual</t>
        </is>
      </c>
      <c r="Y95" s="75" t="inlineStr">
        <is>
          <t>N/D</t>
        </is>
      </c>
      <c r="Z95" s="75" t="inlineStr">
        <is>
          <t>não encontrado</t>
        </is>
      </c>
      <c r="AA95" s="75" t="inlineStr">
        <is>
          <t>N/D</t>
        </is>
      </c>
      <c r="AB95" s="75" t="inlineStr">
        <is>
          <t>N/D</t>
        </is>
      </c>
      <c r="AC95" s="75" t="inlineStr">
        <is>
          <t>N/D</t>
        </is>
      </c>
      <c r="AD95" s="75" t="inlineStr">
        <is>
          <t>N/D</t>
        </is>
      </c>
      <c r="AE95" s="75" t="inlineStr">
        <is>
          <t>N/D</t>
        </is>
      </c>
      <c r="AF95" s="75" t="inlineStr">
        <is>
          <t>N/D</t>
        </is>
      </c>
      <c r="AG95" s="75" t="inlineStr">
        <is>
          <t>CCBs com AF de Imóvel oriundos de empréstimo PF e PJs</t>
        </is>
      </c>
      <c r="AH95" s="75" t="inlineStr">
        <is>
          <t>aceito_payload</t>
        </is>
      </c>
      <c r="AI95" s="75" t="inlineStr">
        <is>
          <t>N/D</t>
        </is>
      </c>
      <c r="AJ95" s="75" t="inlineStr">
        <is>
          <t>IMG_8707.jpg</t>
        </is>
      </c>
      <c r="AK95" s="75" t="inlineStr">
        <is>
          <t>2026-07-10</t>
        </is>
      </c>
      <c r="AL95" s="75" t="inlineStr">
        <is>
          <t>110</t>
        </is>
      </c>
      <c r="AM95" s="75" t="inlineStr">
        <is>
          <t>N/D</t>
        </is>
      </c>
      <c r="AN95" s="75" t="inlineStr">
        <is>
          <t>planilha_manual</t>
        </is>
      </c>
      <c r="AO95" s="75" t="inlineStr">
        <is>
          <t>N/D</t>
        </is>
      </c>
      <c r="AP95" s="75" t="inlineStr">
        <is>
          <t>não encontrado</t>
        </is>
      </c>
      <c r="AQ95" s="75" t="inlineStr">
        <is>
          <t>N/D</t>
        </is>
      </c>
      <c r="AR95" s="75" t="inlineStr">
        <is>
          <t>N/D</t>
        </is>
      </c>
      <c r="AS95" s="75" t="inlineStr">
        <is>
          <t>N/D</t>
        </is>
      </c>
      <c r="AT95" s="75" t="inlineStr">
        <is>
          <t>N/D</t>
        </is>
      </c>
      <c r="AU95" s="75" t="inlineStr">
        <is>
          <t>N/D</t>
        </is>
      </c>
      <c r="AV95" s="75" t="inlineStr">
        <is>
          <t>N/D</t>
        </is>
      </c>
      <c r="AW95" s="75" t="inlineStr">
        <is>
          <t>4.7619%</t>
        </is>
      </c>
      <c r="AX95" s="75" t="inlineStr">
        <is>
          <t>aceito_payload</t>
        </is>
      </c>
      <c r="AY95" s="75" t="inlineStr">
        <is>
          <t>suporte_total_pl</t>
        </is>
      </c>
      <c r="AZ95" s="75" t="inlineStr">
        <is>
          <t>927443</t>
        </is>
      </c>
      <c r="BA95" s="75" t="inlineStr">
        <is>
          <t>2026-07-10</t>
        </is>
      </c>
      <c r="BB95" s="75" t="inlineStr">
        <is>
          <t>110</t>
        </is>
      </c>
      <c r="BC95" s="75" t="inlineStr">
        <is>
          <t>https://fnet.bmfbovespa.com.br/fnet/publico/downloadDocumento?id=927443</t>
        </is>
      </c>
      <c r="BD95" s="75" t="inlineStr">
        <is>
          <t>payload_documental</t>
        </is>
      </c>
      <c r="BE95" s="75" t="inlineStr">
        <is>
          <t>suporte_total_pl</t>
        </is>
      </c>
      <c r="BF95" s="75" t="inlineStr">
        <is>
          <t>aceito_payload</t>
        </is>
      </c>
      <c r="BG95" s="75" t="inlineStr">
        <is>
          <t>suporte_total_pl</t>
        </is>
      </c>
      <c r="BH95" s="75" t="inlineStr">
        <is>
          <t>927443</t>
        </is>
      </c>
      <c r="BI95" s="75" t="inlineStr">
        <is>
          <t>2026-07-10</t>
        </is>
      </c>
      <c r="BJ95" s="75" t="inlineStr">
        <is>
          <t>110</t>
        </is>
      </c>
      <c r="BK95" s="75" t="inlineStr">
        <is>
          <t>https://fnet.bmfbovespa.com.br/fnet/publico/downloadDocumento?id=927443</t>
        </is>
      </c>
      <c r="BL95" s="75" t="inlineStr">
        <is>
          <t>payload_documental</t>
        </is>
      </c>
    </row>
    <row r="96" ht="42" customHeight="1">
      <c r="A96" s="141" t="n">
        <v>92</v>
      </c>
      <c r="B96" s="138" t="n">
        <v>42085830000109</v>
      </c>
      <c r="C96" s="74" t="inlineStr">
        <is>
          <t>42.085.830/0001-09</t>
        </is>
      </c>
      <c r="D96" s="74" t="inlineStr">
        <is>
          <t>CLOUDWALK AKIRA I FUNDO DE INVESTIMENTO EM DIREITOS CREDITÓRIOS SEGMENTO MEIOS DE PAGAMENTO</t>
        </is>
      </c>
      <c r="E96" s="74" t="inlineStr">
        <is>
          <t>concluído</t>
        </is>
      </c>
      <c r="F96" s="141" t="n">
        <v>8</v>
      </c>
      <c r="G96" s="74" t="inlineStr">
        <is>
          <t>consultado</t>
        </is>
      </c>
      <c r="H96" s="74" t="inlineStr">
        <is>
          <t>N/D</t>
        </is>
      </c>
      <c r="I96" s="74" t="inlineStr">
        <is>
          <t>N/D</t>
        </is>
      </c>
      <c r="J96" s="74" t="inlineStr">
        <is>
          <t>não encontrado</t>
        </is>
      </c>
      <c r="K96" s="74" t="inlineStr">
        <is>
          <t>N/D</t>
        </is>
      </c>
      <c r="L96" s="74" t="inlineStr">
        <is>
          <t>N/D</t>
        </is>
      </c>
      <c r="M96" s="74" t="inlineStr">
        <is>
          <t>N/D</t>
        </is>
      </c>
      <c r="N96" s="74" t="inlineStr">
        <is>
          <t>N/D</t>
        </is>
      </c>
      <c r="O96" s="74" t="inlineStr">
        <is>
          <t>N/D</t>
        </is>
      </c>
      <c r="P96" s="74" t="inlineStr">
        <is>
          <t>N/D</t>
        </is>
      </c>
      <c r="Q96" s="74" t="inlineStr">
        <is>
          <t>a CloudWalk que, de tempos em tempos, nos termos do Contrato de Cessão, cede seus respectivos Direitos Creditórios Elegíveis ao Fundo</t>
        </is>
      </c>
      <c r="R96" s="74" t="inlineStr">
        <is>
          <t>encontrado_explicito</t>
        </is>
      </c>
      <c r="S96" s="74" t="inlineStr">
        <is>
          <t>N/D</t>
        </is>
      </c>
      <c r="T96" s="74" t="inlineStr">
        <is>
          <t>966441</t>
        </is>
      </c>
      <c r="U96" s="74" t="inlineStr">
        <is>
          <t>2025-07-24</t>
        </is>
      </c>
      <c r="V96" s="74" t="inlineStr">
        <is>
          <t>92</t>
        </is>
      </c>
      <c r="W96" s="74" t="inlineStr">
        <is>
          <t>https://fnet.bmfbovespa.com.br/fnet/publico/downloadDocumento?id=966441</t>
        </is>
      </c>
      <c r="X96" s="74" t="inlineStr">
        <is>
          <t>regulamento</t>
        </is>
      </c>
      <c r="Y96" s="74" t="inlineStr">
        <is>
          <t>os Emissores Qualificados</t>
        </is>
      </c>
      <c r="Z96" s="74" t="inlineStr">
        <is>
          <t>encontrado_explicito</t>
        </is>
      </c>
      <c r="AA96" s="74" t="inlineStr">
        <is>
          <t>N/D</t>
        </is>
      </c>
      <c r="AB96" s="74" t="inlineStr">
        <is>
          <t>966441</t>
        </is>
      </c>
      <c r="AC96" s="74" t="inlineStr">
        <is>
          <t>2025-07-24</t>
        </is>
      </c>
      <c r="AD96" s="74" t="inlineStr">
        <is>
          <t>96</t>
        </is>
      </c>
      <c r="AE96" s="74" t="inlineStr">
        <is>
          <t>https://fnet.bmfbovespa.com.br/fnet/publico/downloadDocumento?id=966441</t>
        </is>
      </c>
      <c r="AF96" s="74" t="inlineStr">
        <is>
          <t>regulamento</t>
        </is>
      </c>
      <c r="AG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AH96" s="74" t="inlineStr">
        <is>
          <t>encontrado_explicito</t>
        </is>
      </c>
      <c r="AI96" s="74" t="inlineStr">
        <is>
          <t>N/D</t>
        </is>
      </c>
      <c r="AJ96" s="74" t="inlineStr">
        <is>
          <t>966441</t>
        </is>
      </c>
      <c r="AK96" s="74" t="inlineStr">
        <is>
          <t>2025-07-24</t>
        </is>
      </c>
      <c r="AL96" s="74" t="inlineStr">
        <is>
          <t>96</t>
        </is>
      </c>
      <c r="AM96" s="74" t="inlineStr">
        <is>
          <t>https://fnet.bmfbovespa.com.br/fnet/publico/downloadDocumento?id=966441</t>
        </is>
      </c>
      <c r="AN96" s="74" t="inlineStr">
        <is>
          <t>regulamento</t>
        </is>
      </c>
      <c r="AO96" s="74" t="inlineStr">
        <is>
          <t>3%</t>
        </is>
      </c>
      <c r="AP96" s="74" t="inlineStr">
        <is>
          <t>aceito_payload</t>
        </is>
      </c>
      <c r="AQ96" s="74" t="inlineStr">
        <is>
          <t>junior_pl</t>
        </is>
      </c>
      <c r="AR96" s="74" t="inlineStr">
        <is>
          <t>966441</t>
        </is>
      </c>
      <c r="AS96" s="74" t="inlineStr">
        <is>
          <t>2025-07-24</t>
        </is>
      </c>
      <c r="AT96" s="74" t="inlineStr">
        <is>
          <t>99</t>
        </is>
      </c>
      <c r="AU96" s="74" t="inlineStr">
        <is>
          <t>https://fnet.bmfbovespa.com.br/fnet/publico/downloadDocumento?id=966441</t>
        </is>
      </c>
      <c r="AV96" s="74" t="inlineStr">
        <is>
          <t>payload_documental</t>
        </is>
      </c>
      <c r="AW96" s="74" t="inlineStr">
        <is>
          <t>3%</t>
        </is>
      </c>
      <c r="AX96" s="74" t="inlineStr">
        <is>
          <t>aceito_payload</t>
        </is>
      </c>
      <c r="AY96" s="74" t="inlineStr">
        <is>
          <t>suporte_total_pl</t>
        </is>
      </c>
      <c r="AZ96" s="74" t="inlineStr">
        <is>
          <t>966441</t>
        </is>
      </c>
      <c r="BA96" s="74" t="inlineStr">
        <is>
          <t>2025-07-24</t>
        </is>
      </c>
      <c r="BB96" s="74" t="inlineStr">
        <is>
          <t>99</t>
        </is>
      </c>
      <c r="BC96" s="74" t="inlineStr">
        <is>
          <t>https://fnet.bmfbovespa.com.br/fnet/publico/downloadDocumento?id=966441</t>
        </is>
      </c>
      <c r="BD96" s="74" t="inlineStr">
        <is>
          <t>payload_documental</t>
        </is>
      </c>
      <c r="BE96" s="74" t="inlineStr">
        <is>
          <t>junior_pl</t>
        </is>
      </c>
      <c r="BF96" s="74" t="inlineStr">
        <is>
          <t>aceito_payload</t>
        </is>
      </c>
      <c r="BG96" s="74" t="inlineStr">
        <is>
          <t>junior_pl</t>
        </is>
      </c>
      <c r="BH96" s="74" t="inlineStr">
        <is>
          <t>966441</t>
        </is>
      </c>
      <c r="BI96" s="74" t="inlineStr">
        <is>
          <t>2025-07-24</t>
        </is>
      </c>
      <c r="BJ96" s="74" t="inlineStr">
        <is>
          <t>99</t>
        </is>
      </c>
      <c r="BK96" s="74" t="inlineStr">
        <is>
          <t>https://fnet.bmfbovespa.com.br/fnet/publico/downloadDocumento?id=966441</t>
        </is>
      </c>
      <c r="BL96" s="74" t="inlineStr">
        <is>
          <t>payload_documental</t>
        </is>
      </c>
    </row>
    <row r="97" ht="42" customHeight="1">
      <c r="A97" s="145" t="n">
        <v>93</v>
      </c>
      <c r="B97" s="142" t="n">
        <v>61288838000117</v>
      </c>
      <c r="C97" s="75" t="inlineStr">
        <is>
          <t>61.288.838/0001-17</t>
        </is>
      </c>
      <c r="D97" s="75" t="inlineStr">
        <is>
          <t>IFOOD PAGO CRÉDITO III FUNDO DE INVESTIMENTO EM DIREITOS CREDITÓRIOS FINANCEIRO RESP. LIMITADA</t>
        </is>
      </c>
      <c r="E97" s="75" t="inlineStr">
        <is>
          <t>concluído</t>
        </is>
      </c>
      <c r="F97" s="145" t="n">
        <v>8</v>
      </c>
      <c r="G97" s="75" t="inlineStr">
        <is>
          <t>consultado</t>
        </is>
      </c>
      <c r="H97" s="75" t="inlineStr">
        <is>
          <t>N/D</t>
        </is>
      </c>
      <c r="I97" s="75" t="inlineStr">
        <is>
          <t>N/D</t>
        </is>
      </c>
      <c r="J97" s="75" t="inlineStr">
        <is>
          <t>não encontrado</t>
        </is>
      </c>
      <c r="K97" s="75" t="inlineStr">
        <is>
          <t>N/D</t>
        </is>
      </c>
      <c r="L97" s="75" t="inlineStr">
        <is>
          <t>N/D</t>
        </is>
      </c>
      <c r="M97" s="75" t="inlineStr">
        <is>
          <t>N/D</t>
        </is>
      </c>
      <c r="N97" s="75" t="inlineStr">
        <is>
          <t>N/D</t>
        </is>
      </c>
      <c r="O97" s="75" t="inlineStr">
        <is>
          <t>N/D</t>
        </is>
      </c>
      <c r="P97" s="75" t="inlineStr">
        <is>
          <t>N/D</t>
        </is>
      </c>
      <c r="Q97" s="75" t="inlineStr">
        <is>
          <t>a Subcredenciadora</t>
        </is>
      </c>
      <c r="R97" s="75" t="inlineStr">
        <is>
          <t>encontrado_explicito</t>
        </is>
      </c>
      <c r="S97" s="75" t="inlineStr">
        <is>
          <t>N/D</t>
        </is>
      </c>
      <c r="T97" s="75" t="inlineStr">
        <is>
          <t>1073756</t>
        </is>
      </c>
      <c r="U97" s="75" t="inlineStr">
        <is>
          <t>29/12/2025</t>
        </is>
      </c>
      <c r="V97" s="75" t="inlineStr">
        <is>
          <t>107</t>
        </is>
      </c>
      <c r="W97" s="75" t="inlineStr">
        <is>
          <t>https://fnet.bmfbovespa.com.br/fnet/publico/downloadDocumento?id=1073756</t>
        </is>
      </c>
      <c r="X97" s="75" t="inlineStr">
        <is>
          <t>regulamento</t>
        </is>
      </c>
      <c r="Y97" s="75" t="inlineStr">
        <is>
          <t>pessoas físicas ou jurídicas que possuam uma Conta Digital do Devedor CCB e que emitam uma CCB em favor da Instituição Financeira Parceira, conforme aplicável, com o objetivo de realizar uma operação de crédito</t>
        </is>
      </c>
      <c r="Z97" s="75" t="inlineStr">
        <is>
          <t>encontrado_explicito</t>
        </is>
      </c>
      <c r="AA97" s="75" t="inlineStr">
        <is>
          <t>N/D</t>
        </is>
      </c>
      <c r="AB97" s="75" t="inlineStr">
        <is>
          <t>1073756</t>
        </is>
      </c>
      <c r="AC97" s="75" t="inlineStr">
        <is>
          <t>29/12/2025</t>
        </is>
      </c>
      <c r="AD97" s="75" t="inlineStr">
        <is>
          <t>112</t>
        </is>
      </c>
      <c r="AE97" s="75" t="inlineStr">
        <is>
          <t>https://fnet.bmfbovespa.com.br/fnet/publico/downloadDocumento?id=1073756</t>
        </is>
      </c>
      <c r="AF97" s="75" t="inlineStr">
        <is>
          <t>regulamento</t>
        </is>
      </c>
      <c r="AG97" s="75" t="inlineStr">
        <is>
          <t>os Direitos Creditórios CCB e os Direitos Creditórios Credenciadoras, quando referidos em conjunto ou indistintamente</t>
        </is>
      </c>
      <c r="AH97" s="75" t="inlineStr">
        <is>
          <t>encontrado_explicito</t>
        </is>
      </c>
      <c r="AI97" s="75" t="inlineStr">
        <is>
          <t>N/D</t>
        </is>
      </c>
      <c r="AJ97" s="75" t="inlineStr">
        <is>
          <t>1073756</t>
        </is>
      </c>
      <c r="AK97" s="75" t="inlineStr">
        <is>
          <t>29/12/2025</t>
        </is>
      </c>
      <c r="AL97" s="75" t="inlineStr">
        <is>
          <t>113</t>
        </is>
      </c>
      <c r="AM97" s="75" t="inlineStr">
        <is>
          <t>https://fnet.bmfbovespa.com.br/fnet/publico/downloadDocumento?id=1073756</t>
        </is>
      </c>
      <c r="AN97" s="75" t="inlineStr">
        <is>
          <t>regulamento</t>
        </is>
      </c>
      <c r="AO97" s="75" t="inlineStr">
        <is>
          <t>15%</t>
        </is>
      </c>
      <c r="AP97" s="75" t="inlineStr">
        <is>
          <t>aceito_payload</t>
        </is>
      </c>
      <c r="AQ97" s="75" t="inlineStr">
        <is>
          <t>junior_pl</t>
        </is>
      </c>
      <c r="AR97" s="75" t="inlineStr">
        <is>
          <t>1240846</t>
        </is>
      </c>
      <c r="AS97" s="75" t="inlineStr">
        <is>
          <t>2026-07-03</t>
        </is>
      </c>
      <c r="AT97" s="75" t="inlineStr">
        <is>
          <t>114</t>
        </is>
      </c>
      <c r="AU97" s="75" t="inlineStr">
        <is>
          <t>https://fnet.bmfbovespa.com.br/fnet/publico/downloadDocumento?id=1240846</t>
        </is>
      </c>
      <c r="AV97" s="75" t="inlineStr">
        <is>
          <t>payload_documental</t>
        </is>
      </c>
      <c r="AW97" s="75" t="inlineStr">
        <is>
          <t>25%</t>
        </is>
      </c>
      <c r="AX97" s="75" t="inlineStr">
        <is>
          <t>encontrado_explicito</t>
        </is>
      </c>
      <c r="AY97" s="75" t="inlineStr">
        <is>
          <t>suporte_total_pl</t>
        </is>
      </c>
      <c r="AZ97" s="75" t="inlineStr">
        <is>
          <t>1240846</t>
        </is>
      </c>
      <c r="BA97" s="75" t="inlineStr">
        <is>
          <t>03/07/2026</t>
        </is>
      </c>
      <c r="BB97" s="75" t="inlineStr">
        <is>
          <t>66</t>
        </is>
      </c>
      <c r="BC97" s="75" t="inlineStr">
        <is>
          <t>https://fnet.bmfbovespa.com.br/fnet/publico/downloadDocumento?id=1240846</t>
        </is>
      </c>
      <c r="BD97" s="75" t="inlineStr">
        <is>
          <t>regulamento</t>
        </is>
      </c>
      <c r="BE97" s="75" t="inlineStr">
        <is>
          <t>junior_pl</t>
        </is>
      </c>
      <c r="BF97" s="75" t="inlineStr">
        <is>
          <t>aceito_payload</t>
        </is>
      </c>
      <c r="BG97" s="75" t="inlineStr">
        <is>
          <t>junior_pl</t>
        </is>
      </c>
      <c r="BH97" s="75" t="inlineStr">
        <is>
          <t>1240846</t>
        </is>
      </c>
      <c r="BI97" s="75" t="inlineStr">
        <is>
          <t>2026-07-03</t>
        </is>
      </c>
      <c r="BJ97" s="75" t="inlineStr">
        <is>
          <t>114</t>
        </is>
      </c>
      <c r="BK97" s="75" t="inlineStr">
        <is>
          <t>https://fnet.bmfbovespa.com.br/fnet/publico/downloadDocumento?id=1240846</t>
        </is>
      </c>
      <c r="BL97" s="75" t="inlineStr">
        <is>
          <t>payload_documental</t>
        </is>
      </c>
    </row>
    <row r="98" ht="42" customHeight="1">
      <c r="A98" s="141" t="n">
        <v>94</v>
      </c>
      <c r="B98" s="138" t="n">
        <v>30035329000159</v>
      </c>
      <c r="C98" s="74" t="inlineStr">
        <is>
          <t>30.035.329/0001-59</t>
        </is>
      </c>
      <c r="D98" s="74" t="inlineStr">
        <is>
          <t>VIA INVEST II FUNDO DE INVESTIMENTO EM DIREITOS CREDITÓRIOS RESPONSABILIDADE LIMITADA</t>
        </is>
      </c>
      <c r="E98" s="74" t="inlineStr">
        <is>
          <t>concluído</t>
        </is>
      </c>
      <c r="F98" s="141" t="n">
        <v>8</v>
      </c>
      <c r="G98" s="74" t="inlineStr">
        <is>
          <t>consultado</t>
        </is>
      </c>
      <c r="H98" s="74" t="inlineStr">
        <is>
          <t>N/D</t>
        </is>
      </c>
      <c r="I98" s="74" t="inlineStr">
        <is>
          <t>N/D</t>
        </is>
      </c>
      <c r="J98" s="74" t="inlineStr">
        <is>
          <t>não encontrado</t>
        </is>
      </c>
      <c r="K98" s="74" t="inlineStr">
        <is>
          <t>N/D</t>
        </is>
      </c>
      <c r="L98" s="74" t="inlineStr">
        <is>
          <t>N/D</t>
        </is>
      </c>
      <c r="M98" s="74" t="inlineStr">
        <is>
          <t>N/D</t>
        </is>
      </c>
      <c r="N98" s="74" t="inlineStr">
        <is>
          <t>N/D</t>
        </is>
      </c>
      <c r="O98" s="74" t="inlineStr">
        <is>
          <t>N/D</t>
        </is>
      </c>
      <c r="P98" s="74" t="inlineStr">
        <is>
          <t>N/D</t>
        </is>
      </c>
      <c r="Q98" s="74" t="inlineStr">
        <is>
          <t>BMP (Bancarizador)</t>
        </is>
      </c>
      <c r="R98" s="74" t="inlineStr">
        <is>
          <t>aceito_payload</t>
        </is>
      </c>
      <c r="S98" s="74" t="inlineStr">
        <is>
          <t>N/D</t>
        </is>
      </c>
      <c r="T98" s="74" t="inlineStr">
        <is>
          <t>IMG_8707.jpg</t>
        </is>
      </c>
      <c r="U98" s="74" t="inlineStr">
        <is>
          <t>2025-09-22</t>
        </is>
      </c>
      <c r="V98" s="74" t="inlineStr">
        <is>
          <t>44; 64</t>
        </is>
      </c>
      <c r="W98" s="74" t="inlineStr">
        <is>
          <t>N/D</t>
        </is>
      </c>
      <c r="X98" s="74" t="inlineStr">
        <is>
          <t>planilha_manual</t>
        </is>
      </c>
      <c r="Y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Z98" s="74" t="inlineStr">
        <is>
          <t>encontrado_explicito</t>
        </is>
      </c>
      <c r="AA98" s="74" t="inlineStr">
        <is>
          <t>N/D</t>
        </is>
      </c>
      <c r="AB98" s="74" t="inlineStr">
        <is>
          <t>998769</t>
        </is>
      </c>
      <c r="AC98" s="74" t="inlineStr">
        <is>
          <t>22/09/2025</t>
        </is>
      </c>
      <c r="AD98" s="74" t="inlineStr">
        <is>
          <t>6</t>
        </is>
      </c>
      <c r="AE98" s="74" t="inlineStr">
        <is>
          <t>https://fnet.bmfbovespa.com.br/fnet/publico/downloadDocumento?id=998769</t>
        </is>
      </c>
      <c r="AF98" s="74" t="inlineStr">
        <is>
          <t>regulamento</t>
        </is>
      </c>
      <c r="AG98" s="74" t="inlineStr">
        <is>
          <t>N/D</t>
        </is>
      </c>
      <c r="AH98" s="74" t="inlineStr">
        <is>
          <t>não encontrado</t>
        </is>
      </c>
      <c r="AI98" s="74" t="inlineStr">
        <is>
          <t>N/D</t>
        </is>
      </c>
      <c r="AJ98" s="74" t="inlineStr">
        <is>
          <t>N/D</t>
        </is>
      </c>
      <c r="AK98" s="74" t="inlineStr">
        <is>
          <t>N/D</t>
        </is>
      </c>
      <c r="AL98" s="74" t="inlineStr">
        <is>
          <t>N/D</t>
        </is>
      </c>
      <c r="AM98" s="74" t="inlineStr">
        <is>
          <t>N/D</t>
        </is>
      </c>
      <c r="AN98" s="74" t="inlineStr">
        <is>
          <t>N/D</t>
        </is>
      </c>
      <c r="AO98" s="74" t="inlineStr">
        <is>
          <t>15%</t>
        </is>
      </c>
      <c r="AP98" s="74" t="inlineStr">
        <is>
          <t>aceito_payload</t>
        </is>
      </c>
      <c r="AQ98" s="74" t="inlineStr">
        <is>
          <t>junior_pl</t>
        </is>
      </c>
      <c r="AR98" s="74" t="inlineStr">
        <is>
          <t>998769</t>
        </is>
      </c>
      <c r="AS98" s="74" t="inlineStr">
        <is>
          <t>2025-09-22</t>
        </is>
      </c>
      <c r="AT98" s="74" t="inlineStr">
        <is>
          <t>44; 64</t>
        </is>
      </c>
      <c r="AU98" s="74" t="inlineStr">
        <is>
          <t>https://fnet.bmfbovespa.com.br/fnet/publico/downloadDocumento?id=998769</t>
        </is>
      </c>
      <c r="AV98" s="74" t="inlineStr">
        <is>
          <t>payload_documental</t>
        </is>
      </c>
      <c r="AW98" s="74" t="inlineStr">
        <is>
          <t>N/D</t>
        </is>
      </c>
      <c r="AX98" s="74" t="inlineStr">
        <is>
          <t>não encontrado</t>
        </is>
      </c>
      <c r="AY98" s="74" t="inlineStr">
        <is>
          <t>N/D</t>
        </is>
      </c>
      <c r="AZ98" s="74" t="inlineStr">
        <is>
          <t>N/D</t>
        </is>
      </c>
      <c r="BA98" s="74" t="inlineStr">
        <is>
          <t>N/D</t>
        </is>
      </c>
      <c r="BB98" s="74" t="inlineStr">
        <is>
          <t>N/D</t>
        </is>
      </c>
      <c r="BC98" s="74" t="inlineStr">
        <is>
          <t>N/D</t>
        </is>
      </c>
      <c r="BD98" s="74" t="inlineStr">
        <is>
          <t>N/D</t>
        </is>
      </c>
      <c r="BE98" s="74" t="inlineStr">
        <is>
          <t>junior_pl</t>
        </is>
      </c>
      <c r="BF98" s="74" t="inlineStr">
        <is>
          <t>aceito_payload</t>
        </is>
      </c>
      <c r="BG98" s="74" t="inlineStr">
        <is>
          <t>junior_pl</t>
        </is>
      </c>
      <c r="BH98" s="74" t="inlineStr">
        <is>
          <t>998769</t>
        </is>
      </c>
      <c r="BI98" s="74" t="inlineStr">
        <is>
          <t>2025-09-22</t>
        </is>
      </c>
      <c r="BJ98" s="74" t="inlineStr">
        <is>
          <t>44; 64</t>
        </is>
      </c>
      <c r="BK98" s="74" t="inlineStr">
        <is>
          <t>https://fnet.bmfbovespa.com.br/fnet/publico/downloadDocumento?id=998769</t>
        </is>
      </c>
      <c r="BL98" s="74" t="inlineStr">
        <is>
          <t>payload_documental</t>
        </is>
      </c>
    </row>
    <row r="99" ht="42" customHeight="1">
      <c r="A99" s="145" t="n">
        <v>95</v>
      </c>
      <c r="B99" s="142" t="n">
        <v>63657457000193</v>
      </c>
      <c r="C99" s="75" t="inlineStr">
        <is>
          <t>63.657.457/0001-93</t>
        </is>
      </c>
      <c r="D99" s="75" t="inlineStr">
        <is>
          <t>MSV3 FUNDO DE INVESTIMENTO EM DIREITOS CREDITÓRIOS RECEBÍVEIS COMERCIAIS RESPONSABILIDADE LIMITADA</t>
        </is>
      </c>
      <c r="E99" s="75" t="inlineStr">
        <is>
          <t>concluído</t>
        </is>
      </c>
      <c r="F99" s="145" t="n">
        <v>8</v>
      </c>
      <c r="G99" s="75" t="inlineStr">
        <is>
          <t>consultado</t>
        </is>
      </c>
      <c r="H99" s="75" t="inlineStr">
        <is>
          <t>N/D</t>
        </is>
      </c>
      <c r="I99" s="75" t="inlineStr">
        <is>
          <t>N/D</t>
        </is>
      </c>
      <c r="J99" s="75" t="inlineStr">
        <is>
          <t>não encontrado</t>
        </is>
      </c>
      <c r="K99" s="75" t="inlineStr">
        <is>
          <t>N/D</t>
        </is>
      </c>
      <c r="L99" s="75" t="inlineStr">
        <is>
          <t>N/D</t>
        </is>
      </c>
      <c r="M99" s="75" t="inlineStr">
        <is>
          <t>N/D</t>
        </is>
      </c>
      <c r="N99" s="75" t="inlineStr">
        <is>
          <t>N/D</t>
        </is>
      </c>
      <c r="O99" s="75" t="inlineStr">
        <is>
          <t>N/D</t>
        </is>
      </c>
      <c r="P99" s="75" t="inlineStr">
        <is>
          <t>N/D</t>
        </is>
      </c>
      <c r="Q99" s="75" t="inlineStr">
        <is>
          <t>Originadores</t>
        </is>
      </c>
      <c r="R99" s="75" t="inlineStr">
        <is>
          <t>encontrado_explicito</t>
        </is>
      </c>
      <c r="S99" s="75" t="inlineStr">
        <is>
          <t>rótulo explícito de participante v2</t>
        </is>
      </c>
      <c r="T99" s="75" t="inlineStr">
        <is>
          <t>1118693</t>
        </is>
      </c>
      <c r="U99" s="75" t="inlineStr">
        <is>
          <t>30/12/2025</t>
        </is>
      </c>
      <c r="V99" s="75" t="inlineStr">
        <is>
          <t>1</t>
        </is>
      </c>
      <c r="W99" s="75" t="inlineStr">
        <is>
          <t>https://fnet.bmfbovespa.com.br/fnet/publico/downloadDocumento?id=1118693</t>
        </is>
      </c>
      <c r="X99" s="75" t="inlineStr">
        <is>
          <t>rating_report</t>
        </is>
      </c>
      <c r="Y99" s="75" t="inlineStr">
        <is>
          <t>não tenham relação com qualquer comercialização de tabaco ou qualquer espécie de fumo ou com distribuição de combustíveis (exceto, nesse último caso, se forem companhias abertas), conforme informado pela respectiva</t>
        </is>
      </c>
      <c r="Z99" s="75" t="inlineStr">
        <is>
          <t>encontrado_explicito</t>
        </is>
      </c>
      <c r="AA99" s="75" t="inlineStr">
        <is>
          <t>rótulo explícito de participante v2</t>
        </is>
      </c>
      <c r="AB99" s="75" t="inlineStr">
        <is>
          <t>1118693</t>
        </is>
      </c>
      <c r="AC99" s="75" t="inlineStr">
        <is>
          <t>30/12/2025</t>
        </is>
      </c>
      <c r="AD99" s="75" t="inlineStr">
        <is>
          <t>6</t>
        </is>
      </c>
      <c r="AE99" s="75" t="inlineStr">
        <is>
          <t>https://fnet.bmfbovespa.com.br/fnet/publico/downloadDocumento?id=1118693</t>
        </is>
      </c>
      <c r="AF99" s="75" t="inlineStr">
        <is>
          <t>rating_report</t>
        </is>
      </c>
      <c r="AG99" s="75" t="inlineStr">
        <is>
          <t>N/D</t>
        </is>
      </c>
      <c r="AH99" s="75" t="inlineStr">
        <is>
          <t>não encontrado</t>
        </is>
      </c>
      <c r="AI99" s="75" t="inlineStr">
        <is>
          <t>N/D</t>
        </is>
      </c>
      <c r="AJ99" s="75" t="inlineStr">
        <is>
          <t>N/D</t>
        </is>
      </c>
      <c r="AK99" s="75" t="inlineStr">
        <is>
          <t>N/D</t>
        </is>
      </c>
      <c r="AL99" s="75" t="inlineStr">
        <is>
          <t>N/D</t>
        </is>
      </c>
      <c r="AM99" s="75" t="inlineStr">
        <is>
          <t>N/D</t>
        </is>
      </c>
      <c r="AN99" s="75" t="inlineStr">
        <is>
          <t>N/D</t>
        </is>
      </c>
      <c r="AO99" s="75" t="inlineStr">
        <is>
          <t>25%</t>
        </is>
      </c>
      <c r="AP99" s="75" t="inlineStr">
        <is>
          <t>aceito_payload</t>
        </is>
      </c>
      <c r="AQ99" s="75" t="inlineStr">
        <is>
          <t>junior_pl</t>
        </is>
      </c>
      <c r="AR99" s="75" t="inlineStr">
        <is>
          <t>1205333</t>
        </is>
      </c>
      <c r="AS99" s="75" t="inlineStr">
        <is>
          <t>2026-05-27</t>
        </is>
      </c>
      <c r="AT99" s="75" t="inlineStr">
        <is>
          <t>28</t>
        </is>
      </c>
      <c r="AU99" s="75" t="inlineStr">
        <is>
          <t>https://fnet.bmfbovespa.com.br/fnet/publico/downloadDocumento?id=1205333</t>
        </is>
      </c>
      <c r="AV99" s="75" t="inlineStr">
        <is>
          <t>payload_documental</t>
        </is>
      </c>
      <c r="AW99" s="75" t="inlineStr">
        <is>
          <t>N/D</t>
        </is>
      </c>
      <c r="AX99" s="75" t="inlineStr">
        <is>
          <t>não encontrado</t>
        </is>
      </c>
      <c r="AY99" s="75" t="inlineStr">
        <is>
          <t>N/D</t>
        </is>
      </c>
      <c r="AZ99" s="75" t="inlineStr">
        <is>
          <t>N/D</t>
        </is>
      </c>
      <c r="BA99" s="75" t="inlineStr">
        <is>
          <t>N/D</t>
        </is>
      </c>
      <c r="BB99" s="75" t="inlineStr">
        <is>
          <t>N/D</t>
        </is>
      </c>
      <c r="BC99" s="75" t="inlineStr">
        <is>
          <t>N/D</t>
        </is>
      </c>
      <c r="BD99" s="75" t="inlineStr">
        <is>
          <t>N/D</t>
        </is>
      </c>
      <c r="BE99" s="75" t="inlineStr">
        <is>
          <t>junior_pl</t>
        </is>
      </c>
      <c r="BF99" s="75" t="inlineStr">
        <is>
          <t>aceito_payload</t>
        </is>
      </c>
      <c r="BG99" s="75" t="inlineStr">
        <is>
          <t>junior_pl</t>
        </is>
      </c>
      <c r="BH99" s="75" t="inlineStr">
        <is>
          <t>1205333</t>
        </is>
      </c>
      <c r="BI99" s="75" t="inlineStr">
        <is>
          <t>2026-05-27</t>
        </is>
      </c>
      <c r="BJ99" s="75" t="inlineStr">
        <is>
          <t>28</t>
        </is>
      </c>
      <c r="BK99" s="75" t="inlineStr">
        <is>
          <t>https://fnet.bmfbovespa.com.br/fnet/publico/downloadDocumento?id=1205333</t>
        </is>
      </c>
      <c r="BL99" s="75" t="inlineStr">
        <is>
          <t>payload_documental</t>
        </is>
      </c>
    </row>
    <row r="100" ht="42" customHeight="1">
      <c r="A100" s="141" t="n">
        <v>96</v>
      </c>
      <c r="B100" s="138" t="n">
        <v>63066147000102</v>
      </c>
      <c r="C100" s="74" t="inlineStr">
        <is>
          <t>63.066.147/0001-02</t>
        </is>
      </c>
      <c r="D100" s="74" t="inlineStr">
        <is>
          <t>FUNDO DE INVESTIMENTO EM DIREITOS CREDITÓRIOS INCLUSÃO CREDIÁRIA RESPONSABILIDADE LIMITADA</t>
        </is>
      </c>
      <c r="E100" s="74" t="inlineStr">
        <is>
          <t>concluído</t>
        </is>
      </c>
      <c r="F100" s="141" t="n">
        <v>7</v>
      </c>
      <c r="G100" s="74" t="inlineStr">
        <is>
          <t>consultado</t>
        </is>
      </c>
      <c r="H100" s="74" t="inlineStr">
        <is>
          <t>N/D</t>
        </is>
      </c>
      <c r="I100" s="74" t="inlineStr">
        <is>
          <t>N/D</t>
        </is>
      </c>
      <c r="J100" s="74" t="inlineStr">
        <is>
          <t>não encontrado</t>
        </is>
      </c>
      <c r="K100" s="74" t="inlineStr">
        <is>
          <t>N/D</t>
        </is>
      </c>
      <c r="L100" s="74" t="inlineStr">
        <is>
          <t>N/D</t>
        </is>
      </c>
      <c r="M100" s="74" t="inlineStr">
        <is>
          <t>N/D</t>
        </is>
      </c>
      <c r="N100" s="74" t="inlineStr">
        <is>
          <t>N/D</t>
        </is>
      </c>
      <c r="O100" s="74" t="inlineStr">
        <is>
          <t>N/D</t>
        </is>
      </c>
      <c r="P100" s="74" t="inlineStr">
        <is>
          <t>N/D</t>
        </is>
      </c>
      <c r="Q100" s="74" t="inlineStr">
        <is>
          <t>Supersim</t>
        </is>
      </c>
      <c r="R100" s="74" t="inlineStr">
        <is>
          <t>aceito_payload</t>
        </is>
      </c>
      <c r="S100" s="74" t="inlineStr">
        <is>
          <t>N/D</t>
        </is>
      </c>
      <c r="T100" s="74" t="inlineStr">
        <is>
          <t>IMG_8707.jpg</t>
        </is>
      </c>
      <c r="U100" s="74" t="inlineStr">
        <is>
          <t>2026-01-15</t>
        </is>
      </c>
      <c r="V100" s="74" t="inlineStr">
        <is>
          <t>12</t>
        </is>
      </c>
      <c r="W100" s="74" t="inlineStr">
        <is>
          <t>N/D</t>
        </is>
      </c>
      <c r="X100" s="74" t="inlineStr">
        <is>
          <t>planilha_manual</t>
        </is>
      </c>
      <c r="Y100" s="74" t="inlineStr">
        <is>
          <t>N/D</t>
        </is>
      </c>
      <c r="Z100" s="74" t="inlineStr">
        <is>
          <t>não encontrado</t>
        </is>
      </c>
      <c r="AA100" s="74" t="inlineStr">
        <is>
          <t>N/D</t>
        </is>
      </c>
      <c r="AB100" s="74" t="inlineStr">
        <is>
          <t>N/D</t>
        </is>
      </c>
      <c r="AC100" s="74" t="inlineStr">
        <is>
          <t>N/D</t>
        </is>
      </c>
      <c r="AD100" s="74" t="inlineStr">
        <is>
          <t>N/D</t>
        </is>
      </c>
      <c r="AE100" s="74" t="inlineStr">
        <is>
          <t>N/D</t>
        </is>
      </c>
      <c r="AF100" s="74" t="inlineStr">
        <is>
          <t>N/D</t>
        </is>
      </c>
      <c r="AG100" s="74" t="inlineStr">
        <is>
          <t>todos os direitos de crédito vincendos adquiridos ou a serem adquiridos pela Classe Única, representados por CCBs decorrentes da concessão de Crédito Docusign Envelope ID: 9DE35450-3BDE-4638-A712-3F4C7F8F1EF5</t>
        </is>
      </c>
      <c r="AH100" s="74" t="inlineStr">
        <is>
          <t>encontrado_explicito</t>
        </is>
      </c>
      <c r="AI100" s="74" t="inlineStr">
        <is>
          <t>N/D</t>
        </is>
      </c>
      <c r="AJ100" s="74" t="inlineStr">
        <is>
          <t>1085943</t>
        </is>
      </c>
      <c r="AK100" s="74" t="inlineStr">
        <is>
          <t>2026-01-15</t>
        </is>
      </c>
      <c r="AL100" s="74" t="inlineStr">
        <is>
          <t>14</t>
        </is>
      </c>
      <c r="AM100" s="74" t="inlineStr">
        <is>
          <t>https://fnet.bmfbovespa.com.br/fnet/publico/downloadDocumento?id=1085943</t>
        </is>
      </c>
      <c r="AN100" s="74" t="inlineStr">
        <is>
          <t>regulamento</t>
        </is>
      </c>
      <c r="AO100" s="74" t="inlineStr">
        <is>
          <t>12.5%</t>
        </is>
      </c>
      <c r="AP100" s="74" t="inlineStr">
        <is>
          <t>aceito_payload</t>
        </is>
      </c>
      <c r="AQ100" s="74" t="inlineStr">
        <is>
          <t>junior_pl</t>
        </is>
      </c>
      <c r="AR100" s="74" t="inlineStr">
        <is>
          <t>1085946</t>
        </is>
      </c>
      <c r="AS100" s="74" t="inlineStr">
        <is>
          <t>2026-01-15</t>
        </is>
      </c>
      <c r="AT100" s="74" t="inlineStr">
        <is>
          <t>12</t>
        </is>
      </c>
      <c r="AU100" s="74" t="inlineStr">
        <is>
          <t>https://fnet.bmfbovespa.com.br/fnet/publico/downloadDocumento?id=1085946</t>
        </is>
      </c>
      <c r="AV100" s="74" t="inlineStr">
        <is>
          <t>payload_documental</t>
        </is>
      </c>
      <c r="AW100" s="74" t="inlineStr">
        <is>
          <t>N/D</t>
        </is>
      </c>
      <c r="AX100" s="74" t="inlineStr">
        <is>
          <t>não encontrado</t>
        </is>
      </c>
      <c r="AY100" s="74" t="inlineStr">
        <is>
          <t>N/D</t>
        </is>
      </c>
      <c r="AZ100" s="74" t="inlineStr">
        <is>
          <t>N/D</t>
        </is>
      </c>
      <c r="BA100" s="74" t="inlineStr">
        <is>
          <t>N/D</t>
        </is>
      </c>
      <c r="BB100" s="74" t="inlineStr">
        <is>
          <t>N/D</t>
        </is>
      </c>
      <c r="BC100" s="74" t="inlineStr">
        <is>
          <t>N/D</t>
        </is>
      </c>
      <c r="BD100" s="74" t="inlineStr">
        <is>
          <t>N/D</t>
        </is>
      </c>
      <c r="BE100" s="74" t="inlineStr">
        <is>
          <t>junior_pl</t>
        </is>
      </c>
      <c r="BF100" s="74" t="inlineStr">
        <is>
          <t>aceito_payload</t>
        </is>
      </c>
      <c r="BG100" s="74" t="inlineStr">
        <is>
          <t>junior_pl</t>
        </is>
      </c>
      <c r="BH100" s="74" t="inlineStr">
        <is>
          <t>1085946</t>
        </is>
      </c>
      <c r="BI100" s="74" t="inlineStr">
        <is>
          <t>2026-01-15</t>
        </is>
      </c>
      <c r="BJ100" s="74" t="inlineStr">
        <is>
          <t>12</t>
        </is>
      </c>
      <c r="BK100" s="74" t="inlineStr">
        <is>
          <t>https://fnet.bmfbovespa.com.br/fnet/publico/downloadDocumento?id=1085946</t>
        </is>
      </c>
      <c r="BL100" s="74" t="inlineStr">
        <is>
          <t>payload_documental</t>
        </is>
      </c>
    </row>
    <row r="101" ht="42" customHeight="1">
      <c r="A101" s="145" t="n">
        <v>97</v>
      </c>
      <c r="B101" s="142" t="n">
        <v>65836995000170</v>
      </c>
      <c r="C101" s="75" t="inlineStr">
        <is>
          <t>65.836.995/0001-70</t>
        </is>
      </c>
      <c r="D101" s="75" t="inlineStr">
        <is>
          <t>PNEUCASH II FUNDO DE INVESTIMENTO EM DIREITOS CREDITÓRIOS DE CLASSE ÚNICA FECHADA RESP LIMITADA</t>
        </is>
      </c>
      <c r="E101" s="75" t="inlineStr">
        <is>
          <t>concluído</t>
        </is>
      </c>
      <c r="F101" s="145" t="n">
        <v>6</v>
      </c>
      <c r="G101" s="75" t="inlineStr">
        <is>
          <t>consultado</t>
        </is>
      </c>
      <c r="H101" s="75" t="inlineStr">
        <is>
          <t>N/D</t>
        </is>
      </c>
      <c r="I101" s="75" t="inlineStr">
        <is>
          <t>N/D</t>
        </is>
      </c>
      <c r="J101" s="75" t="inlineStr">
        <is>
          <t>não encontrado</t>
        </is>
      </c>
      <c r="K101" s="75" t="inlineStr">
        <is>
          <t>N/D</t>
        </is>
      </c>
      <c r="L101" s="75" t="inlineStr">
        <is>
          <t>N/D</t>
        </is>
      </c>
      <c r="M101" s="75" t="inlineStr">
        <is>
          <t>N/D</t>
        </is>
      </c>
      <c r="N101" s="75" t="inlineStr">
        <is>
          <t>N/D</t>
        </is>
      </c>
      <c r="O101" s="75" t="inlineStr">
        <is>
          <t>N/D</t>
        </is>
      </c>
      <c r="P101" s="75" t="inlineStr">
        <is>
          <t>N/D</t>
        </is>
      </c>
      <c r="Q101" s="75" t="inlineStr">
        <is>
          <t>Cantu Store</t>
        </is>
      </c>
      <c r="R101" s="75" t="inlineStr">
        <is>
          <t>aceito_payload</t>
        </is>
      </c>
      <c r="S101" s="75" t="inlineStr">
        <is>
          <t>N/D</t>
        </is>
      </c>
      <c r="T101" s="75" t="inlineStr">
        <is>
          <t>IMG_8707.jpg</t>
        </is>
      </c>
      <c r="U101" s="75" t="inlineStr">
        <is>
          <t>2026-05-11</t>
        </is>
      </c>
      <c r="V101" s="75" t="inlineStr">
        <is>
          <t>49–50</t>
        </is>
      </c>
      <c r="W101" s="75" t="inlineStr">
        <is>
          <t>N/D</t>
        </is>
      </c>
      <c r="X101" s="75" t="inlineStr">
        <is>
          <t>planilha_manual</t>
        </is>
      </c>
      <c r="Y101" s="75" t="inlineStr">
        <is>
          <t>os devedores (sacados), pessoas físicas ou jurídicas, que tenham estabelecido relação de consumo dos Direitos Creditórios com as Cedentes</t>
        </is>
      </c>
      <c r="Z101" s="75" t="inlineStr">
        <is>
          <t>encontrado_explicito</t>
        </is>
      </c>
      <c r="AA101" s="75" t="inlineStr">
        <is>
          <t>N/D</t>
        </is>
      </c>
      <c r="AB101" s="75" t="inlineStr">
        <is>
          <t>1184844</t>
        </is>
      </c>
      <c r="AC101" s="75" t="inlineStr">
        <is>
          <t>07/05/2026</t>
        </is>
      </c>
      <c r="AD101" s="75" t="inlineStr">
        <is>
          <t>18</t>
        </is>
      </c>
      <c r="AE101" s="75" t="inlineStr">
        <is>
          <t>https://fnet.bmfbovespa.com.br/fnet/publico/downloadDocumento?id=1184844</t>
        </is>
      </c>
      <c r="AF101" s="75" t="inlineStr">
        <is>
          <t>regulamento</t>
        </is>
      </c>
      <c r="AG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AH101" s="75" t="inlineStr">
        <is>
          <t>encontrado_explicito</t>
        </is>
      </c>
      <c r="AI101" s="75" t="inlineStr">
        <is>
          <t>N/D</t>
        </is>
      </c>
      <c r="AJ101" s="75" t="inlineStr">
        <is>
          <t>1184844</t>
        </is>
      </c>
      <c r="AK101" s="75" t="inlineStr">
        <is>
          <t>07/05/2026</t>
        </is>
      </c>
      <c r="AL101" s="75" t="inlineStr">
        <is>
          <t>19</t>
        </is>
      </c>
      <c r="AM101" s="75" t="inlineStr">
        <is>
          <t>https://fnet.bmfbovespa.com.br/fnet/publico/downloadDocumento?id=1184844</t>
        </is>
      </c>
      <c r="AN101" s="75" t="inlineStr">
        <is>
          <t>regulamento</t>
        </is>
      </c>
      <c r="AO101" s="75" t="inlineStr">
        <is>
          <t>N/D</t>
        </is>
      </c>
      <c r="AP101" s="75" t="inlineStr">
        <is>
          <t>não encontrado</t>
        </is>
      </c>
      <c r="AQ101" s="75" t="inlineStr">
        <is>
          <t>N/D</t>
        </is>
      </c>
      <c r="AR101" s="75" t="inlineStr">
        <is>
          <t>N/D</t>
        </is>
      </c>
      <c r="AS101" s="75" t="inlineStr">
        <is>
          <t>N/D</t>
        </is>
      </c>
      <c r="AT101" s="75" t="inlineStr">
        <is>
          <t>N/D</t>
        </is>
      </c>
      <c r="AU101" s="75" t="inlineStr">
        <is>
          <t>N/D</t>
        </is>
      </c>
      <c r="AV101" s="75" t="inlineStr">
        <is>
          <t>N/D</t>
        </is>
      </c>
      <c r="AW101" s="75" t="inlineStr">
        <is>
          <t>20%</t>
        </is>
      </c>
      <c r="AX101" s="75" t="inlineStr">
        <is>
          <t>aceito_payload</t>
        </is>
      </c>
      <c r="AY101" s="75" t="inlineStr">
        <is>
          <t>suporte_total_pl</t>
        </is>
      </c>
      <c r="AZ101" s="75" t="inlineStr">
        <is>
          <t>1184847</t>
        </is>
      </c>
      <c r="BA101" s="75" t="inlineStr">
        <is>
          <t>2026-05-11</t>
        </is>
      </c>
      <c r="BB101" s="75" t="inlineStr">
        <is>
          <t>49–50</t>
        </is>
      </c>
      <c r="BC101" s="75" t="inlineStr">
        <is>
          <t>https://fnet.bmfbovespa.com.br/fnet/publico/downloadDocumento?id=1184847</t>
        </is>
      </c>
      <c r="BD101" s="75" t="inlineStr">
        <is>
          <t>payload_documental</t>
        </is>
      </c>
      <c r="BE101" s="75" t="inlineStr">
        <is>
          <t>suporte_total_pl</t>
        </is>
      </c>
      <c r="BF101" s="75" t="inlineStr">
        <is>
          <t>aceito_payload</t>
        </is>
      </c>
      <c r="BG101" s="75" t="inlineStr">
        <is>
          <t>suporte_total_pl</t>
        </is>
      </c>
      <c r="BH101" s="75" t="inlineStr">
        <is>
          <t>1184847</t>
        </is>
      </c>
      <c r="BI101" s="75" t="inlineStr">
        <is>
          <t>2026-05-11</t>
        </is>
      </c>
      <c r="BJ101" s="75" t="inlineStr">
        <is>
          <t>49–50</t>
        </is>
      </c>
      <c r="BK101" s="75" t="inlineStr">
        <is>
          <t>https://fnet.bmfbovespa.com.br/fnet/publico/downloadDocumento?id=1184847</t>
        </is>
      </c>
      <c r="BL101" s="75" t="inlineStr">
        <is>
          <t>payload_documental</t>
        </is>
      </c>
    </row>
    <row r="102" ht="42" customHeight="1">
      <c r="A102" s="141" t="n">
        <v>98</v>
      </c>
      <c r="B102" s="138" t="n">
        <v>65873297000145</v>
      </c>
      <c r="C102" s="74" t="inlineStr">
        <is>
          <t>65.873.297/0001-45</t>
        </is>
      </c>
      <c r="D102" s="74" t="inlineStr">
        <is>
          <t>ARCELORMITTAL VÉRTICE FUNDO DE INVESTIMENTO EM DIREITOS CREDITÓRIOS COMERCIAIS - RESP LIMITADA</t>
        </is>
      </c>
      <c r="E102" s="74" t="inlineStr">
        <is>
          <t>concluído</t>
        </is>
      </c>
      <c r="F102" s="141" t="n">
        <v>7</v>
      </c>
      <c r="G102" s="74" t="inlineStr">
        <is>
          <t>consultado</t>
        </is>
      </c>
      <c r="H102" s="74" t="inlineStr">
        <is>
          <t>N/D</t>
        </is>
      </c>
      <c r="I102" s="74" t="inlineStr">
        <is>
          <t>N/D</t>
        </is>
      </c>
      <c r="J102" s="74" t="inlineStr">
        <is>
          <t>não encontrado</t>
        </is>
      </c>
      <c r="K102" s="74" t="inlineStr">
        <is>
          <t>N/D</t>
        </is>
      </c>
      <c r="L102" s="74" t="inlineStr">
        <is>
          <t>N/D</t>
        </is>
      </c>
      <c r="M102" s="74" t="inlineStr">
        <is>
          <t>N/D</t>
        </is>
      </c>
      <c r="N102" s="74" t="inlineStr">
        <is>
          <t>N/D</t>
        </is>
      </c>
      <c r="O102" s="74" t="inlineStr">
        <is>
          <t>N/D</t>
        </is>
      </c>
      <c r="P102" s="74" t="inlineStr">
        <is>
          <t>N/D</t>
        </is>
      </c>
      <c r="Q102" s="74" t="inlineStr">
        <is>
          <t>os Fornecedores que cedem Direitos Creditórios à Classe</t>
        </is>
      </c>
      <c r="R102" s="74" t="inlineStr">
        <is>
          <t>encontrado_explicito</t>
        </is>
      </c>
      <c r="S102" s="74" t="inlineStr">
        <is>
          <t>N/D</t>
        </is>
      </c>
      <c r="T102" s="74" t="inlineStr">
        <is>
          <t>1226438</t>
        </is>
      </c>
      <c r="U102" s="74" t="inlineStr">
        <is>
          <t>20/05/2026</t>
        </is>
      </c>
      <c r="V102" s="74" t="inlineStr">
        <is>
          <t>4</t>
        </is>
      </c>
      <c r="W102" s="74" t="inlineStr">
        <is>
          <t>https://fnet.bmfbovespa.com.br/fnet/publico/downloadDocumento?id=1226438</t>
        </is>
      </c>
      <c r="X102" s="74" t="inlineStr">
        <is>
          <t>regulamento</t>
        </is>
      </c>
      <c r="Y102" s="74" t="inlineStr">
        <is>
          <t>N/D</t>
        </is>
      </c>
      <c r="Z102" s="74" t="inlineStr">
        <is>
          <t>não encontrado</t>
        </is>
      </c>
      <c r="AA102" s="74" t="inlineStr">
        <is>
          <t>N/D</t>
        </is>
      </c>
      <c r="AB102" s="74" t="inlineStr">
        <is>
          <t>N/D</t>
        </is>
      </c>
      <c r="AC102" s="74" t="inlineStr">
        <is>
          <t>N/D</t>
        </is>
      </c>
      <c r="AD102" s="74" t="inlineStr">
        <is>
          <t>N/D</t>
        </is>
      </c>
      <c r="AE102" s="74" t="inlineStr">
        <is>
          <t>N/D</t>
        </is>
      </c>
      <c r="AF102" s="74" t="inlineStr">
        <is>
          <t>N/D</t>
        </is>
      </c>
      <c r="AG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AH102" s="74" t="inlineStr">
        <is>
          <t>encontrado_explicito</t>
        </is>
      </c>
      <c r="AI102" s="74" t="inlineStr">
        <is>
          <t>N/D</t>
        </is>
      </c>
      <c r="AJ102" s="74" t="inlineStr">
        <is>
          <t>1226438</t>
        </is>
      </c>
      <c r="AK102" s="74" t="inlineStr">
        <is>
          <t>20/05/2026</t>
        </is>
      </c>
      <c r="AL102" s="74" t="inlineStr">
        <is>
          <t>5</t>
        </is>
      </c>
      <c r="AM102" s="74" t="inlineStr">
        <is>
          <t>https://fnet.bmfbovespa.com.br/fnet/publico/downloadDocumento?id=1226438</t>
        </is>
      </c>
      <c r="AN102" s="74" t="inlineStr">
        <is>
          <t>regulamento</t>
        </is>
      </c>
      <c r="AO102" s="74" t="inlineStr">
        <is>
          <t>12%</t>
        </is>
      </c>
      <c r="AP102" s="74" t="inlineStr">
        <is>
          <t>aceito_payload</t>
        </is>
      </c>
      <c r="AQ102" s="74" t="inlineStr">
        <is>
          <t>junior_pl</t>
        </is>
      </c>
      <c r="AR102" s="74" t="inlineStr">
        <is>
          <t>1226438</t>
        </is>
      </c>
      <c r="AS102" s="74" t="inlineStr">
        <is>
          <t>2026-05-20</t>
        </is>
      </c>
      <c r="AT102" s="74" t="inlineStr">
        <is>
          <t>34</t>
        </is>
      </c>
      <c r="AU102" s="74" t="inlineStr">
        <is>
          <t>https://fnet.bmfbovespa.com.br/fnet/publico/downloadDocumento?id=1226438</t>
        </is>
      </c>
      <c r="AV102" s="74" t="inlineStr">
        <is>
          <t>payload_documental</t>
        </is>
      </c>
      <c r="AW102" s="74" t="inlineStr">
        <is>
          <t>12%</t>
        </is>
      </c>
      <c r="AX102" s="74" t="inlineStr">
        <is>
          <t>aceito_payload</t>
        </is>
      </c>
      <c r="AY102" s="74" t="inlineStr">
        <is>
          <t>suporte_total_pl</t>
        </is>
      </c>
      <c r="AZ102" s="74" t="inlineStr">
        <is>
          <t>1226438</t>
        </is>
      </c>
      <c r="BA102" s="74" t="inlineStr">
        <is>
          <t>2026-05-20</t>
        </is>
      </c>
      <c r="BB102" s="74" t="inlineStr">
        <is>
          <t>34</t>
        </is>
      </c>
      <c r="BC102" s="74" t="inlineStr">
        <is>
          <t>https://fnet.bmfbovespa.com.br/fnet/publico/downloadDocumento?id=1226438</t>
        </is>
      </c>
      <c r="BD102" s="74" t="inlineStr">
        <is>
          <t>payload_documental</t>
        </is>
      </c>
      <c r="BE102" s="74" t="inlineStr">
        <is>
          <t>junior_pl</t>
        </is>
      </c>
      <c r="BF102" s="74" t="inlineStr">
        <is>
          <t>aceito_payload</t>
        </is>
      </c>
      <c r="BG102" s="74" t="inlineStr">
        <is>
          <t>junior_pl</t>
        </is>
      </c>
      <c r="BH102" s="74" t="inlineStr">
        <is>
          <t>1226438</t>
        </is>
      </c>
      <c r="BI102" s="74" t="inlineStr">
        <is>
          <t>2026-05-20</t>
        </is>
      </c>
      <c r="BJ102" s="74" t="inlineStr">
        <is>
          <t>34</t>
        </is>
      </c>
      <c r="BK102" s="74" t="inlineStr">
        <is>
          <t>https://fnet.bmfbovespa.com.br/fnet/publico/downloadDocumento?id=1226438</t>
        </is>
      </c>
      <c r="BL102" s="74" t="inlineStr">
        <is>
          <t>payload_documental</t>
        </is>
      </c>
    </row>
    <row r="103" ht="42" customHeight="1">
      <c r="A103" s="145" t="n">
        <v>99</v>
      </c>
      <c r="B103" s="142" t="n">
        <v>65347578000164</v>
      </c>
      <c r="C103" s="75" t="inlineStr">
        <is>
          <t>65.347.578/0001-64</t>
        </is>
      </c>
      <c r="D103" s="75" t="inlineStr">
        <is>
          <t>ICRED INSS III FUNDO DE INVESTIMENTO EM DIREITOS CREDITÓRIOS RESPONSABILIDADE LIMITADA</t>
        </is>
      </c>
      <c r="E103" s="75" t="inlineStr">
        <is>
          <t>concluído</t>
        </is>
      </c>
      <c r="F103" s="145" t="n">
        <v>5</v>
      </c>
      <c r="G103" s="75" t="inlineStr">
        <is>
          <t>consultado</t>
        </is>
      </c>
      <c r="H103" s="75" t="inlineStr">
        <is>
          <t>N/D</t>
        </is>
      </c>
      <c r="I103" s="75" t="inlineStr">
        <is>
          <t>N/D</t>
        </is>
      </c>
      <c r="J103" s="75" t="inlineStr">
        <is>
          <t>não encontrado</t>
        </is>
      </c>
      <c r="K103" s="75" t="inlineStr">
        <is>
          <t>N/D</t>
        </is>
      </c>
      <c r="L103" s="75" t="inlineStr">
        <is>
          <t>N/D</t>
        </is>
      </c>
      <c r="M103" s="75" t="inlineStr">
        <is>
          <t>N/D</t>
        </is>
      </c>
      <c r="N103" s="75" t="inlineStr">
        <is>
          <t>N/D</t>
        </is>
      </c>
      <c r="O103" s="75" t="inlineStr">
        <is>
          <t>N/D</t>
        </is>
      </c>
      <c r="P103" s="75" t="inlineStr">
        <is>
          <t>N/D</t>
        </is>
      </c>
      <c r="Q103" s="75" t="inlineStr">
        <is>
          <t>N/D</t>
        </is>
      </c>
      <c r="R103" s="75" t="inlineStr">
        <is>
          <t>não encontrado</t>
        </is>
      </c>
      <c r="S103" s="75" t="inlineStr">
        <is>
          <t>N/D</t>
        </is>
      </c>
      <c r="T103" s="75" t="inlineStr">
        <is>
          <t>N/D</t>
        </is>
      </c>
      <c r="U103" s="75" t="inlineStr">
        <is>
          <t>N/D</t>
        </is>
      </c>
      <c r="V103" s="75" t="inlineStr">
        <is>
          <t>N/D</t>
        </is>
      </c>
      <c r="W103" s="75" t="inlineStr">
        <is>
          <t>N/D</t>
        </is>
      </c>
      <c r="X103" s="75" t="inlineStr">
        <is>
          <t>N/D</t>
        </is>
      </c>
      <c r="Y103" s="75" t="inlineStr">
        <is>
          <t>N/D</t>
        </is>
      </c>
      <c r="Z103" s="75" t="inlineStr">
        <is>
          <t>não encontrado</t>
        </is>
      </c>
      <c r="AA103" s="75" t="inlineStr">
        <is>
          <t>N/D</t>
        </is>
      </c>
      <c r="AB103" s="75" t="inlineStr">
        <is>
          <t>N/D</t>
        </is>
      </c>
      <c r="AC103" s="75" t="inlineStr">
        <is>
          <t>N/D</t>
        </is>
      </c>
      <c r="AD103" s="75" t="inlineStr">
        <is>
          <t>N/D</t>
        </is>
      </c>
      <c r="AE103" s="75" t="inlineStr">
        <is>
          <t>N/D</t>
        </is>
      </c>
      <c r="AF103" s="75" t="inlineStr">
        <is>
          <t>N/D</t>
        </is>
      </c>
      <c r="AG103" s="75" t="inlineStr">
        <is>
          <t>N/D</t>
        </is>
      </c>
      <c r="AH103" s="75" t="inlineStr">
        <is>
          <t>não encontrado</t>
        </is>
      </c>
      <c r="AI103" s="75" t="inlineStr">
        <is>
          <t>N/D</t>
        </is>
      </c>
      <c r="AJ103" s="75" t="inlineStr">
        <is>
          <t>N/D</t>
        </is>
      </c>
      <c r="AK103" s="75" t="inlineStr">
        <is>
          <t>N/D</t>
        </is>
      </c>
      <c r="AL103" s="75" t="inlineStr">
        <is>
          <t>N/D</t>
        </is>
      </c>
      <c r="AM103" s="75" t="inlineStr">
        <is>
          <t>N/D</t>
        </is>
      </c>
      <c r="AN103" s="75" t="inlineStr">
        <is>
          <t>N/D</t>
        </is>
      </c>
      <c r="AO103" s="75" t="inlineStr">
        <is>
          <t>2.5%</t>
        </is>
      </c>
      <c r="AP103" s="75" t="inlineStr">
        <is>
          <t>aceito_payload</t>
        </is>
      </c>
      <c r="AQ103" s="75" t="inlineStr">
        <is>
          <t>junior_pl</t>
        </is>
      </c>
      <c r="AR103" s="75" t="inlineStr">
        <is>
          <t>1211821</t>
        </is>
      </c>
      <c r="AS103" s="75" t="inlineStr">
        <is>
          <t>2026-05-25</t>
        </is>
      </c>
      <c r="AT103" s="75" t="inlineStr">
        <is>
          <t>186</t>
        </is>
      </c>
      <c r="AU103" s="75" t="inlineStr">
        <is>
          <t>https://fnet.bmfbovespa.com.br/fnet/publico/downloadDocumento?id=1211821</t>
        </is>
      </c>
      <c r="AV103" s="75" t="inlineStr">
        <is>
          <t>payload_documental</t>
        </is>
      </c>
      <c r="AW103" s="75" t="inlineStr">
        <is>
          <t>N/D</t>
        </is>
      </c>
      <c r="AX103" s="75" t="inlineStr">
        <is>
          <t>não encontrado</t>
        </is>
      </c>
      <c r="AY103" s="75" t="inlineStr">
        <is>
          <t>N/D</t>
        </is>
      </c>
      <c r="AZ103" s="75" t="inlineStr">
        <is>
          <t>N/D</t>
        </is>
      </c>
      <c r="BA103" s="75" t="inlineStr">
        <is>
          <t>N/D</t>
        </is>
      </c>
      <c r="BB103" s="75" t="inlineStr">
        <is>
          <t>N/D</t>
        </is>
      </c>
      <c r="BC103" s="75" t="inlineStr">
        <is>
          <t>N/D</t>
        </is>
      </c>
      <c r="BD103" s="75" t="inlineStr">
        <is>
          <t>N/D</t>
        </is>
      </c>
      <c r="BE103" s="75" t="inlineStr">
        <is>
          <t>junior_pl</t>
        </is>
      </c>
      <c r="BF103" s="75" t="inlineStr">
        <is>
          <t>aceito_payload</t>
        </is>
      </c>
      <c r="BG103" s="75" t="inlineStr">
        <is>
          <t>junior_pl</t>
        </is>
      </c>
      <c r="BH103" s="75" t="inlineStr">
        <is>
          <t>1211821</t>
        </is>
      </c>
      <c r="BI103" s="75" t="inlineStr">
        <is>
          <t>2026-05-25</t>
        </is>
      </c>
      <c r="BJ103" s="75" t="inlineStr">
        <is>
          <t>186</t>
        </is>
      </c>
      <c r="BK103" s="75" t="inlineStr">
        <is>
          <t>https://fnet.bmfbovespa.com.br/fnet/publico/downloadDocumento?id=1211821</t>
        </is>
      </c>
      <c r="BL103" s="75" t="inlineStr">
        <is>
          <t>payload_documental</t>
        </is>
      </c>
    </row>
    <row r="104" ht="42" customHeight="1">
      <c r="A104" s="141" t="n">
        <v>100</v>
      </c>
      <c r="B104" s="138" t="n">
        <v>18185812000114</v>
      </c>
      <c r="C104" s="74" t="inlineStr">
        <is>
          <t>18.185.812/0001-14</t>
        </is>
      </c>
      <c r="D104" s="74" t="inlineStr">
        <is>
          <t>GAVEA SUL FUNDO DE INVESTIMENTO EM DIREITOS CREDITÓRIOS MULTISSETORIAL LP</t>
        </is>
      </c>
      <c r="E104" s="74" t="inlineStr">
        <is>
          <t>concluído</t>
        </is>
      </c>
      <c r="F104" s="141" t="n">
        <v>12</v>
      </c>
      <c r="G104" s="74" t="inlineStr">
        <is>
          <t>consultado</t>
        </is>
      </c>
      <c r="H104" s="74" t="inlineStr">
        <is>
          <t>N/D</t>
        </is>
      </c>
      <c r="I104" s="74" t="inlineStr">
        <is>
          <t>N/D</t>
        </is>
      </c>
      <c r="J104" s="74" t="inlineStr">
        <is>
          <t>não encontrado</t>
        </is>
      </c>
      <c r="K104" s="74" t="inlineStr">
        <is>
          <t>N/D</t>
        </is>
      </c>
      <c r="L104" s="74" t="inlineStr">
        <is>
          <t>N/D</t>
        </is>
      </c>
      <c r="M104" s="74" t="inlineStr">
        <is>
          <t>N/D</t>
        </is>
      </c>
      <c r="N104" s="74" t="inlineStr">
        <is>
          <t>N/D</t>
        </is>
      </c>
      <c r="O104" s="74" t="inlineStr">
        <is>
          <t>N/D</t>
        </is>
      </c>
      <c r="P104" s="74" t="inlineStr">
        <is>
          <t>N/D</t>
        </is>
      </c>
      <c r="Q104" s="74" t="inlineStr">
        <is>
          <t>5 outros 4,62% 3,17% 3,03% 2,46% 2,41% 84,29%</t>
        </is>
      </c>
      <c r="R104" s="74" t="inlineStr">
        <is>
          <t>encontrado_explicito</t>
        </is>
      </c>
      <c r="S104" s="74" t="inlineStr">
        <is>
          <t>rótulo explícito de participante v2</t>
        </is>
      </c>
      <c r="T104" s="74" t="inlineStr">
        <is>
          <t>1118448</t>
        </is>
      </c>
      <c r="U104" s="74" t="inlineStr">
        <is>
          <t>22/01/2026</t>
        </is>
      </c>
      <c r="V104" s="74" t="inlineStr">
        <is>
          <t>4</t>
        </is>
      </c>
      <c r="W104" s="74" t="inlineStr">
        <is>
          <t>https://fnet.bmfbovespa.com.br/fnet/publico/downloadDocumento?id=1118448</t>
        </is>
      </c>
      <c r="X104" s="74" t="inlineStr">
        <is>
          <t>rating_report</t>
        </is>
      </c>
      <c r="Y104" s="74" t="inlineStr">
        <is>
          <t>5 outros Tipo Recebível valor % PL Duplicata 318.392.662,74R$ 68,17% Duplicata de Servico Fisico 27.816.143,36R$ 5,96% Nota Comercial Pós 37.486.768,91R$ 8,03%</t>
        </is>
      </c>
      <c r="Z104" s="74" t="inlineStr">
        <is>
          <t>encontrado_explicito</t>
        </is>
      </c>
      <c r="AA104" s="74" t="inlineStr">
        <is>
          <t>rótulo explícito de participante v2</t>
        </is>
      </c>
      <c r="AB104" s="74" t="inlineStr">
        <is>
          <t>1118448</t>
        </is>
      </c>
      <c r="AC104" s="74" t="inlineStr">
        <is>
          <t>22/01/2026</t>
        </is>
      </c>
      <c r="AD104" s="74" t="inlineStr">
        <is>
          <t>4</t>
        </is>
      </c>
      <c r="AE104" s="74" t="inlineStr">
        <is>
          <t>https://fnet.bmfbovespa.com.br/fnet/publico/downloadDocumento?id=1118448</t>
        </is>
      </c>
      <c r="AF104" s="74" t="inlineStr">
        <is>
          <t>rating_report</t>
        </is>
      </c>
      <c r="AG104" s="74" t="inlineStr">
        <is>
          <t>N/D</t>
        </is>
      </c>
      <c r="AH104" s="74" t="inlineStr">
        <is>
          <t>não encontrado</t>
        </is>
      </c>
      <c r="AI104" s="74" t="inlineStr">
        <is>
          <t>N/D</t>
        </is>
      </c>
      <c r="AJ104" s="74" t="inlineStr">
        <is>
          <t>N/D</t>
        </is>
      </c>
      <c r="AK104" s="74" t="inlineStr">
        <is>
          <t>N/D</t>
        </is>
      </c>
      <c r="AL104" s="74" t="inlineStr">
        <is>
          <t>N/D</t>
        </is>
      </c>
      <c r="AM104" s="74" t="inlineStr">
        <is>
          <t>N/D</t>
        </is>
      </c>
      <c r="AN104" s="74" t="inlineStr">
        <is>
          <t>N/D</t>
        </is>
      </c>
      <c r="AO104" s="74" t="inlineStr">
        <is>
          <t>22%</t>
        </is>
      </c>
      <c r="AP104" s="74" t="inlineStr">
        <is>
          <t>aceito_payload</t>
        </is>
      </c>
      <c r="AQ104" s="74" t="inlineStr">
        <is>
          <t>junior_pl</t>
        </is>
      </c>
      <c r="AR104" s="74" t="inlineStr">
        <is>
          <t>1011996</t>
        </is>
      </c>
      <c r="AS104" s="74" t="inlineStr">
        <is>
          <t>2025-10-13</t>
        </is>
      </c>
      <c r="AT104" s="74" t="inlineStr">
        <is>
          <t>53</t>
        </is>
      </c>
      <c r="AU104" s="74" t="inlineStr">
        <is>
          <t>https://fnet.bmfbovespa.com.br/fnet/publico/downloadDocumento?id=1011996</t>
        </is>
      </c>
      <c r="AV104" s="74" t="inlineStr">
        <is>
          <t>payload_documental</t>
        </is>
      </c>
      <c r="AW104" s="74" t="inlineStr">
        <is>
          <t>N/D</t>
        </is>
      </c>
      <c r="AX104" s="74" t="inlineStr">
        <is>
          <t>não encontrado</t>
        </is>
      </c>
      <c r="AY104" s="74" t="inlineStr">
        <is>
          <t>N/D</t>
        </is>
      </c>
      <c r="AZ104" s="74" t="inlineStr">
        <is>
          <t>N/D</t>
        </is>
      </c>
      <c r="BA104" s="74" t="inlineStr">
        <is>
          <t>N/D</t>
        </is>
      </c>
      <c r="BB104" s="74" t="inlineStr">
        <is>
          <t>N/D</t>
        </is>
      </c>
      <c r="BC104" s="74" t="inlineStr">
        <is>
          <t>N/D</t>
        </is>
      </c>
      <c r="BD104" s="74" t="inlineStr">
        <is>
          <t>N/D</t>
        </is>
      </c>
      <c r="BE104" s="74" t="inlineStr">
        <is>
          <t>junior_pl</t>
        </is>
      </c>
      <c r="BF104" s="74" t="inlineStr">
        <is>
          <t>aceito_payload</t>
        </is>
      </c>
      <c r="BG104" s="74" t="inlineStr">
        <is>
          <t>junior_pl</t>
        </is>
      </c>
      <c r="BH104" s="74" t="inlineStr">
        <is>
          <t>1011996</t>
        </is>
      </c>
      <c r="BI104" s="74" t="inlineStr">
        <is>
          <t>2025-10-13</t>
        </is>
      </c>
      <c r="BJ104" s="74" t="inlineStr">
        <is>
          <t>53</t>
        </is>
      </c>
      <c r="BK104" s="74" t="inlineStr">
        <is>
          <t>https://fnet.bmfbovespa.com.br/fnet/publico/downloadDocumento?id=1011996</t>
        </is>
      </c>
      <c r="BL104" s="74" t="inlineStr">
        <is>
          <t>payload_documental</t>
        </is>
      </c>
    </row>
    <row r="105" ht="42" customHeight="1">
      <c r="A105" s="145" t="n">
        <v>101</v>
      </c>
      <c r="B105" s="142" t="n">
        <v>49113994000141</v>
      </c>
      <c r="C105" s="75" t="inlineStr">
        <is>
          <t>49.113.994/0001-41</t>
        </is>
      </c>
      <c r="D105" s="75" t="inlineStr">
        <is>
          <t>FUNDO DE INVESTIMENTO EM DIREITOS CREDITÓRIOS CAP - RESPONSABILIDADE LIMITADA</t>
        </is>
      </c>
      <c r="E105" s="75" t="inlineStr">
        <is>
          <t>concluído</t>
        </is>
      </c>
      <c r="F105" s="145" t="n">
        <v>8</v>
      </c>
      <c r="G105" s="75" t="inlineStr">
        <is>
          <t>consultado</t>
        </is>
      </c>
      <c r="H105" s="75" t="inlineStr">
        <is>
          <t>N/D</t>
        </is>
      </c>
      <c r="I105" s="75" t="inlineStr">
        <is>
          <t>N/D</t>
        </is>
      </c>
      <c r="J105" s="75" t="inlineStr">
        <is>
          <t>não encontrado</t>
        </is>
      </c>
      <c r="K105" s="75" t="inlineStr">
        <is>
          <t>N/D</t>
        </is>
      </c>
      <c r="L105" s="75" t="inlineStr">
        <is>
          <t>N/D</t>
        </is>
      </c>
      <c r="M105" s="75" t="inlineStr">
        <is>
          <t>N/D</t>
        </is>
      </c>
      <c r="N105" s="75" t="inlineStr">
        <is>
          <t>N/D</t>
        </is>
      </c>
      <c r="O105" s="75" t="inlineStr">
        <is>
          <t>N/D</t>
        </is>
      </c>
      <c r="P105" s="75" t="inlineStr">
        <is>
          <t>N/D</t>
        </is>
      </c>
      <c r="Q105" s="75" t="inlineStr">
        <is>
          <t>N/D</t>
        </is>
      </c>
      <c r="R105" s="75" t="inlineStr">
        <is>
          <t>não encontrado</t>
        </is>
      </c>
      <c r="S105" s="75" t="inlineStr">
        <is>
          <t>N/D</t>
        </is>
      </c>
      <c r="T105" s="75" t="inlineStr">
        <is>
          <t>N/D</t>
        </is>
      </c>
      <c r="U105" s="75" t="inlineStr">
        <is>
          <t>N/D</t>
        </is>
      </c>
      <c r="V105" s="75" t="inlineStr">
        <is>
          <t>N/D</t>
        </is>
      </c>
      <c r="W105" s="75" t="inlineStr">
        <is>
          <t>N/D</t>
        </is>
      </c>
      <c r="X105" s="75" t="inlineStr">
        <is>
          <t>N/D</t>
        </is>
      </c>
      <c r="Y105" s="75" t="inlineStr">
        <is>
          <t>N/D</t>
        </is>
      </c>
      <c r="Z105" s="75" t="inlineStr">
        <is>
          <t>não encontrado</t>
        </is>
      </c>
      <c r="AA105" s="75" t="inlineStr">
        <is>
          <t>N/D</t>
        </is>
      </c>
      <c r="AB105" s="75" t="inlineStr">
        <is>
          <t>N/D</t>
        </is>
      </c>
      <c r="AC105" s="75" t="inlineStr">
        <is>
          <t>N/D</t>
        </is>
      </c>
      <c r="AD105" s="75" t="inlineStr">
        <is>
          <t>N/D</t>
        </is>
      </c>
      <c r="AE105" s="75" t="inlineStr">
        <is>
          <t>N/D</t>
        </is>
      </c>
      <c r="AF105" s="75" t="inlineStr">
        <is>
          <t>N/D</t>
        </is>
      </c>
      <c r="AG105" s="75" t="inlineStr">
        <is>
          <t>N/D</t>
        </is>
      </c>
      <c r="AH105" s="75" t="inlineStr">
        <is>
          <t>não encontrado</t>
        </is>
      </c>
      <c r="AI105" s="75" t="inlineStr">
        <is>
          <t>N/D</t>
        </is>
      </c>
      <c r="AJ105" s="75" t="inlineStr">
        <is>
          <t>N/D</t>
        </is>
      </c>
      <c r="AK105" s="75" t="inlineStr">
        <is>
          <t>N/D</t>
        </is>
      </c>
      <c r="AL105" s="75" t="inlineStr">
        <is>
          <t>N/D</t>
        </is>
      </c>
      <c r="AM105" s="75" t="inlineStr">
        <is>
          <t>N/D</t>
        </is>
      </c>
      <c r="AN105" s="75" t="inlineStr">
        <is>
          <t>N/D</t>
        </is>
      </c>
      <c r="AO105" s="75" t="inlineStr">
        <is>
          <t>14%</t>
        </is>
      </c>
      <c r="AP105" s="75" t="inlineStr">
        <is>
          <t>aceito_payload</t>
        </is>
      </c>
      <c r="AQ105" s="75" t="inlineStr">
        <is>
          <t>junior_pl</t>
        </is>
      </c>
      <c r="AR105" s="75" t="inlineStr">
        <is>
          <t>788104</t>
        </is>
      </c>
      <c r="AS105" s="75" t="inlineStr">
        <is>
          <t>2024-11-22</t>
        </is>
      </c>
      <c r="AT105" s="75" t="inlineStr">
        <is>
          <t>53</t>
        </is>
      </c>
      <c r="AU105" s="75" t="inlineStr">
        <is>
          <t>https://fnet.bmfbovespa.com.br/fnet/publico/downloadDocumento?id=788104</t>
        </is>
      </c>
      <c r="AV105" s="75" t="inlineStr">
        <is>
          <t>payload_documental</t>
        </is>
      </c>
      <c r="AW105" s="75" t="inlineStr">
        <is>
          <t>N/D</t>
        </is>
      </c>
      <c r="AX105" s="75" t="inlineStr">
        <is>
          <t>não encontrado</t>
        </is>
      </c>
      <c r="AY105" s="75" t="inlineStr">
        <is>
          <t>N/D</t>
        </is>
      </c>
      <c r="AZ105" s="75" t="inlineStr">
        <is>
          <t>N/D</t>
        </is>
      </c>
      <c r="BA105" s="75" t="inlineStr">
        <is>
          <t>N/D</t>
        </is>
      </c>
      <c r="BB105" s="75" t="inlineStr">
        <is>
          <t>N/D</t>
        </is>
      </c>
      <c r="BC105" s="75" t="inlineStr">
        <is>
          <t>N/D</t>
        </is>
      </c>
      <c r="BD105" s="75" t="inlineStr">
        <is>
          <t>N/D</t>
        </is>
      </c>
      <c r="BE105" s="75" t="inlineStr">
        <is>
          <t>junior_pl</t>
        </is>
      </c>
      <c r="BF105" s="75" t="inlineStr">
        <is>
          <t>aceito_payload</t>
        </is>
      </c>
      <c r="BG105" s="75" t="inlineStr">
        <is>
          <t>junior_pl</t>
        </is>
      </c>
      <c r="BH105" s="75" t="inlineStr">
        <is>
          <t>788104</t>
        </is>
      </c>
      <c r="BI105" s="75" t="inlineStr">
        <is>
          <t>2024-11-22</t>
        </is>
      </c>
      <c r="BJ105" s="75" t="inlineStr">
        <is>
          <t>53</t>
        </is>
      </c>
      <c r="BK105" s="75" t="inlineStr">
        <is>
          <t>https://fnet.bmfbovespa.com.br/fnet/publico/downloadDocumento?id=788104</t>
        </is>
      </c>
      <c r="BL105" s="75" t="inlineStr">
        <is>
          <t>payload_documental</t>
        </is>
      </c>
    </row>
  </sheetData>
  <mergeCells count="2">
    <mergeCell ref="A2:BL2"/>
    <mergeCell ref="A1:BL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718"/>
  <sheetViews>
    <sheetView workbookViewId="0">
      <selection activeCell="A1" sqref="A1"/>
    </sheetView>
  </sheetViews>
  <sheetFormatPr baseColWidth="8" defaultRowHeight="15"/>
  <cols>
    <col width="15.63000011444092" customWidth="1" min="1" max="1"/>
    <col width="18.1299991607666" customWidth="1" min="2" max="2"/>
    <col width="21.25" customWidth="1" min="3" max="3"/>
    <col width="60" customWidth="1" min="4" max="4"/>
    <col width="22.5" customWidth="1" min="5" max="5"/>
    <col width="18.1299991607666" customWidth="1" min="6" max="6"/>
    <col width="20" customWidth="1" min="7" max="7"/>
    <col width="19.3799991607666" customWidth="1" min="8" max="8"/>
    <col width="15.63000011444092" customWidth="1" min="9" max="9"/>
    <col width="10" customWidth="1" min="10" max="10"/>
    <col width="20" customWidth="1" min="11" max="11"/>
    <col width="12.5" customWidth="1" min="12" max="12"/>
    <col width="48.75" customWidth="1" min="13" max="13"/>
    <col width="48.75" customWidth="1" min="14" max="14"/>
    <col width="80" customWidth="1" min="15" max="15"/>
  </cols>
  <sheetData>
    <row r="1" ht="25.5" customHeight="1">
      <c r="A1" s="26" t="inlineStr">
        <is>
          <t>Evidências documentais · trilha completa por CNPJ</t>
        </is>
      </c>
    </row>
    <row r="2" ht="22.5" customHeight="1">
      <c r="A2" s="29" t="inlineStr">
        <is>
          <t>Cada trecho localizado preserva campo, valor, natureza, fonte, página, status e confiança. Evidência não equivale automaticamente a campo aceito.</t>
        </is>
      </c>
    </row>
    <row r="4" ht="25.5" customHeight="1">
      <c r="A4" s="32" t="inlineStr">
        <is>
          <t>CNPJ</t>
        </is>
      </c>
      <c r="B4" s="32" t="inlineStr">
        <is>
          <t>CNPJ formatado</t>
        </is>
      </c>
      <c r="C4" s="32" t="inlineStr">
        <is>
          <t>Campo</t>
        </is>
      </c>
      <c r="D4" s="32" t="inlineStr">
        <is>
          <t>Valor encontrado</t>
        </is>
      </c>
      <c r="E4" s="32" t="inlineStr">
        <is>
          <t>Natureza</t>
        </is>
      </c>
      <c r="F4" s="32" t="inlineStr">
        <is>
          <t>Tipo de fonte</t>
        </is>
      </c>
      <c r="G4" s="32" t="inlineStr">
        <is>
          <t>Documento</t>
        </is>
      </c>
      <c r="H4" s="32" t="inlineStr">
        <is>
          <t>Classe documental</t>
        </is>
      </c>
      <c r="I4" s="32" t="inlineStr">
        <is>
          <t>Data do documento</t>
        </is>
      </c>
      <c r="J4" s="32" t="inlineStr">
        <is>
          <t>Página</t>
        </is>
      </c>
      <c r="K4" s="32" t="inlineStr">
        <is>
          <t>Status</t>
        </is>
      </c>
      <c r="L4" s="32" t="inlineStr">
        <is>
          <t>Confiança</t>
        </is>
      </c>
      <c r="M4" s="32" t="inlineStr">
        <is>
          <t>Caminho da fonte</t>
        </is>
      </c>
      <c r="N4" s="32" t="inlineStr">
        <is>
          <t>Link da fonte</t>
        </is>
      </c>
      <c r="O4" s="32" t="inlineStr">
        <is>
          <t>Trecho documental</t>
        </is>
      </c>
    </row>
    <row r="5" ht="43.5" customHeight="1">
      <c r="A5" s="134" t="n">
        <v>11468186000124</v>
      </c>
      <c r="B5" s="73" t="inlineStr">
        <is>
          <t>11.468.186/0001-24</t>
        </is>
      </c>
      <c r="C5" s="73" t="inlineStr">
        <is>
          <t>cedente</t>
        </is>
      </c>
      <c r="D5" s="73" t="inlineStr">
        <is>
          <t>Multicedentes e Multisacados</t>
        </is>
      </c>
      <c r="E5" s="73" t="inlineStr">
        <is>
          <t>N/D</t>
        </is>
      </c>
      <c r="F5" s="73" t="inlineStr">
        <is>
          <t>planilha_manual</t>
        </is>
      </c>
      <c r="G5" s="73" t="inlineStr">
        <is>
          <t>IMG_8707.jpg</t>
        </is>
      </c>
      <c r="H5" s="73" t="inlineStr">
        <is>
          <t>payload</t>
        </is>
      </c>
      <c r="I5" s="73" t="inlineStr">
        <is>
          <t>2026-03-06</t>
        </is>
      </c>
      <c r="J5" s="73" t="inlineStr">
        <is>
          <t>47</t>
        </is>
      </c>
      <c r="K5" s="73" t="inlineStr">
        <is>
          <t>aceito_payload</t>
        </is>
      </c>
      <c r="L5" s="136" t="n">
        <v>1</v>
      </c>
      <c r="M5" s="73" t="inlineStr">
        <is>
          <t>data/industry_study/generated_revision/artifact_payload.json</t>
        </is>
      </c>
      <c r="N5" s="73" t="inlineStr">
        <is>
          <t>N/D</t>
        </is>
      </c>
      <c r="O5" s="73" t="inlineStr">
        <is>
          <t>N/D</t>
        </is>
      </c>
    </row>
    <row r="6" ht="43.5" customHeight="1">
      <c r="A6" s="142" t="n">
        <v>11468186000124</v>
      </c>
      <c r="B6" s="75" t="inlineStr">
        <is>
          <t>11.468.186/0001-24</t>
        </is>
      </c>
      <c r="C6" s="75" t="inlineStr">
        <is>
          <t>minimo_junior</t>
        </is>
      </c>
      <c r="D6" s="75" t="inlineStr">
        <is>
          <t>50%</t>
        </is>
      </c>
      <c r="E6" s="75" t="inlineStr">
        <is>
          <t>junior_pl</t>
        </is>
      </c>
      <c r="F6" s="75" t="inlineStr">
        <is>
          <t>payload_documental</t>
        </is>
      </c>
      <c r="G6" s="75" t="inlineStr">
        <is>
          <t>1130308</t>
        </is>
      </c>
      <c r="H6" s="75" t="inlineStr">
        <is>
          <t>documento_curado</t>
        </is>
      </c>
      <c r="I6" s="75" t="inlineStr">
        <is>
          <t>2026-03-06</t>
        </is>
      </c>
      <c r="J6" s="75" t="inlineStr">
        <is>
          <t>47</t>
        </is>
      </c>
      <c r="K6" s="75" t="inlineStr">
        <is>
          <t>aceito_payload</t>
        </is>
      </c>
      <c r="L6" s="144" t="n">
        <v>1</v>
      </c>
      <c r="M6" s="75" t="inlineStr">
        <is>
          <t>data/industry_study/generated_revision/artifact_payload.json</t>
        </is>
      </c>
      <c r="N6" s="75" t="inlineStr">
        <is>
          <t>https://fnet.bmfbovespa.com.br/fnet/publico/downloadDocumento?id=1130308</t>
        </is>
      </c>
      <c r="O6" s="75" t="inlineStr">
        <is>
          <t>Cotas subordinadas júnior / PL, mínimo de 50,0%.</t>
        </is>
      </c>
    </row>
    <row r="7" ht="43.5" customHeight="1">
      <c r="A7" s="142" t="n">
        <v>11468186000124</v>
      </c>
      <c r="B7" s="75" t="inlineStr">
        <is>
          <t>11.468.186/0001-24</t>
        </is>
      </c>
      <c r="C7" s="75" t="inlineStr">
        <is>
          <t>natureza_indice</t>
        </is>
      </c>
      <c r="D7" s="75" t="inlineStr">
        <is>
          <t>junior_pl</t>
        </is>
      </c>
      <c r="E7" s="75" t="inlineStr">
        <is>
          <t>junior_pl</t>
        </is>
      </c>
      <c r="F7" s="75" t="inlineStr">
        <is>
          <t>payload_documental</t>
        </is>
      </c>
      <c r="G7" s="75" t="inlineStr">
        <is>
          <t>1130308</t>
        </is>
      </c>
      <c r="H7" s="75" t="inlineStr">
        <is>
          <t>documento_curado</t>
        </is>
      </c>
      <c r="I7" s="75" t="inlineStr">
        <is>
          <t>2026-03-06</t>
        </is>
      </c>
      <c r="J7" s="75" t="inlineStr">
        <is>
          <t>47</t>
        </is>
      </c>
      <c r="K7" s="75" t="inlineStr">
        <is>
          <t>aceito_payload</t>
        </is>
      </c>
      <c r="L7" s="144" t="n">
        <v>1</v>
      </c>
      <c r="M7" s="75" t="inlineStr">
        <is>
          <t>data/industry_study/generated_revision/artifact_payload.json</t>
        </is>
      </c>
      <c r="N7" s="75" t="inlineStr">
        <is>
          <t>https://fnet.bmfbovespa.com.br/fnet/publico/downloadDocumento?id=1130308</t>
        </is>
      </c>
      <c r="O7" s="75" t="inlineStr">
        <is>
          <t>Cotas subordinadas júnior / PL, mínimo de 50,0%.</t>
        </is>
      </c>
    </row>
    <row r="8" ht="43.5" customHeight="1">
      <c r="A8" s="142" t="n">
        <v>11468186000124</v>
      </c>
      <c r="B8" s="75" t="inlineStr">
        <is>
          <t>11.468.186/0001-24</t>
        </is>
      </c>
      <c r="C8" s="75" t="inlineStr">
        <is>
          <t>tipo_recebivel</t>
        </is>
      </c>
      <c r="D8" s="75" t="inlineStr">
        <is>
          <t>FIDC Multicedentes &amp; Multisacados</t>
        </is>
      </c>
      <c r="E8" s="75" t="inlineStr">
        <is>
          <t>N/D</t>
        </is>
      </c>
      <c r="F8" s="75" t="inlineStr">
        <is>
          <t>planilha_manual</t>
        </is>
      </c>
      <c r="G8" s="75" t="inlineStr">
        <is>
          <t>IMG_8707.jpg</t>
        </is>
      </c>
      <c r="H8" s="75" t="inlineStr">
        <is>
          <t>payload</t>
        </is>
      </c>
      <c r="I8" s="75" t="inlineStr">
        <is>
          <t>2026-03-06</t>
        </is>
      </c>
      <c r="J8" s="75" t="inlineStr">
        <is>
          <t>47</t>
        </is>
      </c>
      <c r="K8" s="75" t="inlineStr">
        <is>
          <t>aceito_payload</t>
        </is>
      </c>
      <c r="L8" s="144" t="n">
        <v>1</v>
      </c>
      <c r="M8" s="75" t="inlineStr">
        <is>
          <t>data/industry_study/generated_revision/artifact_payload.json</t>
        </is>
      </c>
      <c r="N8" s="75" t="inlineStr">
        <is>
          <t>N/D</t>
        </is>
      </c>
      <c r="O8" s="75" t="inlineStr">
        <is>
          <t>N/D</t>
        </is>
      </c>
    </row>
    <row r="9" ht="43.5" customHeight="1">
      <c r="A9" s="142" t="n">
        <v>17468142000180</v>
      </c>
      <c r="B9" s="75" t="inlineStr">
        <is>
          <t>17.468.142/0001-80</t>
        </is>
      </c>
      <c r="C9" s="75" t="inlineStr">
        <is>
          <t>cedente</t>
        </is>
      </c>
      <c r="D9" s="75" t="inlineStr">
        <is>
          <t>todas as pessoas físicas ou jurídicas que cedem os Direitos Creditórios para a Classe</t>
        </is>
      </c>
      <c r="E9" s="75" t="inlineStr">
        <is>
          <t>N/D</t>
        </is>
      </c>
      <c r="F9" s="75" t="inlineStr">
        <is>
          <t>regulamento</t>
        </is>
      </c>
      <c r="G9" s="75" t="inlineStr">
        <is>
          <t>927399</t>
        </is>
      </c>
      <c r="H9" s="75" t="inlineStr">
        <is>
          <t>regulamento</t>
        </is>
      </c>
      <c r="I9" s="75" t="inlineStr">
        <is>
          <t>2025-06-16</t>
        </is>
      </c>
      <c r="J9" s="75" t="inlineStr">
        <is>
          <t>50</t>
        </is>
      </c>
      <c r="K9" s="75" t="inlineStr">
        <is>
          <t>encontrado_explicito</t>
        </is>
      </c>
      <c r="L9" s="144" t="n">
        <v>0.95</v>
      </c>
      <c r="M9" s="75" t="inlineStr">
        <is>
          <t>data/raw/17468142000180/927399_regulamento_regulamento_927399_2025-06-16.pdf</t>
        </is>
      </c>
      <c r="N9" s="75" t="inlineStr">
        <is>
          <t>https://fnet.bmfbovespa.com.br/fnet/publico/downloadDocumento?id=927399</t>
        </is>
      </c>
      <c r="O9"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0" ht="43.5" customHeight="1">
      <c r="A10" s="142" t="n">
        <v>17468142000180</v>
      </c>
      <c r="B10" s="75" t="inlineStr">
        <is>
          <t>17.468.142/0001-80</t>
        </is>
      </c>
      <c r="C10" s="75" t="inlineStr">
        <is>
          <t>cedente</t>
        </is>
      </c>
      <c r="D10" s="75" t="inlineStr">
        <is>
          <t>todas as pessoas físicas ou jurídicas que cedem os Direitos Creditórios para a Classe</t>
        </is>
      </c>
      <c r="E10" s="75" t="inlineStr">
        <is>
          <t>N/D</t>
        </is>
      </c>
      <c r="F10" s="75" t="inlineStr">
        <is>
          <t>regulamento</t>
        </is>
      </c>
      <c r="G10" s="75" t="inlineStr">
        <is>
          <t>1157934</t>
        </is>
      </c>
      <c r="H10" s="75" t="inlineStr">
        <is>
          <t>regulamento</t>
        </is>
      </c>
      <c r="I10" s="75" t="inlineStr">
        <is>
          <t>2026-04-09</t>
        </is>
      </c>
      <c r="J10" s="75" t="inlineStr">
        <is>
          <t>50</t>
        </is>
      </c>
      <c r="K10" s="75" t="inlineStr">
        <is>
          <t>encontrado_explicito</t>
        </is>
      </c>
      <c r="L10" s="144" t="n">
        <v>0.95</v>
      </c>
      <c r="M10" s="75" t="inlineStr">
        <is>
          <t>data/raw/17468142000180/1157934_regulamento_regulamento_1157934_2026-04-09.pdf</t>
        </is>
      </c>
      <c r="N10" s="75" t="inlineStr">
        <is>
          <t>https://fnet.bmfbovespa.com.br/fnet/publico/downloadDocumento?id=1157934</t>
        </is>
      </c>
      <c r="O10"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1" ht="43.5" customHeight="1">
      <c r="A11" s="142" t="n">
        <v>17468142000180</v>
      </c>
      <c r="B11" s="75" t="inlineStr">
        <is>
          <t>17.468.142/0001-80</t>
        </is>
      </c>
      <c r="C11" s="75" t="inlineStr">
        <is>
          <t>cedente</t>
        </is>
      </c>
      <c r="D11" s="75" t="inlineStr">
        <is>
          <t>todas as pessoas físicas ou jurídicas que cedem os Direitos Creditórios para a Classe</t>
        </is>
      </c>
      <c r="E11" s="75" t="inlineStr">
        <is>
          <t>N/D</t>
        </is>
      </c>
      <c r="F11" s="75" t="inlineStr">
        <is>
          <t>regulamento</t>
        </is>
      </c>
      <c r="G11" s="75" t="inlineStr">
        <is>
          <t>1271235</t>
        </is>
      </c>
      <c r="H11" s="75" t="inlineStr">
        <is>
          <t>Regulamento</t>
        </is>
      </c>
      <c r="I11" s="75" t="inlineStr">
        <is>
          <t>30/07/2026</t>
        </is>
      </c>
      <c r="J11" s="75" t="inlineStr">
        <is>
          <t>50</t>
        </is>
      </c>
      <c r="K11" s="75" t="inlineStr">
        <is>
          <t>encontrado_explicito</t>
        </is>
      </c>
      <c r="L11" s="144" t="n">
        <v>0.95</v>
      </c>
      <c r="M11" s="75" t="inlineStr">
        <is>
          <t>.cache/carteira_101_document_scan/17468142000180/1271235.json.gz</t>
        </is>
      </c>
      <c r="N11" s="75" t="inlineStr">
        <is>
          <t>https://fnet.bmfbovespa.com.br/fnet/publico/downloadDocumento?id=1271235</t>
        </is>
      </c>
      <c r="O11"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2" ht="43.5" customHeight="1">
      <c r="A12" s="142" t="n">
        <v>17468142000180</v>
      </c>
      <c r="B12" s="75" t="inlineStr">
        <is>
          <t>17.468.142/0001-80</t>
        </is>
      </c>
      <c r="C12" s="75" t="inlineStr">
        <is>
          <t>cedente</t>
        </is>
      </c>
      <c r="D12" s="75" t="inlineStr">
        <is>
          <t>Multicedentes &amp; Multisacados</t>
        </is>
      </c>
      <c r="E12" s="75" t="inlineStr">
        <is>
          <t>N/D</t>
        </is>
      </c>
      <c r="F12" s="75" t="inlineStr">
        <is>
          <t>planilha_manual</t>
        </is>
      </c>
      <c r="G12" s="75" t="inlineStr">
        <is>
          <t>IMG_8706.JPG</t>
        </is>
      </c>
      <c r="H12" s="75" t="inlineStr">
        <is>
          <t>payload</t>
        </is>
      </c>
      <c r="I12" s="75" t="inlineStr">
        <is>
          <t>2026-04-09</t>
        </is>
      </c>
      <c r="J12" s="75" t="inlineStr">
        <is>
          <t>102</t>
        </is>
      </c>
      <c r="K12" s="75" t="inlineStr">
        <is>
          <t>aceito_payload</t>
        </is>
      </c>
      <c r="L12" s="144" t="n">
        <v>1</v>
      </c>
      <c r="M12" s="75" t="inlineStr">
        <is>
          <t>data/industry_study/generated_revision/artifact_payload.json</t>
        </is>
      </c>
      <c r="N12" s="75" t="inlineStr">
        <is>
          <t>N/D</t>
        </is>
      </c>
      <c r="O12" s="75" t="inlineStr">
        <is>
          <t>N/D</t>
        </is>
      </c>
    </row>
    <row r="13" ht="43.5" customHeight="1">
      <c r="A13" s="142" t="n">
        <v>17468142000180</v>
      </c>
      <c r="B13" s="75" t="inlineStr">
        <is>
          <t>17.468.142/0001-80</t>
        </is>
      </c>
      <c r="C13" s="75" t="inlineStr">
        <is>
          <t>minimo_estrutural_total</t>
        </is>
      </c>
      <c r="D13" s="75" t="inlineStr">
        <is>
          <t>45%</t>
        </is>
      </c>
      <c r="E13" s="75" t="inlineStr">
        <is>
          <t>suporte_total_pl</t>
        </is>
      </c>
      <c r="F13" s="75" t="inlineStr">
        <is>
          <t>regulamento</t>
        </is>
      </c>
      <c r="G13" s="75" t="inlineStr">
        <is>
          <t>927399</t>
        </is>
      </c>
      <c r="H13" s="75" t="inlineStr">
        <is>
          <t>regulamento</t>
        </is>
      </c>
      <c r="I13" s="75" t="inlineStr">
        <is>
          <t>2025-06-16</t>
        </is>
      </c>
      <c r="J13" s="75" t="inlineStr">
        <is>
          <t>101</t>
        </is>
      </c>
      <c r="K13" s="75" t="inlineStr">
        <is>
          <t>encontrado_explicito</t>
        </is>
      </c>
      <c r="L13" s="144" t="n">
        <v>0.95</v>
      </c>
      <c r="M13" s="75" t="inlineStr">
        <is>
          <t>data/raw/17468142000180/927399_regulamento_regulamento_927399_2025-06-16.pdf</t>
        </is>
      </c>
      <c r="N13" s="75" t="inlineStr">
        <is>
          <t>https://fnet.bmfbovespa.com.br/fnet/publico/downloadDocumento?id=927399</t>
        </is>
      </c>
      <c r="O13" s="75" t="inlineStr">
        <is>
          <t>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t>
        </is>
      </c>
    </row>
    <row r="14" ht="43.5" customHeight="1">
      <c r="A14" s="142" t="n">
        <v>17468142000180</v>
      </c>
      <c r="B14" s="75" t="inlineStr">
        <is>
          <t>17.468.142/0001-80</t>
        </is>
      </c>
      <c r="C14" s="75" t="inlineStr">
        <is>
          <t>minimo_estrutural_total</t>
        </is>
      </c>
      <c r="D14" s="75" t="inlineStr">
        <is>
          <t>45%</t>
        </is>
      </c>
      <c r="E14" s="75" t="inlineStr">
        <is>
          <t>suporte_total_pl</t>
        </is>
      </c>
      <c r="F14" s="75" t="inlineStr">
        <is>
          <t>regulamento</t>
        </is>
      </c>
      <c r="G14" s="75" t="inlineStr">
        <is>
          <t>1157934</t>
        </is>
      </c>
      <c r="H14" s="75" t="inlineStr">
        <is>
          <t>regulamento</t>
        </is>
      </c>
      <c r="I14" s="75" t="inlineStr">
        <is>
          <t>2026-04-09</t>
        </is>
      </c>
      <c r="J14" s="75" t="inlineStr">
        <is>
          <t>101</t>
        </is>
      </c>
      <c r="K14" s="75" t="inlineStr">
        <is>
          <t>encontrado_explicito</t>
        </is>
      </c>
      <c r="L14" s="144" t="n">
        <v>0.95</v>
      </c>
      <c r="M14" s="75" t="inlineStr">
        <is>
          <t>data/raw/17468142000180/1157934_regulamento_regulamento_1157934_2026-04-09.pdf</t>
        </is>
      </c>
      <c r="N14" s="75" t="inlineStr">
        <is>
          <t>https://fnet.bmfbovespa.com.br/fnet/publico/downloadDocumento?id=1157934</t>
        </is>
      </c>
      <c r="O14"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5" ht="43.5" customHeight="1">
      <c r="A15" s="142" t="n">
        <v>17468142000180</v>
      </c>
      <c r="B15" s="75" t="inlineStr">
        <is>
          <t>17.468.142/0001-80</t>
        </is>
      </c>
      <c r="C15" s="75" t="inlineStr">
        <is>
          <t>minimo_estrutural_total</t>
        </is>
      </c>
      <c r="D15" s="75" t="inlineStr">
        <is>
          <t>45%</t>
        </is>
      </c>
      <c r="E15" s="75" t="inlineStr">
        <is>
          <t>suporte_total_pl</t>
        </is>
      </c>
      <c r="F15" s="75" t="inlineStr">
        <is>
          <t>regulamento</t>
        </is>
      </c>
      <c r="G15" s="75" t="inlineStr">
        <is>
          <t>1271235</t>
        </is>
      </c>
      <c r="H15" s="75" t="inlineStr">
        <is>
          <t>Regulamento</t>
        </is>
      </c>
      <c r="I15" s="75" t="inlineStr">
        <is>
          <t>30/07/2026</t>
        </is>
      </c>
      <c r="J15" s="75" t="inlineStr">
        <is>
          <t>102</t>
        </is>
      </c>
      <c r="K15" s="75" t="inlineStr">
        <is>
          <t>encontrado_explicito</t>
        </is>
      </c>
      <c r="L15" s="144" t="n">
        <v>0.95</v>
      </c>
      <c r="M15" s="75" t="inlineStr">
        <is>
          <t>.cache/carteira_101_document_scan/17468142000180/1271235.json.gz</t>
        </is>
      </c>
      <c r="N15" s="75" t="inlineStr">
        <is>
          <t>https://fnet.bmfbovespa.com.br/fnet/publico/downloadDocumento?id=1271235</t>
        </is>
      </c>
      <c r="O15"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6" ht="43.5" customHeight="1">
      <c r="A16" s="142" t="n">
        <v>17468142000180</v>
      </c>
      <c r="B16" s="75" t="inlineStr">
        <is>
          <t>17.468.142/0001-80</t>
        </is>
      </c>
      <c r="C16" s="75" t="inlineStr">
        <is>
          <t>minimo_junior</t>
        </is>
      </c>
      <c r="D16" s="75" t="inlineStr">
        <is>
          <t>15%</t>
        </is>
      </c>
      <c r="E16" s="75" t="inlineStr">
        <is>
          <t>junior_pl</t>
        </is>
      </c>
      <c r="F16" s="75" t="inlineStr">
        <is>
          <t>payload_documental</t>
        </is>
      </c>
      <c r="G16" s="75" t="inlineStr">
        <is>
          <t>1157934</t>
        </is>
      </c>
      <c r="H16" s="75" t="inlineStr">
        <is>
          <t>documento_curado</t>
        </is>
      </c>
      <c r="I16" s="75" t="inlineStr">
        <is>
          <t>2026-04-09</t>
        </is>
      </c>
      <c r="J16" s="75" t="inlineStr">
        <is>
          <t>102</t>
        </is>
      </c>
      <c r="K16" s="75" t="inlineStr">
        <is>
          <t>aceito_payload</t>
        </is>
      </c>
      <c r="L16" s="144" t="n">
        <v>1</v>
      </c>
      <c r="M16" s="75" t="inlineStr">
        <is>
          <t>data/industry_study/generated_revision/artifact_payload.json</t>
        </is>
      </c>
      <c r="N16" s="75" t="inlineStr">
        <is>
          <t>https://fnet.bmfbovespa.com.br/fnet/publico/downloadDocumento?id=1157934</t>
        </is>
      </c>
      <c r="O16" s="75" t="inlineStr">
        <is>
          <t>Índice de Subordinação Mezanino: cotas júnior / PL, mínimo de 15,0%.</t>
        </is>
      </c>
    </row>
    <row r="17" ht="43.5" customHeight="1">
      <c r="A17" s="142" t="n">
        <v>17468142000180</v>
      </c>
      <c r="B17" s="75" t="inlineStr">
        <is>
          <t>17.468.142/0001-80</t>
        </is>
      </c>
      <c r="C17" s="75" t="inlineStr">
        <is>
          <t>natureza_indice</t>
        </is>
      </c>
      <c r="D17" s="75" t="inlineStr">
        <is>
          <t>junior_pl</t>
        </is>
      </c>
      <c r="E17" s="75" t="inlineStr">
        <is>
          <t>junior_pl</t>
        </is>
      </c>
      <c r="F17" s="75" t="inlineStr">
        <is>
          <t>payload_documental</t>
        </is>
      </c>
      <c r="G17" s="75" t="inlineStr">
        <is>
          <t>1157934</t>
        </is>
      </c>
      <c r="H17" s="75" t="inlineStr">
        <is>
          <t>documento_curado</t>
        </is>
      </c>
      <c r="I17" s="75" t="inlineStr">
        <is>
          <t>2026-04-09</t>
        </is>
      </c>
      <c r="J17" s="75" t="inlineStr">
        <is>
          <t>102</t>
        </is>
      </c>
      <c r="K17" s="75" t="inlineStr">
        <is>
          <t>aceito_payload</t>
        </is>
      </c>
      <c r="L17" s="144" t="n">
        <v>1</v>
      </c>
      <c r="M17" s="75" t="inlineStr">
        <is>
          <t>data/industry_study/generated_revision/artifact_payload.json</t>
        </is>
      </c>
      <c r="N17" s="75" t="inlineStr">
        <is>
          <t>https://fnet.bmfbovespa.com.br/fnet/publico/downloadDocumento?id=1157934</t>
        </is>
      </c>
      <c r="O17" s="75" t="inlineStr">
        <is>
          <t>Índice de Subordinação Mezanino: cotas júnior / PL, mínimo de 15,0%.</t>
        </is>
      </c>
    </row>
    <row r="18" ht="43.5" customHeight="1">
      <c r="A18" s="142" t="n">
        <v>17468142000180</v>
      </c>
      <c r="B18" s="75" t="inlineStr">
        <is>
          <t>17.468.142/0001-80</t>
        </is>
      </c>
      <c r="C18" s="75" t="inlineStr">
        <is>
          <t>sacado_devedor</t>
        </is>
      </c>
      <c r="D18" s="75" t="inlineStr">
        <is>
          <t>pessoas físicas e/ou jurídicas que figurem na qualidade de devedores dos Direitos Creditórios, podendo ser denominado também como “Sacado”</t>
        </is>
      </c>
      <c r="E18" s="75" t="inlineStr">
        <is>
          <t>N/D</t>
        </is>
      </c>
      <c r="F18" s="75" t="inlineStr">
        <is>
          <t>regulamento</t>
        </is>
      </c>
      <c r="G18" s="75" t="inlineStr">
        <is>
          <t>927399</t>
        </is>
      </c>
      <c r="H18" s="75" t="inlineStr">
        <is>
          <t>regulamento</t>
        </is>
      </c>
      <c r="I18" s="75" t="inlineStr">
        <is>
          <t>2025-06-16</t>
        </is>
      </c>
      <c r="J18" s="75" t="inlineStr">
        <is>
          <t>55</t>
        </is>
      </c>
      <c r="K18" s="75" t="inlineStr">
        <is>
          <t>encontrado_explicito</t>
        </is>
      </c>
      <c r="L18" s="144" t="n">
        <v>0.95</v>
      </c>
      <c r="M18" s="75" t="inlineStr">
        <is>
          <t>data/raw/17468142000180/927399_regulamento_regulamento_927399_2025-06-16.pdf</t>
        </is>
      </c>
      <c r="N18" s="75" t="inlineStr">
        <is>
          <t>https://fnet.bmfbovespa.com.br/fnet/publico/downloadDocumento?id=927399</t>
        </is>
      </c>
      <c r="O18" s="75" t="inlineStr">
        <is>
          <t>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t>
        </is>
      </c>
    </row>
    <row r="19" ht="43.5" customHeight="1">
      <c r="A19" s="142" t="n">
        <v>17468142000180</v>
      </c>
      <c r="B19" s="75" t="inlineStr">
        <is>
          <t>17.468.142/0001-80</t>
        </is>
      </c>
      <c r="C19" s="75" t="inlineStr">
        <is>
          <t>sacado_devedor</t>
        </is>
      </c>
      <c r="D19" s="75" t="inlineStr">
        <is>
          <t>pessoas físicas e/ou jurídicas que figurem na qualidade de devedores dos Direitos Creditórios, podendo ser denominado também como “Sacado”</t>
        </is>
      </c>
      <c r="E19" s="75" t="inlineStr">
        <is>
          <t>N/D</t>
        </is>
      </c>
      <c r="F19" s="75" t="inlineStr">
        <is>
          <t>regulamento</t>
        </is>
      </c>
      <c r="G19" s="75" t="inlineStr">
        <is>
          <t>1157934</t>
        </is>
      </c>
      <c r="H19" s="75" t="inlineStr">
        <is>
          <t>regulamento</t>
        </is>
      </c>
      <c r="I19" s="75" t="inlineStr">
        <is>
          <t>2026-04-09</t>
        </is>
      </c>
      <c r="J19" s="75" t="inlineStr">
        <is>
          <t>55</t>
        </is>
      </c>
      <c r="K19" s="75" t="inlineStr">
        <is>
          <t>encontrado_explicito</t>
        </is>
      </c>
      <c r="L19" s="144" t="n">
        <v>0.95</v>
      </c>
      <c r="M19" s="75" t="inlineStr">
        <is>
          <t>data/raw/17468142000180/1157934_regulamento_regulamento_1157934_2026-04-09.pdf</t>
        </is>
      </c>
      <c r="N19" s="75" t="inlineStr">
        <is>
          <t>https://fnet.bmfbovespa.com.br/fnet/publico/downloadDocumento?id=1157934</t>
        </is>
      </c>
      <c r="O19"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0" ht="43.5" customHeight="1">
      <c r="A20" s="142" t="n">
        <v>17468142000180</v>
      </c>
      <c r="B20" s="75" t="inlineStr">
        <is>
          <t>17.468.142/0001-80</t>
        </is>
      </c>
      <c r="C20" s="75" t="inlineStr">
        <is>
          <t>sacado_devedor</t>
        </is>
      </c>
      <c r="D20" s="75" t="inlineStr">
        <is>
          <t>pessoas físicas e/ou jurídicas que figurem na qualidade de devedores dos Direitos Creditórios, podendo ser denominado também como “Sacado”</t>
        </is>
      </c>
      <c r="E20" s="75" t="inlineStr">
        <is>
          <t>N/D</t>
        </is>
      </c>
      <c r="F20" s="75" t="inlineStr">
        <is>
          <t>regulamento</t>
        </is>
      </c>
      <c r="G20" s="75" t="inlineStr">
        <is>
          <t>1271235</t>
        </is>
      </c>
      <c r="H20" s="75" t="inlineStr">
        <is>
          <t>Regulamento</t>
        </is>
      </c>
      <c r="I20" s="75" t="inlineStr">
        <is>
          <t>30/07/2026</t>
        </is>
      </c>
      <c r="J20" s="75" t="inlineStr">
        <is>
          <t>55</t>
        </is>
      </c>
      <c r="K20" s="75" t="inlineStr">
        <is>
          <t>encontrado_explicito</t>
        </is>
      </c>
      <c r="L20" s="144" t="n">
        <v>0.95</v>
      </c>
      <c r="M20" s="75" t="inlineStr">
        <is>
          <t>.cache/carteira_101_document_scan/17468142000180/1271235.json.gz</t>
        </is>
      </c>
      <c r="N20" s="75" t="inlineStr">
        <is>
          <t>https://fnet.bmfbovespa.com.br/fnet/publico/downloadDocumento?id=1271235</t>
        </is>
      </c>
      <c r="O20"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1" ht="43.5" customHeight="1">
      <c r="A21" s="142" t="n">
        <v>17468142000180</v>
      </c>
      <c r="B21" s="75" t="inlineStr">
        <is>
          <t>17.468.142/0001-80</t>
        </is>
      </c>
      <c r="C21" s="75" t="inlineStr">
        <is>
          <t>tipo_recebivel</t>
        </is>
      </c>
      <c r="D21" s="75" t="inlineStr">
        <is>
          <t>a) direitos e títulos representativos de crédito ,</t>
        </is>
      </c>
      <c r="E21" s="75" t="inlineStr">
        <is>
          <t>N/D</t>
        </is>
      </c>
      <c r="F21" s="75" t="inlineStr">
        <is>
          <t>regulamento</t>
        </is>
      </c>
      <c r="G21" s="75" t="inlineStr">
        <is>
          <t>927399</t>
        </is>
      </c>
      <c r="H21" s="75" t="inlineStr">
        <is>
          <t>regulamento</t>
        </is>
      </c>
      <c r="I21" s="75" t="inlineStr">
        <is>
          <t>2025-06-16</t>
        </is>
      </c>
      <c r="J21" s="75" t="inlineStr">
        <is>
          <t>55</t>
        </is>
      </c>
      <c r="K21" s="75" t="inlineStr">
        <is>
          <t>encontrado_explicito</t>
        </is>
      </c>
      <c r="L21" s="144" t="n">
        <v>0.92</v>
      </c>
      <c r="M21" s="75" t="inlineStr">
        <is>
          <t>data/raw/17468142000180/927399_regulamento_regulamento_927399_2025-06-16.pdf</t>
        </is>
      </c>
      <c r="N21" s="75" t="inlineStr">
        <is>
          <t>https://fnet.bmfbovespa.com.br/fnet/publico/downloadDocumento?id=927399</t>
        </is>
      </c>
      <c r="O21" s="75" t="inlineStr">
        <is>
          <t>qualidade de devedores dos Direitos Creditórios, podendo ser denominado também como “Sacado”. “Direitos Creditórios” Significam a) direitos e títulos representativos de crédito ,; b) valores mobiliários representativos de crédito; e c) certificados de recebíveis e outros valo</t>
        </is>
      </c>
    </row>
    <row r="22" ht="43.5" customHeight="1">
      <c r="A22" s="142" t="n">
        <v>17468142000180</v>
      </c>
      <c r="B22" s="75" t="inlineStr">
        <is>
          <t>17.468.142/0001-80</t>
        </is>
      </c>
      <c r="C22" s="75" t="inlineStr">
        <is>
          <t>tipo_recebivel</t>
        </is>
      </c>
      <c r="D22" s="75" t="inlineStr">
        <is>
          <t>a) direitos e títulos representativos de crédito,</t>
        </is>
      </c>
      <c r="E22" s="75" t="inlineStr">
        <is>
          <t>N/D</t>
        </is>
      </c>
      <c r="F22" s="75" t="inlineStr">
        <is>
          <t>regulamento</t>
        </is>
      </c>
      <c r="G22" s="75" t="inlineStr">
        <is>
          <t>1157934</t>
        </is>
      </c>
      <c r="H22" s="75" t="inlineStr">
        <is>
          <t>regulamento</t>
        </is>
      </c>
      <c r="I22" s="75" t="inlineStr">
        <is>
          <t>2026-04-09</t>
        </is>
      </c>
      <c r="J22" s="75" t="inlineStr">
        <is>
          <t>55</t>
        </is>
      </c>
      <c r="K22" s="75" t="inlineStr">
        <is>
          <t>encontrado_explicito</t>
        </is>
      </c>
      <c r="L22" s="144" t="n">
        <v>0.92</v>
      </c>
      <c r="M22" s="75" t="inlineStr">
        <is>
          <t>data/raw/17468142000180/1157934_regulamento_regulamento_1157934_2026-04-09.pdf</t>
        </is>
      </c>
      <c r="N22" s="75" t="inlineStr">
        <is>
          <t>https://fnet.bmfbovespa.com.br/fnet/publico/downloadDocumento?id=1157934</t>
        </is>
      </c>
      <c r="O22"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3" ht="43.5" customHeight="1">
      <c r="A23" s="142" t="n">
        <v>17468142000180</v>
      </c>
      <c r="B23" s="75" t="inlineStr">
        <is>
          <t>17.468.142/0001-80</t>
        </is>
      </c>
      <c r="C23" s="75" t="inlineStr">
        <is>
          <t>tipo_recebivel</t>
        </is>
      </c>
      <c r="D23" s="75" t="inlineStr">
        <is>
          <t>a) direitos e títulos representativos de crédito,</t>
        </is>
      </c>
      <c r="E23" s="75" t="inlineStr">
        <is>
          <t>N/D</t>
        </is>
      </c>
      <c r="F23" s="75" t="inlineStr">
        <is>
          <t>regulamento</t>
        </is>
      </c>
      <c r="G23" s="75" t="inlineStr">
        <is>
          <t>1271235</t>
        </is>
      </c>
      <c r="H23" s="75" t="inlineStr">
        <is>
          <t>Regulamento</t>
        </is>
      </c>
      <c r="I23" s="75" t="inlineStr">
        <is>
          <t>30/07/2026</t>
        </is>
      </c>
      <c r="J23" s="75" t="inlineStr">
        <is>
          <t>55</t>
        </is>
      </c>
      <c r="K23" s="75" t="inlineStr">
        <is>
          <t>encontrado_explicito</t>
        </is>
      </c>
      <c r="L23" s="144" t="n">
        <v>0.92</v>
      </c>
      <c r="M23" s="75" t="inlineStr">
        <is>
          <t>.cache/carteira_101_document_scan/17468142000180/1271235.json.gz</t>
        </is>
      </c>
      <c r="N23" s="75" t="inlineStr">
        <is>
          <t>https://fnet.bmfbovespa.com.br/fnet/publico/downloadDocumento?id=1271235</t>
        </is>
      </c>
      <c r="O23"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4" ht="43.5" customHeight="1">
      <c r="A24" s="142" t="n">
        <v>17468142000180</v>
      </c>
      <c r="B24" s="75" t="inlineStr">
        <is>
          <t>17.468.142/0001-80</t>
        </is>
      </c>
      <c r="C24" s="75" t="inlineStr">
        <is>
          <t>tipo_recebivel</t>
        </is>
      </c>
      <c r="D24" s="75" t="inlineStr">
        <is>
          <t>FIDC MultiCedente / Multisacado</t>
        </is>
      </c>
      <c r="E24" s="75" t="inlineStr">
        <is>
          <t>N/D</t>
        </is>
      </c>
      <c r="F24" s="75" t="inlineStr">
        <is>
          <t>planilha_manual</t>
        </is>
      </c>
      <c r="G24" s="75" t="inlineStr">
        <is>
          <t>IMG_8706.JPG</t>
        </is>
      </c>
      <c r="H24" s="75" t="inlineStr">
        <is>
          <t>payload</t>
        </is>
      </c>
      <c r="I24" s="75" t="inlineStr">
        <is>
          <t>2026-04-09</t>
        </is>
      </c>
      <c r="J24" s="75" t="inlineStr">
        <is>
          <t>102</t>
        </is>
      </c>
      <c r="K24" s="75" t="inlineStr">
        <is>
          <t>aceito_payload</t>
        </is>
      </c>
      <c r="L24" s="144" t="n">
        <v>1</v>
      </c>
      <c r="M24" s="75" t="inlineStr">
        <is>
          <t>data/industry_study/generated_revision/artifact_payload.json</t>
        </is>
      </c>
      <c r="N24" s="75" t="inlineStr">
        <is>
          <t>N/D</t>
        </is>
      </c>
      <c r="O24" s="75" t="inlineStr">
        <is>
          <t>N/D</t>
        </is>
      </c>
    </row>
    <row r="25" ht="43.5" customHeight="1">
      <c r="A25" s="142" t="n">
        <v>18185812000114</v>
      </c>
      <c r="B25" s="75" t="inlineStr">
        <is>
          <t>18.185.812/0001-14</t>
        </is>
      </c>
      <c r="C25" s="75" t="inlineStr">
        <is>
          <t>cedente</t>
        </is>
      </c>
      <c r="D25" s="75" t="inlineStr">
        <is>
          <t>5 outros 4,62% 3,17% 3,03% 2,46% 2,41% 84,29%</t>
        </is>
      </c>
      <c r="E25" s="75" t="inlineStr">
        <is>
          <t>rótulo explícito de participante v2</t>
        </is>
      </c>
      <c r="F25" s="75" t="inlineStr">
        <is>
          <t>rating_report</t>
        </is>
      </c>
      <c r="G25" s="75" t="inlineStr">
        <is>
          <t>1118448</t>
        </is>
      </c>
      <c r="H25" s="75" t="inlineStr">
        <is>
          <t>Relatórios Relatório de Agência de Rating</t>
        </is>
      </c>
      <c r="I25" s="75" t="inlineStr">
        <is>
          <t>22/01/2026</t>
        </is>
      </c>
      <c r="J25" s="75" t="inlineStr">
        <is>
          <t>4</t>
        </is>
      </c>
      <c r="K25" s="75" t="inlineStr">
        <is>
          <t>encontrado_explicito</t>
        </is>
      </c>
      <c r="L25" s="144" t="n">
        <v>0.93</v>
      </c>
      <c r="M25" s="75" t="inlineStr">
        <is>
          <t>.cache/carteira_101_document_scan/18185812000114/1118448.json.gz</t>
        </is>
      </c>
      <c r="N25" s="75" t="inlineStr">
        <is>
          <t>https://fnet.bmfbovespa.com.br/fnet/publico/downloadDocumento?id=1118448</t>
        </is>
      </c>
      <c r="O25" s="75" t="inlineStr">
        <is>
          <t>,32% 3,17% 77,29% Concentração cedentes cedente 1 cedente 2 cedente 3 cedente 4 cedente 5 outros 4,62% 3,17% 3,03% 2,46% 2,41% 84,29% Concentração sacados sacado 1 sacado 2 sacado 3 sacado 4 sacado 5 outros Tipo R</t>
        </is>
      </c>
    </row>
    <row r="26" ht="43.5" customHeight="1">
      <c r="A26" s="142" t="n">
        <v>18185812000114</v>
      </c>
      <c r="B26" s="75" t="inlineStr">
        <is>
          <t>18.185.812/0001-14</t>
        </is>
      </c>
      <c r="C26" s="75" t="inlineStr">
        <is>
          <t>minimo_junior</t>
        </is>
      </c>
      <c r="D26" s="75" t="inlineStr">
        <is>
          <t>22%</t>
        </is>
      </c>
      <c r="E26" s="75" t="inlineStr">
        <is>
          <t>junior_pl</t>
        </is>
      </c>
      <c r="F26" s="75" t="inlineStr">
        <is>
          <t>regulamento</t>
        </is>
      </c>
      <c r="G26" s="75" t="inlineStr">
        <is>
          <t>913534</t>
        </is>
      </c>
      <c r="H26" s="75" t="inlineStr">
        <is>
          <t>regulamento</t>
        </is>
      </c>
      <c r="I26" s="75" t="inlineStr">
        <is>
          <t>2025-05-28</t>
        </is>
      </c>
      <c r="J26" s="75" t="inlineStr">
        <is>
          <t>52</t>
        </is>
      </c>
      <c r="K26" s="75" t="inlineStr">
        <is>
          <t>encontrado_explicito</t>
        </is>
      </c>
      <c r="L26" s="144" t="n">
        <v>0.95</v>
      </c>
      <c r="M26" s="75" t="inlineStr">
        <is>
          <t>data/raw/18185812000114/913534_regulamento_regulamento_913534_2025-05-28.pdf</t>
        </is>
      </c>
      <c r="N26" s="75" t="inlineStr">
        <is>
          <t>https://fnet.bmfbovespa.com.br/fnet/publico/downloadDocumento?id=913534</t>
        </is>
      </c>
      <c r="O26"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7" ht="43.5" customHeight="1">
      <c r="A27" s="142" t="n">
        <v>18185812000114</v>
      </c>
      <c r="B27" s="75" t="inlineStr">
        <is>
          <t>18.185.812/0001-14</t>
        </is>
      </c>
      <c r="C27" s="75" t="inlineStr">
        <is>
          <t>minimo_junior</t>
        </is>
      </c>
      <c r="D27" s="75" t="inlineStr">
        <is>
          <t>22%</t>
        </is>
      </c>
      <c r="E27" s="75" t="inlineStr">
        <is>
          <t>junior_pl</t>
        </is>
      </c>
      <c r="F27" s="75" t="inlineStr">
        <is>
          <t>regulamento</t>
        </is>
      </c>
      <c r="G27" s="75" t="inlineStr">
        <is>
          <t>1011996</t>
        </is>
      </c>
      <c r="H27" s="75" t="inlineStr">
        <is>
          <t>regulamento</t>
        </is>
      </c>
      <c r="I27" s="75" t="inlineStr">
        <is>
          <t>2025-10-13</t>
        </is>
      </c>
      <c r="J27" s="75" t="inlineStr">
        <is>
          <t>53</t>
        </is>
      </c>
      <c r="K27" s="75" t="inlineStr">
        <is>
          <t>encontrado_explicito</t>
        </is>
      </c>
      <c r="L27" s="144" t="n">
        <v>0.95</v>
      </c>
      <c r="M27" s="75" t="inlineStr">
        <is>
          <t>data/raw/18185812000114/1011996_regulamento_regulamento_1011996_2025-10-13.pdf</t>
        </is>
      </c>
      <c r="N27" s="75" t="inlineStr">
        <is>
          <t>https://fnet.bmfbovespa.com.br/fnet/publico/downloadDocumento?id=1011996</t>
        </is>
      </c>
      <c r="O27"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8" ht="43.5" customHeight="1">
      <c r="A28" s="142" t="n">
        <v>18185812000114</v>
      </c>
      <c r="B28" s="75" t="inlineStr">
        <is>
          <t>18.185.812/0001-14</t>
        </is>
      </c>
      <c r="C28" s="75" t="inlineStr">
        <is>
          <t>minimo_junior</t>
        </is>
      </c>
      <c r="D28" s="75" t="inlineStr">
        <is>
          <t>22%</t>
        </is>
      </c>
      <c r="E28" s="75" t="inlineStr">
        <is>
          <t>junior_pl</t>
        </is>
      </c>
      <c r="F28" s="75" t="inlineStr">
        <is>
          <t>payload_documental</t>
        </is>
      </c>
      <c r="G28" s="75" t="inlineStr">
        <is>
          <t>1011996</t>
        </is>
      </c>
      <c r="H28" s="75" t="inlineStr">
        <is>
          <t>documento_curado</t>
        </is>
      </c>
      <c r="I28" s="75" t="inlineStr">
        <is>
          <t>2025-10-13</t>
        </is>
      </c>
      <c r="J28" s="75" t="inlineStr">
        <is>
          <t>53</t>
        </is>
      </c>
      <c r="K28" s="75" t="inlineStr">
        <is>
          <t>aceito_payload</t>
        </is>
      </c>
      <c r="L28" s="144" t="n">
        <v>1</v>
      </c>
      <c r="M28" s="75" t="inlineStr">
        <is>
          <t>data/industry_study/generated_revision/artifact_payload.json</t>
        </is>
      </c>
      <c r="N28" s="75" t="inlineStr">
        <is>
          <t>https://fnet.bmfbovespa.com.br/fnet/publico/downloadDocumento?id=1011996</t>
        </is>
      </c>
      <c r="O28" s="75" t="inlineStr">
        <is>
          <t>Cotas subordinadas júnior / PL, mínimo de 22,0%.</t>
        </is>
      </c>
    </row>
    <row r="29" ht="43.5" customHeight="1">
      <c r="A29" s="142" t="n">
        <v>18185812000114</v>
      </c>
      <c r="B29" s="75" t="inlineStr">
        <is>
          <t>18.185.812/0001-14</t>
        </is>
      </c>
      <c r="C29" s="75" t="inlineStr">
        <is>
          <t>natureza_indice</t>
        </is>
      </c>
      <c r="D29" s="75" t="inlineStr">
        <is>
          <t>junior_pl</t>
        </is>
      </c>
      <c r="E29" s="75" t="inlineStr">
        <is>
          <t>junior_pl</t>
        </is>
      </c>
      <c r="F29" s="75" t="inlineStr">
        <is>
          <t>payload_documental</t>
        </is>
      </c>
      <c r="G29" s="75" t="inlineStr">
        <is>
          <t>1011996</t>
        </is>
      </c>
      <c r="H29" s="75" t="inlineStr">
        <is>
          <t>documento_curado</t>
        </is>
      </c>
      <c r="I29" s="75" t="inlineStr">
        <is>
          <t>2025-10-13</t>
        </is>
      </c>
      <c r="J29" s="75" t="inlineStr">
        <is>
          <t>53</t>
        </is>
      </c>
      <c r="K29" s="75" t="inlineStr">
        <is>
          <t>aceito_payload</t>
        </is>
      </c>
      <c r="L29" s="144" t="n">
        <v>1</v>
      </c>
      <c r="M29" s="75" t="inlineStr">
        <is>
          <t>data/industry_study/generated_revision/artifact_payload.json</t>
        </is>
      </c>
      <c r="N29" s="75" t="inlineStr">
        <is>
          <t>https://fnet.bmfbovespa.com.br/fnet/publico/downloadDocumento?id=1011996</t>
        </is>
      </c>
      <c r="O29" s="75" t="inlineStr">
        <is>
          <t>Cotas subordinadas júnior / PL, mínimo de 22,0%.</t>
        </is>
      </c>
    </row>
    <row r="30" ht="43.5" customHeight="1">
      <c r="A30" s="142" t="n">
        <v>18185812000114</v>
      </c>
      <c r="B30" s="75" t="inlineStr">
        <is>
          <t>18.185.812/0001-14</t>
        </is>
      </c>
      <c r="C30" s="75" t="inlineStr">
        <is>
          <t>sacado_devedor</t>
        </is>
      </c>
      <c r="D30" s="75" t="inlineStr">
        <is>
          <t>5 outros Tipo Recebível valor % PL Duplicata 318.392.662,74R$ 68,17% Duplicata de Servico Fisico 27.816.143,36R$ 5,96% Nota Comercial Pós 37.486.768,91R$ 8,03%</t>
        </is>
      </c>
      <c r="E30" s="75" t="inlineStr">
        <is>
          <t>rótulo explícito de participante v2</t>
        </is>
      </c>
      <c r="F30" s="75" t="inlineStr">
        <is>
          <t>rating_report</t>
        </is>
      </c>
      <c r="G30" s="75" t="inlineStr">
        <is>
          <t>1118448</t>
        </is>
      </c>
      <c r="H30" s="75" t="inlineStr">
        <is>
          <t>Relatórios Relatório de Agência de Rating</t>
        </is>
      </c>
      <c r="I30" s="75" t="inlineStr">
        <is>
          <t>22/01/2026</t>
        </is>
      </c>
      <c r="J30" s="75" t="inlineStr">
        <is>
          <t>4</t>
        </is>
      </c>
      <c r="K30" s="75" t="inlineStr">
        <is>
          <t>encontrado_explicito</t>
        </is>
      </c>
      <c r="L30" s="144" t="n">
        <v>0.93</v>
      </c>
      <c r="M30" s="75" t="inlineStr">
        <is>
          <t>.cache/carteira_101_document_scan/18185812000114/1118448.json.gz</t>
        </is>
      </c>
      <c r="N30" s="75" t="inlineStr">
        <is>
          <t>https://fnet.bmfbovespa.com.br/fnet/publico/downloadDocumento?id=1118448</t>
        </is>
      </c>
      <c r="O30" s="75" t="inlineStr">
        <is>
          <t>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t>
        </is>
      </c>
    </row>
    <row r="31" ht="43.5" customHeight="1">
      <c r="A31" s="142" t="n">
        <v>18185812000114</v>
      </c>
      <c r="B31" s="75" t="inlineStr">
        <is>
          <t>18.185.812/0001-14</t>
        </is>
      </c>
      <c r="C31" s="75" t="inlineStr">
        <is>
          <t>sacado_devedor</t>
        </is>
      </c>
      <c r="D31" s="75" t="inlineStr">
        <is>
          <t>de multiplos setores. * Risco legal. GAVEA SUL FIDC MULTISSETORIAL LP Fundo de Investimento FORÇAS FRAQUEZAS</t>
        </is>
      </c>
      <c r="E31" s="75" t="inlineStr">
        <is>
          <t>rótulo explícito de participante v2</t>
        </is>
      </c>
      <c r="F31" s="75" t="inlineStr">
        <is>
          <t>rating_report</t>
        </is>
      </c>
      <c r="G31" s="75" t="inlineStr">
        <is>
          <t>1118448</t>
        </is>
      </c>
      <c r="H31" s="75" t="inlineStr">
        <is>
          <t>Relatórios Relatório de Agência de Rating</t>
        </is>
      </c>
      <c r="I31" s="75" t="inlineStr">
        <is>
          <t>22/01/2026</t>
        </is>
      </c>
      <c r="J31" s="75" t="inlineStr">
        <is>
          <t>6</t>
        </is>
      </c>
      <c r="K31" s="75" t="inlineStr">
        <is>
          <t>encontrado_explicito</t>
        </is>
      </c>
      <c r="L31" s="144" t="n">
        <v>0.93</v>
      </c>
      <c r="M31" s="75" t="inlineStr">
        <is>
          <t>.cache/carteira_101_document_scan/18185812000114/1118448.json.gz</t>
        </is>
      </c>
      <c r="N31" s="75" t="inlineStr">
        <is>
          <t>https://fnet.bmfbovespa.com.br/fnet/publico/downloadDocumento?id=1118448</t>
        </is>
      </c>
      <c r="O31" s="75" t="inlineStr">
        <is>
          <t>co macroeconômico elevado poderá levar a afetação na qualidade de crédito dos sacados de multiplos setores. * Risco legal. GAVEA SUL FIDC MULTISSETORIAL LP Fundo de Investimento FORÇAS FRAQUEZAS OPORTUNIDADES AMEAÇAS 7 GAVEA SUL FIDC MULTISSETORIAL LP Rating mon</t>
        </is>
      </c>
    </row>
    <row r="32" ht="43.5" customHeight="1">
      <c r="A32" s="142" t="n">
        <v>26749095000134</v>
      </c>
      <c r="B32" s="75" t="inlineStr">
        <is>
          <t>26.749.095/0001-34</t>
        </is>
      </c>
      <c r="C32" s="75" t="inlineStr">
        <is>
          <t>cedente</t>
        </is>
      </c>
      <c r="D32" s="75" t="inlineStr">
        <is>
          <t>Pravaler</t>
        </is>
      </c>
      <c r="E32" s="75" t="inlineStr">
        <is>
          <t>N/D</t>
        </is>
      </c>
      <c r="F32" s="75" t="inlineStr">
        <is>
          <t>planilha_manual</t>
        </is>
      </c>
      <c r="G32" s="75" t="inlineStr">
        <is>
          <t>IMG_8706.JPG</t>
        </is>
      </c>
      <c r="H32" s="75" t="inlineStr">
        <is>
          <t>payload</t>
        </is>
      </c>
      <c r="I32" s="75" t="inlineStr">
        <is>
          <t>2025-11-19</t>
        </is>
      </c>
      <c r="J32" s="75" t="inlineStr">
        <is>
          <t>152</t>
        </is>
      </c>
      <c r="K32" s="75" t="inlineStr">
        <is>
          <t>aceito_payload</t>
        </is>
      </c>
      <c r="L32" s="144" t="n">
        <v>1</v>
      </c>
      <c r="M32" s="75" t="inlineStr">
        <is>
          <t>data/industry_study/generated_revision/artifact_payload.json</t>
        </is>
      </c>
      <c r="N32" s="75" t="inlineStr">
        <is>
          <t>N/D</t>
        </is>
      </c>
      <c r="O32" s="75" t="inlineStr">
        <is>
          <t>Denominação cortada pela largura da coluna na foto.</t>
        </is>
      </c>
    </row>
    <row r="33" ht="43.5" customHeight="1">
      <c r="A33" s="142" t="n">
        <v>26749095000134</v>
      </c>
      <c r="B33" s="75" t="inlineStr">
        <is>
          <t>26.749.095/0001-34</t>
        </is>
      </c>
      <c r="C33" s="75" t="inlineStr">
        <is>
          <t>minimo_junior</t>
        </is>
      </c>
      <c r="D33" s="75" t="inlineStr">
        <is>
          <t>10%</t>
        </is>
      </c>
      <c r="E33" s="75" t="inlineStr">
        <is>
          <t>junior_pl</t>
        </is>
      </c>
      <c r="F33" s="75" t="inlineStr">
        <is>
          <t>payload_documental</t>
        </is>
      </c>
      <c r="G33" s="75" t="inlineStr">
        <is>
          <t>1061833</t>
        </is>
      </c>
      <c r="H33" s="75" t="inlineStr">
        <is>
          <t>documento_curado</t>
        </is>
      </c>
      <c r="I33" s="75" t="inlineStr">
        <is>
          <t>2025-11-19</t>
        </is>
      </c>
      <c r="J33" s="75" t="inlineStr">
        <is>
          <t>152</t>
        </is>
      </c>
      <c r="K33" s="75" t="inlineStr">
        <is>
          <t>aceito_payload</t>
        </is>
      </c>
      <c r="L33" s="144" t="n">
        <v>1</v>
      </c>
      <c r="M33" s="75" t="inlineStr">
        <is>
          <t>data/industry_study/generated_revision/artifact_payload.json</t>
        </is>
      </c>
      <c r="N33" s="75" t="inlineStr">
        <is>
          <t>https://fnet.bmfbovespa.com.br/fnet/publico/downloadDocumento?id=1061833</t>
        </is>
      </c>
      <c r="O33" s="75" t="inlineStr">
        <is>
          <t>Cotas júnior / PL, mínimo de 10,0%; passa a 15,0% quando o atraso supera 6,0%.</t>
        </is>
      </c>
    </row>
    <row r="34" ht="43.5" customHeight="1">
      <c r="A34" s="142" t="n">
        <v>26749095000134</v>
      </c>
      <c r="B34" s="75" t="inlineStr">
        <is>
          <t>26.749.095/0001-34</t>
        </is>
      </c>
      <c r="C34" s="75" t="inlineStr">
        <is>
          <t>natureza_indice</t>
        </is>
      </c>
      <c r="D34" s="75" t="inlineStr">
        <is>
          <t>junior_pl</t>
        </is>
      </c>
      <c r="E34" s="75" t="inlineStr">
        <is>
          <t>junior_pl</t>
        </is>
      </c>
      <c r="F34" s="75" t="inlineStr">
        <is>
          <t>payload_documental</t>
        </is>
      </c>
      <c r="G34" s="75" t="inlineStr">
        <is>
          <t>1061833</t>
        </is>
      </c>
      <c r="H34" s="75" t="inlineStr">
        <is>
          <t>documento_curado</t>
        </is>
      </c>
      <c r="I34" s="75" t="inlineStr">
        <is>
          <t>2025-11-19</t>
        </is>
      </c>
      <c r="J34" s="75" t="inlineStr">
        <is>
          <t>152</t>
        </is>
      </c>
      <c r="K34" s="75" t="inlineStr">
        <is>
          <t>aceito_payload</t>
        </is>
      </c>
      <c r="L34" s="144" t="n">
        <v>1</v>
      </c>
      <c r="M34" s="75" t="inlineStr">
        <is>
          <t>data/industry_study/generated_revision/artifact_payload.json</t>
        </is>
      </c>
      <c r="N34" s="75" t="inlineStr">
        <is>
          <t>https://fnet.bmfbovespa.com.br/fnet/publico/downloadDocumento?id=1061833</t>
        </is>
      </c>
      <c r="O34" s="75" t="inlineStr">
        <is>
          <t>Cotas júnior / PL, mínimo de 10,0%; passa a 15,0% quando o atraso supera 6,0%.</t>
        </is>
      </c>
    </row>
    <row r="35" ht="43.5" customHeight="1">
      <c r="A35" s="142" t="n">
        <v>26749095000134</v>
      </c>
      <c r="B35" s="75" t="inlineStr">
        <is>
          <t>26.749.095/0001-34</t>
        </is>
      </c>
      <c r="C35" s="75" t="inlineStr">
        <is>
          <t>tipo_recebivel</t>
        </is>
      </c>
      <c r="D35" s="75" t="inlineStr">
        <is>
          <t>Crédito Estudantil</t>
        </is>
      </c>
      <c r="E35" s="75" t="inlineStr">
        <is>
          <t>N/D</t>
        </is>
      </c>
      <c r="F35" s="75" t="inlineStr">
        <is>
          <t>planilha_manual</t>
        </is>
      </c>
      <c r="G35" s="75" t="inlineStr">
        <is>
          <t>IMG_8706.JPG</t>
        </is>
      </c>
      <c r="H35" s="75" t="inlineStr">
        <is>
          <t>payload</t>
        </is>
      </c>
      <c r="I35" s="75" t="inlineStr">
        <is>
          <t>2025-11-19</t>
        </is>
      </c>
      <c r="J35" s="75" t="inlineStr">
        <is>
          <t>152</t>
        </is>
      </c>
      <c r="K35" s="75" t="inlineStr">
        <is>
          <t>aceito_payload</t>
        </is>
      </c>
      <c r="L35" s="144" t="n">
        <v>1</v>
      </c>
      <c r="M35" s="75" t="inlineStr">
        <is>
          <t>data/industry_study/generated_revision/artifact_payload.json</t>
        </is>
      </c>
      <c r="N35" s="75" t="inlineStr">
        <is>
          <t>N/D</t>
        </is>
      </c>
      <c r="O35" s="75" t="inlineStr">
        <is>
          <t>Denominação cortada pela largura da coluna na foto.</t>
        </is>
      </c>
    </row>
    <row r="36" ht="43.5" customHeight="1">
      <c r="A36" s="142" t="n">
        <v>28169275000172</v>
      </c>
      <c r="B36" s="75" t="inlineStr">
        <is>
          <t>28.169.275/0001-72</t>
        </is>
      </c>
      <c r="C36" s="75" t="inlineStr">
        <is>
          <t>cedente</t>
        </is>
      </c>
      <c r="D36" s="75" t="inlineStr">
        <is>
          <t>PagSeguro</t>
        </is>
      </c>
      <c r="E36" s="75" t="inlineStr">
        <is>
          <t>N/D</t>
        </is>
      </c>
      <c r="F36" s="75" t="inlineStr">
        <is>
          <t>planilha_manual</t>
        </is>
      </c>
      <c r="G36" s="75" t="inlineStr">
        <is>
          <t>IMG_8705.JPG</t>
        </is>
      </c>
      <c r="H36" s="75" t="inlineStr">
        <is>
          <t>payload</t>
        </is>
      </c>
      <c r="I36" s="75" t="inlineStr">
        <is>
          <t>2026-03-25</t>
        </is>
      </c>
      <c r="J36" s="75" t="inlineStr">
        <is>
          <t>44</t>
        </is>
      </c>
      <c r="K36" s="75" t="inlineStr">
        <is>
          <t>aceito_payload</t>
        </is>
      </c>
      <c r="L36" s="144" t="n">
        <v>1</v>
      </c>
      <c r="M36" s="75" t="inlineStr">
        <is>
          <t>data/industry_study/generated_revision/artifact_payload.json</t>
        </is>
      </c>
      <c r="N36" s="75" t="inlineStr">
        <is>
          <t>N/D</t>
        </is>
      </c>
      <c r="O36" s="75" t="inlineStr">
        <is>
          <t>OBS da foto: compra de recebíveis dos ECs correndo risco da PagSeguro. Denominação cortada.</t>
        </is>
      </c>
    </row>
    <row r="37" ht="43.5" customHeight="1">
      <c r="A37" s="142" t="n">
        <v>28169275000172</v>
      </c>
      <c r="B37" s="75" t="inlineStr">
        <is>
          <t>28.169.275/0001-72</t>
        </is>
      </c>
      <c r="C37" s="75" t="inlineStr">
        <is>
          <t>minimo_junior</t>
        </is>
      </c>
      <c r="D37" s="75" t="inlineStr">
        <is>
          <t>50%</t>
        </is>
      </c>
      <c r="E37" s="75" t="inlineStr">
        <is>
          <t>junior_pl</t>
        </is>
      </c>
      <c r="F37" s="75" t="inlineStr">
        <is>
          <t>payload_documental</t>
        </is>
      </c>
      <c r="G37" s="75" t="inlineStr">
        <is>
          <t>1149521</t>
        </is>
      </c>
      <c r="H37" s="75" t="inlineStr">
        <is>
          <t>documento_curado</t>
        </is>
      </c>
      <c r="I37" s="75" t="inlineStr">
        <is>
          <t>2026-03-25</t>
        </is>
      </c>
      <c r="J37" s="75" t="inlineStr">
        <is>
          <t>44</t>
        </is>
      </c>
      <c r="K37" s="75" t="inlineStr">
        <is>
          <t>aceito_payload</t>
        </is>
      </c>
      <c r="L37" s="144" t="n">
        <v>1</v>
      </c>
      <c r="M37" s="75" t="inlineStr">
        <is>
          <t>data/industry_study/generated_revision/artifact_payload.json</t>
        </is>
      </c>
      <c r="N37" s="75" t="inlineStr">
        <is>
          <t>https://fnet.bmfbovespa.com.br/fnet/publico/downloadDocumento?id=1149521</t>
        </is>
      </c>
      <c r="O37" s="75" t="inlineStr">
        <is>
          <t>Cotas subordinadas júnior / PL, mínimo de 50,0%; há classe mezanino.</t>
        </is>
      </c>
    </row>
    <row r="38" ht="43.5" customHeight="1">
      <c r="A38" s="142" t="n">
        <v>28169275000172</v>
      </c>
      <c r="B38" s="75" t="inlineStr">
        <is>
          <t>28.169.275/0001-72</t>
        </is>
      </c>
      <c r="C38" s="75" t="inlineStr">
        <is>
          <t>natureza_indice</t>
        </is>
      </c>
      <c r="D38" s="75" t="inlineStr">
        <is>
          <t>junior_pl</t>
        </is>
      </c>
      <c r="E38" s="75" t="inlineStr">
        <is>
          <t>junior_pl</t>
        </is>
      </c>
      <c r="F38" s="75" t="inlineStr">
        <is>
          <t>payload_documental</t>
        </is>
      </c>
      <c r="G38" s="75" t="inlineStr">
        <is>
          <t>1149521</t>
        </is>
      </c>
      <c r="H38" s="75" t="inlineStr">
        <is>
          <t>documento_curado</t>
        </is>
      </c>
      <c r="I38" s="75" t="inlineStr">
        <is>
          <t>2026-03-25</t>
        </is>
      </c>
      <c r="J38" s="75" t="inlineStr">
        <is>
          <t>44</t>
        </is>
      </c>
      <c r="K38" s="75" t="inlineStr">
        <is>
          <t>aceito_payload</t>
        </is>
      </c>
      <c r="L38" s="144" t="n">
        <v>1</v>
      </c>
      <c r="M38" s="75" t="inlineStr">
        <is>
          <t>data/industry_study/generated_revision/artifact_payload.json</t>
        </is>
      </c>
      <c r="N38" s="75" t="inlineStr">
        <is>
          <t>https://fnet.bmfbovespa.com.br/fnet/publico/downloadDocumento?id=1149521</t>
        </is>
      </c>
      <c r="O38" s="75" t="inlineStr">
        <is>
          <t>Cotas subordinadas júnior / PL, mínimo de 50,0%; há classe mezanino.</t>
        </is>
      </c>
    </row>
    <row r="39" ht="43.5" customHeight="1">
      <c r="A39" s="142" t="n">
        <v>28169275000172</v>
      </c>
      <c r="B39" s="75" t="inlineStr">
        <is>
          <t>28.169.275/0001-72</t>
        </is>
      </c>
      <c r="C39" s="75" t="inlineStr">
        <is>
          <t>tipo_recebivel</t>
        </is>
      </c>
      <c r="D39"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E39" s="75" t="inlineStr">
        <is>
          <t>N/D</t>
        </is>
      </c>
      <c r="F39" s="75" t="inlineStr">
        <is>
          <t>assembleia</t>
        </is>
      </c>
      <c r="G39" s="75" t="inlineStr">
        <is>
          <t>1147067</t>
        </is>
      </c>
      <c r="H39" s="75" t="inlineStr">
        <is>
          <t>assembleia</t>
        </is>
      </c>
      <c r="I39" s="75" t="inlineStr">
        <is>
          <t>2026-03-25</t>
        </is>
      </c>
      <c r="J39" s="75" t="inlineStr">
        <is>
          <t>88</t>
        </is>
      </c>
      <c r="K39" s="75" t="inlineStr">
        <is>
          <t>encontrado_explicito</t>
        </is>
      </c>
      <c r="L39" s="144" t="n">
        <v>0.92</v>
      </c>
      <c r="M39" s="75" t="inlineStr">
        <is>
          <t>data/raw/28169275000172/1147067_assembleia_assembleia_1147067_2026-03-25.pdf</t>
        </is>
      </c>
      <c r="N39" s="75" t="inlineStr">
        <is>
          <t>https://fnet.bmfbovespa.com.br/fnet/publico/downloadDocumento?id=1147067</t>
        </is>
      </c>
      <c r="O39" s="75" t="inlineStr">
        <is>
          <t>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t>
        </is>
      </c>
    </row>
    <row r="40" ht="43.5" customHeight="1">
      <c r="A40" s="142" t="n">
        <v>28169275000172</v>
      </c>
      <c r="B40" s="75" t="inlineStr">
        <is>
          <t>28.169.275/0001-72</t>
        </is>
      </c>
      <c r="C40" s="75" t="inlineStr">
        <is>
          <t>tipo_recebivel</t>
        </is>
      </c>
      <c r="D40" s="75" t="inlineStr">
        <is>
          <t>recebíveis dos ECs</t>
        </is>
      </c>
      <c r="E40" s="75" t="inlineStr">
        <is>
          <t>N/D</t>
        </is>
      </c>
      <c r="F40" s="75" t="inlineStr">
        <is>
          <t>planilha_manual</t>
        </is>
      </c>
      <c r="G40" s="75" t="inlineStr">
        <is>
          <t>IMG_8705.JPG</t>
        </is>
      </c>
      <c r="H40" s="75" t="inlineStr">
        <is>
          <t>payload</t>
        </is>
      </c>
      <c r="I40" s="75" t="inlineStr">
        <is>
          <t>2026-03-25</t>
        </is>
      </c>
      <c r="J40" s="75" t="inlineStr">
        <is>
          <t>44</t>
        </is>
      </c>
      <c r="K40" s="75" t="inlineStr">
        <is>
          <t>aceito_payload</t>
        </is>
      </c>
      <c r="L40" s="144" t="n">
        <v>1</v>
      </c>
      <c r="M40" s="75" t="inlineStr">
        <is>
          <t>data/industry_study/generated_revision/artifact_payload.json</t>
        </is>
      </c>
      <c r="N40" s="75" t="inlineStr">
        <is>
          <t>N/D</t>
        </is>
      </c>
      <c r="O40" s="75" t="inlineStr">
        <is>
          <t>OBS da foto: compra de recebíveis dos ECs correndo risco da PagSeguro. Denominação cortada.</t>
        </is>
      </c>
    </row>
    <row r="41" ht="43.5" customHeight="1">
      <c r="A41" s="142" t="n">
        <v>29226654000110</v>
      </c>
      <c r="B41" s="75" t="inlineStr">
        <is>
          <t>29.226.654/0001-10</t>
        </is>
      </c>
      <c r="C41" s="75" t="inlineStr">
        <is>
          <t>cedente</t>
        </is>
      </c>
      <c r="D41" s="75" t="inlineStr">
        <is>
          <t>CredSystem</t>
        </is>
      </c>
      <c r="E41" s="75" t="inlineStr">
        <is>
          <t>N/D</t>
        </is>
      </c>
      <c r="F41" s="75" t="inlineStr">
        <is>
          <t>planilha_manual</t>
        </is>
      </c>
      <c r="G41" s="75" t="inlineStr">
        <is>
          <t>IMG_8705.JPG</t>
        </is>
      </c>
      <c r="H41" s="75" t="inlineStr">
        <is>
          <t>payload</t>
        </is>
      </c>
      <c r="I41" s="75" t="inlineStr">
        <is>
          <t>2025-10-28</t>
        </is>
      </c>
      <c r="J41" s="75" t="inlineStr">
        <is>
          <t>3–4; 9–10</t>
        </is>
      </c>
      <c r="K41" s="75" t="inlineStr">
        <is>
          <t>aceito_payload</t>
        </is>
      </c>
      <c r="L41" s="144" t="n">
        <v>1</v>
      </c>
      <c r="M41" s="75" t="inlineStr">
        <is>
          <t>data/industry_study/generated_revision/artifact_payload.json</t>
        </is>
      </c>
      <c r="N41" s="75" t="inlineStr">
        <is>
          <t>N/D</t>
        </is>
      </c>
      <c r="O41" s="75" t="inlineStr">
        <is>
          <t>Denominação cortada pela largura da coluna na foto.</t>
        </is>
      </c>
    </row>
    <row r="42" ht="43.5" customHeight="1">
      <c r="A42" s="142" t="n">
        <v>29226654000110</v>
      </c>
      <c r="B42" s="75" t="inlineStr">
        <is>
          <t>29.226.654/0001-10</t>
        </is>
      </c>
      <c r="C42" s="75" t="inlineStr">
        <is>
          <t>minimo_estrutural_total</t>
        </is>
      </c>
      <c r="D42" s="75" t="inlineStr">
        <is>
          <t>67.4267%</t>
        </is>
      </c>
      <c r="E42" s="75" t="inlineStr">
        <is>
          <t>suporte_total_pl</t>
        </is>
      </c>
      <c r="F42" s="75" t="inlineStr">
        <is>
          <t>payload_documental</t>
        </is>
      </c>
      <c r="G42" s="75" t="inlineStr">
        <is>
          <t>1023848</t>
        </is>
      </c>
      <c r="H42" s="75" t="inlineStr">
        <is>
          <t>documento_curado</t>
        </is>
      </c>
      <c r="I42" s="75" t="inlineStr">
        <is>
          <t>2025-10-28</t>
        </is>
      </c>
      <c r="J42" s="75" t="inlineStr">
        <is>
          <t>3–4; 9–10</t>
        </is>
      </c>
      <c r="K42" s="75" t="inlineStr">
        <is>
          <t>aceito_payload</t>
        </is>
      </c>
      <c r="L42" s="144" t="n">
        <v>1</v>
      </c>
      <c r="M42" s="75" t="inlineStr">
        <is>
          <t>data/industry_study/generated_revision/artifact_payload.json</t>
        </is>
      </c>
      <c r="N42" s="75" t="inlineStr">
        <is>
          <t>https://fnet.bmfbovespa.com.br/fnet/publico/downloadDocumento?id=1023848</t>
        </is>
      </c>
      <c r="O42" s="75" t="inlineStr">
        <is>
          <t>Mínimo júnior implícito na relação PL / cotas seniores de 307,0%.</t>
        </is>
      </c>
    </row>
    <row r="43" ht="43.5" customHeight="1">
      <c r="A43" s="142" t="n">
        <v>29226654000110</v>
      </c>
      <c r="B43" s="75" t="inlineStr">
        <is>
          <t>29.226.654/0001-10</t>
        </is>
      </c>
      <c r="C43" s="75" t="inlineStr">
        <is>
          <t>minimo_junior</t>
        </is>
      </c>
      <c r="D43" s="75" t="inlineStr">
        <is>
          <t>67.4267%</t>
        </is>
      </c>
      <c r="E43" s="75" t="inlineStr">
        <is>
          <t>junior_pl_calculado</t>
        </is>
      </c>
      <c r="F43" s="75" t="inlineStr">
        <is>
          <t>payload_documental</t>
        </is>
      </c>
      <c r="G43" s="75" t="inlineStr">
        <is>
          <t>1023848</t>
        </is>
      </c>
      <c r="H43" s="75" t="inlineStr">
        <is>
          <t>documento_curado</t>
        </is>
      </c>
      <c r="I43" s="75" t="inlineStr">
        <is>
          <t>2025-10-28</t>
        </is>
      </c>
      <c r="J43" s="75" t="inlineStr">
        <is>
          <t>3–4; 9–10</t>
        </is>
      </c>
      <c r="K43" s="75" t="inlineStr">
        <is>
          <t>aceito_payload</t>
        </is>
      </c>
      <c r="L43" s="144" t="n">
        <v>1</v>
      </c>
      <c r="M43" s="75" t="inlineStr">
        <is>
          <t>data/industry_study/generated_revision/artifact_payload.json</t>
        </is>
      </c>
      <c r="N43" s="75" t="inlineStr">
        <is>
          <t>https://fnet.bmfbovespa.com.br/fnet/publico/downloadDocumento?id=1023848</t>
        </is>
      </c>
      <c r="O43" s="75" t="inlineStr">
        <is>
          <t>Mínimo júnior implícito na relação PL / cotas seniores de 307,0%.</t>
        </is>
      </c>
    </row>
    <row r="44" ht="43.5" customHeight="1">
      <c r="A44" s="142" t="n">
        <v>29226654000110</v>
      </c>
      <c r="B44" s="75" t="inlineStr">
        <is>
          <t>29.226.654/0001-10</t>
        </is>
      </c>
      <c r="C44" s="75" t="inlineStr">
        <is>
          <t>natureza_indice</t>
        </is>
      </c>
      <c r="D44" s="75" t="inlineStr">
        <is>
          <t>junior_pl_calculado</t>
        </is>
      </c>
      <c r="E44" s="75" t="inlineStr">
        <is>
          <t>junior_pl_calculado</t>
        </is>
      </c>
      <c r="F44" s="75" t="inlineStr">
        <is>
          <t>payload_documental</t>
        </is>
      </c>
      <c r="G44" s="75" t="inlineStr">
        <is>
          <t>1023848</t>
        </is>
      </c>
      <c r="H44" s="75" t="inlineStr">
        <is>
          <t>documento_curado</t>
        </is>
      </c>
      <c r="I44" s="75" t="inlineStr">
        <is>
          <t>2025-10-28</t>
        </is>
      </c>
      <c r="J44" s="75" t="inlineStr">
        <is>
          <t>3–4; 9–10</t>
        </is>
      </c>
      <c r="K44" s="75" t="inlineStr">
        <is>
          <t>aceito_payload</t>
        </is>
      </c>
      <c r="L44" s="144" t="n">
        <v>1</v>
      </c>
      <c r="M44" s="75" t="inlineStr">
        <is>
          <t>data/industry_study/generated_revision/artifact_payload.json</t>
        </is>
      </c>
      <c r="N44" s="75" t="inlineStr">
        <is>
          <t>https://fnet.bmfbovespa.com.br/fnet/publico/downloadDocumento?id=1023848</t>
        </is>
      </c>
      <c r="O44" s="75" t="inlineStr">
        <is>
          <t>Mínimo júnior implícito na relação PL / cotas seniores de 307,0%.</t>
        </is>
      </c>
    </row>
    <row r="45" ht="43.5" customHeight="1">
      <c r="A45" s="142" t="n">
        <v>29226654000110</v>
      </c>
      <c r="B45" s="75" t="inlineStr">
        <is>
          <t>29.226.654/0001-10</t>
        </is>
      </c>
      <c r="C45" s="75" t="inlineStr">
        <is>
          <t>tipo_recebivel</t>
        </is>
      </c>
      <c r="D45" s="75" t="inlineStr">
        <is>
          <t>Cartão de Crédito - ecossistema Credsystem</t>
        </is>
      </c>
      <c r="E45" s="75" t="inlineStr">
        <is>
          <t>N/D</t>
        </is>
      </c>
      <c r="F45" s="75" t="inlineStr">
        <is>
          <t>planilha_manual</t>
        </is>
      </c>
      <c r="G45" s="75" t="inlineStr">
        <is>
          <t>IMG_8705.JPG</t>
        </is>
      </c>
      <c r="H45" s="75" t="inlineStr">
        <is>
          <t>payload</t>
        </is>
      </c>
      <c r="I45" s="75" t="inlineStr">
        <is>
          <t>2025-10-28</t>
        </is>
      </c>
      <c r="J45" s="75" t="inlineStr">
        <is>
          <t>3–4; 9–10</t>
        </is>
      </c>
      <c r="K45" s="75" t="inlineStr">
        <is>
          <t>aceito_payload</t>
        </is>
      </c>
      <c r="L45" s="144" t="n">
        <v>1</v>
      </c>
      <c r="M45" s="75" t="inlineStr">
        <is>
          <t>data/industry_study/generated_revision/artifact_payload.json</t>
        </is>
      </c>
      <c r="N45" s="75" t="inlineStr">
        <is>
          <t>N/D</t>
        </is>
      </c>
      <c r="O45" s="75" t="inlineStr">
        <is>
          <t>Denominação cortada pela largura da coluna na foto.</t>
        </is>
      </c>
    </row>
    <row r="46" ht="43.5" customHeight="1">
      <c r="A46" s="142" t="n">
        <v>29492605000129</v>
      </c>
      <c r="B46" s="75" t="inlineStr">
        <is>
          <t>29.492.605/0001-29</t>
        </is>
      </c>
      <c r="C46" s="75" t="inlineStr">
        <is>
          <t>cedente</t>
        </is>
      </c>
      <c r="D46" s="75" t="inlineStr">
        <is>
          <t>Gazin</t>
        </is>
      </c>
      <c r="E46" s="75" t="inlineStr">
        <is>
          <t>rótulo explícito de participante v2</t>
        </is>
      </c>
      <c r="F46" s="75" t="inlineStr">
        <is>
          <t>rating_report</t>
        </is>
      </c>
      <c r="G46" s="75" t="inlineStr">
        <is>
          <t>321548</t>
        </is>
      </c>
      <c r="H46" s="75" t="inlineStr">
        <is>
          <t>Relatórios Relatório de Agência de Rating</t>
        </is>
      </c>
      <c r="I46" s="75" t="inlineStr">
        <is>
          <t>06/06/2022</t>
        </is>
      </c>
      <c r="J46" s="75" t="inlineStr">
        <is>
          <t>1</t>
        </is>
      </c>
      <c r="K46" s="75" t="inlineStr">
        <is>
          <t>encontrado_explicito</t>
        </is>
      </c>
      <c r="L46" s="144" t="n">
        <v>0.93</v>
      </c>
      <c r="M46" s="75" t="inlineStr">
        <is>
          <t>.cache/carteira_101_document_scan/29492605000129/321548.json.gz</t>
        </is>
      </c>
      <c r="N46" s="75" t="inlineStr">
        <is>
          <t>https://fnet.bmfbovespa.com.br/fnet/publico/downloadDocumento?id=321548</t>
        </is>
      </c>
      <c r="O46" s="75" t="inlineStr">
        <is>
          <t>itórios. A cedente - Gazin Indústria e Comércio de Móveis Eletrodomésticos Ltda.(Gazin/cedente) é controlada pela Gazin Holding S.A,(Grupo Gazin), grupo empresarial com mais</t>
        </is>
      </c>
    </row>
    <row r="47" ht="43.5" customHeight="1">
      <c r="A47" s="142" t="n">
        <v>29492605000129</v>
      </c>
      <c r="B47" s="75" t="inlineStr">
        <is>
          <t>29.492.605/0001-29</t>
        </is>
      </c>
      <c r="C47" s="75" t="inlineStr">
        <is>
          <t>minimo_estrutural_total</t>
        </is>
      </c>
      <c r="D47" s="75" t="inlineStr">
        <is>
          <t>51%</t>
        </is>
      </c>
      <c r="E47" s="75" t="inlineStr">
        <is>
          <t>suporte_total_pl</t>
        </is>
      </c>
      <c r="F47" s="75" t="inlineStr">
        <is>
          <t>payload_documental</t>
        </is>
      </c>
      <c r="G47" s="75" t="inlineStr">
        <is>
          <t>1117213</t>
        </is>
      </c>
      <c r="H47" s="75" t="inlineStr">
        <is>
          <t>documento_curado</t>
        </is>
      </c>
      <c r="I47" s="75" t="inlineStr">
        <is>
          <t>2026-02-12</t>
        </is>
      </c>
      <c r="J47" s="75" t="inlineStr">
        <is>
          <t>44</t>
        </is>
      </c>
      <c r="K47" s="75" t="inlineStr">
        <is>
          <t>aceito_payload</t>
        </is>
      </c>
      <c r="L47" s="144" t="n">
        <v>1</v>
      </c>
      <c r="M47" s="75" t="inlineStr">
        <is>
          <t>data/industry_study/generated_revision/artifact_payload.json</t>
        </is>
      </c>
      <c r="N47" s="75" t="inlineStr">
        <is>
          <t>https://fnet.bmfbovespa.com.br/fnet/publico/downloadDocumento?id=1117213</t>
        </is>
      </c>
      <c r="O47" s="75" t="inlineStr">
        <is>
          <t>O regulamento contém apenas cotas seniores e juniores; índice de subordinação mínimo de 51,0%.</t>
        </is>
      </c>
    </row>
    <row r="48" ht="43.5" customHeight="1">
      <c r="A48" s="142" t="n">
        <v>29492605000129</v>
      </c>
      <c r="B48" s="75" t="inlineStr">
        <is>
          <t>29.492.605/0001-29</t>
        </is>
      </c>
      <c r="C48" s="75" t="inlineStr">
        <is>
          <t>minimo_junior</t>
        </is>
      </c>
      <c r="D48" s="75" t="inlineStr">
        <is>
          <t>51%</t>
        </is>
      </c>
      <c r="E48" s="75" t="inlineStr">
        <is>
          <t>junior_pl</t>
        </is>
      </c>
      <c r="F48" s="75" t="inlineStr">
        <is>
          <t>payload_documental</t>
        </is>
      </c>
      <c r="G48" s="75" t="inlineStr">
        <is>
          <t>1117213</t>
        </is>
      </c>
      <c r="H48" s="75" t="inlineStr">
        <is>
          <t>documento_curado</t>
        </is>
      </c>
      <c r="I48" s="75" t="inlineStr">
        <is>
          <t>2026-02-12</t>
        </is>
      </c>
      <c r="J48" s="75" t="inlineStr">
        <is>
          <t>44</t>
        </is>
      </c>
      <c r="K48" s="75" t="inlineStr">
        <is>
          <t>aceito_payload</t>
        </is>
      </c>
      <c r="L48" s="144" t="n">
        <v>1</v>
      </c>
      <c r="M48" s="75" t="inlineStr">
        <is>
          <t>data/industry_study/generated_revision/artifact_payload.json</t>
        </is>
      </c>
      <c r="N48" s="75" t="inlineStr">
        <is>
          <t>https://fnet.bmfbovespa.com.br/fnet/publico/downloadDocumento?id=1117213</t>
        </is>
      </c>
      <c r="O48" s="75" t="inlineStr">
        <is>
          <t>O regulamento contém apenas cotas seniores e juniores; índice de subordinação mínimo de 51,0%.</t>
        </is>
      </c>
    </row>
    <row r="49" ht="43.5" customHeight="1">
      <c r="A49" s="142" t="n">
        <v>29492605000129</v>
      </c>
      <c r="B49" s="75" t="inlineStr">
        <is>
          <t>29.492.605/0001-29</t>
        </is>
      </c>
      <c r="C49" s="75" t="inlineStr">
        <is>
          <t>natureza_indice</t>
        </is>
      </c>
      <c r="D49" s="75" t="inlineStr">
        <is>
          <t>junior_pl</t>
        </is>
      </c>
      <c r="E49" s="75" t="inlineStr">
        <is>
          <t>junior_pl</t>
        </is>
      </c>
      <c r="F49" s="75" t="inlineStr">
        <is>
          <t>payload_documental</t>
        </is>
      </c>
      <c r="G49" s="75" t="inlineStr">
        <is>
          <t>1117213</t>
        </is>
      </c>
      <c r="H49" s="75" t="inlineStr">
        <is>
          <t>documento_curado</t>
        </is>
      </c>
      <c r="I49" s="75" t="inlineStr">
        <is>
          <t>2026-02-12</t>
        </is>
      </c>
      <c r="J49" s="75" t="inlineStr">
        <is>
          <t>44</t>
        </is>
      </c>
      <c r="K49" s="75" t="inlineStr">
        <is>
          <t>aceito_payload</t>
        </is>
      </c>
      <c r="L49" s="144" t="n">
        <v>1</v>
      </c>
      <c r="M49" s="75" t="inlineStr">
        <is>
          <t>data/industry_study/generated_revision/artifact_payload.json</t>
        </is>
      </c>
      <c r="N49" s="75" t="inlineStr">
        <is>
          <t>https://fnet.bmfbovespa.com.br/fnet/publico/downloadDocumento?id=1117213</t>
        </is>
      </c>
      <c r="O49" s="75" t="inlineStr">
        <is>
          <t>O regulamento contém apenas cotas seniores e juniores; índice de subordinação mínimo de 51,0%.</t>
        </is>
      </c>
    </row>
    <row r="50" ht="43.5" customHeight="1">
      <c r="A50" s="142" t="n">
        <v>30035329000159</v>
      </c>
      <c r="B50" s="75" t="inlineStr">
        <is>
          <t>30.035.329/0001-59</t>
        </is>
      </c>
      <c r="C50" s="75" t="inlineStr">
        <is>
          <t>cedente</t>
        </is>
      </c>
      <c r="D50" s="75" t="inlineStr">
        <is>
          <t>BMP (Bancarizador)</t>
        </is>
      </c>
      <c r="E50" s="75" t="inlineStr">
        <is>
          <t>N/D</t>
        </is>
      </c>
      <c r="F50" s="75" t="inlineStr">
        <is>
          <t>planilha_manual</t>
        </is>
      </c>
      <c r="G50" s="75" t="inlineStr">
        <is>
          <t>IMG_8707.jpg</t>
        </is>
      </c>
      <c r="H50" s="75" t="inlineStr">
        <is>
          <t>payload</t>
        </is>
      </c>
      <c r="I50" s="75" t="inlineStr">
        <is>
          <t>2025-09-22</t>
        </is>
      </c>
      <c r="J50" s="75" t="inlineStr">
        <is>
          <t>44; 64</t>
        </is>
      </c>
      <c r="K50" s="75" t="inlineStr">
        <is>
          <t>aceito_payload</t>
        </is>
      </c>
      <c r="L50" s="144" t="n">
        <v>1</v>
      </c>
      <c r="M50" s="75" t="inlineStr">
        <is>
          <t>data/industry_study/generated_revision/artifact_payload.json</t>
        </is>
      </c>
      <c r="N50" s="75" t="inlineStr">
        <is>
          <t>N/D</t>
        </is>
      </c>
      <c r="O50" s="75" t="inlineStr">
        <is>
          <t>OBS parcialmente legível: Via Invest (Gestorada grupo faz co-gestão). Denominação cortada.</t>
        </is>
      </c>
    </row>
    <row r="51" ht="43.5" customHeight="1">
      <c r="A51" s="142" t="n">
        <v>30035329000159</v>
      </c>
      <c r="B51" s="75" t="inlineStr">
        <is>
          <t>30.035.329/0001-59</t>
        </is>
      </c>
      <c r="C51" s="75" t="inlineStr">
        <is>
          <t>minimo_junior</t>
        </is>
      </c>
      <c r="D51" s="75" t="inlineStr">
        <is>
          <t>15%</t>
        </is>
      </c>
      <c r="E51" s="75" t="inlineStr">
        <is>
          <t>junior_pl</t>
        </is>
      </c>
      <c r="F51" s="75" t="inlineStr">
        <is>
          <t>payload_documental</t>
        </is>
      </c>
      <c r="G51" s="75" t="inlineStr">
        <is>
          <t>998769</t>
        </is>
      </c>
      <c r="H51" s="75" t="inlineStr">
        <is>
          <t>documento_curado</t>
        </is>
      </c>
      <c r="I51" s="75" t="inlineStr">
        <is>
          <t>2025-09-22</t>
        </is>
      </c>
      <c r="J51" s="75" t="inlineStr">
        <is>
          <t>44; 64</t>
        </is>
      </c>
      <c r="K51" s="75" t="inlineStr">
        <is>
          <t>aceito_payload</t>
        </is>
      </c>
      <c r="L51" s="144" t="n">
        <v>1</v>
      </c>
      <c r="M51" s="75" t="inlineStr">
        <is>
          <t>data/industry_study/generated_revision/artifact_payload.json</t>
        </is>
      </c>
      <c r="N51" s="75" t="inlineStr">
        <is>
          <t>https://fnet.bmfbovespa.com.br/fnet/publico/downloadDocumento?id=998769</t>
        </is>
      </c>
      <c r="O51" s="75" t="inlineStr">
        <is>
          <t>Índice mantido pelas cotas júnior / PL, mínimo de 15,0%; há classe mezanino.</t>
        </is>
      </c>
    </row>
    <row r="52" ht="43.5" customHeight="1">
      <c r="A52" s="142" t="n">
        <v>30035329000159</v>
      </c>
      <c r="B52" s="75" t="inlineStr">
        <is>
          <t>30.035.329/0001-59</t>
        </is>
      </c>
      <c r="C52" s="75" t="inlineStr">
        <is>
          <t>natureza_indice</t>
        </is>
      </c>
      <c r="D52" s="75" t="inlineStr">
        <is>
          <t>junior_pl</t>
        </is>
      </c>
      <c r="E52" s="75" t="inlineStr">
        <is>
          <t>junior_pl</t>
        </is>
      </c>
      <c r="F52" s="75" t="inlineStr">
        <is>
          <t>payload_documental</t>
        </is>
      </c>
      <c r="G52" s="75" t="inlineStr">
        <is>
          <t>998769</t>
        </is>
      </c>
      <c r="H52" s="75" t="inlineStr">
        <is>
          <t>documento_curado</t>
        </is>
      </c>
      <c r="I52" s="75" t="inlineStr">
        <is>
          <t>2025-09-22</t>
        </is>
      </c>
      <c r="J52" s="75" t="inlineStr">
        <is>
          <t>44; 64</t>
        </is>
      </c>
      <c r="K52" s="75" t="inlineStr">
        <is>
          <t>aceito_payload</t>
        </is>
      </c>
      <c r="L52" s="144" t="n">
        <v>1</v>
      </c>
      <c r="M52" s="75" t="inlineStr">
        <is>
          <t>data/industry_study/generated_revision/artifact_payload.json</t>
        </is>
      </c>
      <c r="N52" s="75" t="inlineStr">
        <is>
          <t>https://fnet.bmfbovespa.com.br/fnet/publico/downloadDocumento?id=998769</t>
        </is>
      </c>
      <c r="O52" s="75" t="inlineStr">
        <is>
          <t>Índice mantido pelas cotas júnior / PL, mínimo de 15,0%; há classe mezanino.</t>
        </is>
      </c>
    </row>
    <row r="53" ht="43.5" customHeight="1">
      <c r="A53" s="142" t="n">
        <v>30035329000159</v>
      </c>
      <c r="B53" s="75" t="inlineStr">
        <is>
          <t>30.035.329/0001-59</t>
        </is>
      </c>
      <c r="C53" s="75" t="inlineStr">
        <is>
          <t>sacado_devedor</t>
        </is>
      </c>
      <c r="D53"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3" s="75" t="inlineStr">
        <is>
          <t>N/D</t>
        </is>
      </c>
      <c r="F53" s="75" t="inlineStr">
        <is>
          <t>regulamento</t>
        </is>
      </c>
      <c r="G53" s="75" t="inlineStr">
        <is>
          <t>989553</t>
        </is>
      </c>
      <c r="H53" s="75" t="inlineStr">
        <is>
          <t>Regulamento</t>
        </is>
      </c>
      <c r="I53" s="75" t="inlineStr">
        <is>
          <t>11/09/2025</t>
        </is>
      </c>
      <c r="J53" s="75" t="inlineStr">
        <is>
          <t>6</t>
        </is>
      </c>
      <c r="K53" s="75" t="inlineStr">
        <is>
          <t>encontrado_explicito</t>
        </is>
      </c>
      <c r="L53" s="144" t="n">
        <v>0.95</v>
      </c>
      <c r="M53" s="75" t="inlineStr">
        <is>
          <t>.cache/carteira_101_document_scan/30035329000159/989553.json.gz</t>
        </is>
      </c>
      <c r="N53" s="75" t="inlineStr">
        <is>
          <t>https://fnet.bmfbovespa.com.br/fnet/publico/downloadDocumento?id=989553</t>
        </is>
      </c>
      <c r="O53" s="75" t="inlineStr">
        <is>
          <t>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t>
        </is>
      </c>
    </row>
    <row r="54" ht="43.5" customHeight="1">
      <c r="A54" s="142" t="n">
        <v>30035329000159</v>
      </c>
      <c r="B54" s="75" t="inlineStr">
        <is>
          <t>30.035.329/0001-59</t>
        </is>
      </c>
      <c r="C54" s="75" t="inlineStr">
        <is>
          <t>sacado_devedor</t>
        </is>
      </c>
      <c r="D54"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4" s="75" t="inlineStr">
        <is>
          <t>N/D</t>
        </is>
      </c>
      <c r="F54" s="75" t="inlineStr">
        <is>
          <t>regulamento</t>
        </is>
      </c>
      <c r="G54" s="75" t="inlineStr">
        <is>
          <t>998769</t>
        </is>
      </c>
      <c r="H54" s="75" t="inlineStr">
        <is>
          <t>Regulamento</t>
        </is>
      </c>
      <c r="I54" s="75" t="inlineStr">
        <is>
          <t>22/09/2025</t>
        </is>
      </c>
      <c r="J54" s="75" t="inlineStr">
        <is>
          <t>6</t>
        </is>
      </c>
      <c r="K54" s="75" t="inlineStr">
        <is>
          <t>encontrado_explicito</t>
        </is>
      </c>
      <c r="L54" s="144" t="n">
        <v>0.95</v>
      </c>
      <c r="M54" s="75" t="inlineStr">
        <is>
          <t>.cache/carteira_101_document_scan/30035329000159/998769.json.gz</t>
        </is>
      </c>
      <c r="N54" s="75" t="inlineStr">
        <is>
          <t>https://fnet.bmfbovespa.com.br/fnet/publico/downloadDocumento?id=998769</t>
        </is>
      </c>
      <c r="O54" s="75" t="inlineStr">
        <is>
          <t>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t>
        </is>
      </c>
    </row>
    <row r="55" ht="43.5" customHeight="1">
      <c r="A55" s="142" t="n">
        <v>31570767000180</v>
      </c>
      <c r="B55" s="75" t="inlineStr">
        <is>
          <t>31.570.767/0001-80</t>
        </is>
      </c>
      <c r="C55" s="75" t="inlineStr">
        <is>
          <t>cedente</t>
        </is>
      </c>
      <c r="D55" s="75" t="inlineStr">
        <is>
          <t>Trademaster</t>
        </is>
      </c>
      <c r="E55" s="75" t="inlineStr">
        <is>
          <t>N/D</t>
        </is>
      </c>
      <c r="F55" s="75" t="inlineStr">
        <is>
          <t>planilha_manual</t>
        </is>
      </c>
      <c r="G55" s="75" t="inlineStr">
        <is>
          <t>IMG_8706.JPG</t>
        </is>
      </c>
      <c r="H55" s="75" t="inlineStr">
        <is>
          <t>payload</t>
        </is>
      </c>
      <c r="I55" s="75" t="inlineStr">
        <is>
          <t>2026-05-25</t>
        </is>
      </c>
      <c r="J55" s="75" t="inlineStr">
        <is>
          <t>39</t>
        </is>
      </c>
      <c r="K55" s="75" t="inlineStr">
        <is>
          <t>aceito_payload</t>
        </is>
      </c>
      <c r="L55" s="144" t="n">
        <v>1</v>
      </c>
      <c r="M55" s="75" t="inlineStr">
        <is>
          <t>data/industry_study/generated_revision/artifact_payload.json</t>
        </is>
      </c>
      <c r="N55" s="75" t="inlineStr">
        <is>
          <t>N/D</t>
        </is>
      </c>
      <c r="O55" s="75" t="inlineStr">
        <is>
          <t>Denominação cortada pela largura da coluna na foto.</t>
        </is>
      </c>
    </row>
    <row r="56" ht="43.5" customHeight="1">
      <c r="A56" s="142" t="n">
        <v>31570767000180</v>
      </c>
      <c r="B56" s="75" t="inlineStr">
        <is>
          <t>31.570.767/0001-80</t>
        </is>
      </c>
      <c r="C56" s="75" t="inlineStr">
        <is>
          <t>minimo_junior</t>
        </is>
      </c>
      <c r="D56" s="75" t="inlineStr">
        <is>
          <t>5%</t>
        </is>
      </c>
      <c r="E56" s="75" t="inlineStr">
        <is>
          <t>junior_pl</t>
        </is>
      </c>
      <c r="F56" s="75" t="inlineStr">
        <is>
          <t>payload_documental</t>
        </is>
      </c>
      <c r="G56" s="75" t="inlineStr">
        <is>
          <t>1203635</t>
        </is>
      </c>
      <c r="H56" s="75" t="inlineStr">
        <is>
          <t>documento_curado</t>
        </is>
      </c>
      <c r="I56" s="75" t="inlineStr">
        <is>
          <t>2026-05-25</t>
        </is>
      </c>
      <c r="J56" s="75" t="inlineStr">
        <is>
          <t>39</t>
        </is>
      </c>
      <c r="K56" s="75" t="inlineStr">
        <is>
          <t>aceito_payload</t>
        </is>
      </c>
      <c r="L56" s="144" t="n">
        <v>1</v>
      </c>
      <c r="M56" s="75" t="inlineStr">
        <is>
          <t>data/industry_study/generated_revision/artifact_payload.json</t>
        </is>
      </c>
      <c r="N56" s="75" t="inlineStr">
        <is>
          <t>https://fnet.bmfbovespa.com.br/fnet/publico/downloadDocumento?id=1203635</t>
        </is>
      </c>
      <c r="O56" s="75" t="inlineStr">
        <is>
          <t>Cotas subordinadas júnior / PL, mínimo de 5,0%.</t>
        </is>
      </c>
    </row>
    <row r="57" ht="43.5" customHeight="1">
      <c r="A57" s="142" t="n">
        <v>31570767000180</v>
      </c>
      <c r="B57" s="75" t="inlineStr">
        <is>
          <t>31.570.767/0001-80</t>
        </is>
      </c>
      <c r="C57" s="75" t="inlineStr">
        <is>
          <t>natureza_indice</t>
        </is>
      </c>
      <c r="D57" s="75" t="inlineStr">
        <is>
          <t>junior_pl</t>
        </is>
      </c>
      <c r="E57" s="75" t="inlineStr">
        <is>
          <t>junior_pl</t>
        </is>
      </c>
      <c r="F57" s="75" t="inlineStr">
        <is>
          <t>payload_documental</t>
        </is>
      </c>
      <c r="G57" s="75" t="inlineStr">
        <is>
          <t>1203635</t>
        </is>
      </c>
      <c r="H57" s="75" t="inlineStr">
        <is>
          <t>documento_curado</t>
        </is>
      </c>
      <c r="I57" s="75" t="inlineStr">
        <is>
          <t>2026-05-25</t>
        </is>
      </c>
      <c r="J57" s="75" t="inlineStr">
        <is>
          <t>39</t>
        </is>
      </c>
      <c r="K57" s="75" t="inlineStr">
        <is>
          <t>aceito_payload</t>
        </is>
      </c>
      <c r="L57" s="144" t="n">
        <v>1</v>
      </c>
      <c r="M57" s="75" t="inlineStr">
        <is>
          <t>data/industry_study/generated_revision/artifact_payload.json</t>
        </is>
      </c>
      <c r="N57" s="75" t="inlineStr">
        <is>
          <t>https://fnet.bmfbovespa.com.br/fnet/publico/downloadDocumento?id=1203635</t>
        </is>
      </c>
      <c r="O57" s="75" t="inlineStr">
        <is>
          <t>Cotas subordinadas júnior / PL, mínimo de 5,0%.</t>
        </is>
      </c>
    </row>
    <row r="58" ht="43.5" customHeight="1">
      <c r="A58" s="142" t="n">
        <v>31739396000117</v>
      </c>
      <c r="B58" s="75" t="inlineStr">
        <is>
          <t>31.739.396/0001-17</t>
        </is>
      </c>
      <c r="C58" s="75" t="inlineStr">
        <is>
          <t>cedente</t>
        </is>
      </c>
      <c r="D58" s="75" t="inlineStr">
        <is>
          <t>Listo IP</t>
        </is>
      </c>
      <c r="E58" s="75" t="inlineStr">
        <is>
          <t>N/D</t>
        </is>
      </c>
      <c r="F58" s="75" t="inlineStr">
        <is>
          <t>planilha_manual</t>
        </is>
      </c>
      <c r="G58" s="75" t="inlineStr">
        <is>
          <t>IMG_8706.JPG</t>
        </is>
      </c>
      <c r="H58" s="75" t="inlineStr">
        <is>
          <t>payload</t>
        </is>
      </c>
      <c r="I58" s="75" t="inlineStr">
        <is>
          <t>2026-03-27</t>
        </is>
      </c>
      <c r="J58" s="75" t="inlineStr">
        <is>
          <t>39</t>
        </is>
      </c>
      <c r="K58" s="75" t="inlineStr">
        <is>
          <t>aceito_payload</t>
        </is>
      </c>
      <c r="L58" s="144" t="n">
        <v>1</v>
      </c>
      <c r="M58" s="75" t="inlineStr">
        <is>
          <t>data/industry_study/generated_revision/artifact_payload.json</t>
        </is>
      </c>
      <c r="N58" s="75" t="inlineStr">
        <is>
          <t>N/D</t>
        </is>
      </c>
      <c r="O58" s="75" t="inlineStr">
        <is>
          <t>OBS da foto: lista de concentração pré-aprovada.</t>
        </is>
      </c>
    </row>
    <row r="59" ht="43.5" customHeight="1">
      <c r="A59" s="142" t="n">
        <v>31739396000117</v>
      </c>
      <c r="B59" s="75" t="inlineStr">
        <is>
          <t>31.739.396/0001-17</t>
        </is>
      </c>
      <c r="C59" s="75" t="inlineStr">
        <is>
          <t>minimo_junior</t>
        </is>
      </c>
      <c r="D59" s="75" t="inlineStr">
        <is>
          <t>0.5%</t>
        </is>
      </c>
      <c r="E59" s="75" t="inlineStr">
        <is>
          <t>junior_pl</t>
        </is>
      </c>
      <c r="F59" s="75" t="inlineStr">
        <is>
          <t>payload_documental</t>
        </is>
      </c>
      <c r="G59" s="75" t="inlineStr">
        <is>
          <t>1146939</t>
        </is>
      </c>
      <c r="H59" s="75" t="inlineStr">
        <is>
          <t>documento_curado</t>
        </is>
      </c>
      <c r="I59" s="75" t="inlineStr">
        <is>
          <t>2026-03-27</t>
        </is>
      </c>
      <c r="J59" s="75" t="inlineStr">
        <is>
          <t>39</t>
        </is>
      </c>
      <c r="K59" s="75" t="inlineStr">
        <is>
          <t>aceito_payload</t>
        </is>
      </c>
      <c r="L59" s="144" t="n">
        <v>1</v>
      </c>
      <c r="M59" s="75" t="inlineStr">
        <is>
          <t>data/industry_study/generated_revision/artifact_payload.json</t>
        </is>
      </c>
      <c r="N59" s="75" t="inlineStr">
        <is>
          <t>https://fnet.bmfbovespa.com.br/fnet/publico/downloadDocumento?id=1146939</t>
        </is>
      </c>
      <c r="O59" s="75" t="inlineStr">
        <is>
          <t>Cotas subordinadas júnior / PL, mínimo de 0,5%.</t>
        </is>
      </c>
    </row>
    <row r="60" ht="43.5" customHeight="1">
      <c r="A60" s="142" t="n">
        <v>31739396000117</v>
      </c>
      <c r="B60" s="75" t="inlineStr">
        <is>
          <t>31.739.396/0001-17</t>
        </is>
      </c>
      <c r="C60" s="75" t="inlineStr">
        <is>
          <t>natureza_indice</t>
        </is>
      </c>
      <c r="D60" s="75" t="inlineStr">
        <is>
          <t>junior_pl</t>
        </is>
      </c>
      <c r="E60" s="75" t="inlineStr">
        <is>
          <t>junior_pl</t>
        </is>
      </c>
      <c r="F60" s="75" t="inlineStr">
        <is>
          <t>payload_documental</t>
        </is>
      </c>
      <c r="G60" s="75" t="inlineStr">
        <is>
          <t>1146939</t>
        </is>
      </c>
      <c r="H60" s="75" t="inlineStr">
        <is>
          <t>documento_curado</t>
        </is>
      </c>
      <c r="I60" s="75" t="inlineStr">
        <is>
          <t>2026-03-27</t>
        </is>
      </c>
      <c r="J60" s="75" t="inlineStr">
        <is>
          <t>39</t>
        </is>
      </c>
      <c r="K60" s="75" t="inlineStr">
        <is>
          <t>aceito_payload</t>
        </is>
      </c>
      <c r="L60" s="144" t="n">
        <v>1</v>
      </c>
      <c r="M60" s="75" t="inlineStr">
        <is>
          <t>data/industry_study/generated_revision/artifact_payload.json</t>
        </is>
      </c>
      <c r="N60" s="75" t="inlineStr">
        <is>
          <t>https://fnet.bmfbovespa.com.br/fnet/publico/downloadDocumento?id=1146939</t>
        </is>
      </c>
      <c r="O60" s="75" t="inlineStr">
        <is>
          <t>Cotas subordinadas júnior / PL, mínimo de 0,5%.</t>
        </is>
      </c>
    </row>
    <row r="61" ht="43.5" customHeight="1">
      <c r="A61" s="142" t="n">
        <v>31739396000117</v>
      </c>
      <c r="B61" s="75" t="inlineStr">
        <is>
          <t>31.739.396/0001-17</t>
        </is>
      </c>
      <c r="C61" s="75" t="inlineStr">
        <is>
          <t>originador</t>
        </is>
      </c>
      <c r="D61" s="75" t="inlineStr">
        <is>
          <t>LISTO INSTITUIÇÃO DE PAGAMENTO LTDA.</t>
        </is>
      </c>
      <c r="E61" s="75" t="inlineStr">
        <is>
          <t>rótulo explícito de participante v2</t>
        </is>
      </c>
      <c r="F61" s="75" t="inlineStr">
        <is>
          <t>rating_report</t>
        </is>
      </c>
      <c r="G61" s="75" t="inlineStr">
        <is>
          <t>1237167</t>
        </is>
      </c>
      <c r="H61" s="75" t="inlineStr">
        <is>
          <t>Relatórios Relatório de Agência de Rating</t>
        </is>
      </c>
      <c r="I61" s="75" t="inlineStr">
        <is>
          <t>26/06/2026</t>
        </is>
      </c>
      <c r="J61" s="75" t="inlineStr">
        <is>
          <t>1</t>
        </is>
      </c>
      <c r="K61" s="75" t="inlineStr">
        <is>
          <t>encontrado_explicito</t>
        </is>
      </c>
      <c r="L61" s="144" t="n">
        <v>0.93</v>
      </c>
      <c r="M61" s="75" t="inlineStr">
        <is>
          <t>.cache/carteira_101_document_scan/31739396000117/1237167.json.gz</t>
        </is>
      </c>
      <c r="N61" s="75" t="inlineStr">
        <is>
          <t>https://fnet.bmfbovespa.com.br/fnet/publico/downloadDocumento?id=1237167</t>
        </is>
      </c>
      <c r="O61" s="75" t="inlineStr">
        <is>
          <t>e no mesmo dia útil, repassados à conta da operação. Participantes da Operação Originador LISTO INSTITUIÇÃO DE PAGAMENTO LTDA. Gestor PETRA CAPITAL GESTÃO DE INVESTIMENTOS LTDA Administrador FINAXIS CORRETO</t>
        </is>
      </c>
    </row>
    <row r="62" ht="43.5" customHeight="1">
      <c r="A62" s="142" t="n">
        <v>31739396000117</v>
      </c>
      <c r="B62" s="75" t="inlineStr">
        <is>
          <t>31.739.396/0001-17</t>
        </is>
      </c>
      <c r="C62" s="75" t="inlineStr">
        <is>
          <t>tipo_recebivel</t>
        </is>
      </c>
      <c r="D62"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2" s="75" t="inlineStr">
        <is>
          <t>N/D</t>
        </is>
      </c>
      <c r="F62" s="75" t="inlineStr">
        <is>
          <t>regulamento</t>
        </is>
      </c>
      <c r="G62" s="75" t="inlineStr">
        <is>
          <t>1017589</t>
        </is>
      </c>
      <c r="H62" s="75" t="inlineStr">
        <is>
          <t>Regulamento</t>
        </is>
      </c>
      <c r="I62" s="75" t="inlineStr">
        <is>
          <t>20/10/2025</t>
        </is>
      </c>
      <c r="J62" s="75" t="inlineStr">
        <is>
          <t>10</t>
        </is>
      </c>
      <c r="K62" s="75" t="inlineStr">
        <is>
          <t>encontrado_explicito</t>
        </is>
      </c>
      <c r="L62" s="144" t="n">
        <v>0.92</v>
      </c>
      <c r="M62" s="75" t="inlineStr">
        <is>
          <t>.cache/carteira_101_document_scan/31739396000117/1017589.json.gz</t>
        </is>
      </c>
      <c r="N62" s="75" t="inlineStr">
        <is>
          <t>https://fnet.bmfbovespa.com.br/fnet/publico/downloadDocumento?id=1017589</t>
        </is>
      </c>
      <c r="O62"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3" ht="43.5" customHeight="1">
      <c r="A63" s="142" t="n">
        <v>31739396000117</v>
      </c>
      <c r="B63" s="75" t="inlineStr">
        <is>
          <t>31.739.396/0001-17</t>
        </is>
      </c>
      <c r="C63" s="75" t="inlineStr">
        <is>
          <t>tipo_recebivel</t>
        </is>
      </c>
      <c r="D6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3" s="75" t="inlineStr">
        <is>
          <t>N/D</t>
        </is>
      </c>
      <c r="F63" s="75" t="inlineStr">
        <is>
          <t>regulamento</t>
        </is>
      </c>
      <c r="G63" s="75" t="inlineStr">
        <is>
          <t>1146939</t>
        </is>
      </c>
      <c r="H63" s="75" t="inlineStr">
        <is>
          <t>Regulamento</t>
        </is>
      </c>
      <c r="I63" s="75" t="inlineStr">
        <is>
          <t>27/03/2026</t>
        </is>
      </c>
      <c r="J63" s="75" t="inlineStr">
        <is>
          <t>10</t>
        </is>
      </c>
      <c r="K63" s="75" t="inlineStr">
        <is>
          <t>encontrado_explicito</t>
        </is>
      </c>
      <c r="L63" s="144" t="n">
        <v>0.92</v>
      </c>
      <c r="M63" s="75" t="inlineStr">
        <is>
          <t>.cache/carteira_101_document_scan/31739396000117/1146939.json.gz</t>
        </is>
      </c>
      <c r="N63" s="75" t="inlineStr">
        <is>
          <t>https://fnet.bmfbovespa.com.br/fnet/publico/downloadDocumento?id=1146939</t>
        </is>
      </c>
      <c r="O63"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4" ht="43.5" customHeight="1">
      <c r="A64" s="142" t="n">
        <v>31739396000117</v>
      </c>
      <c r="B64" s="75" t="inlineStr">
        <is>
          <t>31.739.396/0001-17</t>
        </is>
      </c>
      <c r="C64" s="75" t="inlineStr">
        <is>
          <t>tipo_recebivel</t>
        </is>
      </c>
      <c r="D64" s="75" t="inlineStr">
        <is>
          <t>Risco Bancos Emissores Diversos</t>
        </is>
      </c>
      <c r="E64" s="75" t="inlineStr">
        <is>
          <t>N/D</t>
        </is>
      </c>
      <c r="F64" s="75" t="inlineStr">
        <is>
          <t>planilha_manual</t>
        </is>
      </c>
      <c r="G64" s="75" t="inlineStr">
        <is>
          <t>IMG_8706.JPG</t>
        </is>
      </c>
      <c r="H64" s="75" t="inlineStr">
        <is>
          <t>payload</t>
        </is>
      </c>
      <c r="I64" s="75" t="inlineStr">
        <is>
          <t>2026-03-27</t>
        </is>
      </c>
      <c r="J64" s="75" t="inlineStr">
        <is>
          <t>39</t>
        </is>
      </c>
      <c r="K64" s="75" t="inlineStr">
        <is>
          <t>aceito_payload</t>
        </is>
      </c>
      <c r="L64" s="144" t="n">
        <v>1</v>
      </c>
      <c r="M64" s="75" t="inlineStr">
        <is>
          <t>data/industry_study/generated_revision/artifact_payload.json</t>
        </is>
      </c>
      <c r="N64" s="75" t="inlineStr">
        <is>
          <t>N/D</t>
        </is>
      </c>
      <c r="O64" s="75" t="inlineStr">
        <is>
          <t>OBS da foto: lista de concentração pré-aprovada.</t>
        </is>
      </c>
    </row>
    <row r="65" ht="43.5" customHeight="1">
      <c r="A65" s="142" t="n">
        <v>32526025000110</v>
      </c>
      <c r="B65" s="75" t="inlineStr">
        <is>
          <t>32.526.025/0001-10</t>
        </is>
      </c>
      <c r="C65" s="75" t="inlineStr">
        <is>
          <t>minimo_junior</t>
        </is>
      </c>
      <c r="D65" s="75" t="inlineStr">
        <is>
          <t>75%</t>
        </is>
      </c>
      <c r="E65" s="75" t="inlineStr">
        <is>
          <t>junior_pl</t>
        </is>
      </c>
      <c r="F65" s="75" t="inlineStr">
        <is>
          <t>payload_documental</t>
        </is>
      </c>
      <c r="G65" s="75" t="inlineStr">
        <is>
          <t>1186789</t>
        </is>
      </c>
      <c r="H65" s="75" t="inlineStr">
        <is>
          <t>documento_curado</t>
        </is>
      </c>
      <c r="I65" s="75" t="inlineStr">
        <is>
          <t>2026-05-12</t>
        </is>
      </c>
      <c r="J65" s="75" t="inlineStr">
        <is>
          <t>57</t>
        </is>
      </c>
      <c r="K65" s="75" t="inlineStr">
        <is>
          <t>aceito_payload</t>
        </is>
      </c>
      <c r="L65" s="144" t="n">
        <v>1</v>
      </c>
      <c r="M65" s="75" t="inlineStr">
        <is>
          <t>data/industry_study/generated_revision/artifact_payload.json</t>
        </is>
      </c>
      <c r="N65" s="75" t="inlineStr">
        <is>
          <t>https://fnet.bmfbovespa.com.br/fnet/publico/downloadDocumento?id=1186789</t>
        </is>
      </c>
      <c r="O65" s="75" t="inlineStr">
        <is>
          <t>Enquanto não houver cota mezanino, cotas júnior / PL, mínimo de 75,0%.</t>
        </is>
      </c>
    </row>
    <row r="66" ht="43.5" customHeight="1">
      <c r="A66" s="142" t="n">
        <v>32526025000110</v>
      </c>
      <c r="B66" s="75" t="inlineStr">
        <is>
          <t>32.526.025/0001-10</t>
        </is>
      </c>
      <c r="C66" s="75" t="inlineStr">
        <is>
          <t>natureza_indice</t>
        </is>
      </c>
      <c r="D66" s="75" t="inlineStr">
        <is>
          <t>junior_pl</t>
        </is>
      </c>
      <c r="E66" s="75" t="inlineStr">
        <is>
          <t>junior_pl</t>
        </is>
      </c>
      <c r="F66" s="75" t="inlineStr">
        <is>
          <t>payload_documental</t>
        </is>
      </c>
      <c r="G66" s="75" t="inlineStr">
        <is>
          <t>1186789</t>
        </is>
      </c>
      <c r="H66" s="75" t="inlineStr">
        <is>
          <t>documento_curado</t>
        </is>
      </c>
      <c r="I66" s="75" t="inlineStr">
        <is>
          <t>2026-05-12</t>
        </is>
      </c>
      <c r="J66" s="75" t="inlineStr">
        <is>
          <t>57</t>
        </is>
      </c>
      <c r="K66" s="75" t="inlineStr">
        <is>
          <t>aceito_payload</t>
        </is>
      </c>
      <c r="L66" s="144" t="n">
        <v>1</v>
      </c>
      <c r="M66" s="75" t="inlineStr">
        <is>
          <t>data/industry_study/generated_revision/artifact_payload.json</t>
        </is>
      </c>
      <c r="N66" s="75" t="inlineStr">
        <is>
          <t>https://fnet.bmfbovespa.com.br/fnet/publico/downloadDocumento?id=1186789</t>
        </is>
      </c>
      <c r="O66" s="75" t="inlineStr">
        <is>
          <t>Enquanto não houver cota mezanino, cotas júnior / PL, mínimo de 75,0%.</t>
        </is>
      </c>
    </row>
    <row r="67" ht="43.5" customHeight="1">
      <c r="A67" s="142" t="n">
        <v>33076242000118</v>
      </c>
      <c r="B67" s="75" t="inlineStr">
        <is>
          <t>33.076.242/0001-18</t>
        </is>
      </c>
      <c r="C67" s="75" t="inlineStr">
        <is>
          <t>cedente</t>
        </is>
      </c>
      <c r="D67" s="75" t="inlineStr">
        <is>
          <t>Albaugh Agro</t>
        </is>
      </c>
      <c r="E67" s="75" t="inlineStr">
        <is>
          <t>rótulo explícito de participante v2</t>
        </is>
      </c>
      <c r="F67" s="75" t="inlineStr">
        <is>
          <t>rating_report</t>
        </is>
      </c>
      <c r="G67" s="75" t="inlineStr">
        <is>
          <t>901460</t>
        </is>
      </c>
      <c r="H67" s="75" t="inlineStr">
        <is>
          <t>Relatórios Relatório de Agência de Rating</t>
        </is>
      </c>
      <c r="I67" s="75" t="inlineStr">
        <is>
          <t>08/05/2025</t>
        </is>
      </c>
      <c r="J67" s="75" t="inlineStr">
        <is>
          <t>6</t>
        </is>
      </c>
      <c r="K67" s="75" t="inlineStr">
        <is>
          <t>encontrado_explicito</t>
        </is>
      </c>
      <c r="L67" s="144" t="n">
        <v>0.93</v>
      </c>
      <c r="M67" s="75" t="inlineStr">
        <is>
          <t>.cache/carteira_101_document_scan/33076242000118/901460.json.gz</t>
        </is>
      </c>
      <c r="N67" s="75" t="inlineStr">
        <is>
          <t>https://fnet.bmfbovespa.com.br/fnet/publico/downloadDocumento?id=901460</t>
        </is>
      </c>
      <c r="O67" s="75" t="inlineStr">
        <is>
          <t>ões provenientes da(s) seguinte(s) fonte(s): Oliveira Trust (Administradora) e Albaugh Agro (Cedente). 7. As informações obtidas pela Austin Rating foram consideradas suficientes p</t>
        </is>
      </c>
    </row>
    <row r="68" ht="43.5" customHeight="1">
      <c r="A68" s="142" t="n">
        <v>33076242000118</v>
      </c>
      <c r="B68" s="75" t="inlineStr">
        <is>
          <t>33.076.242/0001-18</t>
        </is>
      </c>
      <c r="C68" s="75" t="inlineStr">
        <is>
          <t>cedente</t>
        </is>
      </c>
      <c r="D68" s="75" t="inlineStr">
        <is>
          <t>Albaugh Agro</t>
        </is>
      </c>
      <c r="E68" s="75" t="inlineStr">
        <is>
          <t>rótulo explícito de participante v2</t>
        </is>
      </c>
      <c r="F68" s="75" t="inlineStr">
        <is>
          <t>rating_report</t>
        </is>
      </c>
      <c r="G68" s="75" t="inlineStr">
        <is>
          <t>978141</t>
        </is>
      </c>
      <c r="H68" s="75" t="inlineStr">
        <is>
          <t>Relatórios Relatório de Agência de Rating</t>
        </is>
      </c>
      <c r="I68" s="75" t="inlineStr">
        <is>
          <t>22/08/2025</t>
        </is>
      </c>
      <c r="J68" s="75" t="inlineStr">
        <is>
          <t>5</t>
        </is>
      </c>
      <c r="K68" s="75" t="inlineStr">
        <is>
          <t>encontrado_explicito</t>
        </is>
      </c>
      <c r="L68" s="144" t="n">
        <v>0.93</v>
      </c>
      <c r="M68" s="75" t="inlineStr">
        <is>
          <t>.cache/carteira_101_document_scan/33076242000118/978141.json.gz</t>
        </is>
      </c>
      <c r="N68" s="75" t="inlineStr">
        <is>
          <t>https://fnet.bmfbovespa.com.br/fnet/publico/downloadDocumento?id=978141</t>
        </is>
      </c>
      <c r="O68" s="75" t="inlineStr">
        <is>
          <t>ões provenientes da(s) seguinte(s) fonte(s): Oliveira Trust (Administradora) e Albaugh Agro (Cedente). 7. As informações obtidas pela Austin Rating foram consideradas suficientes p</t>
        </is>
      </c>
    </row>
    <row r="69" ht="43.5" customHeight="1">
      <c r="A69" s="142" t="n">
        <v>33076242000118</v>
      </c>
      <c r="B69" s="75" t="inlineStr">
        <is>
          <t>33.076.242/0001-18</t>
        </is>
      </c>
      <c r="C69" s="75" t="inlineStr">
        <is>
          <t>cedente</t>
        </is>
      </c>
      <c r="D69" s="75" t="inlineStr">
        <is>
          <t>Albaugh</t>
        </is>
      </c>
      <c r="E69" s="75" t="inlineStr">
        <is>
          <t>N/D</t>
        </is>
      </c>
      <c r="F69" s="75" t="inlineStr">
        <is>
          <t>planilha_manual</t>
        </is>
      </c>
      <c r="G69" s="75" t="inlineStr">
        <is>
          <t>IMG_8704.JPG</t>
        </is>
      </c>
      <c r="H69" s="75" t="inlineStr">
        <is>
          <t>payload</t>
        </is>
      </c>
      <c r="I69" s="75" t="inlineStr">
        <is>
          <t>2025-12-12</t>
        </is>
      </c>
      <c r="J69" s="75" t="inlineStr">
        <is>
          <t>61</t>
        </is>
      </c>
      <c r="K69" s="75" t="inlineStr">
        <is>
          <t>aceito_payload</t>
        </is>
      </c>
      <c r="L69" s="144" t="n">
        <v>1</v>
      </c>
      <c r="M69" s="75" t="inlineStr">
        <is>
          <t>data/industry_study/generated_revision/artifact_payload.json</t>
        </is>
      </c>
      <c r="N69" s="75" t="inlineStr">
        <is>
          <t>N/D</t>
        </is>
      </c>
      <c r="O69" s="75" t="inlineStr">
        <is>
          <t>OBS legível: evento de avaliação por não pagamento de juros; o identificador de concentração e o restante do texto exigem revisão.</t>
        </is>
      </c>
    </row>
    <row r="70" ht="43.5" customHeight="1">
      <c r="A70" s="142" t="n">
        <v>33076242000118</v>
      </c>
      <c r="B70" s="75" t="inlineStr">
        <is>
          <t>33.076.242/0001-18</t>
        </is>
      </c>
      <c r="C70" s="75" t="inlineStr">
        <is>
          <t>minimo_estrutural_total</t>
        </is>
      </c>
      <c r="D70" s="75" t="inlineStr">
        <is>
          <t>20%</t>
        </is>
      </c>
      <c r="E70" s="75" t="inlineStr">
        <is>
          <t>suporte_total_pl</t>
        </is>
      </c>
      <c r="F70" s="75" t="inlineStr">
        <is>
          <t>payload_documental</t>
        </is>
      </c>
      <c r="G70" s="75" t="inlineStr">
        <is>
          <t>1060211</t>
        </is>
      </c>
      <c r="H70" s="75" t="inlineStr">
        <is>
          <t>documento_curado</t>
        </is>
      </c>
      <c r="I70" s="75" t="inlineStr">
        <is>
          <t>2025-12-12</t>
        </is>
      </c>
      <c r="J70" s="75" t="inlineStr">
        <is>
          <t>61</t>
        </is>
      </c>
      <c r="K70" s="75" t="inlineStr">
        <is>
          <t>aceito_payload</t>
        </is>
      </c>
      <c r="L70" s="144" t="n">
        <v>1</v>
      </c>
      <c r="M70" s="75" t="inlineStr">
        <is>
          <t>data/industry_study/generated_revision/artifact_payload.json</t>
        </is>
      </c>
      <c r="N70" s="75" t="inlineStr">
        <is>
          <t>https://fnet.bmfbovespa.com.br/fnet/publico/downloadDocumento?id=1060211</t>
        </is>
      </c>
      <c r="O70" s="75" t="inlineStr">
        <is>
          <t>Cotas subordinadas / PL, mínimo de 20,0%; estrutura com uma única classe residual.</t>
        </is>
      </c>
    </row>
    <row r="71" ht="43.5" customHeight="1">
      <c r="A71" s="142" t="n">
        <v>33076242000118</v>
      </c>
      <c r="B71" s="75" t="inlineStr">
        <is>
          <t>33.076.242/0001-18</t>
        </is>
      </c>
      <c r="C71" s="75" t="inlineStr">
        <is>
          <t>minimo_junior</t>
        </is>
      </c>
      <c r="D71" s="75" t="inlineStr">
        <is>
          <t>20%</t>
        </is>
      </c>
      <c r="E71" s="75" t="inlineStr">
        <is>
          <t>junior_pl</t>
        </is>
      </c>
      <c r="F71" s="75" t="inlineStr">
        <is>
          <t>payload_documental</t>
        </is>
      </c>
      <c r="G71" s="75" t="inlineStr">
        <is>
          <t>1060211</t>
        </is>
      </c>
      <c r="H71" s="75" t="inlineStr">
        <is>
          <t>documento_curado</t>
        </is>
      </c>
      <c r="I71" s="75" t="inlineStr">
        <is>
          <t>2025-12-12</t>
        </is>
      </c>
      <c r="J71" s="75" t="inlineStr">
        <is>
          <t>61</t>
        </is>
      </c>
      <c r="K71" s="75" t="inlineStr">
        <is>
          <t>aceito_payload</t>
        </is>
      </c>
      <c r="L71" s="144" t="n">
        <v>1</v>
      </c>
      <c r="M71" s="75" t="inlineStr">
        <is>
          <t>data/industry_study/generated_revision/artifact_payload.json</t>
        </is>
      </c>
      <c r="N71" s="75" t="inlineStr">
        <is>
          <t>https://fnet.bmfbovespa.com.br/fnet/publico/downloadDocumento?id=1060211</t>
        </is>
      </c>
      <c r="O71" s="75" t="inlineStr">
        <is>
          <t>Cotas subordinadas / PL, mínimo de 20,0%; estrutura com uma única classe residual.</t>
        </is>
      </c>
    </row>
    <row r="72" ht="43.5" customHeight="1">
      <c r="A72" s="142" t="n">
        <v>33076242000118</v>
      </c>
      <c r="B72" s="75" t="inlineStr">
        <is>
          <t>33.076.242/0001-18</t>
        </is>
      </c>
      <c r="C72" s="75" t="inlineStr">
        <is>
          <t>natureza_indice</t>
        </is>
      </c>
      <c r="D72" s="75" t="inlineStr">
        <is>
          <t>junior_pl</t>
        </is>
      </c>
      <c r="E72" s="75" t="inlineStr">
        <is>
          <t>junior_pl</t>
        </is>
      </c>
      <c r="F72" s="75" t="inlineStr">
        <is>
          <t>payload_documental</t>
        </is>
      </c>
      <c r="G72" s="75" t="inlineStr">
        <is>
          <t>1060211</t>
        </is>
      </c>
      <c r="H72" s="75" t="inlineStr">
        <is>
          <t>documento_curado</t>
        </is>
      </c>
      <c r="I72" s="75" t="inlineStr">
        <is>
          <t>2025-12-12</t>
        </is>
      </c>
      <c r="J72" s="75" t="inlineStr">
        <is>
          <t>61</t>
        </is>
      </c>
      <c r="K72" s="75" t="inlineStr">
        <is>
          <t>aceito_payload</t>
        </is>
      </c>
      <c r="L72" s="144" t="n">
        <v>1</v>
      </c>
      <c r="M72" s="75" t="inlineStr">
        <is>
          <t>data/industry_study/generated_revision/artifact_payload.json</t>
        </is>
      </c>
      <c r="N72" s="75" t="inlineStr">
        <is>
          <t>https://fnet.bmfbovespa.com.br/fnet/publico/downloadDocumento?id=1060211</t>
        </is>
      </c>
      <c r="O72" s="75" t="inlineStr">
        <is>
          <t>Cotas subordinadas / PL, mínimo de 20,0%; estrutura com uma única classe residual.</t>
        </is>
      </c>
    </row>
    <row r="73" ht="43.5" customHeight="1">
      <c r="A73" s="142" t="n">
        <v>35868110000154</v>
      </c>
      <c r="B73" s="75" t="inlineStr">
        <is>
          <t>35.868.110/0001-54</t>
        </is>
      </c>
      <c r="C73" s="75" t="inlineStr">
        <is>
          <t>cedente</t>
        </is>
      </c>
      <c r="D73" s="75" t="inlineStr">
        <is>
          <t>Banco Votorantim</t>
        </is>
      </c>
      <c r="E73" s="75" t="inlineStr">
        <is>
          <t>N/D</t>
        </is>
      </c>
      <c r="F73" s="75" t="inlineStr">
        <is>
          <t>planilha_manual</t>
        </is>
      </c>
      <c r="G73" s="75" t="inlineStr">
        <is>
          <t>IMG_8705.JPG</t>
        </is>
      </c>
      <c r="H73" s="75" t="inlineStr">
        <is>
          <t>payload</t>
        </is>
      </c>
      <c r="I73" s="75" t="inlineStr">
        <is>
          <t>2024-11-27</t>
        </is>
      </c>
      <c r="J73" s="75" t="inlineStr">
        <is>
          <t>48</t>
        </is>
      </c>
      <c r="K73" s="75" t="inlineStr">
        <is>
          <t>aceito_payload</t>
        </is>
      </c>
      <c r="L73" s="144" t="n">
        <v>1</v>
      </c>
      <c r="M73" s="75" t="inlineStr">
        <is>
          <t>data/industry_study/generated_revision/artifact_payload.json</t>
        </is>
      </c>
      <c r="N73" s="75" t="inlineStr">
        <is>
          <t>N/D</t>
        </is>
      </c>
      <c r="O73" s="75" t="inlineStr">
        <is>
          <t>N/D</t>
        </is>
      </c>
    </row>
    <row r="74" ht="43.5" customHeight="1">
      <c r="A74" s="142" t="n">
        <v>35868110000154</v>
      </c>
      <c r="B74" s="75" t="inlineStr">
        <is>
          <t>35.868.110/0001-54</t>
        </is>
      </c>
      <c r="C74" s="75" t="inlineStr">
        <is>
          <t>cedente</t>
        </is>
      </c>
      <c r="D74" s="75" t="inlineStr">
        <is>
          <t>09.346.601/0001-25</t>
        </is>
      </c>
      <c r="E74" s="75" t="inlineStr">
        <is>
          <t>N/D</t>
        </is>
      </c>
      <c r="F74" s="75" t="inlineStr">
        <is>
          <t>candidate_extraction</t>
        </is>
      </c>
      <c r="G74" s="75" t="inlineStr">
        <is>
          <t>35868110000154</t>
        </is>
      </c>
      <c r="H74" s="75" t="inlineStr">
        <is>
          <t>extração heurística</t>
        </is>
      </c>
      <c r="I74" s="75" t="inlineStr">
        <is>
          <t>N/D</t>
        </is>
      </c>
      <c r="J74" s="75" t="inlineStr">
        <is>
          <t>N/D</t>
        </is>
      </c>
      <c r="K74" s="75" t="inlineStr">
        <is>
          <t>candidato_revisao</t>
        </is>
      </c>
      <c r="L74" s="144" t="n">
        <v>0.95</v>
      </c>
      <c r="M74" s="75" t="inlineStr">
        <is>
          <t>outputs/fidc_director_deep_diagnostic_20260609/pdf_text_cache/35868110000154_792021_regulamento_regulamento_792021_2024-11-27.txt</t>
        </is>
      </c>
      <c r="N74" s="75" t="inlineStr">
        <is>
          <t>https://fnet.bmfbovespa.com.br/fnet/publico/downloadDocumento?id=35868110000154</t>
        </is>
      </c>
      <c r="O74" s="75" t="inlineStr">
        <is>
          <t>.º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t>
        </is>
      </c>
    </row>
    <row r="75" ht="43.5" customHeight="1">
      <c r="A75" s="142" t="n">
        <v>35868110000154</v>
      </c>
      <c r="B75" s="75" t="inlineStr">
        <is>
          <t>35.868.110/0001-54</t>
        </is>
      </c>
      <c r="C75" s="75" t="inlineStr">
        <is>
          <t>minimo_estrutural_total</t>
        </is>
      </c>
      <c r="D75" s="75" t="inlineStr">
        <is>
          <t>25%</t>
        </is>
      </c>
      <c r="E75" s="75" t="inlineStr">
        <is>
          <t>suporte_total_pl</t>
        </is>
      </c>
      <c r="F75" s="75" t="inlineStr">
        <is>
          <t>payload_documental</t>
        </is>
      </c>
      <c r="G75" s="75" t="inlineStr">
        <is>
          <t>792021</t>
        </is>
      </c>
      <c r="H75" s="75" t="inlineStr">
        <is>
          <t>documento_curado</t>
        </is>
      </c>
      <c r="I75" s="75" t="inlineStr">
        <is>
          <t>2024-11-27</t>
        </is>
      </c>
      <c r="J75" s="75" t="inlineStr">
        <is>
          <t>48</t>
        </is>
      </c>
      <c r="K75" s="75" t="inlineStr">
        <is>
          <t>aceito_payload</t>
        </is>
      </c>
      <c r="L75" s="144" t="n">
        <v>1</v>
      </c>
      <c r="M75" s="75" t="inlineStr">
        <is>
          <t>data/industry_study/generated_revision/artifact_payload.json</t>
        </is>
      </c>
      <c r="N75" s="75" t="inlineStr">
        <is>
          <t>https://fnet.bmfbovespa.com.br/fnet/publico/downloadDocumento?id=792021</t>
        </is>
      </c>
      <c r="O75" s="75" t="inlineStr">
        <is>
          <t>Cotas subordinadas / PL, mínimo de 25,0%; estrutura com uma única classe residual.</t>
        </is>
      </c>
    </row>
    <row r="76" ht="43.5" customHeight="1">
      <c r="A76" s="142" t="n">
        <v>35868110000154</v>
      </c>
      <c r="B76" s="75" t="inlineStr">
        <is>
          <t>35.868.110/0001-54</t>
        </is>
      </c>
      <c r="C76" s="75" t="inlineStr">
        <is>
          <t>minimo_junior</t>
        </is>
      </c>
      <c r="D76" s="75" t="inlineStr">
        <is>
          <t>25%</t>
        </is>
      </c>
      <c r="E76" s="75" t="inlineStr">
        <is>
          <t>junior_pl</t>
        </is>
      </c>
      <c r="F76" s="75" t="inlineStr">
        <is>
          <t>payload_documental</t>
        </is>
      </c>
      <c r="G76" s="75" t="inlineStr">
        <is>
          <t>792021</t>
        </is>
      </c>
      <c r="H76" s="75" t="inlineStr">
        <is>
          <t>documento_curado</t>
        </is>
      </c>
      <c r="I76" s="75" t="inlineStr">
        <is>
          <t>2024-11-27</t>
        </is>
      </c>
      <c r="J76" s="75" t="inlineStr">
        <is>
          <t>48</t>
        </is>
      </c>
      <c r="K76" s="75" t="inlineStr">
        <is>
          <t>aceito_payload</t>
        </is>
      </c>
      <c r="L76" s="144" t="n">
        <v>1</v>
      </c>
      <c r="M76" s="75" t="inlineStr">
        <is>
          <t>data/industry_study/generated_revision/artifact_payload.json</t>
        </is>
      </c>
      <c r="N76" s="75" t="inlineStr">
        <is>
          <t>https://fnet.bmfbovespa.com.br/fnet/publico/downloadDocumento?id=792021</t>
        </is>
      </c>
      <c r="O76" s="75" t="inlineStr">
        <is>
          <t>Cotas subordinadas / PL, mínimo de 25,0%; estrutura com uma única classe residual.</t>
        </is>
      </c>
    </row>
    <row r="77" ht="43.5" customHeight="1">
      <c r="A77" s="142" t="n">
        <v>35868110000154</v>
      </c>
      <c r="B77" s="75" t="inlineStr">
        <is>
          <t>35.868.110/0001-54</t>
        </is>
      </c>
      <c r="C77" s="75" t="inlineStr">
        <is>
          <t>natureza_indice</t>
        </is>
      </c>
      <c r="D77" s="75" t="inlineStr">
        <is>
          <t>junior_pl</t>
        </is>
      </c>
      <c r="E77" s="75" t="inlineStr">
        <is>
          <t>junior_pl</t>
        </is>
      </c>
      <c r="F77" s="75" t="inlineStr">
        <is>
          <t>payload_documental</t>
        </is>
      </c>
      <c r="G77" s="75" t="inlineStr">
        <is>
          <t>792021</t>
        </is>
      </c>
      <c r="H77" s="75" t="inlineStr">
        <is>
          <t>documento_curado</t>
        </is>
      </c>
      <c r="I77" s="75" t="inlineStr">
        <is>
          <t>2024-11-27</t>
        </is>
      </c>
      <c r="J77" s="75" t="inlineStr">
        <is>
          <t>48</t>
        </is>
      </c>
      <c r="K77" s="75" t="inlineStr">
        <is>
          <t>aceito_payload</t>
        </is>
      </c>
      <c r="L77" s="144" t="n">
        <v>1</v>
      </c>
      <c r="M77" s="75" t="inlineStr">
        <is>
          <t>data/industry_study/generated_revision/artifact_payload.json</t>
        </is>
      </c>
      <c r="N77" s="75" t="inlineStr">
        <is>
          <t>https://fnet.bmfbovespa.com.br/fnet/publico/downloadDocumento?id=792021</t>
        </is>
      </c>
      <c r="O77" s="75" t="inlineStr">
        <is>
          <t>Cotas subordinadas / PL, mínimo de 25,0%; estrutura com uma única classe residual.</t>
        </is>
      </c>
    </row>
    <row r="78" ht="43.5" customHeight="1">
      <c r="A78" s="142" t="n">
        <v>35868110000154</v>
      </c>
      <c r="B78" s="75" t="inlineStr">
        <is>
          <t>35.868.110/0001-54</t>
        </is>
      </c>
      <c r="C78" s="75" t="inlineStr">
        <is>
          <t>sacado_devedor</t>
        </is>
      </c>
      <c r="D78" s="75" t="inlineStr">
        <is>
          <t>59.588.111/0001-03</t>
        </is>
      </c>
      <c r="E78" s="75" t="inlineStr">
        <is>
          <t>N/D</t>
        </is>
      </c>
      <c r="F78" s="75" t="inlineStr">
        <is>
          <t>candidate_extraction</t>
        </is>
      </c>
      <c r="G78" s="75" t="inlineStr">
        <is>
          <t>35868110000154</t>
        </is>
      </c>
      <c r="H78" s="75" t="inlineStr">
        <is>
          <t>extração heurística</t>
        </is>
      </c>
      <c r="I78" s="75" t="inlineStr">
        <is>
          <t>N/D</t>
        </is>
      </c>
      <c r="J78" s="75" t="inlineStr">
        <is>
          <t>N/D</t>
        </is>
      </c>
      <c r="K78" s="75" t="inlineStr">
        <is>
          <t>candidato_revisao</t>
        </is>
      </c>
      <c r="L78" s="144" t="n">
        <v>0.95</v>
      </c>
      <c r="M78" s="75" t="inlineStr">
        <is>
          <t>outputs/fidc_director_deep_diagnostic_20260609/pdf_text_cache/35868110000154_792021_regulamento_regulamento_792021_2024-11-27.txt</t>
        </is>
      </c>
      <c r="N78" s="75" t="inlineStr">
        <is>
          <t>https://fnet.bmfbovespa.com.br/fnet/publico/downloadDocumento?id=35868110000154</t>
        </is>
      </c>
      <c r="O78" s="75" t="inlineStr">
        <is>
          <t>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t>
        </is>
      </c>
    </row>
    <row r="79" ht="43.5" customHeight="1">
      <c r="A79" s="142" t="n">
        <v>35868110000154</v>
      </c>
      <c r="B79" s="75" t="inlineStr">
        <is>
          <t>35.868.110/0001-54</t>
        </is>
      </c>
      <c r="C79" s="75" t="inlineStr">
        <is>
          <t>tipo_recebivel</t>
        </is>
      </c>
      <c r="D79" s="75" t="inlineStr">
        <is>
          <t>Carteira Veículos com coobrigação BV</t>
        </is>
      </c>
      <c r="E79" s="75" t="inlineStr">
        <is>
          <t>N/D</t>
        </is>
      </c>
      <c r="F79" s="75" t="inlineStr">
        <is>
          <t>planilha_manual</t>
        </is>
      </c>
      <c r="G79" s="75" t="inlineStr">
        <is>
          <t>IMG_8705.JPG</t>
        </is>
      </c>
      <c r="H79" s="75" t="inlineStr">
        <is>
          <t>payload</t>
        </is>
      </c>
      <c r="I79" s="75" t="inlineStr">
        <is>
          <t>2024-11-27</t>
        </is>
      </c>
      <c r="J79" s="75" t="inlineStr">
        <is>
          <t>48</t>
        </is>
      </c>
      <c r="K79" s="75" t="inlineStr">
        <is>
          <t>aceito_payload</t>
        </is>
      </c>
      <c r="L79" s="144" t="n">
        <v>1</v>
      </c>
      <c r="M79" s="75" t="inlineStr">
        <is>
          <t>data/industry_study/generated_revision/artifact_payload.json</t>
        </is>
      </c>
      <c r="N79" s="75" t="inlineStr">
        <is>
          <t>N/D</t>
        </is>
      </c>
      <c r="O79" s="75" t="inlineStr">
        <is>
          <t>N/D</t>
        </is>
      </c>
    </row>
    <row r="80" ht="43.5" customHeight="1">
      <c r="A80" s="142" t="n">
        <v>37035970000132</v>
      </c>
      <c r="B80" s="75" t="inlineStr">
        <is>
          <t>37.035.970/0001-32</t>
        </is>
      </c>
      <c r="C80" s="75" t="inlineStr">
        <is>
          <t>cedente</t>
        </is>
      </c>
      <c r="D80" s="75" t="inlineStr">
        <is>
          <t>CHDS do Brasil</t>
        </is>
      </c>
      <c r="E80" s="75" t="inlineStr">
        <is>
          <t>rótulo explícito de participante v2</t>
        </is>
      </c>
      <c r="F80" s="75" t="inlineStr">
        <is>
          <t>rating_report</t>
        </is>
      </c>
      <c r="G80" s="75" t="inlineStr">
        <is>
          <t>1126929</t>
        </is>
      </c>
      <c r="H80" s="75" t="inlineStr">
        <is>
          <t>Relatórios Relatório de Agência de Rating</t>
        </is>
      </c>
      <c r="I80" s="75" t="inlineStr">
        <is>
          <t>11/02/2026</t>
        </is>
      </c>
      <c r="J80" s="75" t="inlineStr">
        <is>
          <t>6</t>
        </is>
      </c>
      <c r="K80" s="75" t="inlineStr">
        <is>
          <t>encontrado_explicito</t>
        </is>
      </c>
      <c r="L80" s="144" t="n">
        <v>0.93</v>
      </c>
      <c r="M80" s="75" t="inlineStr">
        <is>
          <t>.cache/carteira_101_document_scan/37035970000132/1126929.json.gz</t>
        </is>
      </c>
      <c r="N80" s="75" t="inlineStr">
        <is>
          <t>https://fnet.bmfbovespa.com.br/fnet/publico/downloadDocumento?id=1126929</t>
        </is>
      </c>
      <c r="O80" s="75" t="inlineStr">
        <is>
          <t>(s) seguinte(s) fonte(s): Singulare (Administradora), Orram Gestão (Gestora) e CHDS do Brasil (Cedente). Adicionalmente, os analistas fizeram uso de informações públicas, especialme</t>
        </is>
      </c>
    </row>
    <row r="81" ht="43.5" customHeight="1">
      <c r="A81" s="142" t="n">
        <v>37035970000132</v>
      </c>
      <c r="B81" s="75" t="inlineStr">
        <is>
          <t>37.035.970/0001-32</t>
        </is>
      </c>
      <c r="C81" s="75" t="inlineStr">
        <is>
          <t>cedente</t>
        </is>
      </c>
      <c r="D81" s="75" t="inlineStr">
        <is>
          <t>CHDS do Brasil</t>
        </is>
      </c>
      <c r="E81" s="75" t="inlineStr">
        <is>
          <t>rótulo explícito de participante v2</t>
        </is>
      </c>
      <c r="F81" s="75" t="inlineStr">
        <is>
          <t>rating_report</t>
        </is>
      </c>
      <c r="G81" s="75" t="inlineStr">
        <is>
          <t>1128089</t>
        </is>
      </c>
      <c r="H81" s="75" t="inlineStr">
        <is>
          <t>Relatórios Relatório de Agência de Rating</t>
        </is>
      </c>
      <c r="I81" s="75" t="inlineStr">
        <is>
          <t>20/08/2025</t>
        </is>
      </c>
      <c r="J81" s="75" t="inlineStr">
        <is>
          <t>6</t>
        </is>
      </c>
      <c r="K81" s="75" t="inlineStr">
        <is>
          <t>encontrado_explicito</t>
        </is>
      </c>
      <c r="L81" s="144" t="n">
        <v>0.93</v>
      </c>
      <c r="M81" s="75" t="inlineStr">
        <is>
          <t>.cache/carteira_101_document_scan/37035970000132/1128089.json.gz</t>
        </is>
      </c>
      <c r="N81" s="75" t="inlineStr">
        <is>
          <t>https://fnet.bmfbovespa.com.br/fnet/publico/downloadDocumento?id=1128089</t>
        </is>
      </c>
      <c r="O81" s="75" t="inlineStr">
        <is>
          <t>(s) seguinte(s) fonte(s): Singulare (Administradora), Orram Gestão (Gestora) e CHDS do Brasil (Cedente). Adicionalmente, os analistas fizeram uso de informações públicas, especialme</t>
        </is>
      </c>
    </row>
    <row r="82" ht="43.5" customHeight="1">
      <c r="A82" s="142" t="n">
        <v>37035970000132</v>
      </c>
      <c r="B82" s="75" t="inlineStr">
        <is>
          <t>37.035.970/0001-32</t>
        </is>
      </c>
      <c r="C82" s="75" t="inlineStr">
        <is>
          <t>cedente</t>
        </is>
      </c>
      <c r="D82" s="75" t="inlineStr">
        <is>
          <t>CHD'S</t>
        </is>
      </c>
      <c r="E82" s="75" t="inlineStr">
        <is>
          <t>N/D</t>
        </is>
      </c>
      <c r="F82" s="75" t="inlineStr">
        <is>
          <t>planilha_manual</t>
        </is>
      </c>
      <c r="G82" s="75" t="inlineStr">
        <is>
          <t>IMG_8706.JPG</t>
        </is>
      </c>
      <c r="H82" s="75" t="inlineStr">
        <is>
          <t>payload</t>
        </is>
      </c>
      <c r="I82" s="75" t="inlineStr">
        <is>
          <t>2026-05-12</t>
        </is>
      </c>
      <c r="J82" s="75" t="inlineStr">
        <is>
          <t>43</t>
        </is>
      </c>
      <c r="K82" s="75" t="inlineStr">
        <is>
          <t>aceito_payload</t>
        </is>
      </c>
      <c r="L82" s="144" t="n">
        <v>1</v>
      </c>
      <c r="M82" s="75" t="inlineStr">
        <is>
          <t>data/industry_study/generated_revision/artifact_payload.json</t>
        </is>
      </c>
      <c r="N82" s="75" t="inlineStr">
        <is>
          <t>N/D</t>
        </is>
      </c>
      <c r="O82" s="75" t="inlineStr">
        <is>
          <t>N/D</t>
        </is>
      </c>
    </row>
    <row r="83" ht="43.5" customHeight="1">
      <c r="A83" s="142" t="n">
        <v>37035970000132</v>
      </c>
      <c r="B83" s="75" t="inlineStr">
        <is>
          <t>37.035.970/0001-32</t>
        </is>
      </c>
      <c r="C83" s="75" t="inlineStr">
        <is>
          <t>cedente</t>
        </is>
      </c>
      <c r="D83" s="75" t="inlineStr">
        <is>
          <t>É A CHDS DO BRASIL COMÉRCIO DE INSUMOS AGRÍCOLAS LTDA</t>
        </is>
      </c>
      <c r="E83" s="75" t="inlineStr">
        <is>
          <t>N/D</t>
        </is>
      </c>
      <c r="F83" s="75" t="inlineStr">
        <is>
          <t>candidate_extraction</t>
        </is>
      </c>
      <c r="G83" s="75" t="inlineStr">
        <is>
          <t>37035970000132</t>
        </is>
      </c>
      <c r="H83" s="75" t="inlineStr">
        <is>
          <t>extração heurística</t>
        </is>
      </c>
      <c r="I83" s="75" t="inlineStr">
        <is>
          <t>N/D</t>
        </is>
      </c>
      <c r="J83" s="75" t="inlineStr">
        <is>
          <t>N/D</t>
        </is>
      </c>
      <c r="K83" s="75" t="inlineStr">
        <is>
          <t>candidato_revisao</t>
        </is>
      </c>
      <c r="L83" s="144" t="n">
        <v>0.95</v>
      </c>
      <c r="M83" s="75" t="inlineStr">
        <is>
          <t>outputs/fidc_director_deep_diagnostic_20260609/pdf_text_cache/37035970000132_1187379_regulamento_regulamento_1187379_2026-05-12_2026-05-12.txt</t>
        </is>
      </c>
      <c r="N83" s="75" t="inlineStr">
        <is>
          <t>https://fnet.bmfbovespa.com.br/fnet/publico/downloadDocumento?id=37035970000132</t>
        </is>
      </c>
      <c r="O83" s="75" t="inlineStr">
        <is>
          <t>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t>
        </is>
      </c>
    </row>
    <row r="84" ht="43.5" customHeight="1">
      <c r="A84" s="142" t="n">
        <v>37035970000132</v>
      </c>
      <c r="B84" s="75" t="inlineStr">
        <is>
          <t>37.035.970/0001-32</t>
        </is>
      </c>
      <c r="C84" s="75" t="inlineStr">
        <is>
          <t>minimo_junior</t>
        </is>
      </c>
      <c r="D84" s="75" t="inlineStr">
        <is>
          <t>30%</t>
        </is>
      </c>
      <c r="E84" s="75" t="inlineStr">
        <is>
          <t>junior_pl</t>
        </is>
      </c>
      <c r="F84" s="75" t="inlineStr">
        <is>
          <t>payload_documental</t>
        </is>
      </c>
      <c r="G84" s="75" t="inlineStr">
        <is>
          <t>1187379</t>
        </is>
      </c>
      <c r="H84" s="75" t="inlineStr">
        <is>
          <t>documento_curado</t>
        </is>
      </c>
      <c r="I84" s="75" t="inlineStr">
        <is>
          <t>2026-05-12</t>
        </is>
      </c>
      <c r="J84" s="75" t="inlineStr">
        <is>
          <t>43</t>
        </is>
      </c>
      <c r="K84" s="75" t="inlineStr">
        <is>
          <t>aceito_payload</t>
        </is>
      </c>
      <c r="L84" s="144" t="n">
        <v>1</v>
      </c>
      <c r="M84" s="75" t="inlineStr">
        <is>
          <t>data/industry_study/generated_revision/artifact_payload.json</t>
        </is>
      </c>
      <c r="N84" s="75" t="inlineStr">
        <is>
          <t>https://fnet.bmfbovespa.com.br/fnet/publico/downloadDocumento?id=1187379</t>
        </is>
      </c>
      <c r="O84" s="75" t="inlineStr">
        <is>
          <t>Mínimo júnior calculado: subordinadas = 40,0% do PL e júnior = 75,0% das subordinadas.</t>
        </is>
      </c>
    </row>
    <row r="85" ht="43.5" customHeight="1">
      <c r="A85" s="142" t="n">
        <v>37035970000132</v>
      </c>
      <c r="B85" s="75" t="inlineStr">
        <is>
          <t>37.035.970/0001-32</t>
        </is>
      </c>
      <c r="C85" s="75" t="inlineStr">
        <is>
          <t>natureza_indice</t>
        </is>
      </c>
      <c r="D85" s="75" t="inlineStr">
        <is>
          <t>junior_pl</t>
        </is>
      </c>
      <c r="E85" s="75" t="inlineStr">
        <is>
          <t>junior_pl</t>
        </is>
      </c>
      <c r="F85" s="75" t="inlineStr">
        <is>
          <t>payload_documental</t>
        </is>
      </c>
      <c r="G85" s="75" t="inlineStr">
        <is>
          <t>1187379</t>
        </is>
      </c>
      <c r="H85" s="75" t="inlineStr">
        <is>
          <t>documento_curado</t>
        </is>
      </c>
      <c r="I85" s="75" t="inlineStr">
        <is>
          <t>2026-05-12</t>
        </is>
      </c>
      <c r="J85" s="75" t="inlineStr">
        <is>
          <t>43</t>
        </is>
      </c>
      <c r="K85" s="75" t="inlineStr">
        <is>
          <t>aceito_payload</t>
        </is>
      </c>
      <c r="L85" s="144" t="n">
        <v>1</v>
      </c>
      <c r="M85" s="75" t="inlineStr">
        <is>
          <t>data/industry_study/generated_revision/artifact_payload.json</t>
        </is>
      </c>
      <c r="N85" s="75" t="inlineStr">
        <is>
          <t>https://fnet.bmfbovespa.com.br/fnet/publico/downloadDocumento?id=1187379</t>
        </is>
      </c>
      <c r="O85" s="75" t="inlineStr">
        <is>
          <t>Mínimo júnior calculado: subordinadas = 40,0% do PL e júnior = 75,0% das subordinadas.</t>
        </is>
      </c>
    </row>
    <row r="86" ht="43.5" customHeight="1">
      <c r="A86" s="142" t="n">
        <v>37035970000132</v>
      </c>
      <c r="B86" s="75" t="inlineStr">
        <is>
          <t>37.035.970/0001-32</t>
        </is>
      </c>
      <c r="C86" s="75" t="inlineStr">
        <is>
          <t>tipo_recebivel</t>
        </is>
      </c>
      <c r="D86" s="75" t="inlineStr">
        <is>
          <t>Insumos Agrícolas - prazo Safra; possui não performados</t>
        </is>
      </c>
      <c r="E86" s="75" t="inlineStr">
        <is>
          <t>N/D</t>
        </is>
      </c>
      <c r="F86" s="75" t="inlineStr">
        <is>
          <t>planilha_manual</t>
        </is>
      </c>
      <c r="G86" s="75" t="inlineStr">
        <is>
          <t>IMG_8706.JPG</t>
        </is>
      </c>
      <c r="H86" s="75" t="inlineStr">
        <is>
          <t>payload</t>
        </is>
      </c>
      <c r="I86" s="75" t="inlineStr">
        <is>
          <t>2026-05-12</t>
        </is>
      </c>
      <c r="J86" s="75" t="inlineStr">
        <is>
          <t>43</t>
        </is>
      </c>
      <c r="K86" s="75" t="inlineStr">
        <is>
          <t>aceito_payload</t>
        </is>
      </c>
      <c r="L86" s="144" t="n">
        <v>1</v>
      </c>
      <c r="M86" s="75" t="inlineStr">
        <is>
          <t>data/industry_study/generated_revision/artifact_payload.json</t>
        </is>
      </c>
      <c r="N86" s="75" t="inlineStr">
        <is>
          <t>N/D</t>
        </is>
      </c>
      <c r="O86" s="75" t="inlineStr">
        <is>
          <t>N/D</t>
        </is>
      </c>
    </row>
    <row r="87" ht="43.5" customHeight="1">
      <c r="A87" s="142" t="n">
        <v>37294759000134</v>
      </c>
      <c r="B87" s="75" t="inlineStr">
        <is>
          <t>37.294.759/0001-34</t>
        </is>
      </c>
      <c r="C87" s="75" t="inlineStr">
        <is>
          <t>cedente</t>
        </is>
      </c>
      <c r="D87" s="75" t="inlineStr">
        <is>
          <t>Galleria SCD</t>
        </is>
      </c>
      <c r="E87" s="75" t="inlineStr">
        <is>
          <t>N/D</t>
        </is>
      </c>
      <c r="F87" s="75" t="inlineStr">
        <is>
          <t>planilha_manual</t>
        </is>
      </c>
      <c r="G87" s="75" t="inlineStr">
        <is>
          <t>IMG_8707.jpg</t>
        </is>
      </c>
      <c r="H87" s="75" t="inlineStr">
        <is>
          <t>payload</t>
        </is>
      </c>
      <c r="I87" s="75" t="inlineStr">
        <is>
          <t>2026-07-10</t>
        </is>
      </c>
      <c r="J87" s="75" t="inlineStr">
        <is>
          <t>110</t>
        </is>
      </c>
      <c r="K87" s="75" t="inlineStr">
        <is>
          <t>aceito_payload</t>
        </is>
      </c>
      <c r="L87" s="144" t="n">
        <v>1</v>
      </c>
      <c r="M87" s="75" t="inlineStr">
        <is>
          <t>data/industry_study/generated_revision/artifact_payload.json</t>
        </is>
      </c>
      <c r="N87" s="75" t="inlineStr">
        <is>
          <t>N/D</t>
        </is>
      </c>
      <c r="O87" s="75" t="inlineStr">
        <is>
          <t>N/D</t>
        </is>
      </c>
    </row>
    <row r="88" ht="43.5" customHeight="1">
      <c r="A88" s="142" t="n">
        <v>37294759000134</v>
      </c>
      <c r="B88" s="75" t="inlineStr">
        <is>
          <t>37.294.759/0001-34</t>
        </is>
      </c>
      <c r="C88" s="75" t="inlineStr">
        <is>
          <t>minimo_estrutural_total</t>
        </is>
      </c>
      <c r="D88" s="75" t="inlineStr">
        <is>
          <t>4.7619%</t>
        </is>
      </c>
      <c r="E88" s="75" t="inlineStr">
        <is>
          <t>suporte_total_pl</t>
        </is>
      </c>
      <c r="F88" s="75" t="inlineStr">
        <is>
          <t>payload_documental</t>
        </is>
      </c>
      <c r="G88" s="75" t="inlineStr">
        <is>
          <t>927443</t>
        </is>
      </c>
      <c r="H88" s="75" t="inlineStr">
        <is>
          <t>documento_curado</t>
        </is>
      </c>
      <c r="I88" s="75" t="inlineStr">
        <is>
          <t>2026-07-10</t>
        </is>
      </c>
      <c r="J88" s="75" t="inlineStr">
        <is>
          <t>110</t>
        </is>
      </c>
      <c r="K88" s="75" t="inlineStr">
        <is>
          <t>aceito_payload</t>
        </is>
      </c>
      <c r="L88" s="144" t="n">
        <v>1</v>
      </c>
      <c r="M88" s="75" t="inlineStr">
        <is>
          <t>data/industry_study/generated_revision/artifact_payload.json</t>
        </is>
      </c>
      <c r="N88" s="75" t="inlineStr">
        <is>
          <t>https://fnet.bmfbovespa.com.br/fnet/publico/downloadDocumento?id=927443</t>
        </is>
      </c>
      <c r="O88" s="75" t="inlineStr">
        <is>
          <t>N/D</t>
        </is>
      </c>
    </row>
    <row r="89" ht="43.5" customHeight="1">
      <c r="A89" s="142" t="n">
        <v>37294759000134</v>
      </c>
      <c r="B89" s="75" t="inlineStr">
        <is>
          <t>37.294.759/0001-34</t>
        </is>
      </c>
      <c r="C89" s="75" t="inlineStr">
        <is>
          <t>natureza_indice</t>
        </is>
      </c>
      <c r="D89" s="75" t="inlineStr">
        <is>
          <t>suporte_total_pl</t>
        </is>
      </c>
      <c r="E89" s="75" t="inlineStr">
        <is>
          <t>suporte_total_pl</t>
        </is>
      </c>
      <c r="F89" s="75" t="inlineStr">
        <is>
          <t>payload_documental</t>
        </is>
      </c>
      <c r="G89" s="75" t="inlineStr">
        <is>
          <t>927443</t>
        </is>
      </c>
      <c r="H89" s="75" t="inlineStr">
        <is>
          <t>documento_curado</t>
        </is>
      </c>
      <c r="I89" s="75" t="inlineStr">
        <is>
          <t>2026-07-10</t>
        </is>
      </c>
      <c r="J89" s="75" t="inlineStr">
        <is>
          <t>110</t>
        </is>
      </c>
      <c r="K89" s="75" t="inlineStr">
        <is>
          <t>aceito_payload</t>
        </is>
      </c>
      <c r="L89" s="144" t="n">
        <v>1</v>
      </c>
      <c r="M89" s="75" t="inlineStr">
        <is>
          <t>data/industry_study/generated_revision/artifact_payload.json</t>
        </is>
      </c>
      <c r="N89" s="75" t="inlineStr">
        <is>
          <t>https://fnet.bmfbovespa.com.br/fnet/publico/downloadDocumento?id=927443</t>
        </is>
      </c>
      <c r="O89" s="75" t="inlineStr">
        <is>
          <t>N/D</t>
        </is>
      </c>
    </row>
    <row r="90" ht="43.5" customHeight="1">
      <c r="A90" s="142" t="n">
        <v>37294759000134</v>
      </c>
      <c r="B90" s="75" t="inlineStr">
        <is>
          <t>37.294.759/0001-34</t>
        </is>
      </c>
      <c r="C90" s="75" t="inlineStr">
        <is>
          <t>tipo_recebivel</t>
        </is>
      </c>
      <c r="D90" s="75" t="inlineStr">
        <is>
          <t>CCBs com AF de Imóvel oriundos de empréstimo PF e PJs</t>
        </is>
      </c>
      <c r="E90" s="75" t="inlineStr">
        <is>
          <t>N/D</t>
        </is>
      </c>
      <c r="F90" s="75" t="inlineStr">
        <is>
          <t>planilha_manual</t>
        </is>
      </c>
      <c r="G90" s="75" t="inlineStr">
        <is>
          <t>IMG_8707.jpg</t>
        </is>
      </c>
      <c r="H90" s="75" t="inlineStr">
        <is>
          <t>payload</t>
        </is>
      </c>
      <c r="I90" s="75" t="inlineStr">
        <is>
          <t>2026-07-10</t>
        </is>
      </c>
      <c r="J90" s="75" t="inlineStr">
        <is>
          <t>110</t>
        </is>
      </c>
      <c r="K90" s="75" t="inlineStr">
        <is>
          <t>aceito_payload</t>
        </is>
      </c>
      <c r="L90" s="144" t="n">
        <v>1</v>
      </c>
      <c r="M90" s="75" t="inlineStr">
        <is>
          <t>data/industry_study/generated_revision/artifact_payload.json</t>
        </is>
      </c>
      <c r="N90" s="75" t="inlineStr">
        <is>
          <t>N/D</t>
        </is>
      </c>
      <c r="O90" s="75" t="inlineStr">
        <is>
          <t>N/D</t>
        </is>
      </c>
    </row>
    <row r="91" ht="43.5" customHeight="1">
      <c r="A91" s="142" t="n">
        <v>37645417000111</v>
      </c>
      <c r="B91" s="75" t="inlineStr">
        <is>
          <t>37.645.417/0001-11</t>
        </is>
      </c>
      <c r="C91" s="75" t="inlineStr">
        <is>
          <t>cedente</t>
        </is>
      </c>
      <c r="D91" s="75" t="inlineStr">
        <is>
          <t>Uby Agroquímica</t>
        </is>
      </c>
      <c r="E91" s="75" t="inlineStr">
        <is>
          <t>rótulo explícito de participante v2</t>
        </is>
      </c>
      <c r="F91" s="75" t="inlineStr">
        <is>
          <t>rating_report</t>
        </is>
      </c>
      <c r="G91" s="75" t="inlineStr">
        <is>
          <t>779236</t>
        </is>
      </c>
      <c r="H91" s="75" t="inlineStr">
        <is>
          <t>Relatórios Relatório de Agência de Rating</t>
        </is>
      </c>
      <c r="I91" s="75" t="inlineStr">
        <is>
          <t>14/11/2024</t>
        </is>
      </c>
      <c r="J91" s="75" t="inlineStr">
        <is>
          <t>2</t>
        </is>
      </c>
      <c r="K91" s="75" t="inlineStr">
        <is>
          <t>encontrado_explicito</t>
        </is>
      </c>
      <c r="L91" s="144" t="n">
        <v>0.93</v>
      </c>
      <c r="M91" s="75" t="inlineStr">
        <is>
          <t>.cache/carteira_101_document_scan/37645417000111/779236.json.gz</t>
        </is>
      </c>
      <c r="N91" s="75" t="inlineStr">
        <is>
          <t>https://fnet.bmfbovespa.com.br/fnet/publico/downloadDocumento?id=779236</t>
        </is>
      </c>
      <c r="O91" s="75" t="inlineStr">
        <is>
          <t>de produtos e de prestação de serviços realizadas entre a Uby Agroquímica S.A. (Uby Agroquímica / Cedente) e seus clientes no setor do agronegócio (Devedores). A afirmação das classific</t>
        </is>
      </c>
    </row>
    <row r="92" ht="43.5" customHeight="1">
      <c r="A92" s="142" t="n">
        <v>37645417000111</v>
      </c>
      <c r="B92" s="75" t="inlineStr">
        <is>
          <t>37.645.417/0001-11</t>
        </is>
      </c>
      <c r="C92" s="75" t="inlineStr">
        <is>
          <t>cedente</t>
        </is>
      </c>
      <c r="D92" s="75" t="inlineStr">
        <is>
          <t>Ubyfol</t>
        </is>
      </c>
      <c r="E92" s="75" t="inlineStr">
        <is>
          <t>N/D</t>
        </is>
      </c>
      <c r="F92" s="75" t="inlineStr">
        <is>
          <t>planilha_manual</t>
        </is>
      </c>
      <c r="G92" s="75" t="inlineStr">
        <is>
          <t>IMG_8704.JPG</t>
        </is>
      </c>
      <c r="H92" s="75" t="inlineStr">
        <is>
          <t>payload</t>
        </is>
      </c>
      <c r="I92" s="75" t="inlineStr">
        <is>
          <t>2025-10-16</t>
        </is>
      </c>
      <c r="J92" s="75" t="inlineStr">
        <is>
          <t>12</t>
        </is>
      </c>
      <c r="K92" s="75" t="inlineStr">
        <is>
          <t>aceito_payload</t>
        </is>
      </c>
      <c r="L92" s="144" t="n">
        <v>1</v>
      </c>
      <c r="M92" s="75" t="inlineStr">
        <is>
          <t>data/industry_study/generated_revision/artifact_payload.json</t>
        </is>
      </c>
      <c r="N92" s="75" t="inlineStr">
        <is>
          <t>N/D</t>
        </is>
      </c>
      <c r="O92" s="75" t="inlineStr">
        <is>
          <t>N/D</t>
        </is>
      </c>
    </row>
    <row r="93" ht="43.5" customHeight="1">
      <c r="A93" s="142" t="n">
        <v>37645417000111</v>
      </c>
      <c r="B93" s="75" t="inlineStr">
        <is>
          <t>37.645.417/0001-11</t>
        </is>
      </c>
      <c r="C93" s="75" t="inlineStr">
        <is>
          <t>minimo_junior</t>
        </is>
      </c>
      <c r="D93" s="75" t="inlineStr">
        <is>
          <t>10%</t>
        </is>
      </c>
      <c r="E93" s="75" t="inlineStr">
        <is>
          <t>junior_pl</t>
        </is>
      </c>
      <c r="F93" s="75" t="inlineStr">
        <is>
          <t>payload_documental</t>
        </is>
      </c>
      <c r="G93" s="75" t="inlineStr">
        <is>
          <t>1016909</t>
        </is>
      </c>
      <c r="H93" s="75" t="inlineStr">
        <is>
          <t>documento_curado</t>
        </is>
      </c>
      <c r="I93" s="75" t="inlineStr">
        <is>
          <t>2025-10-16</t>
        </is>
      </c>
      <c r="J93" s="75" t="inlineStr">
        <is>
          <t>12</t>
        </is>
      </c>
      <c r="K93" s="75" t="inlineStr">
        <is>
          <t>aceito_payload</t>
        </is>
      </c>
      <c r="L93" s="144" t="n">
        <v>1</v>
      </c>
      <c r="M93" s="75" t="inlineStr">
        <is>
          <t>data/industry_study/generated_revision/artifact_payload.json</t>
        </is>
      </c>
      <c r="N93" s="75" t="inlineStr">
        <is>
          <t>https://fnet.bmfbovespa.com.br/fnet/publico/downloadDocumento?id=1016909</t>
        </is>
      </c>
      <c r="O93" s="75" t="inlineStr">
        <is>
          <t>Índice de Subordinação Mínima Mezanino: cotas júnior / PL, mínimo de 10,0%.</t>
        </is>
      </c>
    </row>
    <row r="94" ht="43.5" customHeight="1">
      <c r="A94" s="142" t="n">
        <v>37645417000111</v>
      </c>
      <c r="B94" s="75" t="inlineStr">
        <is>
          <t>37.645.417/0001-11</t>
        </is>
      </c>
      <c r="C94" s="75" t="inlineStr">
        <is>
          <t>natureza_indice</t>
        </is>
      </c>
      <c r="D94" s="75" t="inlineStr">
        <is>
          <t>junior_pl</t>
        </is>
      </c>
      <c r="E94" s="75" t="inlineStr">
        <is>
          <t>junior_pl</t>
        </is>
      </c>
      <c r="F94" s="75" t="inlineStr">
        <is>
          <t>payload_documental</t>
        </is>
      </c>
      <c r="G94" s="75" t="inlineStr">
        <is>
          <t>1016909</t>
        </is>
      </c>
      <c r="H94" s="75" t="inlineStr">
        <is>
          <t>documento_curado</t>
        </is>
      </c>
      <c r="I94" s="75" t="inlineStr">
        <is>
          <t>2025-10-16</t>
        </is>
      </c>
      <c r="J94" s="75" t="inlineStr">
        <is>
          <t>12</t>
        </is>
      </c>
      <c r="K94" s="75" t="inlineStr">
        <is>
          <t>aceito_payload</t>
        </is>
      </c>
      <c r="L94" s="144" t="n">
        <v>1</v>
      </c>
      <c r="M94" s="75" t="inlineStr">
        <is>
          <t>data/industry_study/generated_revision/artifact_payload.json</t>
        </is>
      </c>
      <c r="N94" s="75" t="inlineStr">
        <is>
          <t>https://fnet.bmfbovespa.com.br/fnet/publico/downloadDocumento?id=1016909</t>
        </is>
      </c>
      <c r="O94" s="75" t="inlineStr">
        <is>
          <t>Índice de Subordinação Mínima Mezanino: cotas júnior / PL, mínimo de 10,0%.</t>
        </is>
      </c>
    </row>
    <row r="95" ht="43.5" customHeight="1">
      <c r="A95" s="142" t="n">
        <v>37645417000111</v>
      </c>
      <c r="B95" s="75" t="inlineStr">
        <is>
          <t>37.645.417/0001-11</t>
        </is>
      </c>
      <c r="C95" s="75" t="inlineStr">
        <is>
          <t>tipo_recebivel</t>
        </is>
      </c>
      <c r="D95" s="75" t="inlineStr">
        <is>
          <t>Insumos Agrícolas - prazo Safra</t>
        </is>
      </c>
      <c r="E95" s="75" t="inlineStr">
        <is>
          <t>N/D</t>
        </is>
      </c>
      <c r="F95" s="75" t="inlineStr">
        <is>
          <t>planilha_manual</t>
        </is>
      </c>
      <c r="G95" s="75" t="inlineStr">
        <is>
          <t>IMG_8704.JPG</t>
        </is>
      </c>
      <c r="H95" s="75" t="inlineStr">
        <is>
          <t>payload</t>
        </is>
      </c>
      <c r="I95" s="75" t="inlineStr">
        <is>
          <t>2025-10-16</t>
        </is>
      </c>
      <c r="J95" s="75" t="inlineStr">
        <is>
          <t>12</t>
        </is>
      </c>
      <c r="K95" s="75" t="inlineStr">
        <is>
          <t>aceito_payload</t>
        </is>
      </c>
      <c r="L95" s="144" t="n">
        <v>1</v>
      </c>
      <c r="M95" s="75" t="inlineStr">
        <is>
          <t>data/industry_study/generated_revision/artifact_payload.json</t>
        </is>
      </c>
      <c r="N95" s="75" t="inlineStr">
        <is>
          <t>N/D</t>
        </is>
      </c>
      <c r="O95" s="75" t="inlineStr">
        <is>
          <t>N/D</t>
        </is>
      </c>
    </row>
    <row r="96" ht="43.5" customHeight="1">
      <c r="A96" s="142" t="n">
        <v>38376526000143</v>
      </c>
      <c r="B96" s="75" t="inlineStr">
        <is>
          <t>38.376.526/0001-43</t>
        </is>
      </c>
      <c r="C96" s="75" t="inlineStr">
        <is>
          <t>cedente</t>
        </is>
      </c>
      <c r="D96"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E96" s="75" t="inlineStr">
        <is>
          <t>N/D</t>
        </is>
      </c>
      <c r="F96" s="75" t="inlineStr">
        <is>
          <t>regulamento</t>
        </is>
      </c>
      <c r="G96" s="75" t="inlineStr">
        <is>
          <t>948252</t>
        </is>
      </c>
      <c r="H96" s="75" t="inlineStr">
        <is>
          <t>Regulamento</t>
        </is>
      </c>
      <c r="I96" s="75" t="inlineStr">
        <is>
          <t>02/07/2025</t>
        </is>
      </c>
      <c r="J96" s="75" t="inlineStr">
        <is>
          <t>61</t>
        </is>
      </c>
      <c r="K96" s="75" t="inlineStr">
        <is>
          <t>encontrado_explicito</t>
        </is>
      </c>
      <c r="L96" s="144" t="n">
        <v>0.95</v>
      </c>
      <c r="M96" s="75" t="inlineStr">
        <is>
          <t>.cache/carteira_101_document_scan/38376526000143/948252.json.gz</t>
        </is>
      </c>
      <c r="N96" s="75" t="inlineStr">
        <is>
          <t>https://fnet.bmfbovespa.com.br/fnet/publico/downloadDocumento?id=948252</t>
        </is>
      </c>
      <c r="O96" s="75" t="inlineStr">
        <is>
          <t>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t>
        </is>
      </c>
    </row>
    <row r="97" ht="43.5" customHeight="1">
      <c r="A97" s="142" t="n">
        <v>38376526000143</v>
      </c>
      <c r="B97" s="75" t="inlineStr">
        <is>
          <t>38.376.526/0001-43</t>
        </is>
      </c>
      <c r="C97" s="75" t="inlineStr">
        <is>
          <t>cedente</t>
        </is>
      </c>
      <c r="D97" s="75" t="inlineStr">
        <is>
          <t>Hotmart</t>
        </is>
      </c>
      <c r="E97" s="75" t="inlineStr">
        <is>
          <t>N/D</t>
        </is>
      </c>
      <c r="F97" s="75" t="inlineStr">
        <is>
          <t>planilha_manual</t>
        </is>
      </c>
      <c r="G97" s="75" t="inlineStr">
        <is>
          <t>IMG_8705.JPG</t>
        </is>
      </c>
      <c r="H97" s="75" t="inlineStr">
        <is>
          <t>payload</t>
        </is>
      </c>
      <c r="I97" s="75" t="inlineStr">
        <is>
          <t>2025-07-02</t>
        </is>
      </c>
      <c r="J97" s="75" t="inlineStr">
        <is>
          <t>68</t>
        </is>
      </c>
      <c r="K97" s="75" t="inlineStr">
        <is>
          <t>aceito_payload</t>
        </is>
      </c>
      <c r="L97" s="144" t="n">
        <v>1</v>
      </c>
      <c r="M97" s="75" t="inlineStr">
        <is>
          <t>data/industry_study/generated_revision/artifact_payload.json</t>
        </is>
      </c>
      <c r="N97" s="75" t="inlineStr">
        <is>
          <t>N/D</t>
        </is>
      </c>
      <c r="O97" s="75" t="inlineStr">
        <is>
          <t>OBS parcialmente legível: FIDC antecipa recebíveis de funding para a Hotmart antecipar parcelas aos criadores de conteúdo; final cortado pela foto.</t>
        </is>
      </c>
    </row>
    <row r="98" ht="43.5" customHeight="1">
      <c r="A98" s="142" t="n">
        <v>38376526000143</v>
      </c>
      <c r="B98" s="75" t="inlineStr">
        <is>
          <t>38.376.526/0001-43</t>
        </is>
      </c>
      <c r="C98" s="75" t="inlineStr">
        <is>
          <t>minimo_junior</t>
        </is>
      </c>
      <c r="D98" s="75" t="inlineStr">
        <is>
          <t>21%</t>
        </is>
      </c>
      <c r="E98" s="75" t="inlineStr">
        <is>
          <t>junior_pl</t>
        </is>
      </c>
      <c r="F98" s="75" t="inlineStr">
        <is>
          <t>payload_documental</t>
        </is>
      </c>
      <c r="G98" s="75" t="inlineStr">
        <is>
          <t>948252</t>
        </is>
      </c>
      <c r="H98" s="75" t="inlineStr">
        <is>
          <t>documento_curado</t>
        </is>
      </c>
      <c r="I98" s="75" t="inlineStr">
        <is>
          <t>2025-07-02</t>
        </is>
      </c>
      <c r="J98" s="75" t="inlineStr">
        <is>
          <t>68</t>
        </is>
      </c>
      <c r="K98" s="75" t="inlineStr">
        <is>
          <t>aceito_payload</t>
        </is>
      </c>
      <c r="L98" s="144" t="n">
        <v>1</v>
      </c>
      <c r="M98" s="75" t="inlineStr">
        <is>
          <t>data/industry_study/generated_revision/artifact_payload.json</t>
        </is>
      </c>
      <c r="N98" s="75" t="inlineStr">
        <is>
          <t>https://fnet.bmfbovespa.com.br/fnet/publico/downloadDocumento?id=948252</t>
        </is>
      </c>
      <c r="O98" s="75" t="inlineStr">
        <is>
          <t>Cotas subordinadas júnior / PL, mínimo de 21,0%.</t>
        </is>
      </c>
    </row>
    <row r="99" ht="43.5" customHeight="1">
      <c r="A99" s="142" t="n">
        <v>38376526000143</v>
      </c>
      <c r="B99" s="75" t="inlineStr">
        <is>
          <t>38.376.526/0001-43</t>
        </is>
      </c>
      <c r="C99" s="75" t="inlineStr">
        <is>
          <t>natureza_indice</t>
        </is>
      </c>
      <c r="D99" s="75" t="inlineStr">
        <is>
          <t>junior_pl</t>
        </is>
      </c>
      <c r="E99" s="75" t="inlineStr">
        <is>
          <t>junior_pl</t>
        </is>
      </c>
      <c r="F99" s="75" t="inlineStr">
        <is>
          <t>payload_documental</t>
        </is>
      </c>
      <c r="G99" s="75" t="inlineStr">
        <is>
          <t>948252</t>
        </is>
      </c>
      <c r="H99" s="75" t="inlineStr">
        <is>
          <t>documento_curado</t>
        </is>
      </c>
      <c r="I99" s="75" t="inlineStr">
        <is>
          <t>2025-07-02</t>
        </is>
      </c>
      <c r="J99" s="75" t="inlineStr">
        <is>
          <t>68</t>
        </is>
      </c>
      <c r="K99" s="75" t="inlineStr">
        <is>
          <t>aceito_payload</t>
        </is>
      </c>
      <c r="L99" s="144" t="n">
        <v>1</v>
      </c>
      <c r="M99" s="75" t="inlineStr">
        <is>
          <t>data/industry_study/generated_revision/artifact_payload.json</t>
        </is>
      </c>
      <c r="N99" s="75" t="inlineStr">
        <is>
          <t>https://fnet.bmfbovespa.com.br/fnet/publico/downloadDocumento?id=948252</t>
        </is>
      </c>
      <c r="O99" s="75" t="inlineStr">
        <is>
          <t>Cotas subordinadas júnior / PL, mínimo de 21,0%.</t>
        </is>
      </c>
    </row>
    <row r="100" ht="43.5" customHeight="1">
      <c r="A100" s="142" t="n">
        <v>38376526000143</v>
      </c>
      <c r="B100" s="75" t="inlineStr">
        <is>
          <t>38.376.526/0001-43</t>
        </is>
      </c>
      <c r="C100" s="75" t="inlineStr">
        <is>
          <t>sacado_devedor</t>
        </is>
      </c>
      <c r="D100" s="75" t="inlineStr">
        <is>
          <t>a Hotmart, na qualidade de devedora dos Direitos Creditórios Cartões</t>
        </is>
      </c>
      <c r="E100" s="75" t="inlineStr">
        <is>
          <t>N/D</t>
        </is>
      </c>
      <c r="F100" s="75" t="inlineStr">
        <is>
          <t>regulamento</t>
        </is>
      </c>
      <c r="G100" s="75" t="inlineStr">
        <is>
          <t>948252</t>
        </is>
      </c>
      <c r="H100" s="75" t="inlineStr">
        <is>
          <t>Regulamento</t>
        </is>
      </c>
      <c r="I100" s="75" t="inlineStr">
        <is>
          <t>02/07/2025</t>
        </is>
      </c>
      <c r="J100" s="75" t="inlineStr">
        <is>
          <t>65</t>
        </is>
      </c>
      <c r="K100" s="75" t="inlineStr">
        <is>
          <t>encontrado_explicito</t>
        </is>
      </c>
      <c r="L100" s="144" t="n">
        <v>0.95</v>
      </c>
      <c r="M100" s="75" t="inlineStr">
        <is>
          <t>.cache/carteira_101_document_scan/38376526000143/948252.json.gz</t>
        </is>
      </c>
      <c r="N100" s="75" t="inlineStr">
        <is>
          <t>https://fnet.bmfbovespa.com.br/fnet/publico/downloadDocumento?id=948252</t>
        </is>
      </c>
      <c r="O100" s="75" t="inlineStr">
        <is>
          <t>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t>
        </is>
      </c>
    </row>
    <row r="101" ht="43.5" customHeight="1">
      <c r="A101" s="142" t="n">
        <v>38376526000143</v>
      </c>
      <c r="B101" s="75" t="inlineStr">
        <is>
          <t>38.376.526/0001-43</t>
        </is>
      </c>
      <c r="C101" s="75" t="inlineStr">
        <is>
          <t>tipo_recebivel</t>
        </is>
      </c>
      <c r="D101" s="75" t="inlineStr">
        <is>
          <t>os Direitos Creditórios Cartões e os Direitos Creditórios Recebíveis a Prazo, quando referidos em conjunto ou indistintamente</t>
        </is>
      </c>
      <c r="E101" s="75" t="inlineStr">
        <is>
          <t>N/D</t>
        </is>
      </c>
      <c r="F101" s="75" t="inlineStr">
        <is>
          <t>regulamento</t>
        </is>
      </c>
      <c r="G101" s="75" t="inlineStr">
        <is>
          <t>948252</t>
        </is>
      </c>
      <c r="H101" s="75" t="inlineStr">
        <is>
          <t>Regulamento</t>
        </is>
      </c>
      <c r="I101" s="75" t="inlineStr">
        <is>
          <t>02/07/2025</t>
        </is>
      </c>
      <c r="J101" s="75" t="inlineStr">
        <is>
          <t>65</t>
        </is>
      </c>
      <c r="K101" s="75" t="inlineStr">
        <is>
          <t>encontrado_explicito</t>
        </is>
      </c>
      <c r="L101" s="144" t="n">
        <v>0.92</v>
      </c>
      <c r="M101" s="75" t="inlineStr">
        <is>
          <t>.cache/carteira_101_document_scan/38376526000143/948252.json.gz</t>
        </is>
      </c>
      <c r="N101" s="75" t="inlineStr">
        <is>
          <t>https://fnet.bmfbovespa.com.br/fnet/publico/downloadDocumento?id=948252</t>
        </is>
      </c>
      <c r="O101" s="75" t="inlineStr">
        <is>
          <t>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t>
        </is>
      </c>
    </row>
    <row r="102" ht="43.5" customHeight="1">
      <c r="A102" s="142" t="n">
        <v>38376526000143</v>
      </c>
      <c r="B102" s="75" t="inlineStr">
        <is>
          <t>38.376.526/0001-43</t>
        </is>
      </c>
      <c r="C102" s="75" t="inlineStr">
        <is>
          <t>tipo_recebivel</t>
        </is>
      </c>
      <c r="D102" s="75" t="inlineStr">
        <is>
          <t>antecipação de parcelas de criadores de conteúdo</t>
        </is>
      </c>
      <c r="E102" s="75" t="inlineStr">
        <is>
          <t>N/D</t>
        </is>
      </c>
      <c r="F102" s="75" t="inlineStr">
        <is>
          <t>planilha_manual</t>
        </is>
      </c>
      <c r="G102" s="75" t="inlineStr">
        <is>
          <t>IMG_8705.JPG</t>
        </is>
      </c>
      <c r="H102" s="75" t="inlineStr">
        <is>
          <t>payload</t>
        </is>
      </c>
      <c r="I102" s="75" t="inlineStr">
        <is>
          <t>2025-07-02</t>
        </is>
      </c>
      <c r="J102" s="75" t="inlineStr">
        <is>
          <t>68</t>
        </is>
      </c>
      <c r="K102" s="75" t="inlineStr">
        <is>
          <t>aceito_payload</t>
        </is>
      </c>
      <c r="L102" s="144" t="n">
        <v>1</v>
      </c>
      <c r="M102" s="75" t="inlineStr">
        <is>
          <t>data/industry_study/generated_revision/artifact_payload.json</t>
        </is>
      </c>
      <c r="N102" s="75" t="inlineStr">
        <is>
          <t>N/D</t>
        </is>
      </c>
      <c r="O102" s="75" t="inlineStr">
        <is>
          <t>OBS parcialmente legível: FIDC antecipa recebíveis de funding para a Hotmart antecipar parcelas aos criadores de conteúdo; final cortado pela foto.</t>
        </is>
      </c>
    </row>
    <row r="103" ht="43.5" customHeight="1">
      <c r="A103" s="142" t="n">
        <v>38385876000176</v>
      </c>
      <c r="B103" s="75" t="inlineStr">
        <is>
          <t>38.385.876/0001-76</t>
        </is>
      </c>
      <c r="C103" s="75" t="inlineStr">
        <is>
          <t>cedente</t>
        </is>
      </c>
      <c r="D103" s="75" t="inlineStr">
        <is>
          <t>Estratégia Concursos</t>
        </is>
      </c>
      <c r="E103" s="75" t="inlineStr">
        <is>
          <t>N/D</t>
        </is>
      </c>
      <c r="F103" s="75" t="inlineStr">
        <is>
          <t>planilha_manual</t>
        </is>
      </c>
      <c r="G103" s="75" t="inlineStr">
        <is>
          <t>IMG_8705.JPG</t>
        </is>
      </c>
      <c r="H103" s="75" t="inlineStr">
        <is>
          <t>payload</t>
        </is>
      </c>
      <c r="I103" s="75" t="inlineStr">
        <is>
          <t>2024-08-14</t>
        </is>
      </c>
      <c r="J103" s="75" t="inlineStr">
        <is>
          <t>11</t>
        </is>
      </c>
      <c r="K103" s="75" t="inlineStr">
        <is>
          <t>aceito_payload</t>
        </is>
      </c>
      <c r="L103" s="144" t="n">
        <v>1</v>
      </c>
      <c r="M103" s="75" t="inlineStr">
        <is>
          <t>data/industry_study/generated_revision/artifact_payload.json</t>
        </is>
      </c>
      <c r="N103" s="75" t="inlineStr">
        <is>
          <t>N/D</t>
        </is>
      </c>
      <c r="O103" s="75" t="inlineStr">
        <is>
          <t>N/D</t>
        </is>
      </c>
    </row>
    <row r="104" ht="43.5" customHeight="1">
      <c r="A104" s="142" t="n">
        <v>38385876000176</v>
      </c>
      <c r="B104" s="75" t="inlineStr">
        <is>
          <t>38.385.876/0001-76</t>
        </is>
      </c>
      <c r="C104" s="75" t="inlineStr">
        <is>
          <t>minimo_junior</t>
        </is>
      </c>
      <c r="D104" s="75" t="inlineStr">
        <is>
          <t>10%</t>
        </is>
      </c>
      <c r="E104" s="75" t="inlineStr">
        <is>
          <t>junior_pl</t>
        </is>
      </c>
      <c r="F104" s="75" t="inlineStr">
        <is>
          <t>payload_documental</t>
        </is>
      </c>
      <c r="G104" s="75" t="inlineStr">
        <is>
          <t>719764</t>
        </is>
      </c>
      <c r="H104" s="75" t="inlineStr">
        <is>
          <t>documento_curado</t>
        </is>
      </c>
      <c r="I104" s="75" t="inlineStr">
        <is>
          <t>2024-08-14</t>
        </is>
      </c>
      <c r="J104" s="75" t="inlineStr">
        <is>
          <t>11</t>
        </is>
      </c>
      <c r="K104" s="75" t="inlineStr">
        <is>
          <t>aceito_payload</t>
        </is>
      </c>
      <c r="L104" s="144" t="n">
        <v>1</v>
      </c>
      <c r="M104" s="75" t="inlineStr">
        <is>
          <t>data/industry_study/generated_revision/artifact_payload.json</t>
        </is>
      </c>
      <c r="N104" s="75" t="inlineStr">
        <is>
          <t>https://fnet.bmfbovespa.com.br/fnet/publico/downloadDocumento?id=719764</t>
        </is>
      </c>
      <c r="O104" s="75" t="inlineStr">
        <is>
          <t>Relação Mínima Subordinada: cotas júnior / PL, mínimo de 10,0%.</t>
        </is>
      </c>
    </row>
    <row r="105" ht="43.5" customHeight="1">
      <c r="A105" s="142" t="n">
        <v>38385876000176</v>
      </c>
      <c r="B105" s="75" t="inlineStr">
        <is>
          <t>38.385.876/0001-76</t>
        </is>
      </c>
      <c r="C105" s="75" t="inlineStr">
        <is>
          <t>natureza_indice</t>
        </is>
      </c>
      <c r="D105" s="75" t="inlineStr">
        <is>
          <t>junior_pl</t>
        </is>
      </c>
      <c r="E105" s="75" t="inlineStr">
        <is>
          <t>junior_pl</t>
        </is>
      </c>
      <c r="F105" s="75" t="inlineStr">
        <is>
          <t>payload_documental</t>
        </is>
      </c>
      <c r="G105" s="75" t="inlineStr">
        <is>
          <t>719764</t>
        </is>
      </c>
      <c r="H105" s="75" t="inlineStr">
        <is>
          <t>documento_curado</t>
        </is>
      </c>
      <c r="I105" s="75" t="inlineStr">
        <is>
          <t>2024-08-14</t>
        </is>
      </c>
      <c r="J105" s="75" t="inlineStr">
        <is>
          <t>11</t>
        </is>
      </c>
      <c r="K105" s="75" t="inlineStr">
        <is>
          <t>aceito_payload</t>
        </is>
      </c>
      <c r="L105" s="144" t="n">
        <v>1</v>
      </c>
      <c r="M105" s="75" t="inlineStr">
        <is>
          <t>data/industry_study/generated_revision/artifact_payload.json</t>
        </is>
      </c>
      <c r="N105" s="75" t="inlineStr">
        <is>
          <t>https://fnet.bmfbovespa.com.br/fnet/publico/downloadDocumento?id=719764</t>
        </is>
      </c>
      <c r="O105" s="75" t="inlineStr">
        <is>
          <t>Relação Mínima Subordinada: cotas júnior / PL, mínimo de 10,0%.</t>
        </is>
      </c>
    </row>
    <row r="106" ht="43.5" customHeight="1">
      <c r="A106" s="142" t="n">
        <v>38385876000176</v>
      </c>
      <c r="B106" s="75" t="inlineStr">
        <is>
          <t>38.385.876/0001-76</t>
        </is>
      </c>
      <c r="C106" s="75" t="inlineStr">
        <is>
          <t>tipo_recebivel</t>
        </is>
      </c>
      <c r="D106"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E106" s="75" t="inlineStr">
        <is>
          <t>N/D</t>
        </is>
      </c>
      <c r="F106" s="75" t="inlineStr">
        <is>
          <t>regulamento</t>
        </is>
      </c>
      <c r="G106" s="75" t="inlineStr">
        <is>
          <t>719764</t>
        </is>
      </c>
      <c r="H106" s="75" t="inlineStr">
        <is>
          <t>Regulamento</t>
        </is>
      </c>
      <c r="I106" s="75" t="inlineStr">
        <is>
          <t>14/08/2024</t>
        </is>
      </c>
      <c r="J106" s="75" t="inlineStr">
        <is>
          <t>49</t>
        </is>
      </c>
      <c r="K106" s="75" t="inlineStr">
        <is>
          <t>encontrado_explicito</t>
        </is>
      </c>
      <c r="L106" s="144" t="n">
        <v>0.92</v>
      </c>
      <c r="M106" s="75" t="inlineStr">
        <is>
          <t>.cache/carteira_101_document_scan/38385876000176/719764.json.gz</t>
        </is>
      </c>
      <c r="N106" s="75" t="inlineStr">
        <is>
          <t>https://fnet.bmfbovespa.com.br/fnet/publico/downloadDocumento?id=719764</t>
        </is>
      </c>
      <c r="O106" s="75" t="inlineStr">
        <is>
          <t>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t>
        </is>
      </c>
    </row>
    <row r="107" ht="43.5" customHeight="1">
      <c r="A107" s="142" t="n">
        <v>38385876000176</v>
      </c>
      <c r="B107" s="75" t="inlineStr">
        <is>
          <t>38.385.876/0001-76</t>
        </is>
      </c>
      <c r="C107" s="75" t="inlineStr">
        <is>
          <t>tipo_recebivel</t>
        </is>
      </c>
      <c r="D107" s="75" t="inlineStr">
        <is>
          <t>recebíveis de cartão oriundos da venda de planos de cursos preparatórios</t>
        </is>
      </c>
      <c r="E107" s="75" t="inlineStr">
        <is>
          <t>N/D</t>
        </is>
      </c>
      <c r="F107" s="75" t="inlineStr">
        <is>
          <t>planilha_manual</t>
        </is>
      </c>
      <c r="G107" s="75" t="inlineStr">
        <is>
          <t>IMG_8705.JPG</t>
        </is>
      </c>
      <c r="H107" s="75" t="inlineStr">
        <is>
          <t>payload</t>
        </is>
      </c>
      <c r="I107" s="75" t="inlineStr">
        <is>
          <t>2024-08-14</t>
        </is>
      </c>
      <c r="J107" s="75" t="inlineStr">
        <is>
          <t>11</t>
        </is>
      </c>
      <c r="K107" s="75" t="inlineStr">
        <is>
          <t>aceito_payload</t>
        </is>
      </c>
      <c r="L107" s="144" t="n">
        <v>1</v>
      </c>
      <c r="M107" s="75" t="inlineStr">
        <is>
          <t>data/industry_study/generated_revision/artifact_payload.json</t>
        </is>
      </c>
      <c r="N107" s="75" t="inlineStr">
        <is>
          <t>N/D</t>
        </is>
      </c>
      <c r="O107" s="75" t="inlineStr">
        <is>
          <t>N/D</t>
        </is>
      </c>
    </row>
    <row r="108" ht="43.5" customHeight="1">
      <c r="A108" s="142" t="n">
        <v>38658727000133</v>
      </c>
      <c r="B108" s="75" t="inlineStr">
        <is>
          <t>38.658.727/0001-33</t>
        </is>
      </c>
      <c r="C108" s="75" t="inlineStr">
        <is>
          <t>cedente</t>
        </is>
      </c>
      <c r="D108" s="75" t="inlineStr">
        <is>
          <t>Fornecedores: Madeira/Madeira</t>
        </is>
      </c>
      <c r="E108" s="75" t="inlineStr">
        <is>
          <t>N/D</t>
        </is>
      </c>
      <c r="F108" s="75" t="inlineStr">
        <is>
          <t>planilha_manual</t>
        </is>
      </c>
      <c r="G108" s="75" t="inlineStr">
        <is>
          <t>IMG_8705.JPG</t>
        </is>
      </c>
      <c r="H108" s="75" t="inlineStr">
        <is>
          <t>payload</t>
        </is>
      </c>
      <c r="I108" s="75" t="inlineStr">
        <is>
          <t>2026-06-05</t>
        </is>
      </c>
      <c r="J108" s="75" t="inlineStr">
        <is>
          <t>62</t>
        </is>
      </c>
      <c r="K108" s="75" t="inlineStr">
        <is>
          <t>aceito_payload</t>
        </is>
      </c>
      <c r="L108" s="144" t="n">
        <v>1</v>
      </c>
      <c r="M108" s="75" t="inlineStr">
        <is>
          <t>data/industry_study/generated_revision/artifact_payload.json</t>
        </is>
      </c>
      <c r="N108" s="75" t="inlineStr">
        <is>
          <t>N/D</t>
        </is>
      </c>
      <c r="O108" s="75" t="inlineStr">
        <is>
          <t>OBS da foto: FIDC Multicedente (Fornecedores) &amp; Monosacado (Madeira/Madeira). O sacado foi desmembrado somente porque a função Monosacado está escrita na fonte.</t>
        </is>
      </c>
    </row>
    <row r="109" ht="43.5" customHeight="1">
      <c r="A109" s="142" t="n">
        <v>38658727000133</v>
      </c>
      <c r="B109" s="75" t="inlineStr">
        <is>
          <t>38.658.727/0001-33</t>
        </is>
      </c>
      <c r="C109" s="75" t="inlineStr">
        <is>
          <t>minimo_estrutural_total</t>
        </is>
      </c>
      <c r="D109" s="75" t="inlineStr">
        <is>
          <t>26.665%</t>
        </is>
      </c>
      <c r="E109" s="75" t="inlineStr">
        <is>
          <t>suporte_total_pl</t>
        </is>
      </c>
      <c r="F109" s="75" t="inlineStr">
        <is>
          <t>payload_documental</t>
        </is>
      </c>
      <c r="G109" s="75" t="inlineStr">
        <is>
          <t>1216296</t>
        </is>
      </c>
      <c r="H109" s="75" t="inlineStr">
        <is>
          <t>documento_curado</t>
        </is>
      </c>
      <c r="I109" s="75" t="inlineStr">
        <is>
          <t>2026-06-05</t>
        </is>
      </c>
      <c r="J109" s="75" t="inlineStr">
        <is>
          <t>62</t>
        </is>
      </c>
      <c r="K109" s="75" t="inlineStr">
        <is>
          <t>aceito_payload</t>
        </is>
      </c>
      <c r="L109" s="144" t="n">
        <v>1</v>
      </c>
      <c r="M109" s="75" t="inlineStr">
        <is>
          <t>data/industry_study/generated_revision/artifact_payload.json</t>
        </is>
      </c>
      <c r="N109" s="75" t="inlineStr">
        <is>
          <t>https://fnet.bmfbovespa.com.br/fnet/publico/downloadDocumento?id=1216296</t>
        </is>
      </c>
      <c r="O109" s="75" t="inlineStr">
        <is>
          <t>Mínimo júnior implícito na relação PL / cotas seniores de 136,36%.</t>
        </is>
      </c>
    </row>
    <row r="110" ht="43.5" customHeight="1">
      <c r="A110" s="142" t="n">
        <v>38658727000133</v>
      </c>
      <c r="B110" s="75" t="inlineStr">
        <is>
          <t>38.658.727/0001-33</t>
        </is>
      </c>
      <c r="C110" s="75" t="inlineStr">
        <is>
          <t>minimo_junior</t>
        </is>
      </c>
      <c r="D110" s="75" t="inlineStr">
        <is>
          <t>26.665%</t>
        </is>
      </c>
      <c r="E110" s="75" t="inlineStr">
        <is>
          <t>junior_pl_calculado</t>
        </is>
      </c>
      <c r="F110" s="75" t="inlineStr">
        <is>
          <t>payload_documental</t>
        </is>
      </c>
      <c r="G110" s="75" t="inlineStr">
        <is>
          <t>1216296</t>
        </is>
      </c>
      <c r="H110" s="75" t="inlineStr">
        <is>
          <t>documento_curado</t>
        </is>
      </c>
      <c r="I110" s="75" t="inlineStr">
        <is>
          <t>2026-06-05</t>
        </is>
      </c>
      <c r="J110" s="75" t="inlineStr">
        <is>
          <t>62</t>
        </is>
      </c>
      <c r="K110" s="75" t="inlineStr">
        <is>
          <t>aceito_payload</t>
        </is>
      </c>
      <c r="L110" s="144" t="n">
        <v>1</v>
      </c>
      <c r="M110" s="75" t="inlineStr">
        <is>
          <t>data/industry_study/generated_revision/artifact_payload.json</t>
        </is>
      </c>
      <c r="N110" s="75" t="inlineStr">
        <is>
          <t>https://fnet.bmfbovespa.com.br/fnet/publico/downloadDocumento?id=1216296</t>
        </is>
      </c>
      <c r="O110" s="75" t="inlineStr">
        <is>
          <t>Mínimo júnior implícito na relação PL / cotas seniores de 136,36%.</t>
        </is>
      </c>
    </row>
    <row r="111" ht="43.5" customHeight="1">
      <c r="A111" s="142" t="n">
        <v>38658727000133</v>
      </c>
      <c r="B111" s="75" t="inlineStr">
        <is>
          <t>38.658.727/0001-33</t>
        </is>
      </c>
      <c r="C111" s="75" t="inlineStr">
        <is>
          <t>natureza_indice</t>
        </is>
      </c>
      <c r="D111" s="75" t="inlineStr">
        <is>
          <t>junior_pl_calculado</t>
        </is>
      </c>
      <c r="E111" s="75" t="inlineStr">
        <is>
          <t>junior_pl_calculado</t>
        </is>
      </c>
      <c r="F111" s="75" t="inlineStr">
        <is>
          <t>payload_documental</t>
        </is>
      </c>
      <c r="G111" s="75" t="inlineStr">
        <is>
          <t>1216296</t>
        </is>
      </c>
      <c r="H111" s="75" t="inlineStr">
        <is>
          <t>documento_curado</t>
        </is>
      </c>
      <c r="I111" s="75" t="inlineStr">
        <is>
          <t>2026-06-05</t>
        </is>
      </c>
      <c r="J111" s="75" t="inlineStr">
        <is>
          <t>62</t>
        </is>
      </c>
      <c r="K111" s="75" t="inlineStr">
        <is>
          <t>aceito_payload</t>
        </is>
      </c>
      <c r="L111" s="144" t="n">
        <v>1</v>
      </c>
      <c r="M111" s="75" t="inlineStr">
        <is>
          <t>data/industry_study/generated_revision/artifact_payload.json</t>
        </is>
      </c>
      <c r="N111" s="75" t="inlineStr">
        <is>
          <t>https://fnet.bmfbovespa.com.br/fnet/publico/downloadDocumento?id=1216296</t>
        </is>
      </c>
      <c r="O111" s="75" t="inlineStr">
        <is>
          <t>Mínimo júnior implícito na relação PL / cotas seniores de 136,36%.</t>
        </is>
      </c>
    </row>
    <row r="112" ht="43.5" customHeight="1">
      <c r="A112" s="142" t="n">
        <v>38658727000133</v>
      </c>
      <c r="B112" s="75" t="inlineStr">
        <is>
          <t>38.658.727/0001-33</t>
        </is>
      </c>
      <c r="C112" s="75" t="inlineStr">
        <is>
          <t>sacado_devedor</t>
        </is>
      </c>
      <c r="D112" s="75" t="inlineStr">
        <is>
          <t>Madeira/Madeira</t>
        </is>
      </c>
      <c r="E112" s="75" t="inlineStr">
        <is>
          <t>N/D</t>
        </is>
      </c>
      <c r="F112" s="75" t="inlineStr">
        <is>
          <t>planilha_manual</t>
        </is>
      </c>
      <c r="G112" s="75" t="inlineStr">
        <is>
          <t>IMG_8705.JPG</t>
        </is>
      </c>
      <c r="H112" s="75" t="inlineStr">
        <is>
          <t>payload</t>
        </is>
      </c>
      <c r="I112" s="75" t="inlineStr">
        <is>
          <t>2026-06-05</t>
        </is>
      </c>
      <c r="J112" s="75" t="inlineStr">
        <is>
          <t>62</t>
        </is>
      </c>
      <c r="K112" s="75" t="inlineStr">
        <is>
          <t>aceito_payload</t>
        </is>
      </c>
      <c r="L112" s="144" t="n">
        <v>1</v>
      </c>
      <c r="M112" s="75" t="inlineStr">
        <is>
          <t>data/industry_study/generated_revision/artifact_payload.json</t>
        </is>
      </c>
      <c r="N112" s="75" t="inlineStr">
        <is>
          <t>N/D</t>
        </is>
      </c>
      <c r="O112" s="75" t="inlineStr">
        <is>
          <t>OBS da foto: FIDC Multicedente (Fornecedores) &amp; Monosacado (Madeira/Madeira). O sacado foi desmembrado somente porque a função Monosacado está escrita na fonte.</t>
        </is>
      </c>
    </row>
    <row r="113" ht="43.5" customHeight="1">
      <c r="A113" s="142" t="n">
        <v>38658727000133</v>
      </c>
      <c r="B113" s="75" t="inlineStr">
        <is>
          <t>38.658.727/0001-33</t>
        </is>
      </c>
      <c r="C113" s="75" t="inlineStr">
        <is>
          <t>tipo_recebivel</t>
        </is>
      </c>
      <c r="D11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E113" s="75" t="inlineStr">
        <is>
          <t>N/D</t>
        </is>
      </c>
      <c r="F113" s="75" t="inlineStr">
        <is>
          <t>regulamento</t>
        </is>
      </c>
      <c r="G113" s="75" t="inlineStr">
        <is>
          <t>691063</t>
        </is>
      </c>
      <c r="H113" s="75" t="inlineStr">
        <is>
          <t>regulamento</t>
        </is>
      </c>
      <c r="I113" s="75" t="inlineStr">
        <is>
          <t>2024-06-13</t>
        </is>
      </c>
      <c r="J113" s="75" t="inlineStr">
        <is>
          <t>8</t>
        </is>
      </c>
      <c r="K113" s="75" t="inlineStr">
        <is>
          <t>encontrado_explicito</t>
        </is>
      </c>
      <c r="L113" s="144" t="n">
        <v>0.92</v>
      </c>
      <c r="M113" s="75" t="inlineStr">
        <is>
          <t>data/raw/38658727000133/691063_regulamento_regulamento_691063_2024-06-13.pdf</t>
        </is>
      </c>
      <c r="N113" s="75" t="inlineStr">
        <is>
          <t>https://fnet.bmfbovespa.com.br/fnet/publico/downloadDocumento?id=691063</t>
        </is>
      </c>
      <c r="O113" s="75" t="inlineStr">
        <is>
          <t>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t>
        </is>
      </c>
    </row>
    <row r="114" ht="43.5" customHeight="1">
      <c r="A114" s="142" t="n">
        <v>40919667000107</v>
      </c>
      <c r="B114" s="75" t="inlineStr">
        <is>
          <t>40.919.667/0001-07</t>
        </is>
      </c>
      <c r="C114" s="75" t="inlineStr">
        <is>
          <t>cedente</t>
        </is>
      </c>
      <c r="D114" s="75" t="inlineStr">
        <is>
          <t>RecargaPay</t>
        </is>
      </c>
      <c r="E114" s="75" t="inlineStr">
        <is>
          <t>N/D</t>
        </is>
      </c>
      <c r="F114" s="75" t="inlineStr">
        <is>
          <t>planilha_manual</t>
        </is>
      </c>
      <c r="G114" s="75" t="inlineStr">
        <is>
          <t>IMG_8705.JPG</t>
        </is>
      </c>
      <c r="H114" s="75" t="inlineStr">
        <is>
          <t>payload</t>
        </is>
      </c>
      <c r="I114" s="75" t="inlineStr">
        <is>
          <t>2026-02-12</t>
        </is>
      </c>
      <c r="J114" s="75" t="inlineStr">
        <is>
          <t>31</t>
        </is>
      </c>
      <c r="K114" s="75" t="inlineStr">
        <is>
          <t>aceito_payload</t>
        </is>
      </c>
      <c r="L114" s="144" t="n">
        <v>1</v>
      </c>
      <c r="M114" s="75" t="inlineStr">
        <is>
          <t>data/industry_study/generated_revision/artifact_payload.json</t>
        </is>
      </c>
      <c r="N114" s="75" t="inlineStr">
        <is>
          <t>N/D</t>
        </is>
      </c>
      <c r="O114" s="75" t="inlineStr">
        <is>
          <t>OBS da foto: FIDC "Bolso próprio", onde a Recarga fez aportes iniciais e utiliza o veículo para antecipar os recebíveis de cartão. Denominação cortada.</t>
        </is>
      </c>
    </row>
    <row r="115" ht="43.5" customHeight="1">
      <c r="A115" s="142" t="n">
        <v>40919667000107</v>
      </c>
      <c r="B115" s="75" t="inlineStr">
        <is>
          <t>40.919.667/0001-07</t>
        </is>
      </c>
      <c r="C115" s="75" t="inlineStr">
        <is>
          <t>minimo_estrutural_total</t>
        </is>
      </c>
      <c r="D115" s="75" t="inlineStr">
        <is>
          <t>50%</t>
        </is>
      </c>
      <c r="E115" s="75" t="inlineStr">
        <is>
          <t>suporte_total_pl</t>
        </is>
      </c>
      <c r="F115" s="75" t="inlineStr">
        <is>
          <t>payload_documental</t>
        </is>
      </c>
      <c r="G115" s="75" t="inlineStr">
        <is>
          <t>1118056</t>
        </is>
      </c>
      <c r="H115" s="75" t="inlineStr">
        <is>
          <t>documento_curado</t>
        </is>
      </c>
      <c r="I115" s="75" t="inlineStr">
        <is>
          <t>2026-02-12</t>
        </is>
      </c>
      <c r="J115" s="75" t="inlineStr">
        <is>
          <t>31</t>
        </is>
      </c>
      <c r="K115" s="75" t="inlineStr">
        <is>
          <t>aceito_payload</t>
        </is>
      </c>
      <c r="L115" s="144" t="n">
        <v>1</v>
      </c>
      <c r="M115" s="75" t="inlineStr">
        <is>
          <t>data/industry_study/generated_revision/artifact_payload.json</t>
        </is>
      </c>
      <c r="N115" s="75" t="inlineStr">
        <is>
          <t>https://fnet.bmfbovespa.com.br/fnet/publico/downloadDocumento?id=1118056</t>
        </is>
      </c>
      <c r="O115" s="75" t="inlineStr">
        <is>
          <t>Cotas subordinadas / PL, mínimo de 50,0%; estrutura com uma única classe residual.</t>
        </is>
      </c>
    </row>
    <row r="116" ht="43.5" customHeight="1">
      <c r="A116" s="142" t="n">
        <v>40919667000107</v>
      </c>
      <c r="B116" s="75" t="inlineStr">
        <is>
          <t>40.919.667/0001-07</t>
        </is>
      </c>
      <c r="C116" s="75" t="inlineStr">
        <is>
          <t>minimo_junior</t>
        </is>
      </c>
      <c r="D116" s="75" t="inlineStr">
        <is>
          <t>50%</t>
        </is>
      </c>
      <c r="E116" s="75" t="inlineStr">
        <is>
          <t>junior_pl</t>
        </is>
      </c>
      <c r="F116" s="75" t="inlineStr">
        <is>
          <t>payload_documental</t>
        </is>
      </c>
      <c r="G116" s="75" t="inlineStr">
        <is>
          <t>1118056</t>
        </is>
      </c>
      <c r="H116" s="75" t="inlineStr">
        <is>
          <t>documento_curado</t>
        </is>
      </c>
      <c r="I116" s="75" t="inlineStr">
        <is>
          <t>2026-02-12</t>
        </is>
      </c>
      <c r="J116" s="75" t="inlineStr">
        <is>
          <t>31</t>
        </is>
      </c>
      <c r="K116" s="75" t="inlineStr">
        <is>
          <t>aceito_payload</t>
        </is>
      </c>
      <c r="L116" s="144" t="n">
        <v>1</v>
      </c>
      <c r="M116" s="75" t="inlineStr">
        <is>
          <t>data/industry_study/generated_revision/artifact_payload.json</t>
        </is>
      </c>
      <c r="N116" s="75" t="inlineStr">
        <is>
          <t>https://fnet.bmfbovespa.com.br/fnet/publico/downloadDocumento?id=1118056</t>
        </is>
      </c>
      <c r="O116" s="75" t="inlineStr">
        <is>
          <t>Cotas subordinadas / PL, mínimo de 50,0%; estrutura com uma única classe residual.</t>
        </is>
      </c>
    </row>
    <row r="117" ht="43.5" customHeight="1">
      <c r="A117" s="142" t="n">
        <v>40919667000107</v>
      </c>
      <c r="B117" s="75" t="inlineStr">
        <is>
          <t>40.919.667/0001-07</t>
        </is>
      </c>
      <c r="C117" s="75" t="inlineStr">
        <is>
          <t>natureza_indice</t>
        </is>
      </c>
      <c r="D117" s="75" t="inlineStr">
        <is>
          <t>junior_pl</t>
        </is>
      </c>
      <c r="E117" s="75" t="inlineStr">
        <is>
          <t>junior_pl</t>
        </is>
      </c>
      <c r="F117" s="75" t="inlineStr">
        <is>
          <t>payload_documental</t>
        </is>
      </c>
      <c r="G117" s="75" t="inlineStr">
        <is>
          <t>1118056</t>
        </is>
      </c>
      <c r="H117" s="75" t="inlineStr">
        <is>
          <t>documento_curado</t>
        </is>
      </c>
      <c r="I117" s="75" t="inlineStr">
        <is>
          <t>2026-02-12</t>
        </is>
      </c>
      <c r="J117" s="75" t="inlineStr">
        <is>
          <t>31</t>
        </is>
      </c>
      <c r="K117" s="75" t="inlineStr">
        <is>
          <t>aceito_payload</t>
        </is>
      </c>
      <c r="L117" s="144" t="n">
        <v>1</v>
      </c>
      <c r="M117" s="75" t="inlineStr">
        <is>
          <t>data/industry_study/generated_revision/artifact_payload.json</t>
        </is>
      </c>
      <c r="N117" s="75" t="inlineStr">
        <is>
          <t>https://fnet.bmfbovespa.com.br/fnet/publico/downloadDocumento?id=1118056</t>
        </is>
      </c>
      <c r="O117" s="75" t="inlineStr">
        <is>
          <t>Cotas subordinadas / PL, mínimo de 50,0%; estrutura com uma única classe residual.</t>
        </is>
      </c>
    </row>
    <row r="118" ht="43.5" customHeight="1">
      <c r="A118" s="142" t="n">
        <v>40919667000107</v>
      </c>
      <c r="B118" s="75" t="inlineStr">
        <is>
          <t>40.919.667/0001-07</t>
        </is>
      </c>
      <c r="C118" s="75" t="inlineStr">
        <is>
          <t>tipo_recebivel</t>
        </is>
      </c>
      <c r="D118" s="75" t="inlineStr">
        <is>
          <t>recebíveis de cartão</t>
        </is>
      </c>
      <c r="E118" s="75" t="inlineStr">
        <is>
          <t>N/D</t>
        </is>
      </c>
      <c r="F118" s="75" t="inlineStr">
        <is>
          <t>planilha_manual</t>
        </is>
      </c>
      <c r="G118" s="75" t="inlineStr">
        <is>
          <t>IMG_8705.JPG</t>
        </is>
      </c>
      <c r="H118" s="75" t="inlineStr">
        <is>
          <t>payload</t>
        </is>
      </c>
      <c r="I118" s="75" t="inlineStr">
        <is>
          <t>2026-02-12</t>
        </is>
      </c>
      <c r="J118" s="75" t="inlineStr">
        <is>
          <t>31</t>
        </is>
      </c>
      <c r="K118" s="75" t="inlineStr">
        <is>
          <t>aceito_payload</t>
        </is>
      </c>
      <c r="L118" s="144" t="n">
        <v>1</v>
      </c>
      <c r="M118" s="75" t="inlineStr">
        <is>
          <t>data/industry_study/generated_revision/artifact_payload.json</t>
        </is>
      </c>
      <c r="N118" s="75" t="inlineStr">
        <is>
          <t>N/D</t>
        </is>
      </c>
      <c r="O118" s="75" t="inlineStr">
        <is>
          <t>OBS da foto: FIDC "Bolso próprio", onde a Recarga fez aportes iniciais e utiliza o veículo para antecipar os recebíveis de cartão. Denominação cortada.</t>
        </is>
      </c>
    </row>
    <row r="119" ht="43.5" customHeight="1">
      <c r="A119" s="142" t="n">
        <v>41197066000109</v>
      </c>
      <c r="B119" s="75" t="inlineStr">
        <is>
          <t>41.197.066/0001-09</t>
        </is>
      </c>
      <c r="C119" s="75" t="inlineStr">
        <is>
          <t>cedente</t>
        </is>
      </c>
      <c r="D119" s="75" t="inlineStr">
        <is>
          <t>MovilePay / iFood</t>
        </is>
      </c>
      <c r="E119" s="75" t="inlineStr">
        <is>
          <t>N/D</t>
        </is>
      </c>
      <c r="F119" s="75" t="inlineStr">
        <is>
          <t>planilha_manual</t>
        </is>
      </c>
      <c r="G119" s="75" t="inlineStr">
        <is>
          <t>IMG_8705.JPG</t>
        </is>
      </c>
      <c r="H119" s="75" t="inlineStr">
        <is>
          <t>payload</t>
        </is>
      </c>
      <c r="I119" s="75" t="inlineStr">
        <is>
          <t>2025-12-30</t>
        </is>
      </c>
      <c r="J119" s="75" t="inlineStr">
        <is>
          <t>89</t>
        </is>
      </c>
      <c r="K119" s="75" t="inlineStr">
        <is>
          <t>aceito_payload</t>
        </is>
      </c>
      <c r="L119" s="144" t="n">
        <v>1</v>
      </c>
      <c r="M119" s="75" t="inlineStr">
        <is>
          <t>data/industry_study/generated_revision/artifact_payload.json</t>
        </is>
      </c>
      <c r="N119" s="75" t="inlineStr">
        <is>
          <t>N/D</t>
        </is>
      </c>
      <c r="O119" s="75" t="inlineStr">
        <is>
          <t>Denominação cortada pela largura da coluna na foto.</t>
        </is>
      </c>
    </row>
    <row r="120" ht="43.5" customHeight="1">
      <c r="A120" s="142" t="n">
        <v>41197066000109</v>
      </c>
      <c r="B120" s="75" t="inlineStr">
        <is>
          <t>41.197.066/0001-09</t>
        </is>
      </c>
      <c r="C120" s="75" t="inlineStr">
        <is>
          <t>minimo_junior</t>
        </is>
      </c>
      <c r="D120" s="75" t="inlineStr">
        <is>
          <t>10%</t>
        </is>
      </c>
      <c r="E120" s="75" t="inlineStr">
        <is>
          <t>junior_pl</t>
        </is>
      </c>
      <c r="F120" s="75" t="inlineStr">
        <is>
          <t>payload_documental</t>
        </is>
      </c>
      <c r="G120" s="75" t="inlineStr">
        <is>
          <t>1076481</t>
        </is>
      </c>
      <c r="H120" s="75" t="inlineStr">
        <is>
          <t>documento_curado</t>
        </is>
      </c>
      <c r="I120" s="75" t="inlineStr">
        <is>
          <t>2025-12-30</t>
        </is>
      </c>
      <c r="J120" s="75" t="inlineStr">
        <is>
          <t>89</t>
        </is>
      </c>
      <c r="K120" s="75" t="inlineStr">
        <is>
          <t>aceito_payload</t>
        </is>
      </c>
      <c r="L120" s="144" t="n">
        <v>1</v>
      </c>
      <c r="M120" s="75" t="inlineStr">
        <is>
          <t>data/industry_study/generated_revision/artifact_payload.json</t>
        </is>
      </c>
      <c r="N120" s="75" t="inlineStr">
        <is>
          <t>https://fnet.bmfbovespa.com.br/fnet/publico/downloadDocumento?id=1076481</t>
        </is>
      </c>
      <c r="O120" s="75" t="inlineStr">
        <is>
          <t>Cotas júnior / PL: 10,0% até o gatilho contratual e 20,0% depois de atingido o novo patamar.</t>
        </is>
      </c>
    </row>
    <row r="121" ht="43.5" customHeight="1">
      <c r="A121" s="142" t="n">
        <v>41197066000109</v>
      </c>
      <c r="B121" s="75" t="inlineStr">
        <is>
          <t>41.197.066/0001-09</t>
        </is>
      </c>
      <c r="C121" s="75" t="inlineStr">
        <is>
          <t>natureza_indice</t>
        </is>
      </c>
      <c r="D121" s="75" t="inlineStr">
        <is>
          <t>junior_pl</t>
        </is>
      </c>
      <c r="E121" s="75" t="inlineStr">
        <is>
          <t>junior_pl</t>
        </is>
      </c>
      <c r="F121" s="75" t="inlineStr">
        <is>
          <t>payload_documental</t>
        </is>
      </c>
      <c r="G121" s="75" t="inlineStr">
        <is>
          <t>1076481</t>
        </is>
      </c>
      <c r="H121" s="75" t="inlineStr">
        <is>
          <t>documento_curado</t>
        </is>
      </c>
      <c r="I121" s="75" t="inlineStr">
        <is>
          <t>2025-12-30</t>
        </is>
      </c>
      <c r="J121" s="75" t="inlineStr">
        <is>
          <t>89</t>
        </is>
      </c>
      <c r="K121" s="75" t="inlineStr">
        <is>
          <t>aceito_payload</t>
        </is>
      </c>
      <c r="L121" s="144" t="n">
        <v>1</v>
      </c>
      <c r="M121" s="75" t="inlineStr">
        <is>
          <t>data/industry_study/generated_revision/artifact_payload.json</t>
        </is>
      </c>
      <c r="N121" s="75" t="inlineStr">
        <is>
          <t>https://fnet.bmfbovespa.com.br/fnet/publico/downloadDocumento?id=1076481</t>
        </is>
      </c>
      <c r="O121" s="75" t="inlineStr">
        <is>
          <t>Cotas júnior / PL: 10,0% até o gatilho contratual e 20,0% depois de atingido o novo patamar.</t>
        </is>
      </c>
    </row>
    <row r="122" ht="43.5" customHeight="1">
      <c r="A122" s="142" t="n">
        <v>41197066000109</v>
      </c>
      <c r="B122" s="75" t="inlineStr">
        <is>
          <t>41.197.066/0001-09</t>
        </is>
      </c>
      <c r="C122" s="75" t="inlineStr">
        <is>
          <t>sacado_devedor</t>
        </is>
      </c>
      <c r="D122" s="75" t="inlineStr">
        <is>
          <t>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t>
        </is>
      </c>
      <c r="E122" s="75" t="inlineStr">
        <is>
          <t>N/D</t>
        </is>
      </c>
      <c r="F122" s="75" t="inlineStr">
        <is>
          <t>regulamento</t>
        </is>
      </c>
      <c r="G122" s="75" t="inlineStr">
        <is>
          <t>825529</t>
        </is>
      </c>
      <c r="H122" s="75" t="inlineStr">
        <is>
          <t>Regulamento</t>
        </is>
      </c>
      <c r="I122" s="75" t="inlineStr">
        <is>
          <t>02/01/2025</t>
        </is>
      </c>
      <c r="J122" s="75" t="inlineStr">
        <is>
          <t>85</t>
        </is>
      </c>
      <c r="K122" s="75" t="inlineStr">
        <is>
          <t>encontrado_explicito</t>
        </is>
      </c>
      <c r="L122" s="144" t="n">
        <v>0.95</v>
      </c>
      <c r="M122" s="75" t="inlineStr">
        <is>
          <t>.cache/carteira_101_document_scan/41197066000109/825529.json.gz</t>
        </is>
      </c>
      <c r="N122" s="75" t="inlineStr">
        <is>
          <t>https://fnet.bmfbovespa.com.br/fnet/publico/downloadDocumento?id=825529</t>
        </is>
      </c>
      <c r="O122" s="75" t="inlineStr">
        <is>
          <t>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t>
        </is>
      </c>
    </row>
    <row r="123" ht="43.5" customHeight="1">
      <c r="A123" s="142" t="n">
        <v>41197066000109</v>
      </c>
      <c r="B123" s="75" t="inlineStr">
        <is>
          <t>41.197.066/0001-09</t>
        </is>
      </c>
      <c r="C123" s="75" t="inlineStr">
        <is>
          <t>sacado_devedor</t>
        </is>
      </c>
      <c r="D123" s="75" t="inlineStr">
        <is>
          <t>pessoas físicas ou jurídicas que possuam uma Conta Digital do Devedor e que emitam uma CCB em favor da Instituição Financeira Parceira, conforme aplicável, com o objetivo de realizar uma operação de crédito</t>
        </is>
      </c>
      <c r="E123" s="75" t="inlineStr">
        <is>
          <t>N/D</t>
        </is>
      </c>
      <c r="F123" s="75" t="inlineStr">
        <is>
          <t>regulamento</t>
        </is>
      </c>
      <c r="G123" s="75" t="inlineStr">
        <is>
          <t>825529</t>
        </is>
      </c>
      <c r="H123" s="75" t="inlineStr">
        <is>
          <t>Regulamento</t>
        </is>
      </c>
      <c r="I123" s="75" t="inlineStr">
        <is>
          <t>02/01/2025</t>
        </is>
      </c>
      <c r="J123" s="75" t="inlineStr">
        <is>
          <t>85</t>
        </is>
      </c>
      <c r="K123" s="75" t="inlineStr">
        <is>
          <t>encontrado_explicito</t>
        </is>
      </c>
      <c r="L123" s="144" t="n">
        <v>0.95</v>
      </c>
      <c r="M123" s="75" t="inlineStr">
        <is>
          <t>.cache/carteira_101_document_scan/41197066000109/825529.json.gz</t>
        </is>
      </c>
      <c r="N123" s="75" t="inlineStr">
        <is>
          <t>https://fnet.bmfbovespa.com.br/fnet/publico/downloadDocumento?id=825529</t>
        </is>
      </c>
      <c r="O123" s="75" t="inlineStr">
        <is>
          <t>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4" ht="43.5" customHeight="1">
      <c r="A124" s="142" t="n">
        <v>41197066000109</v>
      </c>
      <c r="B124" s="75" t="inlineStr">
        <is>
          <t>41.197.066/0001-09</t>
        </is>
      </c>
      <c r="C124" s="75" t="inlineStr">
        <is>
          <t>sacado_devedor</t>
        </is>
      </c>
      <c r="D124"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E124" s="75" t="inlineStr">
        <is>
          <t>N/D</t>
        </is>
      </c>
      <c r="F124" s="75" t="inlineStr">
        <is>
          <t>regulamento</t>
        </is>
      </c>
      <c r="G124" s="75" t="inlineStr">
        <is>
          <t>1076481</t>
        </is>
      </c>
      <c r="H124" s="75" t="inlineStr">
        <is>
          <t>regulamento</t>
        </is>
      </c>
      <c r="I124" s="75" t="inlineStr">
        <is>
          <t>2025-12-30</t>
        </is>
      </c>
      <c r="J124" s="75" t="inlineStr">
        <is>
          <t>84</t>
        </is>
      </c>
      <c r="K124" s="75" t="inlineStr">
        <is>
          <t>encontrado_explicito</t>
        </is>
      </c>
      <c r="L124" s="144" t="n">
        <v>0.95</v>
      </c>
      <c r="M124" s="75" t="inlineStr">
        <is>
          <t>data/raw/41197066000109/1076481_regulamento_regulamento_1076481_2025-12-30_2025-12-30.pdf</t>
        </is>
      </c>
      <c r="N124" s="75" t="inlineStr">
        <is>
          <t>https://fnet.bmfbovespa.com.br/fnet/publico/downloadDocumento?id=1076481</t>
        </is>
      </c>
      <c r="O124" s="75" t="inlineStr">
        <is>
          <t>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t>
        </is>
      </c>
    </row>
    <row r="125" ht="43.5" customHeight="1">
      <c r="A125" s="142" t="n">
        <v>41197066000109</v>
      </c>
      <c r="B125" s="75" t="inlineStr">
        <is>
          <t>41.197.066/0001-09</t>
        </is>
      </c>
      <c r="C125" s="75" t="inlineStr">
        <is>
          <t>sacado_devedor</t>
        </is>
      </c>
      <c r="D125" s="75" t="inlineStr">
        <is>
          <t>pessoas físicas ou jurídicas que possuam uma Conta Digital do Devedor e que emitam uma CCB em favor da Instituição Financeira Parceira, conforme aplicável, com o objetivo de realizar uma operação de crédito</t>
        </is>
      </c>
      <c r="E125" s="75" t="inlineStr">
        <is>
          <t>N/D</t>
        </is>
      </c>
      <c r="F125" s="75" t="inlineStr">
        <is>
          <t>regulamento</t>
        </is>
      </c>
      <c r="G125" s="75" t="inlineStr">
        <is>
          <t>1076481</t>
        </is>
      </c>
      <c r="H125" s="75" t="inlineStr">
        <is>
          <t>regulamento</t>
        </is>
      </c>
      <c r="I125" s="75" t="inlineStr">
        <is>
          <t>2025-12-30</t>
        </is>
      </c>
      <c r="J125" s="75" t="inlineStr">
        <is>
          <t>85</t>
        </is>
      </c>
      <c r="K125" s="75" t="inlineStr">
        <is>
          <t>encontrado_explicito</t>
        </is>
      </c>
      <c r="L125" s="144" t="n">
        <v>0.95</v>
      </c>
      <c r="M125" s="75" t="inlineStr">
        <is>
          <t>data/raw/41197066000109/1076481_regulamento_regulamento_1076481_2025-12-30_2025-12-30.pdf</t>
        </is>
      </c>
      <c r="N125" s="75" t="inlineStr">
        <is>
          <t>https://fnet.bmfbovespa.com.br/fnet/publico/downloadDocumento?id=1076481</t>
        </is>
      </c>
      <c r="O125" s="75" t="inlineStr">
        <is>
          <t>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6" ht="43.5" customHeight="1">
      <c r="A126" s="142" t="n">
        <v>41197066000109</v>
      </c>
      <c r="B126" s="75" t="inlineStr">
        <is>
          <t>41.197.066/0001-09</t>
        </is>
      </c>
      <c r="C126" s="75" t="inlineStr">
        <is>
          <t>tipo_recebivel</t>
        </is>
      </c>
      <c r="D126" s="75" t="inlineStr">
        <is>
          <t>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t>
        </is>
      </c>
      <c r="E126" s="75" t="inlineStr">
        <is>
          <t>N/D</t>
        </is>
      </c>
      <c r="F126" s="75" t="inlineStr">
        <is>
          <t>regulamento</t>
        </is>
      </c>
      <c r="G126" s="75" t="inlineStr">
        <is>
          <t>825529</t>
        </is>
      </c>
      <c r="H126" s="75" t="inlineStr">
        <is>
          <t>Regulamento</t>
        </is>
      </c>
      <c r="I126" s="75" t="inlineStr">
        <is>
          <t>02/01/2025</t>
        </is>
      </c>
      <c r="J126" s="75" t="inlineStr">
        <is>
          <t>86</t>
        </is>
      </c>
      <c r="K126" s="75" t="inlineStr">
        <is>
          <t>encontrado_explicito</t>
        </is>
      </c>
      <c r="L126" s="144" t="n">
        <v>0.92</v>
      </c>
      <c r="M126" s="75" t="inlineStr">
        <is>
          <t>.cache/carteira_101_document_scan/41197066000109/825529.json.gz</t>
        </is>
      </c>
      <c r="N126" s="75" t="inlineStr">
        <is>
          <t>https://fnet.bmfbovespa.com.br/fnet/publico/downloadDocumento?id=825529</t>
        </is>
      </c>
      <c r="O126" s="75" t="inlineStr">
        <is>
          <t>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7" ht="43.5" customHeight="1">
      <c r="A127" s="142" t="n">
        <v>41197066000109</v>
      </c>
      <c r="B127" s="75" t="inlineStr">
        <is>
          <t>41.197.066/0001-09</t>
        </is>
      </c>
      <c r="C127" s="75" t="inlineStr">
        <is>
          <t>tipo_recebivel</t>
        </is>
      </c>
      <c r="D127"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E127" s="75" t="inlineStr">
        <is>
          <t>N/D</t>
        </is>
      </c>
      <c r="F127" s="75" t="inlineStr">
        <is>
          <t>regulamento</t>
        </is>
      </c>
      <c r="G127" s="75" t="inlineStr">
        <is>
          <t>1076481</t>
        </is>
      </c>
      <c r="H127" s="75" t="inlineStr">
        <is>
          <t>regulamento</t>
        </is>
      </c>
      <c r="I127" s="75" t="inlineStr">
        <is>
          <t>2025-12-30</t>
        </is>
      </c>
      <c r="J127" s="75" t="inlineStr">
        <is>
          <t>85</t>
        </is>
      </c>
      <c r="K127" s="75" t="inlineStr">
        <is>
          <t>encontrado_explicito</t>
        </is>
      </c>
      <c r="L127" s="144" t="n">
        <v>0.92</v>
      </c>
      <c r="M127" s="75" t="inlineStr">
        <is>
          <t>data/raw/41197066000109/1076481_regulamento_regulamento_1076481_2025-12-30_2025-12-30.pdf</t>
        </is>
      </c>
      <c r="N127" s="75" t="inlineStr">
        <is>
          <t>https://fnet.bmfbovespa.com.br/fnet/publico/downloadDocumento?id=1076481</t>
        </is>
      </c>
      <c r="O127" s="75" t="inlineStr">
        <is>
          <t>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8" ht="43.5" customHeight="1">
      <c r="A128" s="142" t="n">
        <v>41197066000109</v>
      </c>
      <c r="B128" s="75" t="inlineStr">
        <is>
          <t>41.197.066/0001-09</t>
        </is>
      </c>
      <c r="C128" s="75" t="inlineStr">
        <is>
          <t>tipo_recebivel</t>
        </is>
      </c>
      <c r="D128" s="75" t="inlineStr">
        <is>
          <t>CCB PJ - ecossistema iFood</t>
        </is>
      </c>
      <c r="E128" s="75" t="inlineStr">
        <is>
          <t>N/D</t>
        </is>
      </c>
      <c r="F128" s="75" t="inlineStr">
        <is>
          <t>planilha_manual</t>
        </is>
      </c>
      <c r="G128" s="75" t="inlineStr">
        <is>
          <t>IMG_8705.JPG</t>
        </is>
      </c>
      <c r="H128" s="75" t="inlineStr">
        <is>
          <t>payload</t>
        </is>
      </c>
      <c r="I128" s="75" t="inlineStr">
        <is>
          <t>2025-12-30</t>
        </is>
      </c>
      <c r="J128" s="75" t="inlineStr">
        <is>
          <t>89</t>
        </is>
      </c>
      <c r="K128" s="75" t="inlineStr">
        <is>
          <t>aceito_payload</t>
        </is>
      </c>
      <c r="L128" s="144" t="n">
        <v>1</v>
      </c>
      <c r="M128" s="75" t="inlineStr">
        <is>
          <t>data/industry_study/generated_revision/artifact_payload.json</t>
        </is>
      </c>
      <c r="N128" s="75" t="inlineStr">
        <is>
          <t>N/D</t>
        </is>
      </c>
      <c r="O128" s="75" t="inlineStr">
        <is>
          <t>Denominação cortada pela largura da coluna na foto.</t>
        </is>
      </c>
    </row>
    <row r="129" ht="43.5" customHeight="1">
      <c r="A129" s="142" t="n">
        <v>42085816000105</v>
      </c>
      <c r="B129" s="75" t="inlineStr">
        <is>
          <t>42.085.816/0001-05</t>
        </is>
      </c>
      <c r="C129" s="75" t="inlineStr">
        <is>
          <t>cedente</t>
        </is>
      </c>
      <c r="D129" s="75" t="inlineStr">
        <is>
          <t>a CloudWalk que, de tempos em tempos, nos termos do Contrato de Cessão, cede seus respectivos Dire itos Creditórios Elegíveis ao Fundo</t>
        </is>
      </c>
      <c r="E129" s="75" t="inlineStr">
        <is>
          <t>N/D</t>
        </is>
      </c>
      <c r="F129" s="75" t="inlineStr">
        <is>
          <t>regulamento</t>
        </is>
      </c>
      <c r="G129" s="75" t="inlineStr">
        <is>
          <t>210782</t>
        </is>
      </c>
      <c r="H129" s="75" t="inlineStr">
        <is>
          <t>regulamento</t>
        </is>
      </c>
      <c r="I129" s="75" t="inlineStr">
        <is>
          <t>2021-08-31</t>
        </is>
      </c>
      <c r="J129" s="75" t="inlineStr">
        <is>
          <t>62</t>
        </is>
      </c>
      <c r="K129" s="75" t="inlineStr">
        <is>
          <t>encontrado_explicito</t>
        </is>
      </c>
      <c r="L129" s="144" t="n">
        <v>0.95</v>
      </c>
      <c r="M129" s="75" t="inlineStr">
        <is>
          <t>data/raw/42085816000105/210782_regulamento_regulamento_210782_2021-08-31.pdf</t>
        </is>
      </c>
      <c r="N129" s="75" t="inlineStr">
        <is>
          <t>https://fnet.bmfbovespa.com.br/fnet/publico/downloadDocumento?id=210782</t>
        </is>
      </c>
      <c r="O129" s="75" t="inlineStr">
        <is>
          <t>-Final,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130" ht="43.5" customHeight="1">
      <c r="A130" s="142" t="n">
        <v>42085816000105</v>
      </c>
      <c r="B130" s="75" t="inlineStr">
        <is>
          <t>42.085.816/0001-05</t>
        </is>
      </c>
      <c r="C130" s="75" t="inlineStr">
        <is>
          <t>cedente</t>
        </is>
      </c>
      <c r="D130" s="75" t="inlineStr">
        <is>
          <t>a CloudWalk que, de tempos em tempos, nos termos do Contrato de Cessão, cede seus respectivos Direitos Creditórios Elegíveis ao Fundo</t>
        </is>
      </c>
      <c r="E130" s="75" t="inlineStr">
        <is>
          <t>N/D</t>
        </is>
      </c>
      <c r="F130" s="75" t="inlineStr">
        <is>
          <t>regulamento</t>
        </is>
      </c>
      <c r="G130" s="75" t="inlineStr">
        <is>
          <t>733165</t>
        </is>
      </c>
      <c r="H130" s="75" t="inlineStr">
        <is>
          <t>regulamento</t>
        </is>
      </c>
      <c r="I130" s="75" t="inlineStr">
        <is>
          <t>2024-09-05</t>
        </is>
      </c>
      <c r="J130" s="75" t="inlineStr">
        <is>
          <t>91</t>
        </is>
      </c>
      <c r="K130" s="75" t="inlineStr">
        <is>
          <t>encontrado_explicito</t>
        </is>
      </c>
      <c r="L130" s="144" t="n">
        <v>0.95</v>
      </c>
      <c r="M130" s="75" t="inlineStr">
        <is>
          <t>data/raw/42085816000105/733165_regulamento_regulamento_733165_2024-09-05.pdf</t>
        </is>
      </c>
      <c r="N130" s="75" t="inlineStr">
        <is>
          <t>https://fnet.bmfbovespa.com.br/fnet/publico/downloadDocumento?id=733165</t>
        </is>
      </c>
      <c r="O130"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31" ht="43.5" customHeight="1">
      <c r="A131" s="142" t="n">
        <v>42085816000105</v>
      </c>
      <c r="B131" s="75" t="inlineStr">
        <is>
          <t>42.085.816/0001-05</t>
        </is>
      </c>
      <c r="C131" s="75" t="inlineStr">
        <is>
          <t>cedente</t>
        </is>
      </c>
      <c r="D131" s="75" t="inlineStr">
        <is>
          <t>a CloudWalk que, de tempos em tempos, nos termos do Contrato de Cessão, cede seus respectivos Direitos Creditórios Elegíveis ao Fundo</t>
        </is>
      </c>
      <c r="E131" s="75" t="inlineStr">
        <is>
          <t>N/D</t>
        </is>
      </c>
      <c r="F131" s="75" t="inlineStr">
        <is>
          <t>regulamento</t>
        </is>
      </c>
      <c r="G131" s="75" t="inlineStr">
        <is>
          <t>513540</t>
        </is>
      </c>
      <c r="H131" s="75" t="inlineStr">
        <is>
          <t>Regulamento</t>
        </is>
      </c>
      <c r="I131" s="75" t="inlineStr">
        <is>
          <t>28/08/2023</t>
        </is>
      </c>
      <c r="J131" s="75" t="inlineStr">
        <is>
          <t>62</t>
        </is>
      </c>
      <c r="K131" s="75" t="inlineStr">
        <is>
          <t>encontrado_explicito</t>
        </is>
      </c>
      <c r="L131" s="144" t="n">
        <v>0.95</v>
      </c>
      <c r="M131" s="75" t="inlineStr">
        <is>
          <t>.cache/carteira_101_document_scan/42085816000105/513540.json.gz</t>
        </is>
      </c>
      <c r="N131" s="75" t="inlineStr">
        <is>
          <t>https://fnet.bmfbovespa.com.br/fnet/publico/downloadDocumento?id=513540</t>
        </is>
      </c>
      <c r="O131" s="75" t="inlineStr">
        <is>
          <t>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t>
        </is>
      </c>
    </row>
    <row r="132" ht="43.5" customHeight="1">
      <c r="A132" s="142" t="n">
        <v>42085816000105</v>
      </c>
      <c r="B132" s="75" t="inlineStr">
        <is>
          <t>42.085.816/0001-05</t>
        </is>
      </c>
      <c r="C132" s="75" t="inlineStr">
        <is>
          <t>cedente</t>
        </is>
      </c>
      <c r="D132" s="75" t="inlineStr">
        <is>
          <t>Cloudwalk IP</t>
        </is>
      </c>
      <c r="E132" s="75" t="inlineStr">
        <is>
          <t>N/D</t>
        </is>
      </c>
      <c r="F132" s="75" t="inlineStr">
        <is>
          <t>planilha_manual</t>
        </is>
      </c>
      <c r="G132" s="75" t="inlineStr">
        <is>
          <t>IMG_8705.JPG</t>
        </is>
      </c>
      <c r="H132" s="75" t="inlineStr">
        <is>
          <t>payload</t>
        </is>
      </c>
      <c r="I132" s="75" t="inlineStr">
        <is>
          <t>2024-09-05</t>
        </is>
      </c>
      <c r="J132" s="75" t="inlineStr">
        <is>
          <t>98</t>
        </is>
      </c>
      <c r="K132" s="75" t="inlineStr">
        <is>
          <t>aceito_payload</t>
        </is>
      </c>
      <c r="L132" s="144" t="n">
        <v>1</v>
      </c>
      <c r="M132" s="75" t="inlineStr">
        <is>
          <t>data/industry_study/generated_revision/artifact_payload.json</t>
        </is>
      </c>
      <c r="N132" s="75" t="inlineStr">
        <is>
          <t>N/D</t>
        </is>
      </c>
      <c r="O132" s="75" t="inlineStr">
        <is>
          <t>OBS da foto: Risco Banco Emissor Itaú. Denominação cortada.</t>
        </is>
      </c>
    </row>
    <row r="133" ht="43.5" customHeight="1">
      <c r="A133" s="142" t="n">
        <v>42085816000105</v>
      </c>
      <c r="B133" s="75" t="inlineStr">
        <is>
          <t>42.085.816/0001-05</t>
        </is>
      </c>
      <c r="C133" s="75" t="inlineStr">
        <is>
          <t>minimo_estrutural_total</t>
        </is>
      </c>
      <c r="D133" s="75" t="inlineStr">
        <is>
          <t>4.8%</t>
        </is>
      </c>
      <c r="E133" s="75" t="inlineStr">
        <is>
          <t>suporte_total_pl</t>
        </is>
      </c>
      <c r="F133" s="75" t="inlineStr">
        <is>
          <t>payload_documental</t>
        </is>
      </c>
      <c r="G133" s="75" t="inlineStr">
        <is>
          <t>733165</t>
        </is>
      </c>
      <c r="H133" s="75" t="inlineStr">
        <is>
          <t>documento_curado</t>
        </is>
      </c>
      <c r="I133" s="75" t="inlineStr">
        <is>
          <t>2024-09-05</t>
        </is>
      </c>
      <c r="J133" s="75" t="inlineStr">
        <is>
          <t>98</t>
        </is>
      </c>
      <c r="K133" s="75" t="inlineStr">
        <is>
          <t>aceito_payload</t>
        </is>
      </c>
      <c r="L133" s="144" t="n">
        <v>1</v>
      </c>
      <c r="M133" s="75" t="inlineStr">
        <is>
          <t>data/industry_study/generated_revision/artifact_payload.json</t>
        </is>
      </c>
      <c r="N133" s="75" t="inlineStr">
        <is>
          <t>https://fnet.bmfbovespa.com.br/fnet/publico/downloadDocumento?id=733165</t>
        </is>
      </c>
      <c r="O133" s="75" t="inlineStr">
        <is>
          <t>Cotas subordinadas / PL, mínimo de 4,8%; estrutura com uma única classe residual.</t>
        </is>
      </c>
    </row>
    <row r="134" ht="43.5" customHeight="1">
      <c r="A134" s="142" t="n">
        <v>42085816000105</v>
      </c>
      <c r="B134" s="75" t="inlineStr">
        <is>
          <t>42.085.816/0001-05</t>
        </is>
      </c>
      <c r="C134" s="75" t="inlineStr">
        <is>
          <t>minimo_junior</t>
        </is>
      </c>
      <c r="D134" s="75" t="inlineStr">
        <is>
          <t>4.8%</t>
        </is>
      </c>
      <c r="E134" s="75" t="inlineStr">
        <is>
          <t>junior_pl</t>
        </is>
      </c>
      <c r="F134" s="75" t="inlineStr">
        <is>
          <t>payload_documental</t>
        </is>
      </c>
      <c r="G134" s="75" t="inlineStr">
        <is>
          <t>733165</t>
        </is>
      </c>
      <c r="H134" s="75" t="inlineStr">
        <is>
          <t>documento_curado</t>
        </is>
      </c>
      <c r="I134" s="75" t="inlineStr">
        <is>
          <t>2024-09-05</t>
        </is>
      </c>
      <c r="J134" s="75" t="inlineStr">
        <is>
          <t>98</t>
        </is>
      </c>
      <c r="K134" s="75" t="inlineStr">
        <is>
          <t>aceito_payload</t>
        </is>
      </c>
      <c r="L134" s="144" t="n">
        <v>1</v>
      </c>
      <c r="M134" s="75" t="inlineStr">
        <is>
          <t>data/industry_study/generated_revision/artifact_payload.json</t>
        </is>
      </c>
      <c r="N134" s="75" t="inlineStr">
        <is>
          <t>https://fnet.bmfbovespa.com.br/fnet/publico/downloadDocumento?id=733165</t>
        </is>
      </c>
      <c r="O134" s="75" t="inlineStr">
        <is>
          <t>Cotas subordinadas / PL, mínimo de 4,8%; estrutura com uma única classe residual.</t>
        </is>
      </c>
    </row>
    <row r="135" ht="43.5" customHeight="1">
      <c r="A135" s="142" t="n">
        <v>42085816000105</v>
      </c>
      <c r="B135" s="75" t="inlineStr">
        <is>
          <t>42.085.816/0001-05</t>
        </is>
      </c>
      <c r="C135" s="75" t="inlineStr">
        <is>
          <t>natureza_indice</t>
        </is>
      </c>
      <c r="D135" s="75" t="inlineStr">
        <is>
          <t>junior_pl</t>
        </is>
      </c>
      <c r="E135" s="75" t="inlineStr">
        <is>
          <t>junior_pl</t>
        </is>
      </c>
      <c r="F135" s="75" t="inlineStr">
        <is>
          <t>payload_documental</t>
        </is>
      </c>
      <c r="G135" s="75" t="inlineStr">
        <is>
          <t>733165</t>
        </is>
      </c>
      <c r="H135" s="75" t="inlineStr">
        <is>
          <t>documento_curado</t>
        </is>
      </c>
      <c r="I135" s="75" t="inlineStr">
        <is>
          <t>2024-09-05</t>
        </is>
      </c>
      <c r="J135" s="75" t="inlineStr">
        <is>
          <t>98</t>
        </is>
      </c>
      <c r="K135" s="75" t="inlineStr">
        <is>
          <t>aceito_payload</t>
        </is>
      </c>
      <c r="L135" s="144" t="n">
        <v>1</v>
      </c>
      <c r="M135" s="75" t="inlineStr">
        <is>
          <t>data/industry_study/generated_revision/artifact_payload.json</t>
        </is>
      </c>
      <c r="N135" s="75" t="inlineStr">
        <is>
          <t>https://fnet.bmfbovespa.com.br/fnet/publico/downloadDocumento?id=733165</t>
        </is>
      </c>
      <c r="O135" s="75" t="inlineStr">
        <is>
          <t>Cotas subordinadas / PL, mínimo de 4,8%; estrutura com uma única classe residual.</t>
        </is>
      </c>
    </row>
    <row r="136" ht="43.5" customHeight="1">
      <c r="A136" s="142" t="n">
        <v>42085816000105</v>
      </c>
      <c r="B136" s="75" t="inlineStr">
        <is>
          <t>42.085.816/0001-05</t>
        </is>
      </c>
      <c r="C136" s="75" t="inlineStr">
        <is>
          <t>sacado_devedor</t>
        </is>
      </c>
      <c r="D136" s="75" t="inlineStr">
        <is>
          <t>os Emissores Qualificados</t>
        </is>
      </c>
      <c r="E136" s="75" t="inlineStr">
        <is>
          <t>N/D</t>
        </is>
      </c>
      <c r="F136" s="75" t="inlineStr">
        <is>
          <t>regulamento</t>
        </is>
      </c>
      <c r="G136" s="75" t="inlineStr">
        <is>
          <t>210782</t>
        </is>
      </c>
      <c r="H136" s="75" t="inlineStr">
        <is>
          <t>regulamento</t>
        </is>
      </c>
      <c r="I136" s="75" t="inlineStr">
        <is>
          <t>2021-08-31</t>
        </is>
      </c>
      <c r="J136" s="75" t="inlineStr">
        <is>
          <t>66</t>
        </is>
      </c>
      <c r="K136" s="75" t="inlineStr">
        <is>
          <t>encontrado_explicito</t>
        </is>
      </c>
      <c r="L136" s="144" t="n">
        <v>0.95</v>
      </c>
      <c r="M136" s="75" t="inlineStr">
        <is>
          <t>data/raw/42085816000105/210782_regulamento_regulamento_210782_2021-08-31.pdf</t>
        </is>
      </c>
      <c r="N136" s="75" t="inlineStr">
        <is>
          <t>https://fnet.bmfbovespa.com.br/fnet/publico/downloadDocumento?id=210782</t>
        </is>
      </c>
      <c r="O136"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t>
        </is>
      </c>
    </row>
    <row r="137" ht="43.5" customHeight="1">
      <c r="A137" s="142" t="n">
        <v>42085816000105</v>
      </c>
      <c r="B137" s="75" t="inlineStr">
        <is>
          <t>42.085.816/0001-05</t>
        </is>
      </c>
      <c r="C137" s="75" t="inlineStr">
        <is>
          <t>sacado_devedor</t>
        </is>
      </c>
      <c r="D137" s="75" t="inlineStr">
        <is>
          <t>os Emissores Qualificados</t>
        </is>
      </c>
      <c r="E137" s="75" t="inlineStr">
        <is>
          <t>N/D</t>
        </is>
      </c>
      <c r="F137" s="75" t="inlineStr">
        <is>
          <t>regulamento</t>
        </is>
      </c>
      <c r="G137" s="75" t="inlineStr">
        <is>
          <t>733165</t>
        </is>
      </c>
      <c r="H137" s="75" t="inlineStr">
        <is>
          <t>regulamento</t>
        </is>
      </c>
      <c r="I137" s="75" t="inlineStr">
        <is>
          <t>2024-09-05</t>
        </is>
      </c>
      <c r="J137" s="75" t="inlineStr">
        <is>
          <t>95</t>
        </is>
      </c>
      <c r="K137" s="75" t="inlineStr">
        <is>
          <t>encontrado_explicito</t>
        </is>
      </c>
      <c r="L137" s="144" t="n">
        <v>0.95</v>
      </c>
      <c r="M137" s="75" t="inlineStr">
        <is>
          <t>data/raw/42085816000105/733165_regulamento_regulamento_733165_2024-09-05.pdf</t>
        </is>
      </c>
      <c r="N137" s="75" t="inlineStr">
        <is>
          <t>https://fnet.bmfbovespa.com.br/fnet/publico/downloadDocumento?id=733165</t>
        </is>
      </c>
      <c r="O137"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38" ht="43.5" customHeight="1">
      <c r="A138" s="142" t="n">
        <v>42085816000105</v>
      </c>
      <c r="B138" s="75" t="inlineStr">
        <is>
          <t>42.085.816/0001-05</t>
        </is>
      </c>
      <c r="C138" s="75" t="inlineStr">
        <is>
          <t>sacado_devedor</t>
        </is>
      </c>
      <c r="D138" s="75" t="inlineStr">
        <is>
          <t>os Emissores Qualificados</t>
        </is>
      </c>
      <c r="E138" s="75" t="inlineStr">
        <is>
          <t>N/D</t>
        </is>
      </c>
      <c r="F138" s="75" t="inlineStr">
        <is>
          <t>regulamento</t>
        </is>
      </c>
      <c r="G138" s="75" t="inlineStr">
        <is>
          <t>513540</t>
        </is>
      </c>
      <c r="H138" s="75" t="inlineStr">
        <is>
          <t>Regulamento</t>
        </is>
      </c>
      <c r="I138" s="75" t="inlineStr">
        <is>
          <t>28/08/2023</t>
        </is>
      </c>
      <c r="J138" s="75" t="inlineStr">
        <is>
          <t>66</t>
        </is>
      </c>
      <c r="K138" s="75" t="inlineStr">
        <is>
          <t>encontrado_explicito</t>
        </is>
      </c>
      <c r="L138" s="144" t="n">
        <v>0.95</v>
      </c>
      <c r="M138" s="75" t="inlineStr">
        <is>
          <t>.cache/carteira_101_document_scan/42085816000105/513540.json.gz</t>
        </is>
      </c>
      <c r="N138" s="75" t="inlineStr">
        <is>
          <t>https://fnet.bmfbovespa.com.br/fnet/publico/downloadDocumento?id=513540</t>
        </is>
      </c>
      <c r="O138"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t>
        </is>
      </c>
    </row>
    <row r="139" ht="43.5" customHeight="1">
      <c r="A139" s="142" t="n">
        <v>42085816000105</v>
      </c>
      <c r="B139" s="75" t="inlineStr">
        <is>
          <t>42.085.816/0001-05</t>
        </is>
      </c>
      <c r="C139" s="75" t="inlineStr">
        <is>
          <t>tipo_recebivel</t>
        </is>
      </c>
      <c r="D139" s="75" t="inlineStr">
        <is>
          <t>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39" s="75" t="inlineStr">
        <is>
          <t>N/D</t>
        </is>
      </c>
      <c r="F139" s="75" t="inlineStr">
        <is>
          <t>regulamento</t>
        </is>
      </c>
      <c r="G139" s="75" t="inlineStr">
        <is>
          <t>210782</t>
        </is>
      </c>
      <c r="H139" s="75" t="inlineStr">
        <is>
          <t>regulamento</t>
        </is>
      </c>
      <c r="I139" s="75" t="inlineStr">
        <is>
          <t>2021-08-31</t>
        </is>
      </c>
      <c r="J139" s="75" t="inlineStr">
        <is>
          <t>66</t>
        </is>
      </c>
      <c r="K139" s="75" t="inlineStr">
        <is>
          <t>encontrado_explicito</t>
        </is>
      </c>
      <c r="L139" s="144" t="n">
        <v>0.92</v>
      </c>
      <c r="M139" s="75" t="inlineStr">
        <is>
          <t>data/raw/42085816000105/210782_regulamento_regulamento_210782_2021-08-31.pdf</t>
        </is>
      </c>
      <c r="N139" s="75" t="inlineStr">
        <is>
          <t>https://fnet.bmfbovespa.com.br/fnet/publico/downloadDocumento?id=210782</t>
        </is>
      </c>
      <c r="O139"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0" ht="43.5" customHeight="1">
      <c r="A140" s="142" t="n">
        <v>42085816000105</v>
      </c>
      <c r="B140" s="75" t="inlineStr">
        <is>
          <t>42.085.816/0001-05</t>
        </is>
      </c>
      <c r="C140" s="75" t="inlineStr">
        <is>
          <t>tipo_recebivel</t>
        </is>
      </c>
      <c r="D140" s="75" t="inlineStr">
        <is>
          <t>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t>
        </is>
      </c>
      <c r="E140" s="75" t="inlineStr">
        <is>
          <t>N/D</t>
        </is>
      </c>
      <c r="F140" s="75" t="inlineStr">
        <is>
          <t>regulamento</t>
        </is>
      </c>
      <c r="G140" s="75" t="inlineStr">
        <is>
          <t>733165</t>
        </is>
      </c>
      <c r="H140" s="75" t="inlineStr">
        <is>
          <t>regulamento</t>
        </is>
      </c>
      <c r="I140" s="75" t="inlineStr">
        <is>
          <t>2024-09-05</t>
        </is>
      </c>
      <c r="J140" s="75" t="inlineStr">
        <is>
          <t>95</t>
        </is>
      </c>
      <c r="K140" s="75" t="inlineStr">
        <is>
          <t>encontrado_explicito</t>
        </is>
      </c>
      <c r="L140" s="144" t="n">
        <v>0.92</v>
      </c>
      <c r="M140" s="75" t="inlineStr">
        <is>
          <t>data/raw/42085816000105/733165_regulamento_regulamento_733165_2024-09-05.pdf</t>
        </is>
      </c>
      <c r="N140" s="75" t="inlineStr">
        <is>
          <t>https://fnet.bmfbovespa.com.br/fnet/publico/downloadDocumento?id=733165</t>
        </is>
      </c>
      <c r="O140" s="75" t="inlineStr">
        <is>
          <t>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t>
        </is>
      </c>
    </row>
    <row r="141" ht="43.5" customHeight="1">
      <c r="A141" s="142" t="n">
        <v>42085816000105</v>
      </c>
      <c r="B141" s="75" t="inlineStr">
        <is>
          <t>42.085.816/0001-05</t>
        </is>
      </c>
      <c r="C141" s="75" t="inlineStr">
        <is>
          <t>tipo_recebivel</t>
        </is>
      </c>
      <c r="D141"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41" s="75" t="inlineStr">
        <is>
          <t>N/D</t>
        </is>
      </c>
      <c r="F141" s="75" t="inlineStr">
        <is>
          <t>regulamento</t>
        </is>
      </c>
      <c r="G141" s="75" t="inlineStr">
        <is>
          <t>513540</t>
        </is>
      </c>
      <c r="H141" s="75" t="inlineStr">
        <is>
          <t>Regulamento</t>
        </is>
      </c>
      <c r="I141" s="75" t="inlineStr">
        <is>
          <t>28/08/2023</t>
        </is>
      </c>
      <c r="J141" s="75" t="inlineStr">
        <is>
          <t>66</t>
        </is>
      </c>
      <c r="K141" s="75" t="inlineStr">
        <is>
          <t>encontrado_explicito</t>
        </is>
      </c>
      <c r="L141" s="144" t="n">
        <v>0.92</v>
      </c>
      <c r="M141" s="75" t="inlineStr">
        <is>
          <t>.cache/carteira_101_document_scan/42085816000105/513540.json.gz</t>
        </is>
      </c>
      <c r="N141" s="75" t="inlineStr">
        <is>
          <t>https://fnet.bmfbovespa.com.br/fnet/publico/downloadDocumento?id=513540</t>
        </is>
      </c>
      <c r="O141" s="75" t="inlineStr">
        <is>
          <t>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2" ht="43.5" customHeight="1">
      <c r="A142" s="142" t="n">
        <v>42085830000109</v>
      </c>
      <c r="B142" s="75" t="inlineStr">
        <is>
          <t>42.085.830/0001-09</t>
        </is>
      </c>
      <c r="C142" s="75" t="inlineStr">
        <is>
          <t>cedente</t>
        </is>
      </c>
      <c r="D142" s="75" t="inlineStr">
        <is>
          <t>a CloudWalk que, de tempos em tempos, nos termos do Contrato de Cessão, cede seus respectivos Direitos Creditórios Elegíveis ao Fundo</t>
        </is>
      </c>
      <c r="E142" s="75" t="inlineStr">
        <is>
          <t>N/D</t>
        </is>
      </c>
      <c r="F142" s="75" t="inlineStr">
        <is>
          <t>regulamento</t>
        </is>
      </c>
      <c r="G142" s="75" t="inlineStr">
        <is>
          <t>733255</t>
        </is>
      </c>
      <c r="H142" s="75" t="inlineStr">
        <is>
          <t>regulamento</t>
        </is>
      </c>
      <c r="I142" s="75" t="inlineStr">
        <is>
          <t>2024-09-05</t>
        </is>
      </c>
      <c r="J142" s="75" t="inlineStr">
        <is>
          <t>93</t>
        </is>
      </c>
      <c r="K142" s="75" t="inlineStr">
        <is>
          <t>encontrado_explicito</t>
        </is>
      </c>
      <c r="L142" s="144" t="n">
        <v>0.95</v>
      </c>
      <c r="M142" s="75" t="inlineStr">
        <is>
          <t>data/raw/42085830000109/733255_regulamento_regulamento_733255_2024-09-05.pdf</t>
        </is>
      </c>
      <c r="N142" s="75" t="inlineStr">
        <is>
          <t>https://fnet.bmfbovespa.com.br/fnet/publico/downloadDocumento?id=733255</t>
        </is>
      </c>
      <c r="O14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3" ht="43.5" customHeight="1">
      <c r="A143" s="142" t="n">
        <v>42085830000109</v>
      </c>
      <c r="B143" s="75" t="inlineStr">
        <is>
          <t>42.085.830/0001-09</t>
        </is>
      </c>
      <c r="C143" s="75" t="inlineStr">
        <is>
          <t>cedente</t>
        </is>
      </c>
      <c r="D143" s="75" t="inlineStr">
        <is>
          <t>a CloudWalk que, de tempos em tempos, nos termos do Contrato de Cessão, cede seus respectivos Direitos Creditórios Elegíveis ao Fundo</t>
        </is>
      </c>
      <c r="E143" s="75" t="inlineStr">
        <is>
          <t>N/D</t>
        </is>
      </c>
      <c r="F143" s="75" t="inlineStr">
        <is>
          <t>regulamento</t>
        </is>
      </c>
      <c r="G143" s="75" t="inlineStr">
        <is>
          <t>966441</t>
        </is>
      </c>
      <c r="H143" s="75" t="inlineStr">
        <is>
          <t>regulamento</t>
        </is>
      </c>
      <c r="I143" s="75" t="inlineStr">
        <is>
          <t>2025-07-24</t>
        </is>
      </c>
      <c r="J143" s="75" t="inlineStr">
        <is>
          <t>92</t>
        </is>
      </c>
      <c r="K143" s="75" t="inlineStr">
        <is>
          <t>encontrado_explicito</t>
        </is>
      </c>
      <c r="L143" s="144" t="n">
        <v>0.95</v>
      </c>
      <c r="M143" s="75" t="inlineStr">
        <is>
          <t>data/raw/42085830000109/966441_regulamento_regulamento_966441_2025-07-24.pdf</t>
        </is>
      </c>
      <c r="N143" s="75" t="inlineStr">
        <is>
          <t>https://fnet.bmfbovespa.com.br/fnet/publico/downloadDocumento?id=966441</t>
        </is>
      </c>
      <c r="O143"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4" ht="43.5" customHeight="1">
      <c r="A144" s="142" t="n">
        <v>42085830000109</v>
      </c>
      <c r="B144" s="75" t="inlineStr">
        <is>
          <t>42.085.830/0001-09</t>
        </is>
      </c>
      <c r="C144" s="75" t="inlineStr">
        <is>
          <t>cedente</t>
        </is>
      </c>
      <c r="D144" s="75" t="inlineStr">
        <is>
          <t>Cloudwalk IP</t>
        </is>
      </c>
      <c r="E144" s="75" t="inlineStr">
        <is>
          <t>N/D</t>
        </is>
      </c>
      <c r="F144" s="75" t="inlineStr">
        <is>
          <t>planilha_manual</t>
        </is>
      </c>
      <c r="G144" s="75" t="inlineStr">
        <is>
          <t>IMG_8707.jpg</t>
        </is>
      </c>
      <c r="H144" s="75" t="inlineStr">
        <is>
          <t>payload</t>
        </is>
      </c>
      <c r="I144" s="75" t="inlineStr">
        <is>
          <t>2025-07-24</t>
        </is>
      </c>
      <c r="J144" s="75" t="inlineStr">
        <is>
          <t>99</t>
        </is>
      </c>
      <c r="K144" s="75" t="inlineStr">
        <is>
          <t>aceito_payload</t>
        </is>
      </c>
      <c r="L144" s="144" t="n">
        <v>1</v>
      </c>
      <c r="M144" s="75" t="inlineStr">
        <is>
          <t>data/industry_study/generated_revision/artifact_payload.json</t>
        </is>
      </c>
      <c r="N144" s="75" t="inlineStr">
        <is>
          <t>N/D</t>
        </is>
      </c>
      <c r="O144" s="75" t="inlineStr">
        <is>
          <t>OBS da foto: Risco Banco Emissor Itaú. Denominação cortada.</t>
        </is>
      </c>
    </row>
    <row r="145" ht="43.5" customHeight="1">
      <c r="A145" s="142" t="n">
        <v>42085830000109</v>
      </c>
      <c r="B145" s="75" t="inlineStr">
        <is>
          <t>42.085.830/0001-09</t>
        </is>
      </c>
      <c r="C145" s="75" t="inlineStr">
        <is>
          <t>minimo_estrutural_total</t>
        </is>
      </c>
      <c r="D145" s="75" t="inlineStr">
        <is>
          <t>3%</t>
        </is>
      </c>
      <c r="E145" s="75" t="inlineStr">
        <is>
          <t>suporte_total_pl</t>
        </is>
      </c>
      <c r="F145" s="75" t="inlineStr">
        <is>
          <t>payload_documental</t>
        </is>
      </c>
      <c r="G145" s="75" t="inlineStr">
        <is>
          <t>966441</t>
        </is>
      </c>
      <c r="H145" s="75" t="inlineStr">
        <is>
          <t>documento_curado</t>
        </is>
      </c>
      <c r="I145" s="75" t="inlineStr">
        <is>
          <t>2025-07-24</t>
        </is>
      </c>
      <c r="J145" s="75" t="inlineStr">
        <is>
          <t>99</t>
        </is>
      </c>
      <c r="K145" s="75" t="inlineStr">
        <is>
          <t>aceito_payload</t>
        </is>
      </c>
      <c r="L145" s="144" t="n">
        <v>1</v>
      </c>
      <c r="M145" s="75" t="inlineStr">
        <is>
          <t>data/industry_study/generated_revision/artifact_payload.json</t>
        </is>
      </c>
      <c r="N145" s="75" t="inlineStr">
        <is>
          <t>https://fnet.bmfbovespa.com.br/fnet/publico/downloadDocumento?id=966441</t>
        </is>
      </c>
      <c r="O145" s="75" t="inlineStr">
        <is>
          <t>Cotas subordinadas / PL, mínimo de 3,0%; estrutura com uma única classe residual.</t>
        </is>
      </c>
    </row>
    <row r="146" ht="43.5" customHeight="1">
      <c r="A146" s="142" t="n">
        <v>42085830000109</v>
      </c>
      <c r="B146" s="75" t="inlineStr">
        <is>
          <t>42.085.830/0001-09</t>
        </is>
      </c>
      <c r="C146" s="75" t="inlineStr">
        <is>
          <t>minimo_junior</t>
        </is>
      </c>
      <c r="D146" s="75" t="inlineStr">
        <is>
          <t>3%</t>
        </is>
      </c>
      <c r="E146" s="75" t="inlineStr">
        <is>
          <t>junior_pl</t>
        </is>
      </c>
      <c r="F146" s="75" t="inlineStr">
        <is>
          <t>payload_documental</t>
        </is>
      </c>
      <c r="G146" s="75" t="inlineStr">
        <is>
          <t>966441</t>
        </is>
      </c>
      <c r="H146" s="75" t="inlineStr">
        <is>
          <t>documento_curado</t>
        </is>
      </c>
      <c r="I146" s="75" t="inlineStr">
        <is>
          <t>2025-07-24</t>
        </is>
      </c>
      <c r="J146" s="75" t="inlineStr">
        <is>
          <t>99</t>
        </is>
      </c>
      <c r="K146" s="75" t="inlineStr">
        <is>
          <t>aceito_payload</t>
        </is>
      </c>
      <c r="L146" s="144" t="n">
        <v>1</v>
      </c>
      <c r="M146" s="75" t="inlineStr">
        <is>
          <t>data/industry_study/generated_revision/artifact_payload.json</t>
        </is>
      </c>
      <c r="N146" s="75" t="inlineStr">
        <is>
          <t>https://fnet.bmfbovespa.com.br/fnet/publico/downloadDocumento?id=966441</t>
        </is>
      </c>
      <c r="O146" s="75" t="inlineStr">
        <is>
          <t>Cotas subordinadas / PL, mínimo de 3,0%; estrutura com uma única classe residual.</t>
        </is>
      </c>
    </row>
    <row r="147" ht="43.5" customHeight="1">
      <c r="A147" s="142" t="n">
        <v>42085830000109</v>
      </c>
      <c r="B147" s="75" t="inlineStr">
        <is>
          <t>42.085.830/0001-09</t>
        </is>
      </c>
      <c r="C147" s="75" t="inlineStr">
        <is>
          <t>natureza_indice</t>
        </is>
      </c>
      <c r="D147" s="75" t="inlineStr">
        <is>
          <t>junior_pl</t>
        </is>
      </c>
      <c r="E147" s="75" t="inlineStr">
        <is>
          <t>junior_pl</t>
        </is>
      </c>
      <c r="F147" s="75" t="inlineStr">
        <is>
          <t>payload_documental</t>
        </is>
      </c>
      <c r="G147" s="75" t="inlineStr">
        <is>
          <t>966441</t>
        </is>
      </c>
      <c r="H147" s="75" t="inlineStr">
        <is>
          <t>documento_curado</t>
        </is>
      </c>
      <c r="I147" s="75" t="inlineStr">
        <is>
          <t>2025-07-24</t>
        </is>
      </c>
      <c r="J147" s="75" t="inlineStr">
        <is>
          <t>99</t>
        </is>
      </c>
      <c r="K147" s="75" t="inlineStr">
        <is>
          <t>aceito_payload</t>
        </is>
      </c>
      <c r="L147" s="144" t="n">
        <v>1</v>
      </c>
      <c r="M147" s="75" t="inlineStr">
        <is>
          <t>data/industry_study/generated_revision/artifact_payload.json</t>
        </is>
      </c>
      <c r="N147" s="75" t="inlineStr">
        <is>
          <t>https://fnet.bmfbovespa.com.br/fnet/publico/downloadDocumento?id=966441</t>
        </is>
      </c>
      <c r="O147" s="75" t="inlineStr">
        <is>
          <t>Cotas subordinadas / PL, mínimo de 3,0%; estrutura com uma única classe residual.</t>
        </is>
      </c>
    </row>
    <row r="148" ht="43.5" customHeight="1">
      <c r="A148" s="142" t="n">
        <v>42085830000109</v>
      </c>
      <c r="B148" s="75" t="inlineStr">
        <is>
          <t>42.085.830/0001-09</t>
        </is>
      </c>
      <c r="C148" s="75" t="inlineStr">
        <is>
          <t>sacado_devedor</t>
        </is>
      </c>
      <c r="D148" s="75" t="inlineStr">
        <is>
          <t>os Emissores Qualificados</t>
        </is>
      </c>
      <c r="E148" s="75" t="inlineStr">
        <is>
          <t>N/D</t>
        </is>
      </c>
      <c r="F148" s="75" t="inlineStr">
        <is>
          <t>regulamento</t>
        </is>
      </c>
      <c r="G148" s="75" t="inlineStr">
        <is>
          <t>733255</t>
        </is>
      </c>
      <c r="H148" s="75" t="inlineStr">
        <is>
          <t>regulamento</t>
        </is>
      </c>
      <c r="I148" s="75" t="inlineStr">
        <is>
          <t>2024-09-05</t>
        </is>
      </c>
      <c r="J148" s="75" t="inlineStr">
        <is>
          <t>97</t>
        </is>
      </c>
      <c r="K148" s="75" t="inlineStr">
        <is>
          <t>encontrado_explicito</t>
        </is>
      </c>
      <c r="L148" s="144" t="n">
        <v>0.95</v>
      </c>
      <c r="M148" s="75" t="inlineStr">
        <is>
          <t>data/raw/42085830000109/733255_regulamento_regulamento_733255_2024-09-05.pdf</t>
        </is>
      </c>
      <c r="N148" s="75" t="inlineStr">
        <is>
          <t>https://fnet.bmfbovespa.com.br/fnet/publico/downloadDocumento?id=733255</t>
        </is>
      </c>
      <c r="O148"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49" ht="43.5" customHeight="1">
      <c r="A149" s="142" t="n">
        <v>42085830000109</v>
      </c>
      <c r="B149" s="75" t="inlineStr">
        <is>
          <t>42.085.830/0001-09</t>
        </is>
      </c>
      <c r="C149" s="75" t="inlineStr">
        <is>
          <t>sacado_devedor</t>
        </is>
      </c>
      <c r="D149" s="75" t="inlineStr">
        <is>
          <t>os Emissores Qualificados</t>
        </is>
      </c>
      <c r="E149" s="75" t="inlineStr">
        <is>
          <t>N/D</t>
        </is>
      </c>
      <c r="F149" s="75" t="inlineStr">
        <is>
          <t>regulamento</t>
        </is>
      </c>
      <c r="G149" s="75" t="inlineStr">
        <is>
          <t>966441</t>
        </is>
      </c>
      <c r="H149" s="75" t="inlineStr">
        <is>
          <t>regulamento</t>
        </is>
      </c>
      <c r="I149" s="75" t="inlineStr">
        <is>
          <t>2025-07-24</t>
        </is>
      </c>
      <c r="J149" s="75" t="inlineStr">
        <is>
          <t>96</t>
        </is>
      </c>
      <c r="K149" s="75" t="inlineStr">
        <is>
          <t>encontrado_explicito</t>
        </is>
      </c>
      <c r="L149" s="144" t="n">
        <v>0.95</v>
      </c>
      <c r="M149" s="75" t="inlineStr">
        <is>
          <t>data/raw/42085830000109/966441_regulamento_regulamento_966441_2025-07-24.pdf</t>
        </is>
      </c>
      <c r="N149" s="75" t="inlineStr">
        <is>
          <t>https://fnet.bmfbovespa.com.br/fnet/publico/downloadDocumento?id=966441</t>
        </is>
      </c>
      <c r="O149"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50" ht="43.5" customHeight="1">
      <c r="A150" s="142" t="n">
        <v>42085830000109</v>
      </c>
      <c r="B150" s="75" t="inlineStr">
        <is>
          <t>42.085.830/0001-09</t>
        </is>
      </c>
      <c r="C150" s="75" t="inlineStr">
        <is>
          <t>tipo_recebivel</t>
        </is>
      </c>
      <c r="D150" s="75"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E150" s="75" t="inlineStr">
        <is>
          <t>N/D</t>
        </is>
      </c>
      <c r="F150" s="75" t="inlineStr">
        <is>
          <t>regulamento</t>
        </is>
      </c>
      <c r="G150" s="75" t="inlineStr">
        <is>
          <t>966441</t>
        </is>
      </c>
      <c r="H150" s="75" t="inlineStr">
        <is>
          <t>regulamento</t>
        </is>
      </c>
      <c r="I150" s="75" t="inlineStr">
        <is>
          <t>2025-07-24</t>
        </is>
      </c>
      <c r="J150" s="75" t="inlineStr">
        <is>
          <t>96</t>
        </is>
      </c>
      <c r="K150" s="75" t="inlineStr">
        <is>
          <t>encontrado_explicito</t>
        </is>
      </c>
      <c r="L150" s="144" t="n">
        <v>0.92</v>
      </c>
      <c r="M150" s="75" t="inlineStr">
        <is>
          <t>data/raw/42085830000109/966441_regulamento_regulamento_966441_2025-07-24.pdf</t>
        </is>
      </c>
      <c r="N150" s="75" t="inlineStr">
        <is>
          <t>https://fnet.bmfbovespa.com.br/fnet/publico/downloadDocumento?id=966441</t>
        </is>
      </c>
      <c r="O150" s="75" t="inlineStr">
        <is>
          <t>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t>
        </is>
      </c>
    </row>
    <row r="151" ht="43.5" customHeight="1">
      <c r="A151" s="142" t="n">
        <v>42102603000144</v>
      </c>
      <c r="B151" s="75" t="inlineStr">
        <is>
          <t>42.102.603/0001-44</t>
        </is>
      </c>
      <c r="C151" s="75" t="inlineStr">
        <is>
          <t>cedente</t>
        </is>
      </c>
      <c r="D151" s="75" t="inlineStr">
        <is>
          <t>a CloudWalk que, de tempos em tempos, nos termos do Contrato de Cessão, cede seus respectivos Direitos Creditórios Elegíveis ao Fundo</t>
        </is>
      </c>
      <c r="E151" s="75" t="inlineStr">
        <is>
          <t>N/D</t>
        </is>
      </c>
      <c r="F151" s="75" t="inlineStr">
        <is>
          <t>regulamento</t>
        </is>
      </c>
      <c r="G151" s="75" t="inlineStr">
        <is>
          <t>733239</t>
        </is>
      </c>
      <c r="H151" s="75" t="inlineStr">
        <is>
          <t>regulamento</t>
        </is>
      </c>
      <c r="I151" s="75" t="inlineStr">
        <is>
          <t>2024-09-05</t>
        </is>
      </c>
      <c r="J151" s="75" t="inlineStr">
        <is>
          <t>92</t>
        </is>
      </c>
      <c r="K151" s="75" t="inlineStr">
        <is>
          <t>encontrado_explicito</t>
        </is>
      </c>
      <c r="L151" s="144" t="n">
        <v>0.95</v>
      </c>
      <c r="M151" s="75" t="inlineStr">
        <is>
          <t>data/raw/42102603000144/733239_regulamento_regulamento_733239_2024-09-05.pdf</t>
        </is>
      </c>
      <c r="N151" s="75" t="inlineStr">
        <is>
          <t>https://fnet.bmfbovespa.com.br/fnet/publico/downloadDocumento?id=733239</t>
        </is>
      </c>
      <c r="O151"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52" ht="43.5" customHeight="1">
      <c r="A152" s="142" t="n">
        <v>42102603000144</v>
      </c>
      <c r="B152" s="75" t="inlineStr">
        <is>
          <t>42.102.603/0001-44</t>
        </is>
      </c>
      <c r="C152" s="75" t="inlineStr">
        <is>
          <t>cedente</t>
        </is>
      </c>
      <c r="D152" s="75" t="inlineStr">
        <is>
          <t>Cloudwalk</t>
        </is>
      </c>
      <c r="E152" s="75" t="inlineStr">
        <is>
          <t>N/D</t>
        </is>
      </c>
      <c r="F152" s="75" t="inlineStr">
        <is>
          <t>planilha_manual</t>
        </is>
      </c>
      <c r="G152" s="75" t="inlineStr">
        <is>
          <t>IMG_8705.JPG</t>
        </is>
      </c>
      <c r="H152" s="75" t="inlineStr">
        <is>
          <t>payload</t>
        </is>
      </c>
      <c r="I152" s="75" t="inlineStr">
        <is>
          <t>2024-09-05</t>
        </is>
      </c>
      <c r="J152" s="75" t="inlineStr">
        <is>
          <t>99</t>
        </is>
      </c>
      <c r="K152" s="75" t="inlineStr">
        <is>
          <t>aceito_payload</t>
        </is>
      </c>
      <c r="L152" s="144" t="n">
        <v>1</v>
      </c>
      <c r="M152" s="75" t="inlineStr">
        <is>
          <t>data/industry_study/generated_revision/artifact_payload.json</t>
        </is>
      </c>
      <c r="N152" s="75" t="inlineStr">
        <is>
          <t>N/D</t>
        </is>
      </c>
      <c r="O152" s="75" t="inlineStr">
        <is>
          <t>OBS da foto: Alongamento discutido recentemente (mas com run-off). Denominação cortada.</t>
        </is>
      </c>
    </row>
    <row r="153" ht="43.5" customHeight="1">
      <c r="A153" s="142" t="n">
        <v>42102603000144</v>
      </c>
      <c r="B153" s="75" t="inlineStr">
        <is>
          <t>42.102.603/0001-44</t>
        </is>
      </c>
      <c r="C153" s="75" t="inlineStr">
        <is>
          <t>minimo_estrutural_total</t>
        </is>
      </c>
      <c r="D153" s="75" t="inlineStr">
        <is>
          <t>6.8%</t>
        </is>
      </c>
      <c r="E153" s="75" t="inlineStr">
        <is>
          <t>suporte_total_pl</t>
        </is>
      </c>
      <c r="F153" s="75" t="inlineStr">
        <is>
          <t>payload_documental</t>
        </is>
      </c>
      <c r="G153" s="75" t="inlineStr">
        <is>
          <t>733239</t>
        </is>
      </c>
      <c r="H153" s="75" t="inlineStr">
        <is>
          <t>documento_curado</t>
        </is>
      </c>
      <c r="I153" s="75" t="inlineStr">
        <is>
          <t>2024-09-05</t>
        </is>
      </c>
      <c r="J153" s="75" t="inlineStr">
        <is>
          <t>99</t>
        </is>
      </c>
      <c r="K153" s="75" t="inlineStr">
        <is>
          <t>aceito_payload</t>
        </is>
      </c>
      <c r="L153" s="144" t="n">
        <v>1</v>
      </c>
      <c r="M153" s="75" t="inlineStr">
        <is>
          <t>data/industry_study/generated_revision/artifact_payload.json</t>
        </is>
      </c>
      <c r="N153" s="75" t="inlineStr">
        <is>
          <t>https://fnet.bmfbovespa.com.br/fnet/publico/downloadDocumento?id=733239</t>
        </is>
      </c>
      <c r="O153" s="75" t="inlineStr">
        <is>
          <t>Cotas subordinadas / PL, mínimo de 6,8%; estrutura com uma única classe residual.</t>
        </is>
      </c>
    </row>
    <row r="154" ht="43.5" customHeight="1">
      <c r="A154" s="142" t="n">
        <v>42102603000144</v>
      </c>
      <c r="B154" s="75" t="inlineStr">
        <is>
          <t>42.102.603/0001-44</t>
        </is>
      </c>
      <c r="C154" s="75" t="inlineStr">
        <is>
          <t>minimo_junior</t>
        </is>
      </c>
      <c r="D154" s="75" t="inlineStr">
        <is>
          <t>6.8%</t>
        </is>
      </c>
      <c r="E154" s="75" t="inlineStr">
        <is>
          <t>junior_pl</t>
        </is>
      </c>
      <c r="F154" s="75" t="inlineStr">
        <is>
          <t>payload_documental</t>
        </is>
      </c>
      <c r="G154" s="75" t="inlineStr">
        <is>
          <t>733239</t>
        </is>
      </c>
      <c r="H154" s="75" t="inlineStr">
        <is>
          <t>documento_curado</t>
        </is>
      </c>
      <c r="I154" s="75" t="inlineStr">
        <is>
          <t>2024-09-05</t>
        </is>
      </c>
      <c r="J154" s="75" t="inlineStr">
        <is>
          <t>99</t>
        </is>
      </c>
      <c r="K154" s="75" t="inlineStr">
        <is>
          <t>aceito_payload</t>
        </is>
      </c>
      <c r="L154" s="144" t="n">
        <v>1</v>
      </c>
      <c r="M154" s="75" t="inlineStr">
        <is>
          <t>data/industry_study/generated_revision/artifact_payload.json</t>
        </is>
      </c>
      <c r="N154" s="75" t="inlineStr">
        <is>
          <t>https://fnet.bmfbovespa.com.br/fnet/publico/downloadDocumento?id=733239</t>
        </is>
      </c>
      <c r="O154" s="75" t="inlineStr">
        <is>
          <t>Cotas subordinadas / PL, mínimo de 6,8%; estrutura com uma única classe residual.</t>
        </is>
      </c>
    </row>
    <row r="155" ht="43.5" customHeight="1">
      <c r="A155" s="142" t="n">
        <v>42102603000144</v>
      </c>
      <c r="B155" s="75" t="inlineStr">
        <is>
          <t>42.102.603/0001-44</t>
        </is>
      </c>
      <c r="C155" s="75" t="inlineStr">
        <is>
          <t>natureza_indice</t>
        </is>
      </c>
      <c r="D155" s="75" t="inlineStr">
        <is>
          <t>junior_pl</t>
        </is>
      </c>
      <c r="E155" s="75" t="inlineStr">
        <is>
          <t>junior_pl</t>
        </is>
      </c>
      <c r="F155" s="75" t="inlineStr">
        <is>
          <t>payload_documental</t>
        </is>
      </c>
      <c r="G155" s="75" t="inlineStr">
        <is>
          <t>733239</t>
        </is>
      </c>
      <c r="H155" s="75" t="inlineStr">
        <is>
          <t>documento_curado</t>
        </is>
      </c>
      <c r="I155" s="75" t="inlineStr">
        <is>
          <t>2024-09-05</t>
        </is>
      </c>
      <c r="J155" s="75" t="inlineStr">
        <is>
          <t>99</t>
        </is>
      </c>
      <c r="K155" s="75" t="inlineStr">
        <is>
          <t>aceito_payload</t>
        </is>
      </c>
      <c r="L155" s="144" t="n">
        <v>1</v>
      </c>
      <c r="M155" s="75" t="inlineStr">
        <is>
          <t>data/industry_study/generated_revision/artifact_payload.json</t>
        </is>
      </c>
      <c r="N155" s="75" t="inlineStr">
        <is>
          <t>https://fnet.bmfbovespa.com.br/fnet/publico/downloadDocumento?id=733239</t>
        </is>
      </c>
      <c r="O155" s="75" t="inlineStr">
        <is>
          <t>Cotas subordinadas / PL, mínimo de 6,8%; estrutura com uma única classe residual.</t>
        </is>
      </c>
    </row>
    <row r="156" ht="43.5" customHeight="1">
      <c r="A156" s="142" t="n">
        <v>42102603000144</v>
      </c>
      <c r="B156" s="75" t="inlineStr">
        <is>
          <t>42.102.603/0001-44</t>
        </is>
      </c>
      <c r="C156" s="75" t="inlineStr">
        <is>
          <t>sacado_devedor</t>
        </is>
      </c>
      <c r="D156" s="75" t="inlineStr">
        <is>
          <t>cada Devedor de Direitos Creditórios Cedidos que represente 6,8% (seis inteiros e oito décimos por cento) ou mais do Patrimônio Líquido do Fundo</t>
        </is>
      </c>
      <c r="E156" s="75" t="inlineStr">
        <is>
          <t>N/D</t>
        </is>
      </c>
      <c r="F156" s="75" t="inlineStr">
        <is>
          <t>regulamento</t>
        </is>
      </c>
      <c r="G156" s="75" t="inlineStr">
        <is>
          <t>733239</t>
        </is>
      </c>
      <c r="H156" s="75" t="inlineStr">
        <is>
          <t>regulamento</t>
        </is>
      </c>
      <c r="I156" s="75" t="inlineStr">
        <is>
          <t>2024-09-05</t>
        </is>
      </c>
      <c r="J156" s="75" t="inlineStr">
        <is>
          <t>96</t>
        </is>
      </c>
      <c r="K156" s="75" t="inlineStr">
        <is>
          <t>encontrado_explicito</t>
        </is>
      </c>
      <c r="L156" s="144" t="n">
        <v>0.95</v>
      </c>
      <c r="M156" s="75" t="inlineStr">
        <is>
          <t>data/raw/42102603000144/733239_regulamento_regulamento_733239_2024-09-05.pdf</t>
        </is>
      </c>
      <c r="N156" s="75" t="inlineStr">
        <is>
          <t>https://fnet.bmfbovespa.com.br/fnet/publico/downloadDocumento?id=733239</t>
        </is>
      </c>
      <c r="O156" s="75" t="inlineStr">
        <is>
          <t>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t>
        </is>
      </c>
    </row>
    <row r="157" ht="43.5" customHeight="1">
      <c r="A157" s="142" t="n">
        <v>42102603000144</v>
      </c>
      <c r="B157" s="75" t="inlineStr">
        <is>
          <t>42.102.603/0001-44</t>
        </is>
      </c>
      <c r="C157" s="75" t="inlineStr">
        <is>
          <t>tipo_recebivel</t>
        </is>
      </c>
      <c r="D157" s="75" t="inlineStr">
        <is>
          <t>os direitos creditórios de tempos em tempos detidos pela Cedente em face dos Devedores , conforme as regras dos Arranjos de Pagamentos, decorrentes de Docusign Envelope ID: C7A68EEF-E1CC-4C50-9460-07F207F1899B</t>
        </is>
      </c>
      <c r="E157" s="75" t="inlineStr">
        <is>
          <t>N/D</t>
        </is>
      </c>
      <c r="F157" s="75" t="inlineStr">
        <is>
          <t>regulamento</t>
        </is>
      </c>
      <c r="G157" s="75" t="inlineStr">
        <is>
          <t>733239</t>
        </is>
      </c>
      <c r="H157" s="75" t="inlineStr">
        <is>
          <t>regulamento</t>
        </is>
      </c>
      <c r="I157" s="75" t="inlineStr">
        <is>
          <t>2024-09-05</t>
        </is>
      </c>
      <c r="J157" s="75" t="inlineStr">
        <is>
          <t>96</t>
        </is>
      </c>
      <c r="K157" s="75" t="inlineStr">
        <is>
          <t>encontrado_explicito</t>
        </is>
      </c>
      <c r="L157" s="144" t="n">
        <v>0.92</v>
      </c>
      <c r="M157" s="75" t="inlineStr">
        <is>
          <t>data/raw/42102603000144/733239_regulamento_regulamento_733239_2024-09-05.pdf</t>
        </is>
      </c>
      <c r="N157" s="75" t="inlineStr">
        <is>
          <t>https://fnet.bmfbovespa.com.br/fnet/publico/downloadDocumento?id=733239</t>
        </is>
      </c>
      <c r="O157" s="75" t="inlineStr">
        <is>
          <t>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t>
        </is>
      </c>
    </row>
    <row r="158" ht="43.5" customHeight="1">
      <c r="A158" s="142" t="n">
        <v>42154687000160</v>
      </c>
      <c r="B158" s="75" t="inlineStr">
        <is>
          <t>42.154.687/0001-60</t>
        </is>
      </c>
      <c r="C158" s="75" t="inlineStr">
        <is>
          <t>cedente</t>
        </is>
      </c>
      <c r="D158" s="75" t="inlineStr">
        <is>
          <t>Multicedentes &amp; Multisacados</t>
        </is>
      </c>
      <c r="E158" s="75" t="inlineStr">
        <is>
          <t>N/D</t>
        </is>
      </c>
      <c r="F158" s="75" t="inlineStr">
        <is>
          <t>planilha_manual</t>
        </is>
      </c>
      <c r="G158" s="75" t="inlineStr">
        <is>
          <t>IMG_8705.JPG</t>
        </is>
      </c>
      <c r="H158" s="75" t="inlineStr">
        <is>
          <t>payload</t>
        </is>
      </c>
      <c r="I158" s="75" t="inlineStr">
        <is>
          <t>2026-06-08</t>
        </is>
      </c>
      <c r="J158" s="75" t="inlineStr">
        <is>
          <t>54</t>
        </is>
      </c>
      <c r="K158" s="75" t="inlineStr">
        <is>
          <t>aceito_payload</t>
        </is>
      </c>
      <c r="L158" s="144" t="n">
        <v>1</v>
      </c>
      <c r="M158" s="75" t="inlineStr">
        <is>
          <t>data/industry_study/generated_revision/artifact_payload.json</t>
        </is>
      </c>
      <c r="N158" s="75" t="inlineStr">
        <is>
          <t>N/D</t>
        </is>
      </c>
      <c r="O158" s="75" t="inlineStr">
        <is>
          <t>Denominação cortada pela largura da coluna na foto.</t>
        </is>
      </c>
    </row>
    <row r="159" ht="43.5" customHeight="1">
      <c r="A159" s="142" t="n">
        <v>42154687000160</v>
      </c>
      <c r="B159" s="75" t="inlineStr">
        <is>
          <t>42.154.687/0001-60</t>
        </is>
      </c>
      <c r="C159" s="75" t="inlineStr">
        <is>
          <t>minimo_junior</t>
        </is>
      </c>
      <c r="D159" s="75" t="inlineStr">
        <is>
          <t>20%</t>
        </is>
      </c>
      <c r="E159" s="75" t="inlineStr">
        <is>
          <t>junior_pl</t>
        </is>
      </c>
      <c r="F159" s="75" t="inlineStr">
        <is>
          <t>payload_documental</t>
        </is>
      </c>
      <c r="G159" s="75" t="inlineStr">
        <is>
          <t>1223029</t>
        </is>
      </c>
      <c r="H159" s="75" t="inlineStr">
        <is>
          <t>documento_curado</t>
        </is>
      </c>
      <c r="I159" s="75" t="inlineStr">
        <is>
          <t>2026-06-08</t>
        </is>
      </c>
      <c r="J159" s="75" t="inlineStr">
        <is>
          <t>54</t>
        </is>
      </c>
      <c r="K159" s="75" t="inlineStr">
        <is>
          <t>aceito_payload</t>
        </is>
      </c>
      <c r="L159" s="144" t="n">
        <v>1</v>
      </c>
      <c r="M159" s="75" t="inlineStr">
        <is>
          <t>data/industry_study/generated_revision/artifact_payload.json</t>
        </is>
      </c>
      <c r="N159" s="75" t="inlineStr">
        <is>
          <t>https://fnet.bmfbovespa.com.br/fnet/publico/downloadDocumento?id=1223029</t>
        </is>
      </c>
      <c r="O159" s="75" t="inlineStr">
        <is>
          <t>Mínimo júnior calculado: subordinadas = 40,0% do PL e júnior = 50,0% das subordinadas.</t>
        </is>
      </c>
    </row>
    <row r="160" ht="43.5" customHeight="1">
      <c r="A160" s="142" t="n">
        <v>42154687000160</v>
      </c>
      <c r="B160" s="75" t="inlineStr">
        <is>
          <t>42.154.687/0001-60</t>
        </is>
      </c>
      <c r="C160" s="75" t="inlineStr">
        <is>
          <t>natureza_indice</t>
        </is>
      </c>
      <c r="D160" s="75" t="inlineStr">
        <is>
          <t>junior_pl</t>
        </is>
      </c>
      <c r="E160" s="75" t="inlineStr">
        <is>
          <t>junior_pl</t>
        </is>
      </c>
      <c r="F160" s="75" t="inlineStr">
        <is>
          <t>payload_documental</t>
        </is>
      </c>
      <c r="G160" s="75" t="inlineStr">
        <is>
          <t>1223029</t>
        </is>
      </c>
      <c r="H160" s="75" t="inlineStr">
        <is>
          <t>documento_curado</t>
        </is>
      </c>
      <c r="I160" s="75" t="inlineStr">
        <is>
          <t>2026-06-08</t>
        </is>
      </c>
      <c r="J160" s="75" t="inlineStr">
        <is>
          <t>54</t>
        </is>
      </c>
      <c r="K160" s="75" t="inlineStr">
        <is>
          <t>aceito_payload</t>
        </is>
      </c>
      <c r="L160" s="144" t="n">
        <v>1</v>
      </c>
      <c r="M160" s="75" t="inlineStr">
        <is>
          <t>data/industry_study/generated_revision/artifact_payload.json</t>
        </is>
      </c>
      <c r="N160" s="75" t="inlineStr">
        <is>
          <t>https://fnet.bmfbovespa.com.br/fnet/publico/downloadDocumento?id=1223029</t>
        </is>
      </c>
      <c r="O160" s="75" t="inlineStr">
        <is>
          <t>Mínimo júnior calculado: subordinadas = 40,0% do PL e júnior = 50,0% das subordinadas.</t>
        </is>
      </c>
    </row>
    <row r="161" ht="43.5" customHeight="1">
      <c r="A161" s="142" t="n">
        <v>42154687000160</v>
      </c>
      <c r="B161" s="75" t="inlineStr">
        <is>
          <t>42.154.687/0001-60</t>
        </is>
      </c>
      <c r="C161" s="75" t="inlineStr">
        <is>
          <t>tipo_recebivel</t>
        </is>
      </c>
      <c r="D161" s="75" t="inlineStr">
        <is>
          <t>FIDC MultiCedente / Multisacado</t>
        </is>
      </c>
      <c r="E161" s="75" t="inlineStr">
        <is>
          <t>N/D</t>
        </is>
      </c>
      <c r="F161" s="75" t="inlineStr">
        <is>
          <t>planilha_manual</t>
        </is>
      </c>
      <c r="G161" s="75" t="inlineStr">
        <is>
          <t>IMG_8705.JPG</t>
        </is>
      </c>
      <c r="H161" s="75" t="inlineStr">
        <is>
          <t>payload</t>
        </is>
      </c>
      <c r="I161" s="75" t="inlineStr">
        <is>
          <t>2026-06-08</t>
        </is>
      </c>
      <c r="J161" s="75" t="inlineStr">
        <is>
          <t>54</t>
        </is>
      </c>
      <c r="K161" s="75" t="inlineStr">
        <is>
          <t>aceito_payload</t>
        </is>
      </c>
      <c r="L161" s="144" t="n">
        <v>1</v>
      </c>
      <c r="M161" s="75" t="inlineStr">
        <is>
          <t>data/industry_study/generated_revision/artifact_payload.json</t>
        </is>
      </c>
      <c r="N161" s="75" t="inlineStr">
        <is>
          <t>N/D</t>
        </is>
      </c>
      <c r="O161" s="75" t="inlineStr">
        <is>
          <t>Denominação cortada pela largura da coluna na foto.</t>
        </is>
      </c>
    </row>
    <row r="162" ht="43.5" customHeight="1">
      <c r="A162" s="142" t="n">
        <v>42462306000100</v>
      </c>
      <c r="B162" s="75" t="inlineStr">
        <is>
          <t>42.462.306/0001-00</t>
        </is>
      </c>
      <c r="C162" s="75" t="inlineStr">
        <is>
          <t>cedente</t>
        </is>
      </c>
      <c r="D162" s="75" t="inlineStr">
        <is>
          <t>Solfácil</t>
        </is>
      </c>
      <c r="E162" s="75" t="inlineStr">
        <is>
          <t>N/D</t>
        </is>
      </c>
      <c r="F162" s="75" t="inlineStr">
        <is>
          <t>planilha_manual</t>
        </is>
      </c>
      <c r="G162" s="75" t="inlineStr">
        <is>
          <t>IMG_8704.JPG</t>
        </is>
      </c>
      <c r="H162" s="75" t="inlineStr">
        <is>
          <t>payload</t>
        </is>
      </c>
      <c r="I162" s="75" t="inlineStr">
        <is>
          <t>2025-05-05</t>
        </is>
      </c>
      <c r="J162" s="75" t="inlineStr">
        <is>
          <t>12</t>
        </is>
      </c>
      <c r="K162" s="75" t="inlineStr">
        <is>
          <t>aceito_payload</t>
        </is>
      </c>
      <c r="L162" s="144" t="n">
        <v>1</v>
      </c>
      <c r="M162" s="75" t="inlineStr">
        <is>
          <t>data/industry_study/generated_revision/artifact_payload.json</t>
        </is>
      </c>
      <c r="N162" s="75" t="inlineStr">
        <is>
          <t>N/D</t>
        </is>
      </c>
      <c r="O162" s="75" t="inlineStr">
        <is>
          <t>OBS da foto: FIDC warehouse com finalidade de originar créditos para serem securitizados posteriormente em CRIs a mercado; texto final cortado pela foto.</t>
        </is>
      </c>
    </row>
    <row r="163" ht="43.5" customHeight="1">
      <c r="A163" s="142" t="n">
        <v>42462306000100</v>
      </c>
      <c r="B163" s="75" t="inlineStr">
        <is>
          <t>42.462.306/0001-00</t>
        </is>
      </c>
      <c r="C163" s="75" t="inlineStr">
        <is>
          <t>minimo_junior</t>
        </is>
      </c>
      <c r="D163" s="75" t="inlineStr">
        <is>
          <t>4.5%</t>
        </is>
      </c>
      <c r="E163" s="75" t="inlineStr">
        <is>
          <t>junior_pl</t>
        </is>
      </c>
      <c r="F163" s="75" t="inlineStr">
        <is>
          <t>payload_documental</t>
        </is>
      </c>
      <c r="G163" s="75" t="inlineStr">
        <is>
          <t>896879</t>
        </is>
      </c>
      <c r="H163" s="75" t="inlineStr">
        <is>
          <t>documento_curado</t>
        </is>
      </c>
      <c r="I163" s="75" t="inlineStr">
        <is>
          <t>2025-05-05</t>
        </is>
      </c>
      <c r="J163" s="75" t="inlineStr">
        <is>
          <t>12</t>
        </is>
      </c>
      <c r="K163" s="75" t="inlineStr">
        <is>
          <t>aceito_payload</t>
        </is>
      </c>
      <c r="L163" s="144" t="n">
        <v>1</v>
      </c>
      <c r="M163" s="75" t="inlineStr">
        <is>
          <t>data/industry_study/generated_revision/artifact_payload.json</t>
        </is>
      </c>
      <c r="N163" s="75" t="inlineStr">
        <is>
          <t>https://fnet.bmfbovespa.com.br/fnet/publico/downloadDocumento?id=896879</t>
        </is>
      </c>
      <c r="O163" s="75" t="inlineStr">
        <is>
          <t>Cotas subordinadas júnior / PL, mínimo de 4,5%.</t>
        </is>
      </c>
    </row>
    <row r="164" ht="43.5" customHeight="1">
      <c r="A164" s="142" t="n">
        <v>42462306000100</v>
      </c>
      <c r="B164" s="75" t="inlineStr">
        <is>
          <t>42.462.306/0001-00</t>
        </is>
      </c>
      <c r="C164" s="75" t="inlineStr">
        <is>
          <t>natureza_indice</t>
        </is>
      </c>
      <c r="D164" s="75" t="inlineStr">
        <is>
          <t>junior_pl</t>
        </is>
      </c>
      <c r="E164" s="75" t="inlineStr">
        <is>
          <t>junior_pl</t>
        </is>
      </c>
      <c r="F164" s="75" t="inlineStr">
        <is>
          <t>payload_documental</t>
        </is>
      </c>
      <c r="G164" s="75" t="inlineStr">
        <is>
          <t>896879</t>
        </is>
      </c>
      <c r="H164" s="75" t="inlineStr">
        <is>
          <t>documento_curado</t>
        </is>
      </c>
      <c r="I164" s="75" t="inlineStr">
        <is>
          <t>2025-05-05</t>
        </is>
      </c>
      <c r="J164" s="75" t="inlineStr">
        <is>
          <t>12</t>
        </is>
      </c>
      <c r="K164" s="75" t="inlineStr">
        <is>
          <t>aceito_payload</t>
        </is>
      </c>
      <c r="L164" s="144" t="n">
        <v>1</v>
      </c>
      <c r="M164" s="75" t="inlineStr">
        <is>
          <t>data/industry_study/generated_revision/artifact_payload.json</t>
        </is>
      </c>
      <c r="N164" s="75" t="inlineStr">
        <is>
          <t>https://fnet.bmfbovespa.com.br/fnet/publico/downloadDocumento?id=896879</t>
        </is>
      </c>
      <c r="O164" s="75" t="inlineStr">
        <is>
          <t>Cotas subordinadas júnior / PL, mínimo de 4,5%.</t>
        </is>
      </c>
    </row>
    <row r="165" ht="43.5" customHeight="1">
      <c r="A165" s="142" t="n">
        <v>42462306000100</v>
      </c>
      <c r="B165" s="75" t="inlineStr">
        <is>
          <t>42.462.306/0001-00</t>
        </is>
      </c>
      <c r="C165" s="75" t="inlineStr">
        <is>
          <t>originador</t>
        </is>
      </c>
      <c r="D165" s="75" t="inlineStr">
        <is>
          <t>Solfácil Energia</t>
        </is>
      </c>
      <c r="E165" s="75" t="inlineStr">
        <is>
          <t>rótulo explícito de participante v2</t>
        </is>
      </c>
      <c r="F165" s="75" t="inlineStr">
        <is>
          <t>rating_report</t>
        </is>
      </c>
      <c r="G165" s="75" t="inlineStr">
        <is>
          <t>721485</t>
        </is>
      </c>
      <c r="H165" s="75" t="inlineStr">
        <is>
          <t>Relatórios Relatório de Agência de Rating</t>
        </is>
      </c>
      <c r="I165" s="75" t="inlineStr">
        <is>
          <t>30/06/2024</t>
        </is>
      </c>
      <c r="J165" s="75" t="inlineStr">
        <is>
          <t>6</t>
        </is>
      </c>
      <c r="K165" s="75" t="inlineStr">
        <is>
          <t>encontrado_explicito</t>
        </is>
      </c>
      <c r="L165" s="144" t="n">
        <v>0.93</v>
      </c>
      <c r="M165" s="75" t="inlineStr">
        <is>
          <t>.cache/carteira_101_document_scan/42462306000100/721485.json.gz</t>
        </is>
      </c>
      <c r="N165" s="75" t="inlineStr">
        <is>
          <t>https://fnet.bmfbovespa.com.br/fnet/publico/downloadDocumento?id=721485</t>
        </is>
      </c>
      <c r="O165" s="75" t="inlineStr">
        <is>
          <t>. Os analistas utilizaram informações provenientes da(s) seguinte(s) fonte(s): Solfácil Energia (Originadora). 7. As informações obtidas pela Austin Rating foram consideradas suficientes p</t>
        </is>
      </c>
    </row>
    <row r="166" ht="43.5" customHeight="1">
      <c r="A166" s="142" t="n">
        <v>42462306000100</v>
      </c>
      <c r="B166" s="75" t="inlineStr">
        <is>
          <t>42.462.306/0001-00</t>
        </is>
      </c>
      <c r="C166" s="75" t="inlineStr">
        <is>
          <t>originador</t>
        </is>
      </c>
      <c r="D166" s="75" t="inlineStr">
        <is>
          <t>Solfácil Energia</t>
        </is>
      </c>
      <c r="E166" s="75" t="inlineStr">
        <is>
          <t>rótulo explícito de participante v2</t>
        </is>
      </c>
      <c r="F166" s="75" t="inlineStr">
        <is>
          <t>rating_report</t>
        </is>
      </c>
      <c r="G166" s="75" t="inlineStr">
        <is>
          <t>1023995</t>
        </is>
      </c>
      <c r="H166" s="75" t="inlineStr">
        <is>
          <t>Relatórios Relatório de Agência de Rating</t>
        </is>
      </c>
      <c r="I166" s="75" t="inlineStr">
        <is>
          <t>30/10/2025</t>
        </is>
      </c>
      <c r="J166" s="75" t="inlineStr">
        <is>
          <t>6</t>
        </is>
      </c>
      <c r="K166" s="75" t="inlineStr">
        <is>
          <t>encontrado_explicito</t>
        </is>
      </c>
      <c r="L166" s="144" t="n">
        <v>0.93</v>
      </c>
      <c r="M166" s="75" t="inlineStr">
        <is>
          <t>.cache/carteira_101_document_scan/42462306000100/1023995.json.gz</t>
        </is>
      </c>
      <c r="N166" s="75" t="inlineStr">
        <is>
          <t>https://fnet.bmfbovespa.com.br/fnet/publico/downloadDocumento?id=1023995</t>
        </is>
      </c>
      <c r="O166" s="75" t="inlineStr">
        <is>
          <t>. Os analistas utilizaram informações provenientes da(s) seguinte(s) fonte(s): Solfácil Energia (Originadora). 7. As informações obtidas pela Austin Rating foram consideradas suficientes p</t>
        </is>
      </c>
    </row>
    <row r="167" ht="43.5" customHeight="1">
      <c r="A167" s="142" t="n">
        <v>42462306000100</v>
      </c>
      <c r="B167" s="75" t="inlineStr">
        <is>
          <t>42.462.306/0001-00</t>
        </is>
      </c>
      <c r="C167" s="75" t="inlineStr">
        <is>
          <t>tipo_recebivel</t>
        </is>
      </c>
      <c r="D167" s="75" t="inlineStr">
        <is>
          <t>créditos originados para securitização posterior em CRIs</t>
        </is>
      </c>
      <c r="E167" s="75" t="inlineStr">
        <is>
          <t>N/D</t>
        </is>
      </c>
      <c r="F167" s="75" t="inlineStr">
        <is>
          <t>planilha_manual</t>
        </is>
      </c>
      <c r="G167" s="75" t="inlineStr">
        <is>
          <t>IMG_8704.JPG</t>
        </is>
      </c>
      <c r="H167" s="75" t="inlineStr">
        <is>
          <t>payload</t>
        </is>
      </c>
      <c r="I167" s="75" t="inlineStr">
        <is>
          <t>2025-05-05</t>
        </is>
      </c>
      <c r="J167" s="75" t="inlineStr">
        <is>
          <t>12</t>
        </is>
      </c>
      <c r="K167" s="75" t="inlineStr">
        <is>
          <t>aceito_payload</t>
        </is>
      </c>
      <c r="L167" s="144" t="n">
        <v>1</v>
      </c>
      <c r="M167" s="75" t="inlineStr">
        <is>
          <t>data/industry_study/generated_revision/artifact_payload.json</t>
        </is>
      </c>
      <c r="N167" s="75" t="inlineStr">
        <is>
          <t>N/D</t>
        </is>
      </c>
      <c r="O167" s="75" t="inlineStr">
        <is>
          <t>OBS da foto: FIDC warehouse com finalidade de originar créditos para serem securitizados posteriormente em CRIs a mercado; texto final cortado pela foto.</t>
        </is>
      </c>
    </row>
    <row r="168" ht="43.5" customHeight="1">
      <c r="A168" s="142" t="n">
        <v>43193260000133</v>
      </c>
      <c r="B168" s="75" t="inlineStr">
        <is>
          <t>43.193.260/0001-33</t>
        </is>
      </c>
      <c r="C168" s="75" t="inlineStr">
        <is>
          <t>cedente</t>
        </is>
      </c>
      <c r="D168" s="75" t="inlineStr">
        <is>
          <t>VCI</t>
        </is>
      </c>
      <c r="E168" s="75" t="inlineStr">
        <is>
          <t>N/D</t>
        </is>
      </c>
      <c r="F168" s="75" t="inlineStr">
        <is>
          <t>planilha_manual</t>
        </is>
      </c>
      <c r="G168" s="75" t="inlineStr">
        <is>
          <t>IMG_8707.jpg</t>
        </is>
      </c>
      <c r="H168" s="75" t="inlineStr">
        <is>
          <t>payload</t>
        </is>
      </c>
      <c r="I168" s="75" t="inlineStr">
        <is>
          <t>2025-11-17</t>
        </is>
      </c>
      <c r="J168" s="75" t="inlineStr">
        <is>
          <t>26</t>
        </is>
      </c>
      <c r="K168" s="75" t="inlineStr">
        <is>
          <t>aceito_payload</t>
        </is>
      </c>
      <c r="L168" s="144" t="n">
        <v>1</v>
      </c>
      <c r="M168" s="75" t="inlineStr">
        <is>
          <t>data/industry_study/generated_revision/artifact_payload.json</t>
        </is>
      </c>
      <c r="N168" s="75" t="inlineStr">
        <is>
          <t>N/D</t>
        </is>
      </c>
      <c r="O168" s="75" t="inlineStr">
        <is>
          <t>OBS aparece apenas como FIDC de receb... e foi excluída da transcrição estruturada.</t>
        </is>
      </c>
    </row>
    <row r="169" ht="43.5" customHeight="1">
      <c r="A169" s="142" t="n">
        <v>43193260000133</v>
      </c>
      <c r="B169" s="75" t="inlineStr">
        <is>
          <t>43.193.260/0001-33</t>
        </is>
      </c>
      <c r="C169" s="75" t="inlineStr">
        <is>
          <t>minimo_estrutural_total</t>
        </is>
      </c>
      <c r="D169" s="75" t="inlineStr">
        <is>
          <t>50%</t>
        </is>
      </c>
      <c r="E169" s="75" t="inlineStr">
        <is>
          <t>suporte_total_pl</t>
        </is>
      </c>
      <c r="F169" s="75" t="inlineStr">
        <is>
          <t>payload_documental</t>
        </is>
      </c>
      <c r="G169" s="75" t="inlineStr">
        <is>
          <t>1044387</t>
        </is>
      </c>
      <c r="H169" s="75" t="inlineStr">
        <is>
          <t>documento_curado</t>
        </is>
      </c>
      <c r="I169" s="75" t="inlineStr">
        <is>
          <t>2025-11-17</t>
        </is>
      </c>
      <c r="J169" s="75" t="inlineStr">
        <is>
          <t>26</t>
        </is>
      </c>
      <c r="K169" s="75" t="inlineStr">
        <is>
          <t>aceito_payload</t>
        </is>
      </c>
      <c r="L169" s="144" t="n">
        <v>1</v>
      </c>
      <c r="M169" s="75" t="inlineStr">
        <is>
          <t>data/industry_study/generated_revision/artifact_payload.json</t>
        </is>
      </c>
      <c r="N169" s="75" t="inlineStr">
        <is>
          <t>https://fnet.bmfbovespa.com.br/fnet/publico/downloadDocumento?id=1044387</t>
        </is>
      </c>
      <c r="O169" s="75" t="inlineStr">
        <is>
          <t>Mínimo júnior calculado: subordinadas = 50,0% do PL e júnior = 30,0% das subordinadas.</t>
        </is>
      </c>
    </row>
    <row r="170" ht="43.5" customHeight="1">
      <c r="A170" s="142" t="n">
        <v>43193260000133</v>
      </c>
      <c r="B170" s="75" t="inlineStr">
        <is>
          <t>43.193.260/0001-33</t>
        </is>
      </c>
      <c r="C170" s="75" t="inlineStr">
        <is>
          <t>minimo_junior</t>
        </is>
      </c>
      <c r="D170" s="75" t="inlineStr">
        <is>
          <t>15%</t>
        </is>
      </c>
      <c r="E170" s="75" t="inlineStr">
        <is>
          <t>junior_pl_calculado</t>
        </is>
      </c>
      <c r="F170" s="75" t="inlineStr">
        <is>
          <t>payload_documental</t>
        </is>
      </c>
      <c r="G170" s="75" t="inlineStr">
        <is>
          <t>1044387</t>
        </is>
      </c>
      <c r="H170" s="75" t="inlineStr">
        <is>
          <t>documento_curado</t>
        </is>
      </c>
      <c r="I170" s="75" t="inlineStr">
        <is>
          <t>2025-11-17</t>
        </is>
      </c>
      <c r="J170" s="75" t="inlineStr">
        <is>
          <t>26</t>
        </is>
      </c>
      <c r="K170" s="75" t="inlineStr">
        <is>
          <t>aceito_payload</t>
        </is>
      </c>
      <c r="L170" s="144" t="n">
        <v>1</v>
      </c>
      <c r="M170" s="75" t="inlineStr">
        <is>
          <t>data/industry_study/generated_revision/artifact_payload.json</t>
        </is>
      </c>
      <c r="N170" s="75" t="inlineStr">
        <is>
          <t>https://fnet.bmfbovespa.com.br/fnet/publico/downloadDocumento?id=1044387</t>
        </is>
      </c>
      <c r="O170" s="75" t="inlineStr">
        <is>
          <t>Mínimo júnior calculado: subordinadas = 50,0% do PL e júnior = 30,0% das subordinadas.</t>
        </is>
      </c>
    </row>
    <row r="171" ht="43.5" customHeight="1">
      <c r="A171" s="142" t="n">
        <v>43193260000133</v>
      </c>
      <c r="B171" s="75" t="inlineStr">
        <is>
          <t>43.193.260/0001-33</t>
        </is>
      </c>
      <c r="C171" s="75" t="inlineStr">
        <is>
          <t>natureza_indice</t>
        </is>
      </c>
      <c r="D171" s="75" t="inlineStr">
        <is>
          <t>junior_pl_calculado</t>
        </is>
      </c>
      <c r="E171" s="75" t="inlineStr">
        <is>
          <t>junior_pl_calculado</t>
        </is>
      </c>
      <c r="F171" s="75" t="inlineStr">
        <is>
          <t>payload_documental</t>
        </is>
      </c>
      <c r="G171" s="75" t="inlineStr">
        <is>
          <t>1044387</t>
        </is>
      </c>
      <c r="H171" s="75" t="inlineStr">
        <is>
          <t>documento_curado</t>
        </is>
      </c>
      <c r="I171" s="75" t="inlineStr">
        <is>
          <t>2025-11-17</t>
        </is>
      </c>
      <c r="J171" s="75" t="inlineStr">
        <is>
          <t>26</t>
        </is>
      </c>
      <c r="K171" s="75" t="inlineStr">
        <is>
          <t>aceito_payload</t>
        </is>
      </c>
      <c r="L171" s="144" t="n">
        <v>1</v>
      </c>
      <c r="M171" s="75" t="inlineStr">
        <is>
          <t>data/industry_study/generated_revision/artifact_payload.json</t>
        </is>
      </c>
      <c r="N171" s="75" t="inlineStr">
        <is>
          <t>https://fnet.bmfbovespa.com.br/fnet/publico/downloadDocumento?id=1044387</t>
        </is>
      </c>
      <c r="O171" s="75" t="inlineStr">
        <is>
          <t>Mínimo júnior calculado: subordinadas = 50,0% do PL e júnior = 30,0% das subordinadas.</t>
        </is>
      </c>
    </row>
    <row r="172" ht="43.5" customHeight="1">
      <c r="A172" s="142" t="n">
        <v>43309233000183</v>
      </c>
      <c r="B172" s="75" t="inlineStr">
        <is>
          <t>43.309.233/0001-83</t>
        </is>
      </c>
      <c r="C172" s="75" t="inlineStr">
        <is>
          <t>cedente</t>
        </is>
      </c>
      <c r="D172" s="75" t="inlineStr">
        <is>
          <t>(i) a Adama, cujas cessões não contarão com coobrigação</t>
        </is>
      </c>
      <c r="E172" s="75" t="inlineStr">
        <is>
          <t>N/D</t>
        </is>
      </c>
      <c r="F172" s="75" t="inlineStr">
        <is>
          <t>regulamento</t>
        </is>
      </c>
      <c r="G172" s="75" t="inlineStr">
        <is>
          <t>943032</t>
        </is>
      </c>
      <c r="H172" s="75" t="inlineStr">
        <is>
          <t>Regulamento</t>
        </is>
      </c>
      <c r="I172" s="75" t="inlineStr">
        <is>
          <t>09/07/2025</t>
        </is>
      </c>
      <c r="J172" s="75" t="inlineStr">
        <is>
          <t>9</t>
        </is>
      </c>
      <c r="K172" s="75" t="inlineStr">
        <is>
          <t>encontrado_explicito</t>
        </is>
      </c>
      <c r="L172" s="144" t="n">
        <v>0.95</v>
      </c>
      <c r="M172" s="75" t="inlineStr">
        <is>
          <t>.cache/carteira_101_document_scan/43309233000183/943032.json.gz</t>
        </is>
      </c>
      <c r="N172" s="75" t="inlineStr">
        <is>
          <t>https://fnet.bmfbovespa.com.br/fnet/publico/downloadDocumento?id=943032</t>
        </is>
      </c>
      <c r="O172" s="75" t="inlineStr">
        <is>
          <t>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t>
        </is>
      </c>
    </row>
    <row r="173" ht="43.5" customHeight="1">
      <c r="A173" s="142" t="n">
        <v>43309233000183</v>
      </c>
      <c r="B173" s="75" t="inlineStr">
        <is>
          <t>43.309.233/0001-83</t>
        </is>
      </c>
      <c r="C173" s="75" t="inlineStr">
        <is>
          <t>cedente</t>
        </is>
      </c>
      <c r="D173" s="75" t="inlineStr">
        <is>
          <t>Adama</t>
        </is>
      </c>
      <c r="E173" s="75" t="inlineStr">
        <is>
          <t>N/D</t>
        </is>
      </c>
      <c r="F173" s="75" t="inlineStr">
        <is>
          <t>planilha_manual</t>
        </is>
      </c>
      <c r="G173" s="75" t="inlineStr">
        <is>
          <t>IMG_8704.JPG</t>
        </is>
      </c>
      <c r="H173" s="75" t="inlineStr">
        <is>
          <t>payload</t>
        </is>
      </c>
      <c r="I173" s="75" t="inlineStr">
        <is>
          <t>2025-07-09</t>
        </is>
      </c>
      <c r="J173" s="75" t="inlineStr">
        <is>
          <t>30</t>
        </is>
      </c>
      <c r="K173" s="75" t="inlineStr">
        <is>
          <t>aceito_payload</t>
        </is>
      </c>
      <c r="L173" s="144" t="n">
        <v>1</v>
      </c>
      <c r="M173" s="75" t="inlineStr">
        <is>
          <t>data/industry_study/generated_revision/artifact_payload.json</t>
        </is>
      </c>
      <c r="N173" s="75" t="inlineStr">
        <is>
          <t>N/D</t>
        </is>
      </c>
      <c r="O173" s="75" t="inlineStr">
        <is>
          <t>OBS da foto: fomos 100% resgatados em out/25.</t>
        </is>
      </c>
    </row>
    <row r="174" ht="43.5" customHeight="1">
      <c r="A174" s="142" t="n">
        <v>43309233000183</v>
      </c>
      <c r="B174" s="75" t="inlineStr">
        <is>
          <t>43.309.233/0001-83</t>
        </is>
      </c>
      <c r="C174" s="75" t="inlineStr">
        <is>
          <t>minimo_estrutural_total</t>
        </is>
      </c>
      <c r="D174" s="75" t="inlineStr">
        <is>
          <t>15%</t>
        </is>
      </c>
      <c r="E174" s="75" t="inlineStr">
        <is>
          <t>suporte_total_pl</t>
        </is>
      </c>
      <c r="F174" s="75" t="inlineStr">
        <is>
          <t>payload_documental</t>
        </is>
      </c>
      <c r="G174" s="75" t="inlineStr">
        <is>
          <t>943032</t>
        </is>
      </c>
      <c r="H174" s="75" t="inlineStr">
        <is>
          <t>documento_curado</t>
        </is>
      </c>
      <c r="I174" s="75" t="inlineStr">
        <is>
          <t>2025-07-09</t>
        </is>
      </c>
      <c r="J174" s="75" t="inlineStr">
        <is>
          <t>30</t>
        </is>
      </c>
      <c r="K174" s="75" t="inlineStr">
        <is>
          <t>aceito_payload</t>
        </is>
      </c>
      <c r="L174" s="144" t="n">
        <v>1</v>
      </c>
      <c r="M174" s="75" t="inlineStr">
        <is>
          <t>data/industry_study/generated_revision/artifact_payload.json</t>
        </is>
      </c>
      <c r="N174" s="75" t="inlineStr">
        <is>
          <t>https://fnet.bmfbovespa.com.br/fnet/publico/downloadDocumento?id=943032</t>
        </is>
      </c>
      <c r="O174" s="75" t="inlineStr">
        <is>
          <t>N/D</t>
        </is>
      </c>
    </row>
    <row r="175" ht="43.5" customHeight="1">
      <c r="A175" s="142" t="n">
        <v>43309233000183</v>
      </c>
      <c r="B175" s="75" t="inlineStr">
        <is>
          <t>43.309.233/0001-83</t>
        </is>
      </c>
      <c r="C175" s="75" t="inlineStr">
        <is>
          <t>natureza_indice</t>
        </is>
      </c>
      <c r="D175" s="75" t="inlineStr">
        <is>
          <t>suporte_total_pl</t>
        </is>
      </c>
      <c r="E175" s="75" t="inlineStr">
        <is>
          <t>suporte_total_pl</t>
        </is>
      </c>
      <c r="F175" s="75" t="inlineStr">
        <is>
          <t>payload_documental</t>
        </is>
      </c>
      <c r="G175" s="75" t="inlineStr">
        <is>
          <t>943032</t>
        </is>
      </c>
      <c r="H175" s="75" t="inlineStr">
        <is>
          <t>documento_curado</t>
        </is>
      </c>
      <c r="I175" s="75" t="inlineStr">
        <is>
          <t>2025-07-09</t>
        </is>
      </c>
      <c r="J175" s="75" t="inlineStr">
        <is>
          <t>30</t>
        </is>
      </c>
      <c r="K175" s="75" t="inlineStr">
        <is>
          <t>aceito_payload</t>
        </is>
      </c>
      <c r="L175" s="144" t="n">
        <v>1</v>
      </c>
      <c r="M175" s="75" t="inlineStr">
        <is>
          <t>data/industry_study/generated_revision/artifact_payload.json</t>
        </is>
      </c>
      <c r="N175" s="75" t="inlineStr">
        <is>
          <t>https://fnet.bmfbovespa.com.br/fnet/publico/downloadDocumento?id=943032</t>
        </is>
      </c>
      <c r="O175" s="75" t="inlineStr">
        <is>
          <t>N/D</t>
        </is>
      </c>
    </row>
    <row r="176" ht="43.5" customHeight="1">
      <c r="A176" s="142" t="n">
        <v>43309233000183</v>
      </c>
      <c r="B176" s="75" t="inlineStr">
        <is>
          <t>43.309.233/0001-83</t>
        </is>
      </c>
      <c r="C176" s="75" t="inlineStr">
        <is>
          <t>originador</t>
        </is>
      </c>
      <c r="D176" s="75" t="inlineStr">
        <is>
          <t>a Adama e/ou qualquer outro originador indicado pelo Gestor e aprovado pela Assembleia de Cotistas na forma do presente Regulamento</t>
        </is>
      </c>
      <c r="E176" s="75" t="inlineStr">
        <is>
          <t>N/D</t>
        </is>
      </c>
      <c r="F176" s="75" t="inlineStr">
        <is>
          <t>regulamento</t>
        </is>
      </c>
      <c r="G176" s="75" t="inlineStr">
        <is>
          <t>943032</t>
        </is>
      </c>
      <c r="H176" s="75" t="inlineStr">
        <is>
          <t>Regulamento</t>
        </is>
      </c>
      <c r="I176" s="75" t="inlineStr">
        <is>
          <t>09/07/2025</t>
        </is>
      </c>
      <c r="J176" s="75" t="inlineStr">
        <is>
          <t>27</t>
        </is>
      </c>
      <c r="K176" s="75" t="inlineStr">
        <is>
          <t>encontrado_explicito</t>
        </is>
      </c>
      <c r="L176" s="144" t="n">
        <v>0.95</v>
      </c>
      <c r="M176" s="75" t="inlineStr">
        <is>
          <t>.cache/carteira_101_document_scan/43309233000183/943032.json.gz</t>
        </is>
      </c>
      <c r="N176" s="75" t="inlineStr">
        <is>
          <t>https://fnet.bmfbovespa.com.br/fnet/publico/downloadDocumento?id=943032</t>
        </is>
      </c>
      <c r="O176" s="75" t="inlineStr">
        <is>
          <t>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t>
        </is>
      </c>
    </row>
    <row r="177" ht="43.5" customHeight="1">
      <c r="A177" s="142" t="n">
        <v>43309233000183</v>
      </c>
      <c r="B177" s="75" t="inlineStr">
        <is>
          <t>43.309.233/0001-83</t>
        </is>
      </c>
      <c r="C177" s="75" t="inlineStr">
        <is>
          <t>sacado_devedor</t>
        </is>
      </c>
      <c r="D177" s="75"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E177" s="75" t="inlineStr">
        <is>
          <t>N/D</t>
        </is>
      </c>
      <c r="F177" s="75" t="inlineStr">
        <is>
          <t>regulamento</t>
        </is>
      </c>
      <c r="G177" s="75" t="inlineStr">
        <is>
          <t>943032</t>
        </is>
      </c>
      <c r="H177" s="75" t="inlineStr">
        <is>
          <t>Regulamento</t>
        </is>
      </c>
      <c r="I177" s="75" t="inlineStr">
        <is>
          <t>09/07/2025</t>
        </is>
      </c>
      <c r="J177" s="75" t="inlineStr">
        <is>
          <t>17</t>
        </is>
      </c>
      <c r="K177" s="75" t="inlineStr">
        <is>
          <t>encontrado_explicito</t>
        </is>
      </c>
      <c r="L177" s="144" t="n">
        <v>0.95</v>
      </c>
      <c r="M177" s="75" t="inlineStr">
        <is>
          <t>.cache/carteira_101_document_scan/43309233000183/943032.json.gz</t>
        </is>
      </c>
      <c r="N177" s="75" t="inlineStr">
        <is>
          <t>https://fnet.bmfbovespa.com.br/fnet/publico/downloadDocumento?id=943032</t>
        </is>
      </c>
      <c r="O177" s="75" t="inlineStr">
        <is>
          <t>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t>
        </is>
      </c>
    </row>
    <row r="178" ht="43.5" customHeight="1">
      <c r="A178" s="142" t="n">
        <v>43309233000183</v>
      </c>
      <c r="B178" s="75" t="inlineStr">
        <is>
          <t>43.309.233/0001-83</t>
        </is>
      </c>
      <c r="C178" s="75" t="inlineStr">
        <is>
          <t>tipo_recebivel</t>
        </is>
      </c>
      <c r="D178" s="75"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E178" s="75" t="inlineStr">
        <is>
          <t>N/D</t>
        </is>
      </c>
      <c r="F178" s="75" t="inlineStr">
        <is>
          <t>regulamento</t>
        </is>
      </c>
      <c r="G178" s="75" t="inlineStr">
        <is>
          <t>943032</t>
        </is>
      </c>
      <c r="H178" s="75" t="inlineStr">
        <is>
          <t>Regulamento</t>
        </is>
      </c>
      <c r="I178" s="75" t="inlineStr">
        <is>
          <t>09/07/2025</t>
        </is>
      </c>
      <c r="J178" s="75" t="inlineStr">
        <is>
          <t>19</t>
        </is>
      </c>
      <c r="K178" s="75" t="inlineStr">
        <is>
          <t>encontrado_explicito</t>
        </is>
      </c>
      <c r="L178" s="144" t="n">
        <v>0.92</v>
      </c>
      <c r="M178" s="75" t="inlineStr">
        <is>
          <t>.cache/carteira_101_document_scan/43309233000183/943032.json.gz</t>
        </is>
      </c>
      <c r="N178" s="75" t="inlineStr">
        <is>
          <t>https://fnet.bmfbovespa.com.br/fnet/publico/downloadDocumento?id=943032</t>
        </is>
      </c>
      <c r="O178" s="75" t="inlineStr">
        <is>
          <t>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t>
        </is>
      </c>
    </row>
    <row r="179" ht="43.5" customHeight="1">
      <c r="A179" s="142" t="n">
        <v>43309233000183</v>
      </c>
      <c r="B179" s="75" t="inlineStr">
        <is>
          <t>43.309.233/0001-83</t>
        </is>
      </c>
      <c r="C179" s="75" t="inlineStr">
        <is>
          <t>tipo_recebivel</t>
        </is>
      </c>
      <c r="D179" s="75" t="inlineStr">
        <is>
          <t>Insumos Agrícolas - prazo Safra</t>
        </is>
      </c>
      <c r="E179" s="75" t="inlineStr">
        <is>
          <t>N/D</t>
        </is>
      </c>
      <c r="F179" s="75" t="inlineStr">
        <is>
          <t>planilha_manual</t>
        </is>
      </c>
      <c r="G179" s="75" t="inlineStr">
        <is>
          <t>IMG_8704.JPG</t>
        </is>
      </c>
      <c r="H179" s="75" t="inlineStr">
        <is>
          <t>payload</t>
        </is>
      </c>
      <c r="I179" s="75" t="inlineStr">
        <is>
          <t>2025-07-09</t>
        </is>
      </c>
      <c r="J179" s="75" t="inlineStr">
        <is>
          <t>30</t>
        </is>
      </c>
      <c r="K179" s="75" t="inlineStr">
        <is>
          <t>aceito_payload</t>
        </is>
      </c>
      <c r="L179" s="144" t="n">
        <v>1</v>
      </c>
      <c r="M179" s="75" t="inlineStr">
        <is>
          <t>data/industry_study/generated_revision/artifact_payload.json</t>
        </is>
      </c>
      <c r="N179" s="75" t="inlineStr">
        <is>
          <t>N/D</t>
        </is>
      </c>
      <c r="O179" s="75" t="inlineStr">
        <is>
          <t>OBS da foto: fomos 100% resgatados em out/25.</t>
        </is>
      </c>
    </row>
    <row r="180" ht="43.5" customHeight="1">
      <c r="A180" s="142" t="n">
        <v>43616659000180</v>
      </c>
      <c r="B180" s="75" t="inlineStr">
        <is>
          <t>43.616.659/0001-80</t>
        </is>
      </c>
      <c r="C180" s="75" t="inlineStr">
        <is>
          <t>cedente</t>
        </is>
      </c>
      <c r="D180" s="75" t="inlineStr">
        <is>
          <t>(i) a Yara, cujas cessões não contarão com coobrigação</t>
        </is>
      </c>
      <c r="E180" s="75" t="inlineStr">
        <is>
          <t>N/D</t>
        </is>
      </c>
      <c r="F180" s="75" t="inlineStr">
        <is>
          <t>regulamento</t>
        </is>
      </c>
      <c r="G180" s="75" t="inlineStr">
        <is>
          <t>400836</t>
        </is>
      </c>
      <c r="H180" s="75" t="inlineStr">
        <is>
          <t>Regulamento</t>
        </is>
      </c>
      <c r="I180" s="75" t="inlineStr">
        <is>
          <t>10/01/2023</t>
        </is>
      </c>
      <c r="J180" s="75" t="inlineStr">
        <is>
          <t>7</t>
        </is>
      </c>
      <c r="K180" s="75" t="inlineStr">
        <is>
          <t>encontrado_explicito</t>
        </is>
      </c>
      <c r="L180" s="144" t="n">
        <v>0.95</v>
      </c>
      <c r="M180" s="75" t="inlineStr">
        <is>
          <t>.cache/carteira_101_document_scan/43616659000180/400836.json.gz</t>
        </is>
      </c>
      <c r="N180" s="75" t="inlineStr">
        <is>
          <t>https://fnet.bmfbovespa.com.br/fnet/publico/downloadDocumento?id=400836</t>
        </is>
      </c>
      <c r="O180" s="75" t="inlineStr">
        <is>
          <t>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t>
        </is>
      </c>
    </row>
    <row r="181" ht="43.5" customHeight="1">
      <c r="A181" s="142" t="n">
        <v>43616659000180</v>
      </c>
      <c r="B181" s="75" t="inlineStr">
        <is>
          <t>43.616.659/0001-80</t>
        </is>
      </c>
      <c r="C181" s="75" t="inlineStr">
        <is>
          <t>cedente</t>
        </is>
      </c>
      <c r="D181" s="75" t="inlineStr">
        <is>
          <t>Yara</t>
        </is>
      </c>
      <c r="E181" s="75" t="inlineStr">
        <is>
          <t>N/D</t>
        </is>
      </c>
      <c r="F181" s="75" t="inlineStr">
        <is>
          <t>planilha_manual</t>
        </is>
      </c>
      <c r="G181" s="75" t="inlineStr">
        <is>
          <t>IMG_8704.JPG</t>
        </is>
      </c>
      <c r="H181" s="75" t="inlineStr">
        <is>
          <t>payload</t>
        </is>
      </c>
      <c r="I181" s="75" t="inlineStr">
        <is>
          <t>2024-11-28</t>
        </is>
      </c>
      <c r="J181" s="75" t="inlineStr">
        <is>
          <t>7</t>
        </is>
      </c>
      <c r="K181" s="75" t="inlineStr">
        <is>
          <t>aceito_payload</t>
        </is>
      </c>
      <c r="L181" s="144" t="n">
        <v>1</v>
      </c>
      <c r="M181" s="75" t="inlineStr">
        <is>
          <t>data/industry_study/generated_revision/artifact_payload.json</t>
        </is>
      </c>
      <c r="N181" s="75" t="inlineStr">
        <is>
          <t>N/D</t>
        </is>
      </c>
      <c r="O181" s="75" t="inlineStr">
        <is>
          <t>OBS da foto: subordinação mínima próxima ao limiar (atual Baa3). Denominação cortada.</t>
        </is>
      </c>
    </row>
    <row r="182" ht="43.5" customHeight="1">
      <c r="A182" s="142" t="n">
        <v>43616659000180</v>
      </c>
      <c r="B182" s="75" t="inlineStr">
        <is>
          <t>43.616.659/0001-80</t>
        </is>
      </c>
      <c r="C182" s="75" t="inlineStr">
        <is>
          <t>minimo_estrutural_total</t>
        </is>
      </c>
      <c r="D182" s="75" t="inlineStr">
        <is>
          <t>25%</t>
        </is>
      </c>
      <c r="E182" s="75" t="inlineStr">
        <is>
          <t>suporte_total_pl</t>
        </is>
      </c>
      <c r="F182" s="75" t="inlineStr">
        <is>
          <t>payload_documental</t>
        </is>
      </c>
      <c r="G182" s="75" t="inlineStr">
        <is>
          <t>791844</t>
        </is>
      </c>
      <c r="H182" s="75" t="inlineStr">
        <is>
          <t>documento_curado</t>
        </is>
      </c>
      <c r="I182" s="75" t="inlineStr">
        <is>
          <t>2024-11-28</t>
        </is>
      </c>
      <c r="J182" s="75" t="inlineStr">
        <is>
          <t>7</t>
        </is>
      </c>
      <c r="K182" s="75" t="inlineStr">
        <is>
          <t>aceito_payload</t>
        </is>
      </c>
      <c r="L182" s="144" t="n">
        <v>1</v>
      </c>
      <c r="M182" s="75" t="inlineStr">
        <is>
          <t>data/industry_study/generated_revision/artifact_payload.json</t>
        </is>
      </c>
      <c r="N182" s="75" t="inlineStr">
        <is>
          <t>https://fnet.bmfbovespa.com.br/fnet/publico/downloadDocumento?id=791844</t>
        </is>
      </c>
      <c r="O182" s="75" t="inlineStr">
        <is>
          <t>N/D</t>
        </is>
      </c>
    </row>
    <row r="183" ht="43.5" customHeight="1">
      <c r="A183" s="142" t="n">
        <v>43616659000180</v>
      </c>
      <c r="B183" s="75" t="inlineStr">
        <is>
          <t>43.616.659/0001-80</t>
        </is>
      </c>
      <c r="C183" s="75" t="inlineStr">
        <is>
          <t>natureza_indice</t>
        </is>
      </c>
      <c r="D183" s="75" t="inlineStr">
        <is>
          <t>suporte_total_pl</t>
        </is>
      </c>
      <c r="E183" s="75" t="inlineStr">
        <is>
          <t>suporte_total_pl</t>
        </is>
      </c>
      <c r="F183" s="75" t="inlineStr">
        <is>
          <t>payload_documental</t>
        </is>
      </c>
      <c r="G183" s="75" t="inlineStr">
        <is>
          <t>791844</t>
        </is>
      </c>
      <c r="H183" s="75" t="inlineStr">
        <is>
          <t>documento_curado</t>
        </is>
      </c>
      <c r="I183" s="75" t="inlineStr">
        <is>
          <t>2024-11-28</t>
        </is>
      </c>
      <c r="J183" s="75" t="inlineStr">
        <is>
          <t>7</t>
        </is>
      </c>
      <c r="K183" s="75" t="inlineStr">
        <is>
          <t>aceito_payload</t>
        </is>
      </c>
      <c r="L183" s="144" t="n">
        <v>1</v>
      </c>
      <c r="M183" s="75" t="inlineStr">
        <is>
          <t>data/industry_study/generated_revision/artifact_payload.json</t>
        </is>
      </c>
      <c r="N183" s="75" t="inlineStr">
        <is>
          <t>https://fnet.bmfbovespa.com.br/fnet/publico/downloadDocumento?id=791844</t>
        </is>
      </c>
      <c r="O183" s="75" t="inlineStr">
        <is>
          <t>N/D</t>
        </is>
      </c>
    </row>
    <row r="184" ht="43.5" customHeight="1">
      <c r="A184" s="142" t="n">
        <v>43616659000180</v>
      </c>
      <c r="B184" s="75" t="inlineStr">
        <is>
          <t>43.616.659/0001-80</t>
        </is>
      </c>
      <c r="C184" s="75" t="inlineStr">
        <is>
          <t>originador</t>
        </is>
      </c>
      <c r="D184" s="75" t="inlineStr">
        <is>
          <t>Yara Fertilizantes/Yara</t>
        </is>
      </c>
      <c r="E184" s="75" t="inlineStr">
        <is>
          <t>rótulo explícito de participante v2</t>
        </is>
      </c>
      <c r="F184" s="75" t="inlineStr">
        <is>
          <t>rating_report</t>
        </is>
      </c>
      <c r="G184" s="75" t="inlineStr">
        <is>
          <t>791810</t>
        </is>
      </c>
      <c r="H184" s="75" t="inlineStr">
        <is>
          <t>Relatórios Relatório de Agência de Rating</t>
        </is>
      </c>
      <c r="I184" s="75" t="inlineStr">
        <is>
          <t>13/11/2024</t>
        </is>
      </c>
      <c r="J184" s="75" t="inlineStr">
        <is>
          <t>1</t>
        </is>
      </c>
      <c r="K184" s="75" t="inlineStr">
        <is>
          <t>encontrado_explicito</t>
        </is>
      </c>
      <c r="L184" s="144" t="n">
        <v>0.93</v>
      </c>
      <c r="M184" s="75" t="inlineStr">
        <is>
          <t>.cache/carteira_101_document_scan/43616659000180/791810.json.gz</t>
        </is>
      </c>
      <c r="N184" s="75" t="inlineStr">
        <is>
          <t>https://fnet.bmfbovespa.com.br/fnet/publico/downloadDocumento?id=791810</t>
        </is>
      </c>
      <c r="O184" s="75" t="inlineStr">
        <is>
          <t>ções de venda a prazo de insumos agrícolas pela Yara Brasil Fertilizantes S/A (Yara Fertilizantes/Yara/Originador) junto a produtores rurais, pessoas físicas e/ou jurídicas, revendas de insumos</t>
        </is>
      </c>
    </row>
    <row r="185" ht="43.5" customHeight="1">
      <c r="A185" s="142" t="n">
        <v>43616659000180</v>
      </c>
      <c r="B185" s="75" t="inlineStr">
        <is>
          <t>43.616.659/0001-80</t>
        </is>
      </c>
      <c r="C185" s="75" t="inlineStr">
        <is>
          <t>originador</t>
        </is>
      </c>
      <c r="D185" s="75" t="inlineStr">
        <is>
          <t>Yara Fertilizantes/Yara</t>
        </is>
      </c>
      <c r="E185" s="75" t="inlineStr">
        <is>
          <t>rótulo explícito de participante v2</t>
        </is>
      </c>
      <c r="F185" s="75" t="inlineStr">
        <is>
          <t>rating_report</t>
        </is>
      </c>
      <c r="G185" s="75" t="inlineStr">
        <is>
          <t>851085</t>
        </is>
      </c>
      <c r="H185" s="75" t="inlineStr">
        <is>
          <t>Relatórios Relatório de Agência de Rating</t>
        </is>
      </c>
      <c r="I185" s="75" t="inlineStr">
        <is>
          <t>27/02/2025</t>
        </is>
      </c>
      <c r="J185" s="75" t="inlineStr">
        <is>
          <t>1</t>
        </is>
      </c>
      <c r="K185" s="75" t="inlineStr">
        <is>
          <t>encontrado_explicito</t>
        </is>
      </c>
      <c r="L185" s="144" t="n">
        <v>0.93</v>
      </c>
      <c r="M185" s="75" t="inlineStr">
        <is>
          <t>.cache/carteira_101_document_scan/43616659000180/851085.json.gz</t>
        </is>
      </c>
      <c r="N185" s="75" t="inlineStr">
        <is>
          <t>https://fnet.bmfbovespa.com.br/fnet/publico/downloadDocumento?id=851085</t>
        </is>
      </c>
      <c r="O185" s="75" t="inlineStr">
        <is>
          <t>ções de venda a prazo de insumos agrícolas pela Yara Brasil Fertilizantes S/A (Yara Fertilizantes/Yara/Originador) junto a produtores rurais, pessoas físicas e/ou jurídicas, revendas de insumos</t>
        </is>
      </c>
    </row>
    <row r="186" ht="43.5" customHeight="1">
      <c r="A186" s="142" t="n">
        <v>43866348000179</v>
      </c>
      <c r="B186" s="75" t="inlineStr">
        <is>
          <t>43.866.348/0001-79</t>
        </is>
      </c>
      <c r="C186" s="75" t="inlineStr">
        <is>
          <t>cedente</t>
        </is>
      </c>
      <c r="D186" s="75" t="inlineStr">
        <is>
          <t>(i) a Sumitomo, cujas cessões não contarão com coobrigação</t>
        </is>
      </c>
      <c r="E186" s="75" t="inlineStr">
        <is>
          <t>N/D</t>
        </is>
      </c>
      <c r="F186" s="75" t="inlineStr">
        <is>
          <t>regulamento</t>
        </is>
      </c>
      <c r="G186" s="75" t="inlineStr">
        <is>
          <t>741138</t>
        </is>
      </c>
      <c r="H186" s="75" t="inlineStr">
        <is>
          <t>Atos de Deliberação do Administrador Instrumento Particular de Alteração do Regulamento</t>
        </is>
      </c>
      <c r="I186" s="75" t="inlineStr">
        <is>
          <t>17/09/2024</t>
        </is>
      </c>
      <c r="J186" s="75" t="inlineStr">
        <is>
          <t>61</t>
        </is>
      </c>
      <c r="K186" s="75" t="inlineStr">
        <is>
          <t>encontrado_explicito</t>
        </is>
      </c>
      <c r="L186" s="144" t="n">
        <v>0.95</v>
      </c>
      <c r="M186" s="75" t="inlineStr">
        <is>
          <t>.cache/carteira_101_document_scan/43866348000179/741138.json.gz</t>
        </is>
      </c>
      <c r="N186" s="75" t="inlineStr">
        <is>
          <t>https://fnet.bmfbovespa.com.br/fnet/publico/downloadDocumento?id=741138</t>
        </is>
      </c>
      <c r="O186"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7" ht="43.5" customHeight="1">
      <c r="A187" s="142" t="n">
        <v>43866348000179</v>
      </c>
      <c r="B187" s="75" t="inlineStr">
        <is>
          <t>43.866.348/0001-79</t>
        </is>
      </c>
      <c r="C187" s="75" t="inlineStr">
        <is>
          <t>cedente</t>
        </is>
      </c>
      <c r="D187" s="75" t="inlineStr">
        <is>
          <t>(i) a Sumitomo, cujas cessões não contarão com coobrigação</t>
        </is>
      </c>
      <c r="E187" s="75" t="inlineStr">
        <is>
          <t>N/D</t>
        </is>
      </c>
      <c r="F187" s="75" t="inlineStr">
        <is>
          <t>regulamento</t>
        </is>
      </c>
      <c r="G187" s="75" t="inlineStr">
        <is>
          <t>741139</t>
        </is>
      </c>
      <c r="H187" s="75" t="inlineStr">
        <is>
          <t>Regulamento</t>
        </is>
      </c>
      <c r="I187" s="75" t="inlineStr">
        <is>
          <t>17/09/2024</t>
        </is>
      </c>
      <c r="J187" s="75" t="inlineStr">
        <is>
          <t>59</t>
        </is>
      </c>
      <c r="K187" s="75" t="inlineStr">
        <is>
          <t>encontrado_explicito</t>
        </is>
      </c>
      <c r="L187" s="144" t="n">
        <v>0.95</v>
      </c>
      <c r="M187" s="75" t="inlineStr">
        <is>
          <t>.cache/carteira_101_document_scan/43866348000179/741139.json.gz</t>
        </is>
      </c>
      <c r="N187" s="75" t="inlineStr">
        <is>
          <t>https://fnet.bmfbovespa.com.br/fnet/publico/downloadDocumento?id=741139</t>
        </is>
      </c>
      <c r="O187"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8" ht="43.5" customHeight="1">
      <c r="A188" s="142" t="n">
        <v>43866348000179</v>
      </c>
      <c r="B188" s="75" t="inlineStr">
        <is>
          <t>43.866.348/0001-79</t>
        </is>
      </c>
      <c r="C188" s="75" t="inlineStr">
        <is>
          <t>cedente</t>
        </is>
      </c>
      <c r="D188" s="75" t="inlineStr">
        <is>
          <t>SUMITOMO</t>
        </is>
      </c>
      <c r="E188" s="75" t="inlineStr">
        <is>
          <t>N/D</t>
        </is>
      </c>
      <c r="F188" s="75" t="inlineStr">
        <is>
          <t>planilha_manual</t>
        </is>
      </c>
      <c r="G188" s="75" t="inlineStr">
        <is>
          <t>IMG_8706.JPG</t>
        </is>
      </c>
      <c r="H188" s="75" t="inlineStr">
        <is>
          <t>payload</t>
        </is>
      </c>
      <c r="I188" s="75" t="inlineStr">
        <is>
          <t>2024-09-17</t>
        </is>
      </c>
      <c r="J188" s="75" t="inlineStr">
        <is>
          <t>81</t>
        </is>
      </c>
      <c r="K188" s="75" t="inlineStr">
        <is>
          <t>aceito_payload</t>
        </is>
      </c>
      <c r="L188" s="144" t="n">
        <v>1</v>
      </c>
      <c r="M188" s="75" t="inlineStr">
        <is>
          <t>data/industry_study/generated_revision/artifact_payload.json</t>
        </is>
      </c>
      <c r="N188" s="75" t="inlineStr">
        <is>
          <t>N/D</t>
        </is>
      </c>
      <c r="O188" s="75" t="inlineStr">
        <is>
          <t>OBS literal: FIDC Sumitomo. Financia revendas e produtores.</t>
        </is>
      </c>
    </row>
    <row r="189" ht="43.5" customHeight="1">
      <c r="A189" s="142" t="n">
        <v>43866348000179</v>
      </c>
      <c r="B189" s="75" t="inlineStr">
        <is>
          <t>43.866.348/0001-79</t>
        </is>
      </c>
      <c r="C189" s="75" t="inlineStr">
        <is>
          <t>minimo_junior</t>
        </is>
      </c>
      <c r="D189" s="75" t="inlineStr">
        <is>
          <t>5%</t>
        </is>
      </c>
      <c r="E189" s="75" t="inlineStr">
        <is>
          <t>junior_pl</t>
        </is>
      </c>
      <c r="F189" s="75" t="inlineStr">
        <is>
          <t>payload_documental</t>
        </is>
      </c>
      <c r="G189" s="75" t="inlineStr">
        <is>
          <t>741139</t>
        </is>
      </c>
      <c r="H189" s="75" t="inlineStr">
        <is>
          <t>documento_curado</t>
        </is>
      </c>
      <c r="I189" s="75" t="inlineStr">
        <is>
          <t>2024-09-17</t>
        </is>
      </c>
      <c r="J189" s="75" t="inlineStr">
        <is>
          <t>81</t>
        </is>
      </c>
      <c r="K189" s="75" t="inlineStr">
        <is>
          <t>aceito_payload</t>
        </is>
      </c>
      <c r="L189" s="144" t="n">
        <v>1</v>
      </c>
      <c r="M189" s="75" t="inlineStr">
        <is>
          <t>data/industry_study/generated_revision/artifact_payload.json</t>
        </is>
      </c>
      <c r="N189" s="75" t="inlineStr">
        <is>
          <t>https://fnet.bmfbovespa.com.br/fnet/publico/downloadDocumento?id=741139</t>
        </is>
      </c>
      <c r="O189" s="75" t="inlineStr">
        <is>
          <t>Cotas subordinadas júnior / total das cotas, mínimo de 5,0%, mantido pelo valor atualizado.</t>
        </is>
      </c>
    </row>
    <row r="190" ht="43.5" customHeight="1">
      <c r="A190" s="142" t="n">
        <v>43866348000179</v>
      </c>
      <c r="B190" s="75" t="inlineStr">
        <is>
          <t>43.866.348/0001-79</t>
        </is>
      </c>
      <c r="C190" s="75" t="inlineStr">
        <is>
          <t>natureza_indice</t>
        </is>
      </c>
      <c r="D190" s="75" t="inlineStr">
        <is>
          <t>junior_pl</t>
        </is>
      </c>
      <c r="E190" s="75" t="inlineStr">
        <is>
          <t>junior_pl</t>
        </is>
      </c>
      <c r="F190" s="75" t="inlineStr">
        <is>
          <t>payload_documental</t>
        </is>
      </c>
      <c r="G190" s="75" t="inlineStr">
        <is>
          <t>741139</t>
        </is>
      </c>
      <c r="H190" s="75" t="inlineStr">
        <is>
          <t>documento_curado</t>
        </is>
      </c>
      <c r="I190" s="75" t="inlineStr">
        <is>
          <t>2024-09-17</t>
        </is>
      </c>
      <c r="J190" s="75" t="inlineStr">
        <is>
          <t>81</t>
        </is>
      </c>
      <c r="K190" s="75" t="inlineStr">
        <is>
          <t>aceito_payload</t>
        </is>
      </c>
      <c r="L190" s="144" t="n">
        <v>1</v>
      </c>
      <c r="M190" s="75" t="inlineStr">
        <is>
          <t>data/industry_study/generated_revision/artifact_payload.json</t>
        </is>
      </c>
      <c r="N190" s="75" t="inlineStr">
        <is>
          <t>https://fnet.bmfbovespa.com.br/fnet/publico/downloadDocumento?id=741139</t>
        </is>
      </c>
      <c r="O190" s="75" t="inlineStr">
        <is>
          <t>Cotas subordinadas júnior / total das cotas, mínimo de 5,0%, mantido pelo valor atualizado.</t>
        </is>
      </c>
    </row>
    <row r="191" ht="43.5" customHeight="1">
      <c r="A191" s="142" t="n">
        <v>43866348000179</v>
      </c>
      <c r="B191" s="75" t="inlineStr">
        <is>
          <t>43.866.348/0001-79</t>
        </is>
      </c>
      <c r="C191" s="75" t="inlineStr">
        <is>
          <t>originador</t>
        </is>
      </c>
      <c r="D191" s="75" t="inlineStr">
        <is>
          <t>a Sumitomo</t>
        </is>
      </c>
      <c r="E191" s="75" t="inlineStr">
        <is>
          <t>N/D</t>
        </is>
      </c>
      <c r="F191" s="75" t="inlineStr">
        <is>
          <t>regulamento</t>
        </is>
      </c>
      <c r="G191" s="75" t="inlineStr">
        <is>
          <t>741138</t>
        </is>
      </c>
      <c r="H191" s="75" t="inlineStr">
        <is>
          <t>Atos de Deliberação do Administrador Instrumento Particular de Alteração do Regulamento</t>
        </is>
      </c>
      <c r="I191" s="75" t="inlineStr">
        <is>
          <t>17/09/2024</t>
        </is>
      </c>
      <c r="J191" s="75" t="inlineStr">
        <is>
          <t>79</t>
        </is>
      </c>
      <c r="K191" s="75" t="inlineStr">
        <is>
          <t>encontrado_explicito</t>
        </is>
      </c>
      <c r="L191" s="144" t="n">
        <v>0.95</v>
      </c>
      <c r="M191" s="75" t="inlineStr">
        <is>
          <t>.cache/carteira_101_document_scan/43866348000179/741138.json.gz</t>
        </is>
      </c>
      <c r="N191" s="75" t="inlineStr">
        <is>
          <t>https://fnet.bmfbovespa.com.br/fnet/publico/downloadDocumento?id=741138</t>
        </is>
      </c>
      <c r="O191"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2" ht="43.5" customHeight="1">
      <c r="A192" s="142" t="n">
        <v>43866348000179</v>
      </c>
      <c r="B192" s="75" t="inlineStr">
        <is>
          <t>43.866.348/0001-79</t>
        </is>
      </c>
      <c r="C192" s="75" t="inlineStr">
        <is>
          <t>originador</t>
        </is>
      </c>
      <c r="D192" s="75" t="inlineStr">
        <is>
          <t>a Sumitomo</t>
        </is>
      </c>
      <c r="E192" s="75" t="inlineStr">
        <is>
          <t>N/D</t>
        </is>
      </c>
      <c r="F192" s="75" t="inlineStr">
        <is>
          <t>regulamento</t>
        </is>
      </c>
      <c r="G192" s="75" t="inlineStr">
        <is>
          <t>741139</t>
        </is>
      </c>
      <c r="H192" s="75" t="inlineStr">
        <is>
          <t>Regulamento</t>
        </is>
      </c>
      <c r="I192" s="75" t="inlineStr">
        <is>
          <t>17/09/2024</t>
        </is>
      </c>
      <c r="J192" s="75" t="inlineStr">
        <is>
          <t>77</t>
        </is>
      </c>
      <c r="K192" s="75" t="inlineStr">
        <is>
          <t>encontrado_explicito</t>
        </is>
      </c>
      <c r="L192" s="144" t="n">
        <v>0.95</v>
      </c>
      <c r="M192" s="75" t="inlineStr">
        <is>
          <t>.cache/carteira_101_document_scan/43866348000179/741139.json.gz</t>
        </is>
      </c>
      <c r="N192" s="75" t="inlineStr">
        <is>
          <t>https://fnet.bmfbovespa.com.br/fnet/publico/downloadDocumento?id=741139</t>
        </is>
      </c>
      <c r="O192"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3" ht="43.5" customHeight="1">
      <c r="A193" s="142" t="n">
        <v>43866348000179</v>
      </c>
      <c r="B193" s="75" t="inlineStr">
        <is>
          <t>43.866.348/0001-79</t>
        </is>
      </c>
      <c r="C193" s="75" t="inlineStr">
        <is>
          <t>tipo_recebivel</t>
        </is>
      </c>
      <c r="D193"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3" s="75" t="inlineStr">
        <is>
          <t>N/D</t>
        </is>
      </c>
      <c r="F193" s="75" t="inlineStr">
        <is>
          <t>regulamento</t>
        </is>
      </c>
      <c r="G193" s="75" t="inlineStr">
        <is>
          <t>741138</t>
        </is>
      </c>
      <c r="H193" s="75" t="inlineStr">
        <is>
          <t>Atos de Deliberação do Administrador Instrumento Particular de Alteração do Regulamento</t>
        </is>
      </c>
      <c r="I193" s="75" t="inlineStr">
        <is>
          <t>17/09/2024</t>
        </is>
      </c>
      <c r="J193" s="75" t="inlineStr">
        <is>
          <t>70</t>
        </is>
      </c>
      <c r="K193" s="75" t="inlineStr">
        <is>
          <t>encontrado_explicito</t>
        </is>
      </c>
      <c r="L193" s="144" t="n">
        <v>0.92</v>
      </c>
      <c r="M193" s="75" t="inlineStr">
        <is>
          <t>.cache/carteira_101_document_scan/43866348000179/741138.json.gz</t>
        </is>
      </c>
      <c r="N193" s="75" t="inlineStr">
        <is>
          <t>https://fnet.bmfbovespa.com.br/fnet/publico/downloadDocumento?id=741138</t>
        </is>
      </c>
      <c r="O193"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4" ht="43.5" customHeight="1">
      <c r="A194" s="142" t="n">
        <v>43866348000179</v>
      </c>
      <c r="B194" s="75" t="inlineStr">
        <is>
          <t>43.866.348/0001-79</t>
        </is>
      </c>
      <c r="C194" s="75" t="inlineStr">
        <is>
          <t>tipo_recebivel</t>
        </is>
      </c>
      <c r="D194"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4" s="75" t="inlineStr">
        <is>
          <t>N/D</t>
        </is>
      </c>
      <c r="F194" s="75" t="inlineStr">
        <is>
          <t>regulamento</t>
        </is>
      </c>
      <c r="G194" s="75" t="inlineStr">
        <is>
          <t>741139</t>
        </is>
      </c>
      <c r="H194" s="75" t="inlineStr">
        <is>
          <t>Regulamento</t>
        </is>
      </c>
      <c r="I194" s="75" t="inlineStr">
        <is>
          <t>17/09/2024</t>
        </is>
      </c>
      <c r="J194" s="75" t="inlineStr">
        <is>
          <t>68</t>
        </is>
      </c>
      <c r="K194" s="75" t="inlineStr">
        <is>
          <t>encontrado_explicito</t>
        </is>
      </c>
      <c r="L194" s="144" t="n">
        <v>0.92</v>
      </c>
      <c r="M194" s="75" t="inlineStr">
        <is>
          <t>.cache/carteira_101_document_scan/43866348000179/741139.json.gz</t>
        </is>
      </c>
      <c r="N194" s="75" t="inlineStr">
        <is>
          <t>https://fnet.bmfbovespa.com.br/fnet/publico/downloadDocumento?id=741139</t>
        </is>
      </c>
      <c r="O194"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5" ht="43.5" customHeight="1">
      <c r="A195" s="142" t="n">
        <v>43866348000179</v>
      </c>
      <c r="B195" s="75" t="inlineStr">
        <is>
          <t>43.866.348/0001-79</t>
        </is>
      </c>
      <c r="C195" s="75" t="inlineStr">
        <is>
          <t>tipo_recebivel</t>
        </is>
      </c>
      <c r="D195" s="75" t="inlineStr">
        <is>
          <t>financiamento de revendas e produtores</t>
        </is>
      </c>
      <c r="E195" s="75" t="inlineStr">
        <is>
          <t>N/D</t>
        </is>
      </c>
      <c r="F195" s="75" t="inlineStr">
        <is>
          <t>planilha_manual</t>
        </is>
      </c>
      <c r="G195" s="75" t="inlineStr">
        <is>
          <t>IMG_8706.JPG</t>
        </is>
      </c>
      <c r="H195" s="75" t="inlineStr">
        <is>
          <t>payload</t>
        </is>
      </c>
      <c r="I195" s="75" t="inlineStr">
        <is>
          <t>2024-09-17</t>
        </is>
      </c>
      <c r="J195" s="75" t="inlineStr">
        <is>
          <t>81</t>
        </is>
      </c>
      <c r="K195" s="75" t="inlineStr">
        <is>
          <t>aceito_payload</t>
        </is>
      </c>
      <c r="L195" s="144" t="n">
        <v>1</v>
      </c>
      <c r="M195" s="75" t="inlineStr">
        <is>
          <t>data/industry_study/generated_revision/artifact_payload.json</t>
        </is>
      </c>
      <c r="N195" s="75" t="inlineStr">
        <is>
          <t>N/D</t>
        </is>
      </c>
      <c r="O195" s="75" t="inlineStr">
        <is>
          <t>OBS literal: FIDC Sumitomo. Financia revendas e produtores.</t>
        </is>
      </c>
    </row>
    <row r="196" ht="43.5" customHeight="1">
      <c r="A196" s="142" t="n">
        <v>44124465000120</v>
      </c>
      <c r="B196" s="75" t="inlineStr">
        <is>
          <t>44.124.465/0001-20</t>
        </is>
      </c>
      <c r="C196" s="75" t="inlineStr">
        <is>
          <t>cedente</t>
        </is>
      </c>
      <c r="D196" s="75" t="inlineStr">
        <is>
          <t>ACQIO</t>
        </is>
      </c>
      <c r="E196" s="75" t="inlineStr">
        <is>
          <t>rótulo explícito de participante v2</t>
        </is>
      </c>
      <c r="F196" s="75" t="inlineStr">
        <is>
          <t>rating_report</t>
        </is>
      </c>
      <c r="G196" s="75" t="inlineStr">
        <is>
          <t>1005621</t>
        </is>
      </c>
      <c r="H196" s="75" t="inlineStr">
        <is>
          <t>Relatórios Relatório de Agência de Rating</t>
        </is>
      </c>
      <c r="I196" s="75" t="inlineStr">
        <is>
          <t>03/10/2025</t>
        </is>
      </c>
      <c r="J196" s="75" t="inlineStr">
        <is>
          <t>2</t>
        </is>
      </c>
      <c r="K196" s="75" t="inlineStr">
        <is>
          <t>encontrado_explicito</t>
        </is>
      </c>
      <c r="L196" s="144" t="n">
        <v>0.93</v>
      </c>
      <c r="M196" s="75" t="inlineStr">
        <is>
          <t>.cache/carteira_101_document_scan/44124465000120/1005621.json.gz</t>
        </is>
      </c>
      <c r="N196" s="75" t="inlineStr">
        <is>
          <t>https://fnet.bmfbovespa.com.br/fnet/publico/downloadDocumento?id=1005621</t>
        </is>
      </c>
      <c r="O196" s="75" t="inlineStr">
        <is>
          <t>temente, Direitos Creditórios que, de tempos em tempos, são detidos pela ACQIO (ACQIO / Cedente / Originadora / Agente de Cobrança Extraordinária), fintech de produtos e serviços financeiros, em face de bancos e de adquirente</t>
        </is>
      </c>
    </row>
    <row r="197" ht="43.5" customHeight="1">
      <c r="A197" s="142" t="n">
        <v>44124465000120</v>
      </c>
      <c r="B197" s="75" t="inlineStr">
        <is>
          <t>44.124.465/0001-20</t>
        </is>
      </c>
      <c r="C197" s="75" t="inlineStr">
        <is>
          <t>cedente</t>
        </is>
      </c>
      <c r="D197" s="75" t="inlineStr">
        <is>
          <t>ACQIO</t>
        </is>
      </c>
      <c r="E197" s="75" t="inlineStr">
        <is>
          <t>rótulo explícito de participante v2</t>
        </is>
      </c>
      <c r="F197" s="75" t="inlineStr">
        <is>
          <t>rating_report</t>
        </is>
      </c>
      <c r="G197" s="75" t="inlineStr">
        <is>
          <t>1048506</t>
        </is>
      </c>
      <c r="H197" s="75" t="inlineStr">
        <is>
          <t>Relatórios Relatório de Agência de Rating</t>
        </is>
      </c>
      <c r="I197" s="75" t="inlineStr">
        <is>
          <t>30/09/2025</t>
        </is>
      </c>
      <c r="J197" s="75" t="inlineStr">
        <is>
          <t>2</t>
        </is>
      </c>
      <c r="K197" s="75" t="inlineStr">
        <is>
          <t>encontrado_explicito</t>
        </is>
      </c>
      <c r="L197" s="144" t="n">
        <v>0.93</v>
      </c>
      <c r="M197" s="75" t="inlineStr">
        <is>
          <t>.cache/carteira_101_document_scan/44124465000120/1048506.json.gz</t>
        </is>
      </c>
      <c r="N197" s="75" t="inlineStr">
        <is>
          <t>https://fnet.bmfbovespa.com.br/fnet/publico/downloadDocumento?id=1048506</t>
        </is>
      </c>
      <c r="O197" s="75" t="inlineStr">
        <is>
          <t>temente, Direitos Creditórios que, de tempos em tempos, são detidos pela ACQIO (ACQIO / Cedente / Originadora / Agente de Cobrança Extraordinária), fintech de produtos e serviços financeiros, em face de bancos e de adquirente</t>
        </is>
      </c>
    </row>
    <row r="198" ht="43.5" customHeight="1">
      <c r="A198" s="142" t="n">
        <v>44124465000120</v>
      </c>
      <c r="B198" s="75" t="inlineStr">
        <is>
          <t>44.124.465/0001-20</t>
        </is>
      </c>
      <c r="C198" s="75" t="inlineStr">
        <is>
          <t>cedente</t>
        </is>
      </c>
      <c r="D198" s="75" t="inlineStr">
        <is>
          <t>a Acqio.</t>
        </is>
      </c>
      <c r="E198" s="75" t="inlineStr">
        <is>
          <t>N/D</t>
        </is>
      </c>
      <c r="F198" s="75" t="inlineStr">
        <is>
          <t>regulamento</t>
        </is>
      </c>
      <c r="G198" s="75" t="inlineStr">
        <is>
          <t>951239</t>
        </is>
      </c>
      <c r="H198" s="75" t="inlineStr">
        <is>
          <t>Regulamento</t>
        </is>
      </c>
      <c r="I198" s="75" t="inlineStr">
        <is>
          <t>08/07/2025</t>
        </is>
      </c>
      <c r="J198" s="75" t="inlineStr">
        <is>
          <t>78</t>
        </is>
      </c>
      <c r="K198" s="75" t="inlineStr">
        <is>
          <t>encontrado_explicito</t>
        </is>
      </c>
      <c r="L198" s="144" t="n">
        <v>0.95</v>
      </c>
      <c r="M198" s="75" t="inlineStr">
        <is>
          <t>.cache/carteira_101_document_scan/44124465000120/951239.json.gz</t>
        </is>
      </c>
      <c r="N198" s="75" t="inlineStr">
        <is>
          <t>https://fnet.bmfbovespa.com.br/fnet/publico/downloadDocumento?id=951239</t>
        </is>
      </c>
      <c r="O198"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199" ht="43.5" customHeight="1">
      <c r="A199" s="142" t="n">
        <v>44124465000120</v>
      </c>
      <c r="B199" s="75" t="inlineStr">
        <is>
          <t>44.124.465/0001-20</t>
        </is>
      </c>
      <c r="C199" s="75" t="inlineStr">
        <is>
          <t>cedente</t>
        </is>
      </c>
      <c r="D199" s="75" t="inlineStr">
        <is>
          <t>a Acqio.</t>
        </is>
      </c>
      <c r="E199" s="75" t="inlineStr">
        <is>
          <t>N/D</t>
        </is>
      </c>
      <c r="F199" s="75" t="inlineStr">
        <is>
          <t>regulamento</t>
        </is>
      </c>
      <c r="G199" s="75" t="inlineStr">
        <is>
          <t>737326</t>
        </is>
      </c>
      <c r="H199" s="75" t="inlineStr">
        <is>
          <t>Regulamento</t>
        </is>
      </c>
      <c r="I199" s="75" t="inlineStr">
        <is>
          <t>09/09/2024</t>
        </is>
      </c>
      <c r="J199" s="75" t="inlineStr">
        <is>
          <t>79</t>
        </is>
      </c>
      <c r="K199" s="75" t="inlineStr">
        <is>
          <t>encontrado_explicito</t>
        </is>
      </c>
      <c r="L199" s="144" t="n">
        <v>0.95</v>
      </c>
      <c r="M199" s="75" t="inlineStr">
        <is>
          <t>.cache/carteira_101_document_scan/44124465000120/737326.json.gz</t>
        </is>
      </c>
      <c r="N199" s="75" t="inlineStr">
        <is>
          <t>https://fnet.bmfbovespa.com.br/fnet/publico/downloadDocumento?id=737326</t>
        </is>
      </c>
      <c r="O199"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200" ht="43.5" customHeight="1">
      <c r="A200" s="142" t="n">
        <v>44124465000120</v>
      </c>
      <c r="B200" s="75" t="inlineStr">
        <is>
          <t>44.124.465/0001-20</t>
        </is>
      </c>
      <c r="C200" s="75" t="inlineStr">
        <is>
          <t>cedente</t>
        </is>
      </c>
      <c r="D200" s="75" t="inlineStr">
        <is>
          <t>Ação</t>
        </is>
      </c>
      <c r="E200" s="75" t="inlineStr">
        <is>
          <t>N/D</t>
        </is>
      </c>
      <c r="F200" s="75" t="inlineStr">
        <is>
          <t>planilha_manual</t>
        </is>
      </c>
      <c r="G200" s="75" t="inlineStr">
        <is>
          <t>IMG_8705.JPG</t>
        </is>
      </c>
      <c r="H200" s="75" t="inlineStr">
        <is>
          <t>payload</t>
        </is>
      </c>
      <c r="I200" s="75" t="inlineStr">
        <is>
          <t>2025-07-08</t>
        </is>
      </c>
      <c r="J200" s="75" t="inlineStr">
        <is>
          <t>85</t>
        </is>
      </c>
      <c r="K200" s="75" t="inlineStr">
        <is>
          <t>aceito_payload</t>
        </is>
      </c>
      <c r="L200" s="144" t="n">
        <v>1</v>
      </c>
      <c r="M200" s="75" t="inlineStr">
        <is>
          <t>data/industry_study/generated_revision/artifact_payload.json</t>
        </is>
      </c>
      <c r="N200" s="75" t="inlineStr">
        <is>
          <t>N/D</t>
        </is>
      </c>
      <c r="O200" s="75" t="inlineStr">
        <is>
          <t>OBS da foto: lista de concentração pré-aprovada.</t>
        </is>
      </c>
    </row>
    <row r="201" ht="43.5" customHeight="1">
      <c r="A201" s="142" t="n">
        <v>44124465000120</v>
      </c>
      <c r="B201" s="75" t="inlineStr">
        <is>
          <t>44.124.465/0001-20</t>
        </is>
      </c>
      <c r="C201" s="75" t="inlineStr">
        <is>
          <t>minimo_estrutural_total</t>
        </is>
      </c>
      <c r="D201" s="75" t="inlineStr">
        <is>
          <t>22.15%</t>
        </is>
      </c>
      <c r="E201" s="75" t="inlineStr">
        <is>
          <t>suporte_total_pl</t>
        </is>
      </c>
      <c r="F201" s="75" t="inlineStr">
        <is>
          <t>rating_report</t>
        </is>
      </c>
      <c r="G201" s="75" t="inlineStr">
        <is>
          <t>1005621</t>
        </is>
      </c>
      <c r="H201" s="75" t="inlineStr">
        <is>
          <t>Relatórios Relatório de Agência de Rating</t>
        </is>
      </c>
      <c r="I201" s="75" t="inlineStr">
        <is>
          <t>03/10/2025</t>
        </is>
      </c>
      <c r="J201" s="75" t="inlineStr">
        <is>
          <t>1</t>
        </is>
      </c>
      <c r="K201" s="75" t="inlineStr">
        <is>
          <t>encontrado_explicito</t>
        </is>
      </c>
      <c r="L201" s="144" t="n">
        <v>0.95</v>
      </c>
      <c r="M201" s="75" t="inlineStr">
        <is>
          <t>.cache/carteira_101_document_scan/44124465000120/1005621.json.gz</t>
        </is>
      </c>
      <c r="N201" s="75" t="inlineStr">
        <is>
          <t>https://fnet.bmfbovespa.com.br/fnet/publico/downloadDocumento?id=1005621</t>
        </is>
      </c>
      <c r="O201" s="75" t="inlineStr">
        <is>
          <t>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t>
        </is>
      </c>
    </row>
    <row r="202" ht="43.5" customHeight="1">
      <c r="A202" s="142" t="n">
        <v>44124465000120</v>
      </c>
      <c r="B202" s="75" t="inlineStr">
        <is>
          <t>44.124.465/0001-20</t>
        </is>
      </c>
      <c r="C202" s="75" t="inlineStr">
        <is>
          <t>minimo_estrutural_total</t>
        </is>
      </c>
      <c r="D202" s="75" t="inlineStr">
        <is>
          <t>22.15%</t>
        </is>
      </c>
      <c r="E202" s="75" t="inlineStr">
        <is>
          <t>suporte_total_pl</t>
        </is>
      </c>
      <c r="F202" s="75" t="inlineStr">
        <is>
          <t>rating_report</t>
        </is>
      </c>
      <c r="G202" s="75" t="inlineStr">
        <is>
          <t>1048506</t>
        </is>
      </c>
      <c r="H202" s="75" t="inlineStr">
        <is>
          <t>Relatórios Relatório de Agência de Rating</t>
        </is>
      </c>
      <c r="I202" s="75" t="inlineStr">
        <is>
          <t>30/09/2025</t>
        </is>
      </c>
      <c r="J202" s="75" t="inlineStr">
        <is>
          <t>1</t>
        </is>
      </c>
      <c r="K202" s="75" t="inlineStr">
        <is>
          <t>encontrado_explicito</t>
        </is>
      </c>
      <c r="L202" s="144" t="n">
        <v>0.95</v>
      </c>
      <c r="M202" s="75" t="inlineStr">
        <is>
          <t>.cache/carteira_101_document_scan/44124465000120/1048506.json.gz</t>
        </is>
      </c>
      <c r="N202" s="75" t="inlineStr">
        <is>
          <t>https://fnet.bmfbovespa.com.br/fnet/publico/downloadDocumento?id=1048506</t>
        </is>
      </c>
      <c r="O202" s="75" t="inlineStr">
        <is>
          <t>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t>
        </is>
      </c>
    </row>
    <row r="203" ht="43.5" customHeight="1">
      <c r="A203" s="142" t="n">
        <v>44124465000120</v>
      </c>
      <c r="B203" s="75" t="inlineStr">
        <is>
          <t>44.124.465/0001-20</t>
        </is>
      </c>
      <c r="C203" s="75" t="inlineStr">
        <is>
          <t>minimo_estrutural_total</t>
        </is>
      </c>
      <c r="D203" s="75" t="inlineStr">
        <is>
          <t>22.15%</t>
        </is>
      </c>
      <c r="E203" s="75" t="inlineStr">
        <is>
          <t>suporte_total_pl</t>
        </is>
      </c>
      <c r="F203" s="75" t="inlineStr">
        <is>
          <t>regulamento</t>
        </is>
      </c>
      <c r="G203" s="75" t="inlineStr">
        <is>
          <t>951239</t>
        </is>
      </c>
      <c r="H203" s="75" t="inlineStr">
        <is>
          <t>Regulamento</t>
        </is>
      </c>
      <c r="I203" s="75" t="inlineStr">
        <is>
          <t>08/07/2025</t>
        </is>
      </c>
      <c r="J203" s="75" t="inlineStr">
        <is>
          <t>50</t>
        </is>
      </c>
      <c r="K203" s="75" t="inlineStr">
        <is>
          <t>encontrado_explicito</t>
        </is>
      </c>
      <c r="L203" s="144" t="n">
        <v>0.95</v>
      </c>
      <c r="M203" s="75" t="inlineStr">
        <is>
          <t>.cache/carteira_101_document_scan/44124465000120/951239.json.gz</t>
        </is>
      </c>
      <c r="N203" s="75" t="inlineStr">
        <is>
          <t>https://fnet.bmfbovespa.com.br/fnet/publico/downloadDocumento?id=951239</t>
        </is>
      </c>
      <c r="O203" s="75" t="inlineStr">
        <is>
          <t>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4" ht="43.5" customHeight="1">
      <c r="A204" s="142" t="n">
        <v>44124465000120</v>
      </c>
      <c r="B204" s="75" t="inlineStr">
        <is>
          <t>44.124.465/0001-20</t>
        </is>
      </c>
      <c r="C204" s="75" t="inlineStr">
        <is>
          <t>minimo_estrutural_total</t>
        </is>
      </c>
      <c r="D204" s="75" t="inlineStr">
        <is>
          <t>22.15%</t>
        </is>
      </c>
      <c r="E204" s="75" t="inlineStr">
        <is>
          <t>suporte_total_pl</t>
        </is>
      </c>
      <c r="F204" s="75" t="inlineStr">
        <is>
          <t>regulamento</t>
        </is>
      </c>
      <c r="G204" s="75" t="inlineStr">
        <is>
          <t>737326</t>
        </is>
      </c>
      <c r="H204" s="75" t="inlineStr">
        <is>
          <t>Regulamento</t>
        </is>
      </c>
      <c r="I204" s="75" t="inlineStr">
        <is>
          <t>09/09/2024</t>
        </is>
      </c>
      <c r="J204" s="75" t="inlineStr">
        <is>
          <t>50</t>
        </is>
      </c>
      <c r="K204" s="75" t="inlineStr">
        <is>
          <t>encontrado_explicito</t>
        </is>
      </c>
      <c r="L204" s="144" t="n">
        <v>0.95</v>
      </c>
      <c r="M204" s="75" t="inlineStr">
        <is>
          <t>.cache/carteira_101_document_scan/44124465000120/737326.json.gz</t>
        </is>
      </c>
      <c r="N204" s="75" t="inlineStr">
        <is>
          <t>https://fnet.bmfbovespa.com.br/fnet/publico/downloadDocumento?id=737326</t>
        </is>
      </c>
      <c r="O204" s="75" t="inlineStr">
        <is>
          <t>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5" ht="43.5" customHeight="1">
      <c r="A205" s="142" t="n">
        <v>44124465000120</v>
      </c>
      <c r="B205" s="75" t="inlineStr">
        <is>
          <t>44.124.465/0001-20</t>
        </is>
      </c>
      <c r="C205" s="75" t="inlineStr">
        <is>
          <t>minimo_junior</t>
        </is>
      </c>
      <c r="D205" s="75" t="inlineStr">
        <is>
          <t>3%</t>
        </is>
      </c>
      <c r="E205" s="75" t="inlineStr">
        <is>
          <t>junior_pl</t>
        </is>
      </c>
      <c r="F205" s="75" t="inlineStr">
        <is>
          <t>payload_documental</t>
        </is>
      </c>
      <c r="G205" s="75" t="inlineStr">
        <is>
          <t>951239</t>
        </is>
      </c>
      <c r="H205" s="75" t="inlineStr">
        <is>
          <t>documento_curado</t>
        </is>
      </c>
      <c r="I205" s="75" t="inlineStr">
        <is>
          <t>2025-07-08</t>
        </is>
      </c>
      <c r="J205" s="75" t="inlineStr">
        <is>
          <t>85</t>
        </is>
      </c>
      <c r="K205" s="75" t="inlineStr">
        <is>
          <t>aceito_payload</t>
        </is>
      </c>
      <c r="L205" s="144" t="n">
        <v>1</v>
      </c>
      <c r="M205" s="75" t="inlineStr">
        <is>
          <t>data/industry_study/generated_revision/artifact_payload.json</t>
        </is>
      </c>
      <c r="N205" s="75" t="inlineStr">
        <is>
          <t>https://fnet.bmfbovespa.com.br/fnet/publico/downloadDocumento?id=951239</t>
        </is>
      </c>
      <c r="O205" s="75" t="inlineStr">
        <is>
          <t>Índice de Subordinação Mezanino: cotas júnior / PL, mínimo de 3,0%.</t>
        </is>
      </c>
    </row>
    <row r="206" ht="43.5" customHeight="1">
      <c r="A206" s="142" t="n">
        <v>44124465000120</v>
      </c>
      <c r="B206" s="75" t="inlineStr">
        <is>
          <t>44.124.465/0001-20</t>
        </is>
      </c>
      <c r="C206" s="75" t="inlineStr">
        <is>
          <t>natureza_indice</t>
        </is>
      </c>
      <c r="D206" s="75" t="inlineStr">
        <is>
          <t>junior_pl</t>
        </is>
      </c>
      <c r="E206" s="75" t="inlineStr">
        <is>
          <t>junior_pl</t>
        </is>
      </c>
      <c r="F206" s="75" t="inlineStr">
        <is>
          <t>payload_documental</t>
        </is>
      </c>
      <c r="G206" s="75" t="inlineStr">
        <is>
          <t>951239</t>
        </is>
      </c>
      <c r="H206" s="75" t="inlineStr">
        <is>
          <t>documento_curado</t>
        </is>
      </c>
      <c r="I206" s="75" t="inlineStr">
        <is>
          <t>2025-07-08</t>
        </is>
      </c>
      <c r="J206" s="75" t="inlineStr">
        <is>
          <t>85</t>
        </is>
      </c>
      <c r="K206" s="75" t="inlineStr">
        <is>
          <t>aceito_payload</t>
        </is>
      </c>
      <c r="L206" s="144" t="n">
        <v>1</v>
      </c>
      <c r="M206" s="75" t="inlineStr">
        <is>
          <t>data/industry_study/generated_revision/artifact_payload.json</t>
        </is>
      </c>
      <c r="N206" s="75" t="inlineStr">
        <is>
          <t>https://fnet.bmfbovespa.com.br/fnet/publico/downloadDocumento?id=951239</t>
        </is>
      </c>
      <c r="O206" s="75" t="inlineStr">
        <is>
          <t>Índice de Subordinação Mezanino: cotas júnior / PL, mínimo de 3,0%.</t>
        </is>
      </c>
    </row>
    <row r="207" ht="43.5" customHeight="1">
      <c r="A207" s="142" t="n">
        <v>44124465000120</v>
      </c>
      <c r="B207" s="75" t="inlineStr">
        <is>
          <t>44.124.465/0001-20</t>
        </is>
      </c>
      <c r="C207" s="75" t="inlineStr">
        <is>
          <t>originador</t>
        </is>
      </c>
      <c r="D207" s="75" t="inlineStr">
        <is>
          <t>ACQIO</t>
        </is>
      </c>
      <c r="E207" s="75" t="inlineStr">
        <is>
          <t>rótulo explícito de participante v2</t>
        </is>
      </c>
      <c r="F207" s="75" t="inlineStr">
        <is>
          <t>rating_report</t>
        </is>
      </c>
      <c r="G207" s="75" t="inlineStr">
        <is>
          <t>1005621</t>
        </is>
      </c>
      <c r="H207" s="75" t="inlineStr">
        <is>
          <t>Relatórios Relatório de Agência de Rating</t>
        </is>
      </c>
      <c r="I207" s="75" t="inlineStr">
        <is>
          <t>03/10/2025</t>
        </is>
      </c>
      <c r="J207" s="75" t="inlineStr">
        <is>
          <t>2</t>
        </is>
      </c>
      <c r="K207" s="75" t="inlineStr">
        <is>
          <t>encontrado_explicito</t>
        </is>
      </c>
      <c r="L207" s="144" t="n">
        <v>0.93</v>
      </c>
      <c r="M207" s="75" t="inlineStr">
        <is>
          <t>.cache/carteira_101_document_scan/44124465000120/1005621.json.gz</t>
        </is>
      </c>
      <c r="N207" s="75" t="inlineStr">
        <is>
          <t>https://fnet.bmfbovespa.com.br/fnet/publico/downloadDocumento?id=1005621</t>
        </is>
      </c>
      <c r="O207" s="75" t="inlineStr">
        <is>
          <t>temente, Direitos Creditórios que, de tempos em tempos, são detidos pela ACQIO (ACQIO / Cedente / Originadora / Agente de Cobrança Extraordinária), fintech de produtos e serviços financeiros, em face de bancos e de adquirente</t>
        </is>
      </c>
    </row>
    <row r="208" ht="43.5" customHeight="1">
      <c r="A208" s="142" t="n">
        <v>44124465000120</v>
      </c>
      <c r="B208" s="75" t="inlineStr">
        <is>
          <t>44.124.465/0001-20</t>
        </is>
      </c>
      <c r="C208" s="75" t="inlineStr">
        <is>
          <t>originador</t>
        </is>
      </c>
      <c r="D208" s="75" t="inlineStr">
        <is>
          <t>ACQIO</t>
        </is>
      </c>
      <c r="E208" s="75" t="inlineStr">
        <is>
          <t>rótulo explícito de participante v2</t>
        </is>
      </c>
      <c r="F208" s="75" t="inlineStr">
        <is>
          <t>rating_report</t>
        </is>
      </c>
      <c r="G208" s="75" t="inlineStr">
        <is>
          <t>1048506</t>
        </is>
      </c>
      <c r="H208" s="75" t="inlineStr">
        <is>
          <t>Relatórios Relatório de Agência de Rating</t>
        </is>
      </c>
      <c r="I208" s="75" t="inlineStr">
        <is>
          <t>30/09/2025</t>
        </is>
      </c>
      <c r="J208" s="75" t="inlineStr">
        <is>
          <t>2</t>
        </is>
      </c>
      <c r="K208" s="75" t="inlineStr">
        <is>
          <t>encontrado_explicito</t>
        </is>
      </c>
      <c r="L208" s="144" t="n">
        <v>0.93</v>
      </c>
      <c r="M208" s="75" t="inlineStr">
        <is>
          <t>.cache/carteira_101_document_scan/44124465000120/1048506.json.gz</t>
        </is>
      </c>
      <c r="N208" s="75" t="inlineStr">
        <is>
          <t>https://fnet.bmfbovespa.com.br/fnet/publico/downloadDocumento?id=1048506</t>
        </is>
      </c>
      <c r="O208" s="75" t="inlineStr">
        <is>
          <t>temente, Direitos Creditórios que, de tempos em tempos, são detidos pela ACQIO (ACQIO / Cedente / Originadora / Agente de Cobrança Extraordinária), fintech de produtos e serviços financeiros, em face de bancos e de adquirente</t>
        </is>
      </c>
    </row>
    <row r="209" ht="43.5" customHeight="1">
      <c r="A209" s="142" t="n">
        <v>44124465000120</v>
      </c>
      <c r="B209" s="75" t="inlineStr">
        <is>
          <t>44.124.465/0001-20</t>
        </is>
      </c>
      <c r="C209" s="75" t="inlineStr">
        <is>
          <t>sacado_devedor</t>
        </is>
      </c>
      <c r="D209" s="75" t="inlineStr">
        <is>
          <t>os Devedores I -A, os Devedores I -B e os Devedores II quando mencionados em conjunto e indistintamente</t>
        </is>
      </c>
      <c r="E209" s="75" t="inlineStr">
        <is>
          <t>N/D</t>
        </is>
      </c>
      <c r="F209" s="75" t="inlineStr">
        <is>
          <t>regulamento</t>
        </is>
      </c>
      <c r="G209" s="75" t="inlineStr">
        <is>
          <t>951239</t>
        </is>
      </c>
      <c r="H209" s="75" t="inlineStr">
        <is>
          <t>Regulamento</t>
        </is>
      </c>
      <c r="I209" s="75" t="inlineStr">
        <is>
          <t>08/07/2025</t>
        </is>
      </c>
      <c r="J209" s="75" t="inlineStr">
        <is>
          <t>82</t>
        </is>
      </c>
      <c r="K209" s="75" t="inlineStr">
        <is>
          <t>encontrado_explicito</t>
        </is>
      </c>
      <c r="L209" s="144" t="n">
        <v>0.95</v>
      </c>
      <c r="M209" s="75" t="inlineStr">
        <is>
          <t>.cache/carteira_101_document_scan/44124465000120/951239.json.gz</t>
        </is>
      </c>
      <c r="N209" s="75" t="inlineStr">
        <is>
          <t>https://fnet.bmfbovespa.com.br/fnet/publico/downloadDocumento?id=951239</t>
        </is>
      </c>
      <c r="O209"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0" ht="43.5" customHeight="1">
      <c r="A210" s="142" t="n">
        <v>44124465000120</v>
      </c>
      <c r="B210" s="75" t="inlineStr">
        <is>
          <t>44.124.465/0001-20</t>
        </is>
      </c>
      <c r="C210" s="75" t="inlineStr">
        <is>
          <t>sacado_devedor</t>
        </is>
      </c>
      <c r="D210" s="75" t="inlineStr">
        <is>
          <t>os Devedores I -A, os Devedores I -B e os Devedores II quando mencionados em conjunto e indistintamente</t>
        </is>
      </c>
      <c r="E210" s="75" t="inlineStr">
        <is>
          <t>N/D</t>
        </is>
      </c>
      <c r="F210" s="75" t="inlineStr">
        <is>
          <t>regulamento</t>
        </is>
      </c>
      <c r="G210" s="75" t="inlineStr">
        <is>
          <t>737326</t>
        </is>
      </c>
      <c r="H210" s="75" t="inlineStr">
        <is>
          <t>Regulamento</t>
        </is>
      </c>
      <c r="I210" s="75" t="inlineStr">
        <is>
          <t>09/09/2024</t>
        </is>
      </c>
      <c r="J210" s="75" t="inlineStr">
        <is>
          <t>83</t>
        </is>
      </c>
      <c r="K210" s="75" t="inlineStr">
        <is>
          <t>encontrado_explicito</t>
        </is>
      </c>
      <c r="L210" s="144" t="n">
        <v>0.95</v>
      </c>
      <c r="M210" s="75" t="inlineStr">
        <is>
          <t>.cache/carteira_101_document_scan/44124465000120/737326.json.gz</t>
        </is>
      </c>
      <c r="N210" s="75" t="inlineStr">
        <is>
          <t>https://fnet.bmfbovespa.com.br/fnet/publico/downloadDocumento?id=737326</t>
        </is>
      </c>
      <c r="O210"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1" ht="43.5" customHeight="1">
      <c r="A211" s="142" t="n">
        <v>44124465000120</v>
      </c>
      <c r="B211" s="75" t="inlineStr">
        <is>
          <t>44.124.465/0001-20</t>
        </is>
      </c>
      <c r="C211" s="75" t="inlineStr">
        <is>
          <t>tipo_recebivel</t>
        </is>
      </c>
      <c r="D211" s="75" t="inlineStr">
        <is>
          <t>Risco Bancos Emissores Diversos</t>
        </is>
      </c>
      <c r="E211" s="75" t="inlineStr">
        <is>
          <t>N/D</t>
        </is>
      </c>
      <c r="F211" s="75" t="inlineStr">
        <is>
          <t>planilha_manual</t>
        </is>
      </c>
      <c r="G211" s="75" t="inlineStr">
        <is>
          <t>IMG_8705.JPG</t>
        </is>
      </c>
      <c r="H211" s="75" t="inlineStr">
        <is>
          <t>payload</t>
        </is>
      </c>
      <c r="I211" s="75" t="inlineStr">
        <is>
          <t>2025-07-08</t>
        </is>
      </c>
      <c r="J211" s="75" t="inlineStr">
        <is>
          <t>85</t>
        </is>
      </c>
      <c r="K211" s="75" t="inlineStr">
        <is>
          <t>aceito_payload</t>
        </is>
      </c>
      <c r="L211" s="144" t="n">
        <v>1</v>
      </c>
      <c r="M211" s="75" t="inlineStr">
        <is>
          <t>data/industry_study/generated_revision/artifact_payload.json</t>
        </is>
      </c>
      <c r="N211" s="75" t="inlineStr">
        <is>
          <t>N/D</t>
        </is>
      </c>
      <c r="O211" s="75" t="inlineStr">
        <is>
          <t>OBS da foto: lista de concentração pré-aprovada.</t>
        </is>
      </c>
    </row>
    <row r="212" ht="43.5" customHeight="1">
      <c r="A212" s="142" t="n">
        <v>44124617000194</v>
      </c>
      <c r="B212" s="75" t="inlineStr">
        <is>
          <t>44.124.617/0001-94</t>
        </is>
      </c>
      <c r="C212" s="75" t="inlineStr">
        <is>
          <t>cedente</t>
        </is>
      </c>
      <c r="D212" s="75" t="inlineStr">
        <is>
          <t>a CloudWalk que, de tempos em tempos, nos termos do Contrato de Cessão, cede seus respectivos Direitos Creditórios Elegíveis ao Fundo</t>
        </is>
      </c>
      <c r="E212" s="75" t="inlineStr">
        <is>
          <t>N/D</t>
        </is>
      </c>
      <c r="F212" s="75" t="inlineStr">
        <is>
          <t>regulamento</t>
        </is>
      </c>
      <c r="G212" s="75" t="inlineStr">
        <is>
          <t>724051</t>
        </is>
      </c>
      <c r="H212" s="75" t="inlineStr">
        <is>
          <t>Regulamento</t>
        </is>
      </c>
      <c r="I212" s="75" t="inlineStr">
        <is>
          <t>19/08/2024</t>
        </is>
      </c>
      <c r="J212" s="75" t="inlineStr">
        <is>
          <t>94</t>
        </is>
      </c>
      <c r="K212" s="75" t="inlineStr">
        <is>
          <t>encontrado_explicito</t>
        </is>
      </c>
      <c r="L212" s="144" t="n">
        <v>0.95</v>
      </c>
      <c r="M212" s="75" t="inlineStr">
        <is>
          <t>.cache/carteira_101_document_scan/44124617000194/724051.json.gz</t>
        </is>
      </c>
      <c r="N212" s="75" t="inlineStr">
        <is>
          <t>https://fnet.bmfbovespa.com.br/fnet/publico/downloadDocumento?id=724051</t>
        </is>
      </c>
      <c r="O21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3" ht="43.5" customHeight="1">
      <c r="A213" s="142" t="n">
        <v>44124617000194</v>
      </c>
      <c r="B213" s="75" t="inlineStr">
        <is>
          <t>44.124.617/0001-94</t>
        </is>
      </c>
      <c r="C213" s="75" t="inlineStr">
        <is>
          <t>cedente</t>
        </is>
      </c>
      <c r="D213" s="75" t="inlineStr">
        <is>
          <t>a CloudWalk que, de tempos em tempos, nos termos do Contrato de Cessão, cede seus respectivos Dire itos Creditórios Elegíveis ao Fundo</t>
        </is>
      </c>
      <c r="E213" s="75" t="inlineStr">
        <is>
          <t>N/D</t>
        </is>
      </c>
      <c r="F213" s="75" t="inlineStr">
        <is>
          <t>regulamento</t>
        </is>
      </c>
      <c r="G213" s="75" t="inlineStr">
        <is>
          <t>513520</t>
        </is>
      </c>
      <c r="H213" s="75" t="inlineStr">
        <is>
          <t>regulamento</t>
        </is>
      </c>
      <c r="I213" s="75" t="inlineStr">
        <is>
          <t>2023-08-28</t>
        </is>
      </c>
      <c r="J213" s="75" t="inlineStr">
        <is>
          <t>63</t>
        </is>
      </c>
      <c r="K213" s="75" t="inlineStr">
        <is>
          <t>encontrado_explicito</t>
        </is>
      </c>
      <c r="L213" s="144" t="n">
        <v>0.95</v>
      </c>
      <c r="M213" s="75" t="inlineStr">
        <is>
          <t>data/raw/44124617000194/513520_regulamento_regulamento_513520_2023-08-28.pdf</t>
        </is>
      </c>
      <c r="N213" s="75" t="inlineStr">
        <is>
          <t>https://fnet.bmfbovespa.com.br/fnet/publico/downloadDocumento?id=513520</t>
        </is>
      </c>
      <c r="O213" s="75" t="inlineStr">
        <is>
          <t>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214" ht="43.5" customHeight="1">
      <c r="A214" s="142" t="n">
        <v>44124617000194</v>
      </c>
      <c r="B214" s="75" t="inlineStr">
        <is>
          <t>44.124.617/0001-94</t>
        </is>
      </c>
      <c r="C214" s="75" t="inlineStr">
        <is>
          <t>cedente</t>
        </is>
      </c>
      <c r="D214" s="75" t="inlineStr">
        <is>
          <t>a CloudWalk que, de tempos em tempos, nos termos do Contrato de Cessão, cede seus respectivos Direitos Creditórios Elegíveis ao Fundo</t>
        </is>
      </c>
      <c r="E214" s="75" t="inlineStr">
        <is>
          <t>N/D</t>
        </is>
      </c>
      <c r="F214" s="75" t="inlineStr">
        <is>
          <t>regulamento</t>
        </is>
      </c>
      <c r="G214" s="75" t="inlineStr">
        <is>
          <t>851798</t>
        </is>
      </c>
      <c r="H214" s="75" t="inlineStr">
        <is>
          <t>regulamento</t>
        </is>
      </c>
      <c r="I214" s="75" t="inlineStr">
        <is>
          <t>2025-02-28</t>
        </is>
      </c>
      <c r="J214" s="75" t="inlineStr">
        <is>
          <t>94</t>
        </is>
      </c>
      <c r="K214" s="75" t="inlineStr">
        <is>
          <t>encontrado_explicito</t>
        </is>
      </c>
      <c r="L214" s="144" t="n">
        <v>0.95</v>
      </c>
      <c r="M214" s="75" t="inlineStr">
        <is>
          <t>data/raw/44124617000194/851798_regulamento_regulamento_851798_2025-02-28.pdf</t>
        </is>
      </c>
      <c r="N214" s="75" t="inlineStr">
        <is>
          <t>https://fnet.bmfbovespa.com.br/fnet/publico/downloadDocumento?id=851798</t>
        </is>
      </c>
      <c r="O214"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5" ht="43.5" customHeight="1">
      <c r="A215" s="142" t="n">
        <v>44124617000194</v>
      </c>
      <c r="B215" s="75" t="inlineStr">
        <is>
          <t>44.124.617/0001-94</t>
        </is>
      </c>
      <c r="C215" s="75" t="inlineStr">
        <is>
          <t>cedente</t>
        </is>
      </c>
      <c r="D215" s="75" t="inlineStr">
        <is>
          <t>Cloudwalk</t>
        </is>
      </c>
      <c r="E215" s="75" t="inlineStr">
        <is>
          <t>N/D</t>
        </is>
      </c>
      <c r="F215" s="75" t="inlineStr">
        <is>
          <t>planilha_manual</t>
        </is>
      </c>
      <c r="G215" s="75" t="inlineStr">
        <is>
          <t>IMG_8705.JPG</t>
        </is>
      </c>
      <c r="H215" s="75" t="inlineStr">
        <is>
          <t>payload</t>
        </is>
      </c>
      <c r="I215" s="75" t="inlineStr">
        <is>
          <t>2025-02-28</t>
        </is>
      </c>
      <c r="J215" s="75" t="inlineStr">
        <is>
          <t>101–102</t>
        </is>
      </c>
      <c r="K215" s="75" t="inlineStr">
        <is>
          <t>aceito_payload</t>
        </is>
      </c>
      <c r="L215" s="144" t="n">
        <v>1</v>
      </c>
      <c r="M215" s="75" t="inlineStr">
        <is>
          <t>data/industry_study/generated_revision/artifact_payload.json</t>
        </is>
      </c>
      <c r="N215" s="75" t="inlineStr">
        <is>
          <t>N/D</t>
        </is>
      </c>
      <c r="O215" s="75" t="inlineStr">
        <is>
          <t>OBS da foto: Alongamento discutido recentemente (mas com run-off). Denominação cortada.</t>
        </is>
      </c>
    </row>
    <row r="216" ht="43.5" customHeight="1">
      <c r="A216" s="142" t="n">
        <v>44124617000194</v>
      </c>
      <c r="B216" s="75" t="inlineStr">
        <is>
          <t>44.124.617/0001-94</t>
        </is>
      </c>
      <c r="C216" s="75" t="inlineStr">
        <is>
          <t>minimo_estrutural_total</t>
        </is>
      </c>
      <c r="D216" s="75" t="inlineStr">
        <is>
          <t>5%</t>
        </is>
      </c>
      <c r="E216" s="75" t="inlineStr">
        <is>
          <t>suporte_total_pl</t>
        </is>
      </c>
      <c r="F216" s="75" t="inlineStr">
        <is>
          <t>payload_documental</t>
        </is>
      </c>
      <c r="G216" s="75" t="inlineStr">
        <is>
          <t>851798</t>
        </is>
      </c>
      <c r="H216" s="75" t="inlineStr">
        <is>
          <t>documento_curado</t>
        </is>
      </c>
      <c r="I216" s="75" t="inlineStr">
        <is>
          <t>2025-02-28</t>
        </is>
      </c>
      <c r="J216" s="75" t="inlineStr">
        <is>
          <t>101–102</t>
        </is>
      </c>
      <c r="K216" s="75" t="inlineStr">
        <is>
          <t>aceito_payload</t>
        </is>
      </c>
      <c r="L216" s="144" t="n">
        <v>1</v>
      </c>
      <c r="M216" s="75" t="inlineStr">
        <is>
          <t>data/industry_study/generated_revision/artifact_payload.json</t>
        </is>
      </c>
      <c r="N216" s="75" t="inlineStr">
        <is>
          <t>https://fnet.bmfbovespa.com.br/fnet/publico/downloadDocumento?id=851798</t>
        </is>
      </c>
      <c r="O216" s="75" t="inlineStr">
        <is>
          <t>Cotas subordinadas / PL, mínimo de 5,0%; estrutura com uma única classe residual.</t>
        </is>
      </c>
    </row>
    <row r="217" ht="43.5" customHeight="1">
      <c r="A217" s="142" t="n">
        <v>44124617000194</v>
      </c>
      <c r="B217" s="75" t="inlineStr">
        <is>
          <t>44.124.617/0001-94</t>
        </is>
      </c>
      <c r="C217" s="75" t="inlineStr">
        <is>
          <t>minimo_junior</t>
        </is>
      </c>
      <c r="D217" s="75" t="inlineStr">
        <is>
          <t>5%</t>
        </is>
      </c>
      <c r="E217" s="75" t="inlineStr">
        <is>
          <t>junior_pl</t>
        </is>
      </c>
      <c r="F217" s="75" t="inlineStr">
        <is>
          <t>payload_documental</t>
        </is>
      </c>
      <c r="G217" s="75" t="inlineStr">
        <is>
          <t>851798</t>
        </is>
      </c>
      <c r="H217" s="75" t="inlineStr">
        <is>
          <t>documento_curado</t>
        </is>
      </c>
      <c r="I217" s="75" t="inlineStr">
        <is>
          <t>2025-02-28</t>
        </is>
      </c>
      <c r="J217" s="75" t="inlineStr">
        <is>
          <t>101–102</t>
        </is>
      </c>
      <c r="K217" s="75" t="inlineStr">
        <is>
          <t>aceito_payload</t>
        </is>
      </c>
      <c r="L217" s="144" t="n">
        <v>1</v>
      </c>
      <c r="M217" s="75" t="inlineStr">
        <is>
          <t>data/industry_study/generated_revision/artifact_payload.json</t>
        </is>
      </c>
      <c r="N217" s="75" t="inlineStr">
        <is>
          <t>https://fnet.bmfbovespa.com.br/fnet/publico/downloadDocumento?id=851798</t>
        </is>
      </c>
      <c r="O217" s="75" t="inlineStr">
        <is>
          <t>Cotas subordinadas / PL, mínimo de 5,0%; estrutura com uma única classe residual.</t>
        </is>
      </c>
    </row>
    <row r="218" ht="43.5" customHeight="1">
      <c r="A218" s="142" t="n">
        <v>44124617000194</v>
      </c>
      <c r="B218" s="75" t="inlineStr">
        <is>
          <t>44.124.617/0001-94</t>
        </is>
      </c>
      <c r="C218" s="75" t="inlineStr">
        <is>
          <t>natureza_indice</t>
        </is>
      </c>
      <c r="D218" s="75" t="inlineStr">
        <is>
          <t>junior_pl</t>
        </is>
      </c>
      <c r="E218" s="75" t="inlineStr">
        <is>
          <t>junior_pl</t>
        </is>
      </c>
      <c r="F218" s="75" t="inlineStr">
        <is>
          <t>payload_documental</t>
        </is>
      </c>
      <c r="G218" s="75" t="inlineStr">
        <is>
          <t>851798</t>
        </is>
      </c>
      <c r="H218" s="75" t="inlineStr">
        <is>
          <t>documento_curado</t>
        </is>
      </c>
      <c r="I218" s="75" t="inlineStr">
        <is>
          <t>2025-02-28</t>
        </is>
      </c>
      <c r="J218" s="75" t="inlineStr">
        <is>
          <t>101–102</t>
        </is>
      </c>
      <c r="K218" s="75" t="inlineStr">
        <is>
          <t>aceito_payload</t>
        </is>
      </c>
      <c r="L218" s="144" t="n">
        <v>1</v>
      </c>
      <c r="M218" s="75" t="inlineStr">
        <is>
          <t>data/industry_study/generated_revision/artifact_payload.json</t>
        </is>
      </c>
      <c r="N218" s="75" t="inlineStr">
        <is>
          <t>https://fnet.bmfbovespa.com.br/fnet/publico/downloadDocumento?id=851798</t>
        </is>
      </c>
      <c r="O218" s="75" t="inlineStr">
        <is>
          <t>Cotas subordinadas / PL, mínimo de 5,0%; estrutura com uma única classe residual.</t>
        </is>
      </c>
    </row>
    <row r="219" ht="43.5" customHeight="1">
      <c r="A219" s="142" t="n">
        <v>44124617000194</v>
      </c>
      <c r="B219" s="75" t="inlineStr">
        <is>
          <t>44.124.617/0001-94</t>
        </is>
      </c>
      <c r="C219" s="75" t="inlineStr">
        <is>
          <t>sacado_devedor</t>
        </is>
      </c>
      <c r="D219" s="75" t="inlineStr">
        <is>
          <t>cada Devedor de Direitos Creditórios Cedidos que represente 5% ( cinco por cento) ou mais do Patrimônio Líquido do Fundo</t>
        </is>
      </c>
      <c r="E219" s="75" t="inlineStr">
        <is>
          <t>N/D</t>
        </is>
      </c>
      <c r="F219" s="75" t="inlineStr">
        <is>
          <t>regulamento</t>
        </is>
      </c>
      <c r="G219" s="75" t="inlineStr">
        <is>
          <t>724051</t>
        </is>
      </c>
      <c r="H219" s="75" t="inlineStr">
        <is>
          <t>Regulamento</t>
        </is>
      </c>
      <c r="I219" s="75" t="inlineStr">
        <is>
          <t>19/08/2024</t>
        </is>
      </c>
      <c r="J219" s="75" t="inlineStr">
        <is>
          <t>98</t>
        </is>
      </c>
      <c r="K219" s="75" t="inlineStr">
        <is>
          <t>encontrado_explicito</t>
        </is>
      </c>
      <c r="L219" s="144" t="n">
        <v>0.95</v>
      </c>
      <c r="M219" s="75" t="inlineStr">
        <is>
          <t>.cache/carteira_101_document_scan/44124617000194/724051.json.gz</t>
        </is>
      </c>
      <c r="N219" s="75" t="inlineStr">
        <is>
          <t>https://fnet.bmfbovespa.com.br/fnet/publico/downloadDocumento?id=724051</t>
        </is>
      </c>
      <c r="O219"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0" ht="43.5" customHeight="1">
      <c r="A220" s="142" t="n">
        <v>44124617000194</v>
      </c>
      <c r="B220" s="75" t="inlineStr">
        <is>
          <t>44.124.617/0001-94</t>
        </is>
      </c>
      <c r="C220" s="75" t="inlineStr">
        <is>
          <t>sacado_devedor</t>
        </is>
      </c>
      <c r="D220" s="75" t="inlineStr">
        <is>
          <t>cada Devedor de Direitos Creditórios Cedidos que represente 5% (cinco por cento) ou mais do Patrimônio Líquido do Fundo</t>
        </is>
      </c>
      <c r="E220" s="75" t="inlineStr">
        <is>
          <t>N/D</t>
        </is>
      </c>
      <c r="F220" s="75" t="inlineStr">
        <is>
          <t>regulamento</t>
        </is>
      </c>
      <c r="G220" s="75" t="inlineStr">
        <is>
          <t>513520</t>
        </is>
      </c>
      <c r="H220" s="75" t="inlineStr">
        <is>
          <t>regulamento</t>
        </is>
      </c>
      <c r="I220" s="75" t="inlineStr">
        <is>
          <t>2023-08-28</t>
        </is>
      </c>
      <c r="J220" s="75" t="inlineStr">
        <is>
          <t>67</t>
        </is>
      </c>
      <c r="K220" s="75" t="inlineStr">
        <is>
          <t>encontrado_explicito</t>
        </is>
      </c>
      <c r="L220" s="144" t="n">
        <v>0.95</v>
      </c>
      <c r="M220" s="75" t="inlineStr">
        <is>
          <t>data/raw/44124617000194/513520_regulamento_regulamento_513520_2023-08-28.pdf</t>
        </is>
      </c>
      <c r="N220" s="75" t="inlineStr">
        <is>
          <t>https://fnet.bmfbovespa.com.br/fnet/publico/downloadDocumento?id=513520</t>
        </is>
      </c>
      <c r="O220" s="75" t="inlineStr">
        <is>
          <t>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t>
        </is>
      </c>
    </row>
    <row r="221" ht="43.5" customHeight="1">
      <c r="A221" s="142" t="n">
        <v>44124617000194</v>
      </c>
      <c r="B221" s="75" t="inlineStr">
        <is>
          <t>44.124.617/0001-94</t>
        </is>
      </c>
      <c r="C221" s="75" t="inlineStr">
        <is>
          <t>sacado_devedor</t>
        </is>
      </c>
      <c r="D221" s="75" t="inlineStr">
        <is>
          <t>cada Devedor de Direitos Creditórios Cedidos que represente 5% ( cinco por cento) ou mais do Patrimônio Líquido do Fundo</t>
        </is>
      </c>
      <c r="E221" s="75" t="inlineStr">
        <is>
          <t>N/D</t>
        </is>
      </c>
      <c r="F221" s="75" t="inlineStr">
        <is>
          <t>regulamento</t>
        </is>
      </c>
      <c r="G221" s="75" t="inlineStr">
        <is>
          <t>851798</t>
        </is>
      </c>
      <c r="H221" s="75" t="inlineStr">
        <is>
          <t>regulamento</t>
        </is>
      </c>
      <c r="I221" s="75" t="inlineStr">
        <is>
          <t>2025-02-28</t>
        </is>
      </c>
      <c r="J221" s="75" t="inlineStr">
        <is>
          <t>98</t>
        </is>
      </c>
      <c r="K221" s="75" t="inlineStr">
        <is>
          <t>encontrado_explicito</t>
        </is>
      </c>
      <c r="L221" s="144" t="n">
        <v>0.95</v>
      </c>
      <c r="M221" s="75" t="inlineStr">
        <is>
          <t>data/raw/44124617000194/851798_regulamento_regulamento_851798_2025-02-28.pdf</t>
        </is>
      </c>
      <c r="N221" s="75" t="inlineStr">
        <is>
          <t>https://fnet.bmfbovespa.com.br/fnet/publico/downloadDocumento?id=851798</t>
        </is>
      </c>
      <c r="O221"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2" ht="43.5" customHeight="1">
      <c r="A222" s="142" t="n">
        <v>44124617000194</v>
      </c>
      <c r="B222" s="75" t="inlineStr">
        <is>
          <t>44.124.617/0001-94</t>
        </is>
      </c>
      <c r="C222" s="75" t="inlineStr">
        <is>
          <t>tipo_recebivel</t>
        </is>
      </c>
      <c r="D222"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2" s="75" t="inlineStr">
        <is>
          <t>N/D</t>
        </is>
      </c>
      <c r="F222" s="75" t="inlineStr">
        <is>
          <t>regulamento</t>
        </is>
      </c>
      <c r="G222" s="75" t="inlineStr">
        <is>
          <t>724051</t>
        </is>
      </c>
      <c r="H222" s="75" t="inlineStr">
        <is>
          <t>Regulamento</t>
        </is>
      </c>
      <c r="I222" s="75" t="inlineStr">
        <is>
          <t>19/08/2024</t>
        </is>
      </c>
      <c r="J222" s="75" t="inlineStr">
        <is>
          <t>99</t>
        </is>
      </c>
      <c r="K222" s="75" t="inlineStr">
        <is>
          <t>encontrado_explicito</t>
        </is>
      </c>
      <c r="L222" s="144" t="n">
        <v>0.92</v>
      </c>
      <c r="M222" s="75" t="inlineStr">
        <is>
          <t>.cache/carteira_101_document_scan/44124617000194/724051.json.gz</t>
        </is>
      </c>
      <c r="N222" s="75" t="inlineStr">
        <is>
          <t>https://fnet.bmfbovespa.com.br/fnet/publico/downloadDocumento?id=724051</t>
        </is>
      </c>
      <c r="O222" s="75" t="inlineStr">
        <is>
          <t>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3" ht="43.5" customHeight="1">
      <c r="A223" s="142" t="n">
        <v>44124617000194</v>
      </c>
      <c r="B223" s="75" t="inlineStr">
        <is>
          <t>44.124.617/0001-94</t>
        </is>
      </c>
      <c r="C223" s="75" t="inlineStr">
        <is>
          <t>tipo_recebivel</t>
        </is>
      </c>
      <c r="D223" s="75" t="inlineStr">
        <is>
          <t>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t>
        </is>
      </c>
      <c r="E223" s="75" t="inlineStr">
        <is>
          <t>N/D</t>
        </is>
      </c>
      <c r="F223" s="75" t="inlineStr">
        <is>
          <t>regulamento</t>
        </is>
      </c>
      <c r="G223" s="75" t="inlineStr">
        <is>
          <t>513520</t>
        </is>
      </c>
      <c r="H223" s="75" t="inlineStr">
        <is>
          <t>regulamento</t>
        </is>
      </c>
      <c r="I223" s="75" t="inlineStr">
        <is>
          <t>2023-08-28</t>
        </is>
      </c>
      <c r="J223" s="75" t="inlineStr">
        <is>
          <t>67</t>
        </is>
      </c>
      <c r="K223" s="75" t="inlineStr">
        <is>
          <t>encontrado_explicito</t>
        </is>
      </c>
      <c r="L223" s="144" t="n">
        <v>0.92</v>
      </c>
      <c r="M223" s="75" t="inlineStr">
        <is>
          <t>data/raw/44124617000194/513520_regulamento_regulamento_513520_2023-08-28.pdf</t>
        </is>
      </c>
      <c r="N223" s="75" t="inlineStr">
        <is>
          <t>https://fnet.bmfbovespa.com.br/fnet/publico/downloadDocumento?id=513520</t>
        </is>
      </c>
      <c r="O223"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t>
        </is>
      </c>
    </row>
    <row r="224" ht="43.5" customHeight="1">
      <c r="A224" s="142" t="n">
        <v>44124617000194</v>
      </c>
      <c r="B224" s="75" t="inlineStr">
        <is>
          <t>44.124.617/0001-94</t>
        </is>
      </c>
      <c r="C224" s="75" t="inlineStr">
        <is>
          <t>tipo_recebivel</t>
        </is>
      </c>
      <c r="D224"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4" s="75" t="inlineStr">
        <is>
          <t>N/D</t>
        </is>
      </c>
      <c r="F224" s="75" t="inlineStr">
        <is>
          <t>regulamento</t>
        </is>
      </c>
      <c r="G224" s="75" t="inlineStr">
        <is>
          <t>851798</t>
        </is>
      </c>
      <c r="H224" s="75" t="inlineStr">
        <is>
          <t>regulamento</t>
        </is>
      </c>
      <c r="I224" s="75" t="inlineStr">
        <is>
          <t>2025-02-28</t>
        </is>
      </c>
      <c r="J224" s="75" t="inlineStr">
        <is>
          <t>99</t>
        </is>
      </c>
      <c r="K224" s="75" t="inlineStr">
        <is>
          <t>encontrado_explicito</t>
        </is>
      </c>
      <c r="L224" s="144" t="n">
        <v>0.92</v>
      </c>
      <c r="M224" s="75" t="inlineStr">
        <is>
          <t>data/raw/44124617000194/851798_regulamento_regulamento_851798_2025-02-28.pdf</t>
        </is>
      </c>
      <c r="N224" s="75" t="inlineStr">
        <is>
          <t>https://fnet.bmfbovespa.com.br/fnet/publico/downloadDocumento?id=851798</t>
        </is>
      </c>
      <c r="O224" s="75" t="inlineStr">
        <is>
          <t>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5" ht="43.5" customHeight="1">
      <c r="A225" s="142" t="n">
        <v>44173467000109</v>
      </c>
      <c r="B225" s="75" t="inlineStr">
        <is>
          <t>44.173.467/0001-09</t>
        </is>
      </c>
      <c r="C225" s="75" t="inlineStr">
        <is>
          <t>cedente</t>
        </is>
      </c>
      <c r="D225" s="75" t="inlineStr">
        <is>
          <t>Parati</t>
        </is>
      </c>
      <c r="E225" s="75" t="inlineStr">
        <is>
          <t>N/D</t>
        </is>
      </c>
      <c r="F225" s="75" t="inlineStr">
        <is>
          <t>planilha_manual</t>
        </is>
      </c>
      <c r="G225" s="75" t="inlineStr">
        <is>
          <t>IMG_8704.JPG</t>
        </is>
      </c>
      <c r="H225" s="75" t="inlineStr">
        <is>
          <t>payload</t>
        </is>
      </c>
      <c r="I225" s="75" t="inlineStr">
        <is>
          <t>2024-11-28</t>
        </is>
      </c>
      <c r="J225" s="75" t="inlineStr">
        <is>
          <t>19</t>
        </is>
      </c>
      <c r="K225" s="75" t="inlineStr">
        <is>
          <t>aceito_payload</t>
        </is>
      </c>
      <c r="L225" s="144" t="n">
        <v>1</v>
      </c>
      <c r="M225" s="75" t="inlineStr">
        <is>
          <t>data/industry_study/generated_revision/artifact_payload.json</t>
        </is>
      </c>
      <c r="N225" s="75" t="inlineStr">
        <is>
          <t>N/D</t>
        </is>
      </c>
      <c r="O225" s="75" t="inlineStr">
        <is>
          <t>OBS da foto: Rating atual Baa1; se ajustar o rating na base, pode considerar perspectiva estável.</t>
        </is>
      </c>
    </row>
    <row r="226" ht="43.5" customHeight="1">
      <c r="A226" s="142" t="n">
        <v>44173467000109</v>
      </c>
      <c r="B226" s="75" t="inlineStr">
        <is>
          <t>44.173.467/0001-09</t>
        </is>
      </c>
      <c r="C226" s="75" t="inlineStr">
        <is>
          <t>minimo_estrutural_total</t>
        </is>
      </c>
      <c r="D226" s="75" t="inlineStr">
        <is>
          <t>10%</t>
        </is>
      </c>
      <c r="E226" s="75" t="inlineStr">
        <is>
          <t>suporte_total_pl</t>
        </is>
      </c>
      <c r="F226" s="75" t="inlineStr">
        <is>
          <t>payload_documental</t>
        </is>
      </c>
      <c r="G226" s="75" t="inlineStr">
        <is>
          <t>791513</t>
        </is>
      </c>
      <c r="H226" s="75" t="inlineStr">
        <is>
          <t>documento_curado</t>
        </is>
      </c>
      <c r="I226" s="75" t="inlineStr">
        <is>
          <t>2024-11-28</t>
        </is>
      </c>
      <c r="J226" s="75" t="inlineStr">
        <is>
          <t>19</t>
        </is>
      </c>
      <c r="K226" s="75" t="inlineStr">
        <is>
          <t>aceito_payload</t>
        </is>
      </c>
      <c r="L226" s="144" t="n">
        <v>1</v>
      </c>
      <c r="M226" s="75" t="inlineStr">
        <is>
          <t>data/industry_study/generated_revision/artifact_payload.json</t>
        </is>
      </c>
      <c r="N226" s="75" t="inlineStr">
        <is>
          <t>https://fnet.bmfbovespa.com.br/fnet/publico/downloadDocumento?id=791513</t>
        </is>
      </c>
      <c r="O226" s="75" t="inlineStr">
        <is>
          <t>Mínimo júnior calculado: subordinadas = 10,0% do PL e júnior = 10,0% das subordinadas.</t>
        </is>
      </c>
    </row>
    <row r="227" ht="43.5" customHeight="1">
      <c r="A227" s="142" t="n">
        <v>44173467000109</v>
      </c>
      <c r="B227" s="75" t="inlineStr">
        <is>
          <t>44.173.467/0001-09</t>
        </is>
      </c>
      <c r="C227" s="75" t="inlineStr">
        <is>
          <t>minimo_junior</t>
        </is>
      </c>
      <c r="D227" s="75" t="inlineStr">
        <is>
          <t>1%</t>
        </is>
      </c>
      <c r="E227" s="75" t="inlineStr">
        <is>
          <t>junior_pl_calculado</t>
        </is>
      </c>
      <c r="F227" s="75" t="inlineStr">
        <is>
          <t>payload_documental</t>
        </is>
      </c>
      <c r="G227" s="75" t="inlineStr">
        <is>
          <t>791513</t>
        </is>
      </c>
      <c r="H227" s="75" t="inlineStr">
        <is>
          <t>documento_curado</t>
        </is>
      </c>
      <c r="I227" s="75" t="inlineStr">
        <is>
          <t>2024-11-28</t>
        </is>
      </c>
      <c r="J227" s="75" t="inlineStr">
        <is>
          <t>19</t>
        </is>
      </c>
      <c r="K227" s="75" t="inlineStr">
        <is>
          <t>aceito_payload</t>
        </is>
      </c>
      <c r="L227" s="144" t="n">
        <v>1</v>
      </c>
      <c r="M227" s="75" t="inlineStr">
        <is>
          <t>data/industry_study/generated_revision/artifact_payload.json</t>
        </is>
      </c>
      <c r="N227" s="75" t="inlineStr">
        <is>
          <t>https://fnet.bmfbovespa.com.br/fnet/publico/downloadDocumento?id=791513</t>
        </is>
      </c>
      <c r="O227" s="75" t="inlineStr">
        <is>
          <t>Mínimo júnior calculado: subordinadas = 10,0% do PL e júnior = 10,0% das subordinadas.</t>
        </is>
      </c>
    </row>
    <row r="228" ht="43.5" customHeight="1">
      <c r="A228" s="142" t="n">
        <v>44173467000109</v>
      </c>
      <c r="B228" s="75" t="inlineStr">
        <is>
          <t>44.173.467/0001-09</t>
        </is>
      </c>
      <c r="C228" s="75" t="inlineStr">
        <is>
          <t>natureza_indice</t>
        </is>
      </c>
      <c r="D228" s="75" t="inlineStr">
        <is>
          <t>junior_pl_calculado</t>
        </is>
      </c>
      <c r="E228" s="75" t="inlineStr">
        <is>
          <t>junior_pl_calculado</t>
        </is>
      </c>
      <c r="F228" s="75" t="inlineStr">
        <is>
          <t>payload_documental</t>
        </is>
      </c>
      <c r="G228" s="75" t="inlineStr">
        <is>
          <t>791513</t>
        </is>
      </c>
      <c r="H228" s="75" t="inlineStr">
        <is>
          <t>documento_curado</t>
        </is>
      </c>
      <c r="I228" s="75" t="inlineStr">
        <is>
          <t>2024-11-28</t>
        </is>
      </c>
      <c r="J228" s="75" t="inlineStr">
        <is>
          <t>19</t>
        </is>
      </c>
      <c r="K228" s="75" t="inlineStr">
        <is>
          <t>aceito_payload</t>
        </is>
      </c>
      <c r="L228" s="144" t="n">
        <v>1</v>
      </c>
      <c r="M228" s="75" t="inlineStr">
        <is>
          <t>data/industry_study/generated_revision/artifact_payload.json</t>
        </is>
      </c>
      <c r="N228" s="75" t="inlineStr">
        <is>
          <t>https://fnet.bmfbovespa.com.br/fnet/publico/downloadDocumento?id=791513</t>
        </is>
      </c>
      <c r="O228" s="75" t="inlineStr">
        <is>
          <t>Mínimo júnior calculado: subordinadas = 10,0% do PL e júnior = 10,0% das subordinadas.</t>
        </is>
      </c>
    </row>
    <row r="229" ht="43.5" customHeight="1">
      <c r="A229" s="142" t="n">
        <v>44173467000109</v>
      </c>
      <c r="B229" s="75" t="inlineStr">
        <is>
          <t>44.173.467/0001-09</t>
        </is>
      </c>
      <c r="C229" s="75" t="inlineStr">
        <is>
          <t>tipo_recebivel</t>
        </is>
      </c>
      <c r="D229" s="75" t="inlineStr">
        <is>
          <t>Crédito consignado INSS</t>
        </is>
      </c>
      <c r="E229" s="75" t="inlineStr">
        <is>
          <t>N/D</t>
        </is>
      </c>
      <c r="F229" s="75" t="inlineStr">
        <is>
          <t>planilha_manual</t>
        </is>
      </c>
      <c r="G229" s="75" t="inlineStr">
        <is>
          <t>IMG_8704.JPG</t>
        </is>
      </c>
      <c r="H229" s="75" t="inlineStr">
        <is>
          <t>payload</t>
        </is>
      </c>
      <c r="I229" s="75" t="inlineStr">
        <is>
          <t>2024-11-28</t>
        </is>
      </c>
      <c r="J229" s="75" t="inlineStr">
        <is>
          <t>19</t>
        </is>
      </c>
      <c r="K229" s="75" t="inlineStr">
        <is>
          <t>aceito_payload</t>
        </is>
      </c>
      <c r="L229" s="144" t="n">
        <v>1</v>
      </c>
      <c r="M229" s="75" t="inlineStr">
        <is>
          <t>data/industry_study/generated_revision/artifact_payload.json</t>
        </is>
      </c>
      <c r="N229" s="75" t="inlineStr">
        <is>
          <t>N/D</t>
        </is>
      </c>
      <c r="O229" s="75" t="inlineStr">
        <is>
          <t>OBS da foto: Rating atual Baa1; se ajustar o rating na base, pode considerar perspectiva estável.</t>
        </is>
      </c>
    </row>
    <row r="230" ht="43.5" customHeight="1">
      <c r="A230" s="142" t="n">
        <v>44272584000120</v>
      </c>
      <c r="B230" s="75" t="inlineStr">
        <is>
          <t>44.272.584/0001-20</t>
        </is>
      </c>
      <c r="C230" s="75" t="inlineStr">
        <is>
          <t>cedente</t>
        </is>
      </c>
      <c r="D230" s="75" t="inlineStr">
        <is>
          <t>Lavoro Agrocomercial S.A., Agrocontato Comércio e Representações de Produtos Agropecuários S.A., Agrovenci - Comércio, Importação, Exportação e Agropecuário Ltda. e Distribuidora Pitangueiras de Produtos Agropecuários S.A. (em conjunto, Grupo Lavoro)</t>
        </is>
      </c>
      <c r="E230" s="75" t="inlineStr">
        <is>
          <t>rótulo explícito de participante v2</t>
        </is>
      </c>
      <c r="F230" s="75" t="inlineStr">
        <is>
          <t>rating_report</t>
        </is>
      </c>
      <c r="G230" s="75" t="inlineStr">
        <is>
          <t>727455</t>
        </is>
      </c>
      <c r="H230" s="75" t="inlineStr">
        <is>
          <t>Relatórios Relatório de Agência de Rating</t>
        </is>
      </c>
      <c r="I230" s="75" t="inlineStr">
        <is>
          <t>28/06/2024</t>
        </is>
      </c>
      <c r="J230" s="75" t="inlineStr">
        <is>
          <t>1</t>
        </is>
      </c>
      <c r="K230" s="75" t="inlineStr">
        <is>
          <t>encontrado_explicito</t>
        </is>
      </c>
      <c r="L230" s="144" t="n">
        <v>0.93</v>
      </c>
      <c r="M230" s="75" t="inlineStr">
        <is>
          <t>.cache/carteira_101_document_scan/44272584000120/727455.json.gz</t>
        </is>
      </c>
      <c r="N230" s="75" t="inlineStr">
        <is>
          <t>https://fnet.bmfbovespa.com.br/fnet/publico/downloadDocumento?id=727455</t>
        </is>
      </c>
      <c r="O230" s="75" t="inlineStr">
        <is>
          <t>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t>
        </is>
      </c>
    </row>
    <row r="231" ht="43.5" customHeight="1">
      <c r="A231" s="142" t="n">
        <v>44272584000120</v>
      </c>
      <c r="B231" s="75" t="inlineStr">
        <is>
          <t>44.272.584/0001-20</t>
        </is>
      </c>
      <c r="C231" s="75" t="inlineStr">
        <is>
          <t>cedente</t>
        </is>
      </c>
      <c r="D231" s="75" t="inlineStr">
        <is>
          <t>Lavoro Agrocomercial S.A., Agrocontato Comércio e Representações de Produtos Agropecuários S.A., Agrovenci - Comércio, Importação, Exportação e Agropecuário Ltda. e Distribuidora Pitangueiras de Produtos Agropecuários S.A. (em conjunto, Grupo Lavoro)</t>
        </is>
      </c>
      <c r="E231" s="75" t="inlineStr">
        <is>
          <t>rótulo explícito de participante v2</t>
        </is>
      </c>
      <c r="F231" s="75" t="inlineStr">
        <is>
          <t>rating_report</t>
        </is>
      </c>
      <c r="G231" s="75" t="inlineStr">
        <is>
          <t>798158</t>
        </is>
      </c>
      <c r="H231" s="75" t="inlineStr">
        <is>
          <t>Relatórios Relatório de Agência de Rating</t>
        </is>
      </c>
      <c r="I231" s="75" t="inlineStr">
        <is>
          <t>30/09/2024</t>
        </is>
      </c>
      <c r="J231" s="75" t="inlineStr">
        <is>
          <t>1</t>
        </is>
      </c>
      <c r="K231" s="75" t="inlineStr">
        <is>
          <t>encontrado_explicito</t>
        </is>
      </c>
      <c r="L231" s="144" t="n">
        <v>0.93</v>
      </c>
      <c r="M231" s="75" t="inlineStr">
        <is>
          <t>.cache/carteira_101_document_scan/44272584000120/798158.json.gz</t>
        </is>
      </c>
      <c r="N231" s="75" t="inlineStr">
        <is>
          <t>https://fnet.bmfbovespa.com.br/fnet/publico/downloadDocumento?id=798158</t>
        </is>
      </c>
      <c r="O231" s="75" t="inlineStr">
        <is>
          <t>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t>
        </is>
      </c>
    </row>
    <row r="232" ht="43.5" customHeight="1">
      <c r="A232" s="142" t="n">
        <v>44272584000120</v>
      </c>
      <c r="B232" s="75" t="inlineStr">
        <is>
          <t>44.272.584/0001-20</t>
        </is>
      </c>
      <c r="C232" s="75" t="inlineStr">
        <is>
          <t>cedente</t>
        </is>
      </c>
      <c r="D232" s="75" t="inlineStr">
        <is>
          <t>Lavoro</t>
        </is>
      </c>
      <c r="E232" s="75" t="inlineStr">
        <is>
          <t>N/D</t>
        </is>
      </c>
      <c r="F232" s="75" t="inlineStr">
        <is>
          <t>planilha_manual</t>
        </is>
      </c>
      <c r="G232" s="75" t="inlineStr">
        <is>
          <t>IMG_8705.JPG</t>
        </is>
      </c>
      <c r="H232" s="75" t="inlineStr">
        <is>
          <t>payload</t>
        </is>
      </c>
      <c r="I232" s="75" t="inlineStr">
        <is>
          <t>2025-09-30</t>
        </is>
      </c>
      <c r="J232" s="75" t="inlineStr">
        <is>
          <t>133</t>
        </is>
      </c>
      <c r="K232" s="75" t="inlineStr">
        <is>
          <t>aceito_payload</t>
        </is>
      </c>
      <c r="L232" s="144" t="n">
        <v>1</v>
      </c>
      <c r="M232" s="75" t="inlineStr">
        <is>
          <t>data/industry_study/generated_revision/artifact_payload.json</t>
        </is>
      </c>
      <c r="N232" s="75" t="inlineStr">
        <is>
          <t>N/D</t>
        </is>
      </c>
      <c r="O232" s="75" t="inlineStr">
        <is>
          <t>OBS da foto: Realizamos ajuste tempestivo para Ba1 - carteira vence em 30/04 - acompanhamento mensal. Denominação cortada.</t>
        </is>
      </c>
    </row>
    <row r="233" ht="43.5" customHeight="1">
      <c r="A233" s="142" t="n">
        <v>44272584000120</v>
      </c>
      <c r="B233" s="75" t="inlineStr">
        <is>
          <t>44.272.584/0001-20</t>
        </is>
      </c>
      <c r="C233" s="75" t="inlineStr">
        <is>
          <t>minimo_junior</t>
        </is>
      </c>
      <c r="D233" s="75" t="inlineStr">
        <is>
          <t>5%</t>
        </is>
      </c>
      <c r="E233" s="75" t="inlineStr">
        <is>
          <t>junior_pl</t>
        </is>
      </c>
      <c r="F233" s="75" t="inlineStr">
        <is>
          <t>payload_documental</t>
        </is>
      </c>
      <c r="G233" s="75" t="inlineStr">
        <is>
          <t>1003378</t>
        </is>
      </c>
      <c r="H233" s="75" t="inlineStr">
        <is>
          <t>documento_curado</t>
        </is>
      </c>
      <c r="I233" s="75" t="inlineStr">
        <is>
          <t>2025-09-30</t>
        </is>
      </c>
      <c r="J233" s="75" t="inlineStr">
        <is>
          <t>133</t>
        </is>
      </c>
      <c r="K233" s="75" t="inlineStr">
        <is>
          <t>aceito_payload</t>
        </is>
      </c>
      <c r="L233" s="144" t="n">
        <v>1</v>
      </c>
      <c r="M233" s="75" t="inlineStr">
        <is>
          <t>data/industry_study/generated_revision/artifact_payload.json</t>
        </is>
      </c>
      <c r="N233" s="75" t="inlineStr">
        <is>
          <t>https://fnet.bmfbovespa.com.br/fnet/publico/downloadDocumento?id=1003378</t>
        </is>
      </c>
      <c r="O233" s="75" t="inlineStr">
        <is>
          <t>Proporção de cotas subordinadas júnior / PL, mínimo de 5,0%.</t>
        </is>
      </c>
    </row>
    <row r="234" ht="43.5" customHeight="1">
      <c r="A234" s="142" t="n">
        <v>44272584000120</v>
      </c>
      <c r="B234" s="75" t="inlineStr">
        <is>
          <t>44.272.584/0001-20</t>
        </is>
      </c>
      <c r="C234" s="75" t="inlineStr">
        <is>
          <t>natureza_indice</t>
        </is>
      </c>
      <c r="D234" s="75" t="inlineStr">
        <is>
          <t>junior_pl</t>
        </is>
      </c>
      <c r="E234" s="75" t="inlineStr">
        <is>
          <t>junior_pl</t>
        </is>
      </c>
      <c r="F234" s="75" t="inlineStr">
        <is>
          <t>payload_documental</t>
        </is>
      </c>
      <c r="G234" s="75" t="inlineStr">
        <is>
          <t>1003378</t>
        </is>
      </c>
      <c r="H234" s="75" t="inlineStr">
        <is>
          <t>documento_curado</t>
        </is>
      </c>
      <c r="I234" s="75" t="inlineStr">
        <is>
          <t>2025-09-30</t>
        </is>
      </c>
      <c r="J234" s="75" t="inlineStr">
        <is>
          <t>133</t>
        </is>
      </c>
      <c r="K234" s="75" t="inlineStr">
        <is>
          <t>aceito_payload</t>
        </is>
      </c>
      <c r="L234" s="144" t="n">
        <v>1</v>
      </c>
      <c r="M234" s="75" t="inlineStr">
        <is>
          <t>data/industry_study/generated_revision/artifact_payload.json</t>
        </is>
      </c>
      <c r="N234" s="75" t="inlineStr">
        <is>
          <t>https://fnet.bmfbovespa.com.br/fnet/publico/downloadDocumento?id=1003378</t>
        </is>
      </c>
      <c r="O234" s="75" t="inlineStr">
        <is>
          <t>Proporção de cotas subordinadas júnior / PL, mínimo de 5,0%.</t>
        </is>
      </c>
    </row>
    <row r="235" ht="43.5" customHeight="1">
      <c r="A235" s="142" t="n">
        <v>44574361000117</v>
      </c>
      <c r="B235" s="75" t="inlineStr">
        <is>
          <t>44.574.361/0001-17</t>
        </is>
      </c>
      <c r="C235" s="75" t="inlineStr">
        <is>
          <t>cedente</t>
        </is>
      </c>
      <c r="D235" s="75" t="inlineStr">
        <is>
          <t>UPL</t>
        </is>
      </c>
      <c r="E235" s="75" t="inlineStr">
        <is>
          <t>N/D</t>
        </is>
      </c>
      <c r="F235" s="75" t="inlineStr">
        <is>
          <t>planilha_manual</t>
        </is>
      </c>
      <c r="G235" s="75" t="inlineStr">
        <is>
          <t>IMG_8704.JPG</t>
        </is>
      </c>
      <c r="H235" s="75" t="inlineStr">
        <is>
          <t>payload</t>
        </is>
      </c>
      <c r="I235" s="75" t="inlineStr">
        <is>
          <t>2025-06-12</t>
        </is>
      </c>
      <c r="J235" s="75" t="inlineStr">
        <is>
          <t>133</t>
        </is>
      </c>
      <c r="K235" s="75" t="inlineStr">
        <is>
          <t>aceito_payload</t>
        </is>
      </c>
      <c r="L235" s="144" t="n">
        <v>1</v>
      </c>
      <c r="M235" s="75" t="inlineStr">
        <is>
          <t>data/industry_study/generated_revision/artifact_payload.json</t>
        </is>
      </c>
      <c r="N235" s="75" t="inlineStr">
        <is>
          <t>N/D</t>
        </is>
      </c>
      <c r="O235" s="75" t="inlineStr">
        <is>
          <t>N/D</t>
        </is>
      </c>
    </row>
    <row r="236" ht="43.5" customHeight="1">
      <c r="A236" s="142" t="n">
        <v>44574361000117</v>
      </c>
      <c r="B236" s="75" t="inlineStr">
        <is>
          <t>44.574.361/0001-17</t>
        </is>
      </c>
      <c r="C236" s="75" t="inlineStr">
        <is>
          <t>minimo_estrutural_total</t>
        </is>
      </c>
      <c r="D236" s="75" t="inlineStr">
        <is>
          <t>15%</t>
        </is>
      </c>
      <c r="E236" s="75" t="inlineStr">
        <is>
          <t>suporte_total_pl</t>
        </is>
      </c>
      <c r="F236" s="75" t="inlineStr">
        <is>
          <t>payload_documental</t>
        </is>
      </c>
      <c r="G236" s="75" t="inlineStr">
        <is>
          <t>928360</t>
        </is>
      </c>
      <c r="H236" s="75" t="inlineStr">
        <is>
          <t>documento_curado</t>
        </is>
      </c>
      <c r="I236" s="75" t="inlineStr">
        <is>
          <t>2025-06-12</t>
        </is>
      </c>
      <c r="J236" s="75" t="inlineStr">
        <is>
          <t>133</t>
        </is>
      </c>
      <c r="K236" s="75" t="inlineStr">
        <is>
          <t>aceito_payload</t>
        </is>
      </c>
      <c r="L236" s="144" t="n">
        <v>1</v>
      </c>
      <c r="M236" s="75" t="inlineStr">
        <is>
          <t>data/industry_study/generated_revision/artifact_payload.json</t>
        </is>
      </c>
      <c r="N236" s="75" t="inlineStr">
        <is>
          <t>https://fnet.bmfbovespa.com.br/fnet/publico/downloadDocumento?id=928360</t>
        </is>
      </c>
      <c r="O236" s="75" t="inlineStr">
        <is>
          <t>N/D</t>
        </is>
      </c>
    </row>
    <row r="237" ht="43.5" customHeight="1">
      <c r="A237" s="142" t="n">
        <v>44574361000117</v>
      </c>
      <c r="B237" s="75" t="inlineStr">
        <is>
          <t>44.574.361/0001-17</t>
        </is>
      </c>
      <c r="C237" s="75" t="inlineStr">
        <is>
          <t>natureza_indice</t>
        </is>
      </c>
      <c r="D237" s="75" t="inlineStr">
        <is>
          <t>suporte_total_pl</t>
        </is>
      </c>
      <c r="E237" s="75" t="inlineStr">
        <is>
          <t>suporte_total_pl</t>
        </is>
      </c>
      <c r="F237" s="75" t="inlineStr">
        <is>
          <t>payload_documental</t>
        </is>
      </c>
      <c r="G237" s="75" t="inlineStr">
        <is>
          <t>928360</t>
        </is>
      </c>
      <c r="H237" s="75" t="inlineStr">
        <is>
          <t>documento_curado</t>
        </is>
      </c>
      <c r="I237" s="75" t="inlineStr">
        <is>
          <t>2025-06-12</t>
        </is>
      </c>
      <c r="J237" s="75" t="inlineStr">
        <is>
          <t>133</t>
        </is>
      </c>
      <c r="K237" s="75" t="inlineStr">
        <is>
          <t>aceito_payload</t>
        </is>
      </c>
      <c r="L237" s="144" t="n">
        <v>1</v>
      </c>
      <c r="M237" s="75" t="inlineStr">
        <is>
          <t>data/industry_study/generated_revision/artifact_payload.json</t>
        </is>
      </c>
      <c r="N237" s="75" t="inlineStr">
        <is>
          <t>https://fnet.bmfbovespa.com.br/fnet/publico/downloadDocumento?id=928360</t>
        </is>
      </c>
      <c r="O237" s="75" t="inlineStr">
        <is>
          <t>N/D</t>
        </is>
      </c>
    </row>
    <row r="238" ht="43.5" customHeight="1">
      <c r="A238" s="142" t="n">
        <v>44574361000117</v>
      </c>
      <c r="B238" s="75" t="inlineStr">
        <is>
          <t>44.574.361/0001-17</t>
        </is>
      </c>
      <c r="C238" s="75" t="inlineStr">
        <is>
          <t>originador</t>
        </is>
      </c>
      <c r="D238" s="75" t="inlineStr">
        <is>
          <t>UPL Brasil/UPL</t>
        </is>
      </c>
      <c r="E238" s="75" t="inlineStr">
        <is>
          <t>rótulo explícito de participante v2</t>
        </is>
      </c>
      <c r="F238" s="75" t="inlineStr">
        <is>
          <t>rating_report</t>
        </is>
      </c>
      <c r="G238" s="75" t="inlineStr">
        <is>
          <t>1263074</t>
        </is>
      </c>
      <c r="H238" s="75" t="inlineStr">
        <is>
          <t>Relatórios Relatório de Agência de Rating</t>
        </is>
      </c>
      <c r="I238" s="75" t="inlineStr">
        <is>
          <t>15/05/2026</t>
        </is>
      </c>
      <c r="J238" s="75" t="inlineStr">
        <is>
          <t>1</t>
        </is>
      </c>
      <c r="K238" s="75" t="inlineStr">
        <is>
          <t>encontrado_explicito</t>
        </is>
      </c>
      <c r="L238" s="144" t="n">
        <v>0.93</v>
      </c>
      <c r="M238" s="75" t="inlineStr">
        <is>
          <t>.cache/carteira_101_document_scan/44574361000117/1263074.json.gz</t>
        </is>
      </c>
      <c r="N238" s="75" t="inlineStr">
        <is>
          <t>https://fnet.bmfbovespa.com.br/fnet/publico/downloadDocumento?id=1263074</t>
        </is>
      </c>
      <c r="O238" s="75" t="inlineStr">
        <is>
          <t>agrícolas pela UPL do Brasil Indústria e Comércio de Insumos Agropecuários S/A (UPL Brasil/UPL / Originador) junto a produtores rurais e revendas (Direitos Creditórios Agro / DCs Agro), o</t>
        </is>
      </c>
    </row>
    <row r="239" ht="43.5" customHeight="1">
      <c r="A239" s="142" t="n">
        <v>44574361000117</v>
      </c>
      <c r="B239" s="75" t="inlineStr">
        <is>
          <t>44.574.361/0001-17</t>
        </is>
      </c>
      <c r="C239" s="75" t="inlineStr">
        <is>
          <t>originador</t>
        </is>
      </c>
      <c r="D239" s="75" t="inlineStr">
        <is>
          <t>UPL Brasil/UPL</t>
        </is>
      </c>
      <c r="E239" s="75" t="inlineStr">
        <is>
          <t>rótulo explícito de participante v2</t>
        </is>
      </c>
      <c r="F239" s="75" t="inlineStr">
        <is>
          <t>rating_report</t>
        </is>
      </c>
      <c r="G239" s="75" t="inlineStr">
        <is>
          <t>1126517</t>
        </is>
      </c>
      <c r="H239" s="75" t="inlineStr">
        <is>
          <t>Relatórios Relatório de Agência de Rating</t>
        </is>
      </c>
      <c r="I239" s="75" t="inlineStr">
        <is>
          <t>25/02/2026</t>
        </is>
      </c>
      <c r="J239" s="75" t="inlineStr">
        <is>
          <t>1</t>
        </is>
      </c>
      <c r="K239" s="75" t="inlineStr">
        <is>
          <t>encontrado_explicito</t>
        </is>
      </c>
      <c r="L239" s="144" t="n">
        <v>0.93</v>
      </c>
      <c r="M239" s="75" t="inlineStr">
        <is>
          <t>.cache/carteira_101_document_scan/44574361000117/1126517.json.gz</t>
        </is>
      </c>
      <c r="N239" s="75" t="inlineStr">
        <is>
          <t>https://fnet.bmfbovespa.com.br/fnet/publico/downloadDocumento?id=1126517</t>
        </is>
      </c>
      <c r="O239" s="75" t="inlineStr">
        <is>
          <t>agrícolas pela UPL do Brasil Indústria e Comércio de Insumos Agropecuários S/A (UPL Brasil/UPL / Originador) junto a produtores rurais e revendas (Direitos Creditórios Agro / DCs Agro), o</t>
        </is>
      </c>
    </row>
    <row r="240" ht="43.5" customHeight="1">
      <c r="A240" s="142" t="n">
        <v>44574361000117</v>
      </c>
      <c r="B240" s="75" t="inlineStr">
        <is>
          <t>44.574.361/0001-17</t>
        </is>
      </c>
      <c r="C240" s="75" t="inlineStr">
        <is>
          <t>tipo_recebivel</t>
        </is>
      </c>
      <c r="D240" s="75" t="inlineStr">
        <is>
          <t>Insumos Agrícolas - prazo Safra</t>
        </is>
      </c>
      <c r="E240" s="75" t="inlineStr">
        <is>
          <t>N/D</t>
        </is>
      </c>
      <c r="F240" s="75" t="inlineStr">
        <is>
          <t>planilha_manual</t>
        </is>
      </c>
      <c r="G240" s="75" t="inlineStr">
        <is>
          <t>IMG_8704.JPG</t>
        </is>
      </c>
      <c r="H240" s="75" t="inlineStr">
        <is>
          <t>payload</t>
        </is>
      </c>
      <c r="I240" s="75" t="inlineStr">
        <is>
          <t>2025-06-12</t>
        </is>
      </c>
      <c r="J240" s="75" t="inlineStr">
        <is>
          <t>133</t>
        </is>
      </c>
      <c r="K240" s="75" t="inlineStr">
        <is>
          <t>aceito_payload</t>
        </is>
      </c>
      <c r="L240" s="144" t="n">
        <v>1</v>
      </c>
      <c r="M240" s="75" t="inlineStr">
        <is>
          <t>data/industry_study/generated_revision/artifact_payload.json</t>
        </is>
      </c>
      <c r="N240" s="75" t="inlineStr">
        <is>
          <t>N/D</t>
        </is>
      </c>
      <c r="O240" s="75" t="inlineStr">
        <is>
          <t>N/D</t>
        </is>
      </c>
    </row>
    <row r="241" ht="43.5" customHeight="1">
      <c r="A241" s="142" t="n">
        <v>45123558000100</v>
      </c>
      <c r="B241" s="75" t="inlineStr">
        <is>
          <t>45.123.558/0001-00</t>
        </is>
      </c>
      <c r="C241" s="75" t="inlineStr">
        <is>
          <t>natureza_indice</t>
        </is>
      </c>
      <c r="D241" s="75" t="inlineStr">
        <is>
          <t>fora_perimetro</t>
        </is>
      </c>
      <c r="E241" s="75" t="inlineStr">
        <is>
          <t>fora_perimetro</t>
        </is>
      </c>
      <c r="F241" s="75" t="inlineStr">
        <is>
          <t>payload_documental</t>
        </is>
      </c>
      <c r="G241" s="75" t="inlineStr">
        <is>
          <t>N/D</t>
        </is>
      </c>
      <c r="H241" s="75" t="inlineStr">
        <is>
          <t>documento_curado</t>
        </is>
      </c>
      <c r="I241" s="75" t="inlineStr">
        <is>
          <t>N/D</t>
        </is>
      </c>
      <c r="J241" s="75" t="inlineStr">
        <is>
          <t>N/D</t>
        </is>
      </c>
      <c r="K241" s="75" t="inlineStr">
        <is>
          <t>aceito_payload</t>
        </is>
      </c>
      <c r="L241" s="144" t="n">
        <v>1</v>
      </c>
      <c r="M241" s="75" t="inlineStr">
        <is>
          <t>data/industry_study/generated_revision/artifact_payload.json</t>
        </is>
      </c>
      <c r="N241" s="75" t="inlineStr">
        <is>
          <t>N/D</t>
        </is>
      </c>
      <c r="O241" s="75" t="inlineStr">
        <is>
          <t>N/D</t>
        </is>
      </c>
    </row>
    <row r="242" ht="43.5" customHeight="1">
      <c r="A242" s="142" t="n">
        <v>45523699000102</v>
      </c>
      <c r="B242" s="75" t="inlineStr">
        <is>
          <t>45.523.699/0001-02</t>
        </is>
      </c>
      <c r="C242" s="75" t="inlineStr">
        <is>
          <t>cedente</t>
        </is>
      </c>
      <c r="D242" s="75" t="inlineStr">
        <is>
          <t>Vixtra Tecnologia e Serviços Financeiros</t>
        </is>
      </c>
      <c r="E242" s="75" t="inlineStr">
        <is>
          <t>N/D</t>
        </is>
      </c>
      <c r="F242" s="75" t="inlineStr">
        <is>
          <t>planilha_manual</t>
        </is>
      </c>
      <c r="G242" s="75" t="inlineStr">
        <is>
          <t>IMG_8704.JPG</t>
        </is>
      </c>
      <c r="H242" s="75" t="inlineStr">
        <is>
          <t>payload</t>
        </is>
      </c>
      <c r="I242" s="75" t="inlineStr">
        <is>
          <t>2025-10-30</t>
        </is>
      </c>
      <c r="J242" s="75" t="inlineStr">
        <is>
          <t>26</t>
        </is>
      </c>
      <c r="K242" s="75" t="inlineStr">
        <is>
          <t>aceito_payload</t>
        </is>
      </c>
      <c r="L242" s="144" t="n">
        <v>1</v>
      </c>
      <c r="M242" s="75" t="inlineStr">
        <is>
          <t>data/industry_study/generated_revision/artifact_payload.json</t>
        </is>
      </c>
      <c r="N242" s="75" t="inlineStr">
        <is>
          <t>N/D</t>
        </is>
      </c>
      <c r="O242" s="75" t="inlineStr">
        <is>
          <t>N/D</t>
        </is>
      </c>
    </row>
    <row r="243" ht="43.5" customHeight="1">
      <c r="A243" s="142" t="n">
        <v>45523699000102</v>
      </c>
      <c r="B243" s="75" t="inlineStr">
        <is>
          <t>45.523.699/0001-02</t>
        </is>
      </c>
      <c r="C243" s="75" t="inlineStr">
        <is>
          <t>minimo_junior</t>
        </is>
      </c>
      <c r="D243" s="75" t="inlineStr">
        <is>
          <t>10%</t>
        </is>
      </c>
      <c r="E243" s="75" t="inlineStr">
        <is>
          <t>junior_pl</t>
        </is>
      </c>
      <c r="F243" s="75" t="inlineStr">
        <is>
          <t>payload_documental</t>
        </is>
      </c>
      <c r="G243" s="75" t="inlineStr">
        <is>
          <t>1024756</t>
        </is>
      </c>
      <c r="H243" s="75" t="inlineStr">
        <is>
          <t>documento_curado</t>
        </is>
      </c>
      <c r="I243" s="75" t="inlineStr">
        <is>
          <t>2025-10-30</t>
        </is>
      </c>
      <c r="J243" s="75" t="inlineStr">
        <is>
          <t>26</t>
        </is>
      </c>
      <c r="K243" s="75" t="inlineStr">
        <is>
          <t>aceito_payload</t>
        </is>
      </c>
      <c r="L243" s="144" t="n">
        <v>1</v>
      </c>
      <c r="M243" s="75" t="inlineStr">
        <is>
          <t>data/industry_study/generated_revision/artifact_payload.json</t>
        </is>
      </c>
      <c r="N243" s="75" t="inlineStr">
        <is>
          <t>https://fnet.bmfbovespa.com.br/fnet/publico/downloadDocumento?id=1024756</t>
        </is>
      </c>
      <c r="O243" s="75" t="inlineStr">
        <is>
          <t>Cotas subordinadas júnior / PL, mínimo de 10,0%.</t>
        </is>
      </c>
    </row>
    <row r="244" ht="43.5" customHeight="1">
      <c r="A244" s="142" t="n">
        <v>45523699000102</v>
      </c>
      <c r="B244" s="75" t="inlineStr">
        <is>
          <t>45.523.699/0001-02</t>
        </is>
      </c>
      <c r="C244" s="75" t="inlineStr">
        <is>
          <t>natureza_indice</t>
        </is>
      </c>
      <c r="D244" s="75" t="inlineStr">
        <is>
          <t>junior_pl</t>
        </is>
      </c>
      <c r="E244" s="75" t="inlineStr">
        <is>
          <t>junior_pl</t>
        </is>
      </c>
      <c r="F244" s="75" t="inlineStr">
        <is>
          <t>payload_documental</t>
        </is>
      </c>
      <c r="G244" s="75" t="inlineStr">
        <is>
          <t>1024756</t>
        </is>
      </c>
      <c r="H244" s="75" t="inlineStr">
        <is>
          <t>documento_curado</t>
        </is>
      </c>
      <c r="I244" s="75" t="inlineStr">
        <is>
          <t>2025-10-30</t>
        </is>
      </c>
      <c r="J244" s="75" t="inlineStr">
        <is>
          <t>26</t>
        </is>
      </c>
      <c r="K244" s="75" t="inlineStr">
        <is>
          <t>aceito_payload</t>
        </is>
      </c>
      <c r="L244" s="144" t="n">
        <v>1</v>
      </c>
      <c r="M244" s="75" t="inlineStr">
        <is>
          <t>data/industry_study/generated_revision/artifact_payload.json</t>
        </is>
      </c>
      <c r="N244" s="75" t="inlineStr">
        <is>
          <t>https://fnet.bmfbovespa.com.br/fnet/publico/downloadDocumento?id=1024756</t>
        </is>
      </c>
      <c r="O244" s="75" t="inlineStr">
        <is>
          <t>Cotas subordinadas júnior / PL, mínimo de 10,0%.</t>
        </is>
      </c>
    </row>
    <row r="245" ht="43.5" customHeight="1">
      <c r="A245" s="142" t="n">
        <v>45523699000102</v>
      </c>
      <c r="B245" s="75" t="inlineStr">
        <is>
          <t>45.523.699/0001-02</t>
        </is>
      </c>
      <c r="C245" s="75" t="inlineStr">
        <is>
          <t>sacado_devedor</t>
        </is>
      </c>
      <c r="D245" s="75" t="inlineStr">
        <is>
          <t>43.443.444/0001-04</t>
        </is>
      </c>
      <c r="E245" s="75" t="inlineStr">
        <is>
          <t>N/D</t>
        </is>
      </c>
      <c r="F245" s="75" t="inlineStr">
        <is>
          <t>candidate_extraction</t>
        </is>
      </c>
      <c r="G245" s="75" t="inlineStr">
        <is>
          <t>45523699000102</t>
        </is>
      </c>
      <c r="H245" s="75" t="inlineStr">
        <is>
          <t>extração heurística</t>
        </is>
      </c>
      <c r="I245" s="75" t="inlineStr">
        <is>
          <t>N/D</t>
        </is>
      </c>
      <c r="J245" s="75" t="inlineStr">
        <is>
          <t>N/D</t>
        </is>
      </c>
      <c r="K245" s="75" t="inlineStr">
        <is>
          <t>candidato_revisao</t>
        </is>
      </c>
      <c r="L245" s="144" t="n">
        <v>0.95</v>
      </c>
      <c r="M245" s="75" t="inlineStr">
        <is>
          <t>outputs/fidc_director_deep_diagnostic_20260609/pdf_text_cache/45523699000102_1024756_regulamento_regulamento_1024756_2025-10-30_2025-10-30.txt</t>
        </is>
      </c>
      <c r="N245" s="75" t="inlineStr">
        <is>
          <t>https://fnet.bmfbovespa.com.br/fnet/publico/downloadDocumento?id=45523699000102</t>
        </is>
      </c>
      <c r="O245" s="75" t="inlineStr">
        <is>
          <t>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t>
        </is>
      </c>
    </row>
    <row r="246" ht="43.5" customHeight="1">
      <c r="A246" s="142" t="n">
        <v>45523699000102</v>
      </c>
      <c r="B246" s="75" t="inlineStr">
        <is>
          <t>45.523.699/0001-02</t>
        </is>
      </c>
      <c r="C246" s="75" t="inlineStr">
        <is>
          <t>tipo_recebivel</t>
        </is>
      </c>
      <c r="D246" s="75" t="inlineStr">
        <is>
          <t>FIDC Trading</t>
        </is>
      </c>
      <c r="E246" s="75" t="inlineStr">
        <is>
          <t>N/D</t>
        </is>
      </c>
      <c r="F246" s="75" t="inlineStr">
        <is>
          <t>planilha_manual</t>
        </is>
      </c>
      <c r="G246" s="75" t="inlineStr">
        <is>
          <t>IMG_8704.JPG</t>
        </is>
      </c>
      <c r="H246" s="75" t="inlineStr">
        <is>
          <t>payload</t>
        </is>
      </c>
      <c r="I246" s="75" t="inlineStr">
        <is>
          <t>2025-10-30</t>
        </is>
      </c>
      <c r="J246" s="75" t="inlineStr">
        <is>
          <t>26</t>
        </is>
      </c>
      <c r="K246" s="75" t="inlineStr">
        <is>
          <t>aceito_payload</t>
        </is>
      </c>
      <c r="L246" s="144" t="n">
        <v>1</v>
      </c>
      <c r="M246" s="75" t="inlineStr">
        <is>
          <t>data/industry_study/generated_revision/artifact_payload.json</t>
        </is>
      </c>
      <c r="N246" s="75" t="inlineStr">
        <is>
          <t>N/D</t>
        </is>
      </c>
      <c r="O246" s="75" t="inlineStr">
        <is>
          <t>N/D</t>
        </is>
      </c>
    </row>
    <row r="247" ht="43.5" customHeight="1">
      <c r="A247" s="142" t="n">
        <v>45598747000121</v>
      </c>
      <c r="B247" s="75" t="inlineStr">
        <is>
          <t>45.598.747/0001-21</t>
        </is>
      </c>
      <c r="C247" s="75" t="inlineStr">
        <is>
          <t>cedente</t>
        </is>
      </c>
      <c r="D247" s="75" t="inlineStr">
        <is>
          <t>a SUMUP INSTITUIÇÃO DE PAGAMENTO BRASIL LTDA., sociedade limitada com sede na Cidade e Estado de São Paulo, na Rua Gilberto Sabino, nº 215, 10º andar, Pinheiros, CEP: 05425-020, inscrita no CNPJ/MF sob o nº 16.668.076/0001-20</t>
        </is>
      </c>
      <c r="E247" s="75" t="inlineStr">
        <is>
          <t>N/D</t>
        </is>
      </c>
      <c r="F247" s="75" t="inlineStr">
        <is>
          <t>regulamento</t>
        </is>
      </c>
      <c r="G247" s="75" t="inlineStr">
        <is>
          <t>791590</t>
        </is>
      </c>
      <c r="H247" s="75" t="inlineStr">
        <is>
          <t>regulamento</t>
        </is>
      </c>
      <c r="I247" s="75" t="inlineStr">
        <is>
          <t>2024-11-29</t>
        </is>
      </c>
      <c r="J247" s="75" t="inlineStr">
        <is>
          <t>88</t>
        </is>
      </c>
      <c r="K247" s="75" t="inlineStr">
        <is>
          <t>encontrado_explicito</t>
        </is>
      </c>
      <c r="L247" s="144" t="n">
        <v>0.95</v>
      </c>
      <c r="M247" s="75" t="inlineStr">
        <is>
          <t>data/raw/45598747000121/791590_regulamento_regulamento_791590_2024-11-29.pdf</t>
        </is>
      </c>
      <c r="N247" s="75" t="inlineStr">
        <is>
          <t>https://fnet.bmfbovespa.com.br/fnet/publico/downloadDocumento?id=791590</t>
        </is>
      </c>
      <c r="O247"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8" ht="43.5" customHeight="1">
      <c r="A248" s="142" t="n">
        <v>45598747000121</v>
      </c>
      <c r="B248" s="75" t="inlineStr">
        <is>
          <t>45.598.747/0001-21</t>
        </is>
      </c>
      <c r="C248" s="75" t="inlineStr">
        <is>
          <t>cedente</t>
        </is>
      </c>
      <c r="D248" s="75" t="inlineStr">
        <is>
          <t>a SUMUP INSTITUIÇÃO DE PAGAMENTO BRASIL LTDA., sociedade limitada com sede na Cidade e Estado de São Paulo, na Rua Gilberto Sabino, nº 215, 10º andar, Pinheiros, CEP: 05425-020, inscrita no CNPJ/MF sob o nº 16.668.076/0001-20</t>
        </is>
      </c>
      <c r="E248" s="75" t="inlineStr">
        <is>
          <t>N/D</t>
        </is>
      </c>
      <c r="F248" s="75" t="inlineStr">
        <is>
          <t>regulamento</t>
        </is>
      </c>
      <c r="G248" s="75" t="inlineStr">
        <is>
          <t>883977</t>
        </is>
      </c>
      <c r="H248" s="75" t="inlineStr">
        <is>
          <t>regulamento</t>
        </is>
      </c>
      <c r="I248" s="75" t="inlineStr">
        <is>
          <t>2025-04-22</t>
        </is>
      </c>
      <c r="J248" s="75" t="inlineStr">
        <is>
          <t>N/D</t>
        </is>
      </c>
      <c r="K248" s="75" t="inlineStr">
        <is>
          <t>encontrado_explicito</t>
        </is>
      </c>
      <c r="L248" s="144" t="n">
        <v>0.95</v>
      </c>
      <c r="M248" s="75" t="inlineStr">
        <is>
          <t>outputs/fidc_director_deep_diagnostic_20260609/pdf_text_cache/45598747000121_883977_regulamento_regulamento_883977_2025-04-22.txt</t>
        </is>
      </c>
      <c r="N248" s="75" t="inlineStr">
        <is>
          <t>https://fnet.bmfbovespa.com.br/fnet/publico/downloadDocumento?id=883977</t>
        </is>
      </c>
      <c r="O248"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9" ht="43.5" customHeight="1">
      <c r="A249" s="142" t="n">
        <v>45598747000121</v>
      </c>
      <c r="B249" s="75" t="inlineStr">
        <is>
          <t>45.598.747/0001-21</t>
        </is>
      </c>
      <c r="C249" s="75" t="inlineStr">
        <is>
          <t>cedente</t>
        </is>
      </c>
      <c r="D249" s="75" t="inlineStr">
        <is>
          <t>Sumup IP</t>
        </is>
      </c>
      <c r="E249" s="75" t="inlineStr">
        <is>
          <t>N/D</t>
        </is>
      </c>
      <c r="F249" s="75" t="inlineStr">
        <is>
          <t>planilha_manual</t>
        </is>
      </c>
      <c r="G249" s="75" t="inlineStr">
        <is>
          <t>IMG_8705.JPG</t>
        </is>
      </c>
      <c r="H249" s="75" t="inlineStr">
        <is>
          <t>payload</t>
        </is>
      </c>
      <c r="I249" s="75" t="inlineStr">
        <is>
          <t>2025-04-22</t>
        </is>
      </c>
      <c r="J249" s="75" t="inlineStr">
        <is>
          <t>95</t>
        </is>
      </c>
      <c r="K249" s="75" t="inlineStr">
        <is>
          <t>aceito_payload</t>
        </is>
      </c>
      <c r="L249" s="144" t="n">
        <v>1</v>
      </c>
      <c r="M249" s="75" t="inlineStr">
        <is>
          <t>data/industry_study/generated_revision/artifact_payload.json</t>
        </is>
      </c>
      <c r="N249" s="75" t="inlineStr">
        <is>
          <t>N/D</t>
        </is>
      </c>
      <c r="O249" s="75" t="inlineStr">
        <is>
          <t>OBS da foto: Risco Banco Emissor Itaú.</t>
        </is>
      </c>
    </row>
    <row r="250" ht="43.5" customHeight="1">
      <c r="A250" s="142" t="n">
        <v>45598747000121</v>
      </c>
      <c r="B250" s="75" t="inlineStr">
        <is>
          <t>45.598.747/0001-21</t>
        </is>
      </c>
      <c r="C250" s="75" t="inlineStr">
        <is>
          <t>minimo_estrutural_total</t>
        </is>
      </c>
      <c r="D250" s="75" t="inlineStr">
        <is>
          <t>4.7619%</t>
        </is>
      </c>
      <c r="E250" s="75" t="inlineStr">
        <is>
          <t>suporte_total_pl</t>
        </is>
      </c>
      <c r="F250" s="75" t="inlineStr">
        <is>
          <t>payload_documental</t>
        </is>
      </c>
      <c r="G250" s="75" t="inlineStr">
        <is>
          <t>883977</t>
        </is>
      </c>
      <c r="H250" s="75" t="inlineStr">
        <is>
          <t>documento_curado</t>
        </is>
      </c>
      <c r="I250" s="75" t="inlineStr">
        <is>
          <t>2025-04-22</t>
        </is>
      </c>
      <c r="J250" s="75" t="inlineStr">
        <is>
          <t>95</t>
        </is>
      </c>
      <c r="K250" s="75" t="inlineStr">
        <is>
          <t>aceito_payload</t>
        </is>
      </c>
      <c r="L250" s="144" t="n">
        <v>1</v>
      </c>
      <c r="M250" s="75" t="inlineStr">
        <is>
          <t>data/industry_study/generated_revision/artifact_payload.json</t>
        </is>
      </c>
      <c r="N250" s="75" t="inlineStr">
        <is>
          <t>https://fnet.bmfbovespa.com.br/fnet/publico/downloadDocumento?id=883977</t>
        </is>
      </c>
      <c r="O250" s="75" t="inlineStr">
        <is>
          <t>Mínimo júnior implícito na relação PL / cotas seniores de 105,0%.</t>
        </is>
      </c>
    </row>
    <row r="251" ht="43.5" customHeight="1">
      <c r="A251" s="142" t="n">
        <v>45598747000121</v>
      </c>
      <c r="B251" s="75" t="inlineStr">
        <is>
          <t>45.598.747/0001-21</t>
        </is>
      </c>
      <c r="C251" s="75" t="inlineStr">
        <is>
          <t>minimo_junior</t>
        </is>
      </c>
      <c r="D251" s="75" t="inlineStr">
        <is>
          <t>4.7619%</t>
        </is>
      </c>
      <c r="E251" s="75" t="inlineStr">
        <is>
          <t>junior_pl_calculado</t>
        </is>
      </c>
      <c r="F251" s="75" t="inlineStr">
        <is>
          <t>payload_documental</t>
        </is>
      </c>
      <c r="G251" s="75" t="inlineStr">
        <is>
          <t>883977</t>
        </is>
      </c>
      <c r="H251" s="75" t="inlineStr">
        <is>
          <t>documento_curado</t>
        </is>
      </c>
      <c r="I251" s="75" t="inlineStr">
        <is>
          <t>2025-04-22</t>
        </is>
      </c>
      <c r="J251" s="75" t="inlineStr">
        <is>
          <t>95</t>
        </is>
      </c>
      <c r="K251" s="75" t="inlineStr">
        <is>
          <t>aceito_payload</t>
        </is>
      </c>
      <c r="L251" s="144" t="n">
        <v>1</v>
      </c>
      <c r="M251" s="75" t="inlineStr">
        <is>
          <t>data/industry_study/generated_revision/artifact_payload.json</t>
        </is>
      </c>
      <c r="N251" s="75" t="inlineStr">
        <is>
          <t>https://fnet.bmfbovespa.com.br/fnet/publico/downloadDocumento?id=883977</t>
        </is>
      </c>
      <c r="O251" s="75" t="inlineStr">
        <is>
          <t>Mínimo júnior implícito na relação PL / cotas seniores de 105,0%.</t>
        </is>
      </c>
    </row>
    <row r="252" ht="43.5" customHeight="1">
      <c r="A252" s="142" t="n">
        <v>45598747000121</v>
      </c>
      <c r="B252" s="75" t="inlineStr">
        <is>
          <t>45.598.747/0001-21</t>
        </is>
      </c>
      <c r="C252" s="75" t="inlineStr">
        <is>
          <t>natureza_indice</t>
        </is>
      </c>
      <c r="D252" s="75" t="inlineStr">
        <is>
          <t>junior_pl_calculado</t>
        </is>
      </c>
      <c r="E252" s="75" t="inlineStr">
        <is>
          <t>junior_pl_calculado</t>
        </is>
      </c>
      <c r="F252" s="75" t="inlineStr">
        <is>
          <t>payload_documental</t>
        </is>
      </c>
      <c r="G252" s="75" t="inlineStr">
        <is>
          <t>883977</t>
        </is>
      </c>
      <c r="H252" s="75" t="inlineStr">
        <is>
          <t>documento_curado</t>
        </is>
      </c>
      <c r="I252" s="75" t="inlineStr">
        <is>
          <t>2025-04-22</t>
        </is>
      </c>
      <c r="J252" s="75" t="inlineStr">
        <is>
          <t>95</t>
        </is>
      </c>
      <c r="K252" s="75" t="inlineStr">
        <is>
          <t>aceito_payload</t>
        </is>
      </c>
      <c r="L252" s="144" t="n">
        <v>1</v>
      </c>
      <c r="M252" s="75" t="inlineStr">
        <is>
          <t>data/industry_study/generated_revision/artifact_payload.json</t>
        </is>
      </c>
      <c r="N252" s="75" t="inlineStr">
        <is>
          <t>https://fnet.bmfbovespa.com.br/fnet/publico/downloadDocumento?id=883977</t>
        </is>
      </c>
      <c r="O252" s="75" t="inlineStr">
        <is>
          <t>Mínimo júnior implícito na relação PL / cotas seniores de 105,0%.</t>
        </is>
      </c>
    </row>
    <row r="253" ht="43.5" customHeight="1">
      <c r="A253" s="142" t="n">
        <v>45598747000121</v>
      </c>
      <c r="B253" s="75" t="inlineStr">
        <is>
          <t>45.598.747/0001-21</t>
        </is>
      </c>
      <c r="C253" s="75" t="inlineStr">
        <is>
          <t>sacado_devedor</t>
        </is>
      </c>
      <c r="D253" s="75" t="inlineStr">
        <is>
          <t>os Emissores</t>
        </is>
      </c>
      <c r="E253" s="75" t="inlineStr">
        <is>
          <t>N/D</t>
        </is>
      </c>
      <c r="F253" s="75" t="inlineStr">
        <is>
          <t>regulamento</t>
        </is>
      </c>
      <c r="G253" s="75" t="inlineStr">
        <is>
          <t>791590</t>
        </is>
      </c>
      <c r="H253" s="75" t="inlineStr">
        <is>
          <t>regulamento</t>
        </is>
      </c>
      <c r="I253" s="75" t="inlineStr">
        <is>
          <t>2024-11-29</t>
        </is>
      </c>
      <c r="J253" s="75" t="inlineStr">
        <is>
          <t>92</t>
        </is>
      </c>
      <c r="K253" s="75" t="inlineStr">
        <is>
          <t>encontrado_explicito</t>
        </is>
      </c>
      <c r="L253" s="144" t="n">
        <v>0.95</v>
      </c>
      <c r="M253" s="75" t="inlineStr">
        <is>
          <t>data/raw/45598747000121/791590_regulamento_regulamento_791590_2024-11-29.pdf</t>
        </is>
      </c>
      <c r="N253" s="75" t="inlineStr">
        <is>
          <t>https://fnet.bmfbovespa.com.br/fnet/publico/downloadDocumento?id=791590</t>
        </is>
      </c>
      <c r="O253"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4" ht="43.5" customHeight="1">
      <c r="A254" s="142" t="n">
        <v>45598747000121</v>
      </c>
      <c r="B254" s="75" t="inlineStr">
        <is>
          <t>45.598.747/0001-21</t>
        </is>
      </c>
      <c r="C254" s="75" t="inlineStr">
        <is>
          <t>sacado_devedor</t>
        </is>
      </c>
      <c r="D254" s="75" t="inlineStr">
        <is>
          <t>os Emissores</t>
        </is>
      </c>
      <c r="E254" s="75" t="inlineStr">
        <is>
          <t>N/D</t>
        </is>
      </c>
      <c r="F254" s="75" t="inlineStr">
        <is>
          <t>regulamento</t>
        </is>
      </c>
      <c r="G254" s="75" t="inlineStr">
        <is>
          <t>883977</t>
        </is>
      </c>
      <c r="H254" s="75" t="inlineStr">
        <is>
          <t>regulamento</t>
        </is>
      </c>
      <c r="I254" s="75" t="inlineStr">
        <is>
          <t>2025-04-22</t>
        </is>
      </c>
      <c r="J254" s="75" t="inlineStr">
        <is>
          <t>N/D</t>
        </is>
      </c>
      <c r="K254" s="75" t="inlineStr">
        <is>
          <t>encontrado_explicito</t>
        </is>
      </c>
      <c r="L254" s="144" t="n">
        <v>0.95</v>
      </c>
      <c r="M254" s="75" t="inlineStr">
        <is>
          <t>outputs/fidc_director_deep_diagnostic_20260609/pdf_text_cache/45598747000121_883977_regulamento_regulamento_883977_2025-04-22.txt</t>
        </is>
      </c>
      <c r="N254" s="75" t="inlineStr">
        <is>
          <t>https://fnet.bmfbovespa.com.br/fnet/publico/downloadDocumento?id=883977</t>
        </is>
      </c>
      <c r="O254"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5" ht="43.5" customHeight="1">
      <c r="A255" s="142" t="n">
        <v>45598747000121</v>
      </c>
      <c r="B255" s="75" t="inlineStr">
        <is>
          <t>45.598.747/0001-21</t>
        </is>
      </c>
      <c r="C255" s="75" t="inlineStr">
        <is>
          <t>tipo_recebivel</t>
        </is>
      </c>
      <c r="D25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5" s="75" t="inlineStr">
        <is>
          <t>N/D</t>
        </is>
      </c>
      <c r="F255" s="75" t="inlineStr">
        <is>
          <t>regulamento</t>
        </is>
      </c>
      <c r="G255" s="75" t="inlineStr">
        <is>
          <t>791590</t>
        </is>
      </c>
      <c r="H255" s="75" t="inlineStr">
        <is>
          <t>regulamento</t>
        </is>
      </c>
      <c r="I255" s="75" t="inlineStr">
        <is>
          <t>2024-11-29</t>
        </is>
      </c>
      <c r="J255" s="75" t="inlineStr">
        <is>
          <t>92</t>
        </is>
      </c>
      <c r="K255" s="75" t="inlineStr">
        <is>
          <t>encontrado_explicito</t>
        </is>
      </c>
      <c r="L255" s="144" t="n">
        <v>0.92</v>
      </c>
      <c r="M255" s="75" t="inlineStr">
        <is>
          <t>data/raw/45598747000121/791590_regulamento_regulamento_791590_2024-11-29.pdf</t>
        </is>
      </c>
      <c r="N255" s="75" t="inlineStr">
        <is>
          <t>https://fnet.bmfbovespa.com.br/fnet/publico/downloadDocumento?id=791590</t>
        </is>
      </c>
      <c r="O25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6" ht="43.5" customHeight="1">
      <c r="A256" s="142" t="n">
        <v>45598747000121</v>
      </c>
      <c r="B256" s="75" t="inlineStr">
        <is>
          <t>45.598.747/0001-21</t>
        </is>
      </c>
      <c r="C256" s="75" t="inlineStr">
        <is>
          <t>tipo_recebivel</t>
        </is>
      </c>
      <c r="D25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6" s="75" t="inlineStr">
        <is>
          <t>N/D</t>
        </is>
      </c>
      <c r="F256" s="75" t="inlineStr">
        <is>
          <t>regulamento</t>
        </is>
      </c>
      <c r="G256" s="75" t="inlineStr">
        <is>
          <t>883977</t>
        </is>
      </c>
      <c r="H256" s="75" t="inlineStr">
        <is>
          <t>regulamento</t>
        </is>
      </c>
      <c r="I256" s="75" t="inlineStr">
        <is>
          <t>2025-04-22</t>
        </is>
      </c>
      <c r="J256" s="75" t="inlineStr">
        <is>
          <t>N/D</t>
        </is>
      </c>
      <c r="K256" s="75" t="inlineStr">
        <is>
          <t>encontrado_explicito</t>
        </is>
      </c>
      <c r="L256" s="144" t="n">
        <v>0.92</v>
      </c>
      <c r="M256" s="75" t="inlineStr">
        <is>
          <t>outputs/fidc_director_deep_diagnostic_20260609/pdf_text_cache/45598747000121_883977_regulamento_regulamento_883977_2025-04-22.txt</t>
        </is>
      </c>
      <c r="N256" s="75" t="inlineStr">
        <is>
          <t>https://fnet.bmfbovespa.com.br/fnet/publico/downloadDocumento?id=883977</t>
        </is>
      </c>
      <c r="O25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7" ht="43.5" customHeight="1">
      <c r="A257" s="142" t="n">
        <v>47151680000108</v>
      </c>
      <c r="B257" s="75" t="inlineStr">
        <is>
          <t>47.151.680/0001-08</t>
        </is>
      </c>
      <c r="C257" s="75" t="inlineStr">
        <is>
          <t>cedente</t>
        </is>
      </c>
      <c r="D257" s="75" t="inlineStr">
        <is>
          <t>Multicedentes</t>
        </is>
      </c>
      <c r="E257" s="75" t="inlineStr">
        <is>
          <t>N/D</t>
        </is>
      </c>
      <c r="F257" s="75" t="inlineStr">
        <is>
          <t>planilha_manual</t>
        </is>
      </c>
      <c r="G257" s="75" t="inlineStr">
        <is>
          <t>IMG_8704.JPG</t>
        </is>
      </c>
      <c r="H257" s="75" t="inlineStr">
        <is>
          <t>payload</t>
        </is>
      </c>
      <c r="I257" s="75" t="inlineStr">
        <is>
          <t>2025-07-22</t>
        </is>
      </c>
      <c r="J257" s="75" t="inlineStr">
        <is>
          <t>6</t>
        </is>
      </c>
      <c r="K257" s="75" t="inlineStr">
        <is>
          <t>aceito_payload</t>
        </is>
      </c>
      <c r="L257" s="144" t="n">
        <v>1</v>
      </c>
      <c r="M257" s="75" t="inlineStr">
        <is>
          <t>data/industry_study/generated_revision/artifact_payload.json</t>
        </is>
      </c>
      <c r="N257" s="75" t="inlineStr">
        <is>
          <t>N/D</t>
        </is>
      </c>
      <c r="O257" s="75" t="inlineStr">
        <is>
          <t>OBS da foto: Multicedente análise FARM; fomos 100% resgatados em out/25. Denominação cortada.</t>
        </is>
      </c>
    </row>
    <row r="258" ht="43.5" customHeight="1">
      <c r="A258" s="142" t="n">
        <v>47151680000108</v>
      </c>
      <c r="B258" s="75" t="inlineStr">
        <is>
          <t>47.151.680/0001-08</t>
        </is>
      </c>
      <c r="C258" s="75" t="inlineStr">
        <is>
          <t>minimo_estrutural_total</t>
        </is>
      </c>
      <c r="D258" s="75" t="inlineStr">
        <is>
          <t>20%</t>
        </is>
      </c>
      <c r="E258" s="75" t="inlineStr">
        <is>
          <t>suporte_total_pl</t>
        </is>
      </c>
      <c r="F258" s="75" t="inlineStr">
        <is>
          <t>payload_documental</t>
        </is>
      </c>
      <c r="G258" s="75" t="inlineStr">
        <is>
          <t>993922</t>
        </is>
      </c>
      <c r="H258" s="75" t="inlineStr">
        <is>
          <t>documento_curado</t>
        </is>
      </c>
      <c r="I258" s="75" t="inlineStr">
        <is>
          <t>2025-07-22</t>
        </is>
      </c>
      <c r="J258" s="75" t="inlineStr">
        <is>
          <t>6</t>
        </is>
      </c>
      <c r="K258" s="75" t="inlineStr">
        <is>
          <t>aceito_payload</t>
        </is>
      </c>
      <c r="L258" s="144" t="n">
        <v>1</v>
      </c>
      <c r="M258" s="75" t="inlineStr">
        <is>
          <t>data/industry_study/generated_revision/artifact_payload.json</t>
        </is>
      </c>
      <c r="N258" s="75" t="inlineStr">
        <is>
          <t>https://fnet.bmfbovespa.com.br/fnet/publico/downloadDocumento?id=993922</t>
        </is>
      </c>
      <c r="O258" s="75" t="inlineStr">
        <is>
          <t>N/D</t>
        </is>
      </c>
    </row>
    <row r="259" ht="43.5" customHeight="1">
      <c r="A259" s="142" t="n">
        <v>47151680000108</v>
      </c>
      <c r="B259" s="75" t="inlineStr">
        <is>
          <t>47.151.680/0001-08</t>
        </is>
      </c>
      <c r="C259" s="75" t="inlineStr">
        <is>
          <t>natureza_indice</t>
        </is>
      </c>
      <c r="D259" s="75" t="inlineStr">
        <is>
          <t>suporte_total_pl</t>
        </is>
      </c>
      <c r="E259" s="75" t="inlineStr">
        <is>
          <t>suporte_total_pl</t>
        </is>
      </c>
      <c r="F259" s="75" t="inlineStr">
        <is>
          <t>payload_documental</t>
        </is>
      </c>
      <c r="G259" s="75" t="inlineStr">
        <is>
          <t>993922</t>
        </is>
      </c>
      <c r="H259" s="75" t="inlineStr">
        <is>
          <t>documento_curado</t>
        </is>
      </c>
      <c r="I259" s="75" t="inlineStr">
        <is>
          <t>2025-07-22</t>
        </is>
      </c>
      <c r="J259" s="75" t="inlineStr">
        <is>
          <t>6</t>
        </is>
      </c>
      <c r="K259" s="75" t="inlineStr">
        <is>
          <t>aceito_payload</t>
        </is>
      </c>
      <c r="L259" s="144" t="n">
        <v>1</v>
      </c>
      <c r="M259" s="75" t="inlineStr">
        <is>
          <t>data/industry_study/generated_revision/artifact_payload.json</t>
        </is>
      </c>
      <c r="N259" s="75" t="inlineStr">
        <is>
          <t>https://fnet.bmfbovespa.com.br/fnet/publico/downloadDocumento?id=993922</t>
        </is>
      </c>
      <c r="O259" s="75" t="inlineStr">
        <is>
          <t>N/D</t>
        </is>
      </c>
    </row>
    <row r="260" ht="43.5" customHeight="1">
      <c r="A260" s="142" t="n">
        <v>47280025000150</v>
      </c>
      <c r="B260" s="75" t="inlineStr">
        <is>
          <t>47.280.025/0001-50</t>
        </is>
      </c>
      <c r="C260" s="75" t="inlineStr">
        <is>
          <t>cedente</t>
        </is>
      </c>
      <c r="D260" s="75" t="inlineStr">
        <is>
          <t>Albaugh</t>
        </is>
      </c>
      <c r="E260" s="75" t="inlineStr">
        <is>
          <t>N/D</t>
        </is>
      </c>
      <c r="F260" s="75" t="inlineStr">
        <is>
          <t>planilha_manual</t>
        </is>
      </c>
      <c r="G260" s="75" t="inlineStr">
        <is>
          <t>IMG_8705.JPG</t>
        </is>
      </c>
      <c r="H260" s="75" t="inlineStr">
        <is>
          <t>payload</t>
        </is>
      </c>
      <c r="I260" s="75" t="inlineStr">
        <is>
          <t>2025-12-23</t>
        </is>
      </c>
      <c r="J260" s="75" t="inlineStr">
        <is>
          <t>10; 34</t>
        </is>
      </c>
      <c r="K260" s="75" t="inlineStr">
        <is>
          <t>aceito_payload</t>
        </is>
      </c>
      <c r="L260" s="144" t="n">
        <v>1</v>
      </c>
      <c r="M260" s="75" t="inlineStr">
        <is>
          <t>data/industry_study/generated_revision/artifact_payload.json</t>
        </is>
      </c>
      <c r="N260" s="75" t="inlineStr">
        <is>
          <t>N/D</t>
        </is>
      </c>
      <c r="O260" s="75" t="inlineStr">
        <is>
          <t>OBS da foto: fundo continua sofrendo com inadimplência da carteira antiga.</t>
        </is>
      </c>
    </row>
    <row r="261" ht="43.5" customHeight="1">
      <c r="A261" s="142" t="n">
        <v>47280025000150</v>
      </c>
      <c r="B261" s="75" t="inlineStr">
        <is>
          <t>47.280.025/0001-50</t>
        </is>
      </c>
      <c r="C261" s="75" t="inlineStr">
        <is>
          <t>minimo_estrutural_total</t>
        </is>
      </c>
      <c r="D261" s="75" t="inlineStr">
        <is>
          <t>30%</t>
        </is>
      </c>
      <c r="E261" s="75" t="inlineStr">
        <is>
          <t>suporte_total_pl</t>
        </is>
      </c>
      <c r="F261" s="75" t="inlineStr">
        <is>
          <t>payload_documental</t>
        </is>
      </c>
      <c r="G261" s="75" t="inlineStr">
        <is>
          <t>1074880</t>
        </is>
      </c>
      <c r="H261" s="75" t="inlineStr">
        <is>
          <t>documento_curado</t>
        </is>
      </c>
      <c r="I261" s="75" t="inlineStr">
        <is>
          <t>2025-12-23</t>
        </is>
      </c>
      <c r="J261" s="75" t="inlineStr">
        <is>
          <t>10; 34</t>
        </is>
      </c>
      <c r="K261" s="75" t="inlineStr">
        <is>
          <t>aceito_payload</t>
        </is>
      </c>
      <c r="L261" s="144" t="n">
        <v>1</v>
      </c>
      <c r="M261" s="75" t="inlineStr">
        <is>
          <t>data/industry_study/generated_revision/artifact_payload.json</t>
        </is>
      </c>
      <c r="N261" s="75" t="inlineStr">
        <is>
          <t>https://fnet.bmfbovespa.com.br/fnet/publico/downloadDocumento?id=1074880</t>
        </is>
      </c>
      <c r="O261" s="75" t="inlineStr">
        <is>
          <t>Cotas subordinadas / PL, mínimo de 30,0%; estrutura com uma única classe residual.</t>
        </is>
      </c>
    </row>
    <row r="262" ht="43.5" customHeight="1">
      <c r="A262" s="142" t="n">
        <v>47280025000150</v>
      </c>
      <c r="B262" s="75" t="inlineStr">
        <is>
          <t>47.280.025/0001-50</t>
        </is>
      </c>
      <c r="C262" s="75" t="inlineStr">
        <is>
          <t>minimo_junior</t>
        </is>
      </c>
      <c r="D262" s="75" t="inlineStr">
        <is>
          <t>30%</t>
        </is>
      </c>
      <c r="E262" s="75" t="inlineStr">
        <is>
          <t>junior_pl</t>
        </is>
      </c>
      <c r="F262" s="75" t="inlineStr">
        <is>
          <t>payload_documental</t>
        </is>
      </c>
      <c r="G262" s="75" t="inlineStr">
        <is>
          <t>1074880</t>
        </is>
      </c>
      <c r="H262" s="75" t="inlineStr">
        <is>
          <t>documento_curado</t>
        </is>
      </c>
      <c r="I262" s="75" t="inlineStr">
        <is>
          <t>2025-12-23</t>
        </is>
      </c>
      <c r="J262" s="75" t="inlineStr">
        <is>
          <t>10; 34</t>
        </is>
      </c>
      <c r="K262" s="75" t="inlineStr">
        <is>
          <t>aceito_payload</t>
        </is>
      </c>
      <c r="L262" s="144" t="n">
        <v>1</v>
      </c>
      <c r="M262" s="75" t="inlineStr">
        <is>
          <t>data/industry_study/generated_revision/artifact_payload.json</t>
        </is>
      </c>
      <c r="N262" s="75" t="inlineStr">
        <is>
          <t>https://fnet.bmfbovespa.com.br/fnet/publico/downloadDocumento?id=1074880</t>
        </is>
      </c>
      <c r="O262" s="75" t="inlineStr">
        <is>
          <t>Cotas subordinadas / PL, mínimo de 30,0%; estrutura com uma única classe residual.</t>
        </is>
      </c>
    </row>
    <row r="263" ht="43.5" customHeight="1">
      <c r="A263" s="142" t="n">
        <v>47280025000150</v>
      </c>
      <c r="B263" s="75" t="inlineStr">
        <is>
          <t>47.280.025/0001-50</t>
        </is>
      </c>
      <c r="C263" s="75" t="inlineStr">
        <is>
          <t>natureza_indice</t>
        </is>
      </c>
      <c r="D263" s="75" t="inlineStr">
        <is>
          <t>junior_pl</t>
        </is>
      </c>
      <c r="E263" s="75" t="inlineStr">
        <is>
          <t>junior_pl</t>
        </is>
      </c>
      <c r="F263" s="75" t="inlineStr">
        <is>
          <t>payload_documental</t>
        </is>
      </c>
      <c r="G263" s="75" t="inlineStr">
        <is>
          <t>1074880</t>
        </is>
      </c>
      <c r="H263" s="75" t="inlineStr">
        <is>
          <t>documento_curado</t>
        </is>
      </c>
      <c r="I263" s="75" t="inlineStr">
        <is>
          <t>2025-12-23</t>
        </is>
      </c>
      <c r="J263" s="75" t="inlineStr">
        <is>
          <t>10; 34</t>
        </is>
      </c>
      <c r="K263" s="75" t="inlineStr">
        <is>
          <t>aceito_payload</t>
        </is>
      </c>
      <c r="L263" s="144" t="n">
        <v>1</v>
      </c>
      <c r="M263" s="75" t="inlineStr">
        <is>
          <t>data/industry_study/generated_revision/artifact_payload.json</t>
        </is>
      </c>
      <c r="N263" s="75" t="inlineStr">
        <is>
          <t>https://fnet.bmfbovespa.com.br/fnet/publico/downloadDocumento?id=1074880</t>
        </is>
      </c>
      <c r="O263" s="75" t="inlineStr">
        <is>
          <t>Cotas subordinadas / PL, mínimo de 30,0%; estrutura com uma única classe residual.</t>
        </is>
      </c>
    </row>
    <row r="264" ht="43.5" customHeight="1">
      <c r="A264" s="142" t="n">
        <v>47280025000150</v>
      </c>
      <c r="B264" s="75" t="inlineStr">
        <is>
          <t>47.280.025/0001-50</t>
        </is>
      </c>
      <c r="C264" s="75" t="inlineStr">
        <is>
          <t>sacado_devedor</t>
        </is>
      </c>
      <c r="D264" s="75" t="inlineStr">
        <is>
          <t>05.772.606/0001-27</t>
        </is>
      </c>
      <c r="E264" s="75" t="inlineStr">
        <is>
          <t>N/D</t>
        </is>
      </c>
      <c r="F264" s="75" t="inlineStr">
        <is>
          <t>candidate_extraction</t>
        </is>
      </c>
      <c r="G264" s="75" t="inlineStr">
        <is>
          <t>47280025000150</t>
        </is>
      </c>
      <c r="H264" s="75" t="inlineStr">
        <is>
          <t>extração heurística</t>
        </is>
      </c>
      <c r="I264" s="75" t="inlineStr">
        <is>
          <t>N/D</t>
        </is>
      </c>
      <c r="J264" s="75" t="inlineStr">
        <is>
          <t>N/D</t>
        </is>
      </c>
      <c r="K264" s="75" t="inlineStr">
        <is>
          <t>candidato_revisao</t>
        </is>
      </c>
      <c r="L264" s="144" t="n">
        <v>0.95</v>
      </c>
      <c r="M264" s="75" t="inlineStr">
        <is>
          <t>outputs/fidc_director_deep_diagnostic_20260609/pdf_text_cache/47280025000150_1074880_regulamento_regulamento_1074880_2025-12-23_2025-12-23.txt</t>
        </is>
      </c>
      <c r="N264" s="75" t="inlineStr">
        <is>
          <t>https://fnet.bmfbovespa.com.br/fnet/publico/downloadDocumento?id=47280025000150</t>
        </is>
      </c>
      <c r="O264" s="75" t="inlineStr">
        <is>
          <t>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t>
        </is>
      </c>
    </row>
    <row r="265" ht="43.5" customHeight="1">
      <c r="A265" s="142" t="n">
        <v>47425750000179</v>
      </c>
      <c r="B265" s="75" t="inlineStr">
        <is>
          <t>47.425.750/0001-79</t>
        </is>
      </c>
      <c r="C265" s="75" t="inlineStr">
        <is>
          <t>minimo_junior</t>
        </is>
      </c>
      <c r="D265" s="75" t="inlineStr">
        <is>
          <t>25%</t>
        </is>
      </c>
      <c r="E265" s="75" t="inlineStr">
        <is>
          <t>junior_pl</t>
        </is>
      </c>
      <c r="F265" s="75" t="inlineStr">
        <is>
          <t>payload_documental</t>
        </is>
      </c>
      <c r="G265" s="75" t="inlineStr">
        <is>
          <t>1237988</t>
        </is>
      </c>
      <c r="H265" s="75" t="inlineStr">
        <is>
          <t>documento_curado</t>
        </is>
      </c>
      <c r="I265" s="75" t="inlineStr">
        <is>
          <t>2026-07-02</t>
        </is>
      </c>
      <c r="J265" s="75" t="inlineStr">
        <is>
          <t>30</t>
        </is>
      </c>
      <c r="K265" s="75" t="inlineStr">
        <is>
          <t>aceito_payload</t>
        </is>
      </c>
      <c r="L265" s="144" t="n">
        <v>1</v>
      </c>
      <c r="M265" s="75" t="inlineStr">
        <is>
          <t>data/industry_study/generated_revision/artifact_payload.json</t>
        </is>
      </c>
      <c r="N265" s="75" t="inlineStr">
        <is>
          <t>https://fnet.bmfbovespa.com.br/fnet/publico/downloadDocumento?id=1237988</t>
        </is>
      </c>
      <c r="O265" s="75" t="inlineStr">
        <is>
          <t>Mínimo júnior calculado: subordinadas = 50,0% do PL e júnior = 50,0% das subordinadas.</t>
        </is>
      </c>
    </row>
    <row r="266" ht="43.5" customHeight="1">
      <c r="A266" s="142" t="n">
        <v>47425750000179</v>
      </c>
      <c r="B266" s="75" t="inlineStr">
        <is>
          <t>47.425.750/0001-79</t>
        </is>
      </c>
      <c r="C266" s="75" t="inlineStr">
        <is>
          <t>natureza_indice</t>
        </is>
      </c>
      <c r="D266" s="75" t="inlineStr">
        <is>
          <t>junior_pl</t>
        </is>
      </c>
      <c r="E266" s="75" t="inlineStr">
        <is>
          <t>junior_pl</t>
        </is>
      </c>
      <c r="F266" s="75" t="inlineStr">
        <is>
          <t>payload_documental</t>
        </is>
      </c>
      <c r="G266" s="75" t="inlineStr">
        <is>
          <t>1237988</t>
        </is>
      </c>
      <c r="H266" s="75" t="inlineStr">
        <is>
          <t>documento_curado</t>
        </is>
      </c>
      <c r="I266" s="75" t="inlineStr">
        <is>
          <t>2026-07-02</t>
        </is>
      </c>
      <c r="J266" s="75" t="inlineStr">
        <is>
          <t>30</t>
        </is>
      </c>
      <c r="K266" s="75" t="inlineStr">
        <is>
          <t>aceito_payload</t>
        </is>
      </c>
      <c r="L266" s="144" t="n">
        <v>1</v>
      </c>
      <c r="M266" s="75" t="inlineStr">
        <is>
          <t>data/industry_study/generated_revision/artifact_payload.json</t>
        </is>
      </c>
      <c r="N266" s="75" t="inlineStr">
        <is>
          <t>https://fnet.bmfbovespa.com.br/fnet/publico/downloadDocumento?id=1237988</t>
        </is>
      </c>
      <c r="O266" s="75" t="inlineStr">
        <is>
          <t>Mínimo júnior calculado: subordinadas = 50,0% do PL e júnior = 50,0% das subordinadas.</t>
        </is>
      </c>
    </row>
    <row r="267" ht="43.5" customHeight="1">
      <c r="A267" s="142" t="n">
        <v>47640584000123</v>
      </c>
      <c r="B267" s="75" t="inlineStr">
        <is>
          <t>47.640.584/0001-23</t>
        </is>
      </c>
      <c r="C267" s="75" t="inlineStr">
        <is>
          <t>cedente</t>
        </is>
      </c>
      <c r="D267" s="75" t="inlineStr">
        <is>
          <t>BMP</t>
        </is>
      </c>
      <c r="E267" s="75" t="inlineStr">
        <is>
          <t>N/D</t>
        </is>
      </c>
      <c r="F267" s="75" t="inlineStr">
        <is>
          <t>planilha_manual</t>
        </is>
      </c>
      <c r="G267" s="75" t="inlineStr">
        <is>
          <t>IMG_8706.JPG</t>
        </is>
      </c>
      <c r="H267" s="75" t="inlineStr">
        <is>
          <t>payload</t>
        </is>
      </c>
      <c r="I267" s="75" t="inlineStr">
        <is>
          <t>2025-06-13</t>
        </is>
      </c>
      <c r="J267" s="75" t="inlineStr">
        <is>
          <t>91</t>
        </is>
      </c>
      <c r="K267" s="75" t="inlineStr">
        <is>
          <t>aceito_payload</t>
        </is>
      </c>
      <c r="L267" s="144" t="n">
        <v>1</v>
      </c>
      <c r="M267" s="75" t="inlineStr">
        <is>
          <t>data/industry_study/generated_revision/artifact_payload.json</t>
        </is>
      </c>
      <c r="N267" s="75" t="inlineStr">
        <is>
          <t>N/D</t>
        </is>
      </c>
      <c r="O267" s="75" t="inlineStr">
        <is>
          <t>OBS da foto: a Sol Agora é o originador, mas o cedente das CCBs é o BMP (true sale). Os papéis foram desmembrados somente porque estão escritos literalmente na fonte. Denominação cortada.</t>
        </is>
      </c>
    </row>
    <row r="268" ht="43.5" customHeight="1">
      <c r="A268" s="142" t="n">
        <v>47640584000123</v>
      </c>
      <c r="B268" s="75" t="inlineStr">
        <is>
          <t>47.640.584/0001-23</t>
        </is>
      </c>
      <c r="C268" s="75" t="inlineStr">
        <is>
          <t>minimo_junior</t>
        </is>
      </c>
      <c r="D268" s="75" t="inlineStr">
        <is>
          <t>10%</t>
        </is>
      </c>
      <c r="E268" s="75" t="inlineStr">
        <is>
          <t>junior_pl</t>
        </is>
      </c>
      <c r="F268" s="75" t="inlineStr">
        <is>
          <t>payload_documental</t>
        </is>
      </c>
      <c r="G268" s="75" t="inlineStr">
        <is>
          <t>930974</t>
        </is>
      </c>
      <c r="H268" s="75" t="inlineStr">
        <is>
          <t>documento_curado</t>
        </is>
      </c>
      <c r="I268" s="75" t="inlineStr">
        <is>
          <t>2025-06-13</t>
        </is>
      </c>
      <c r="J268" s="75" t="inlineStr">
        <is>
          <t>91</t>
        </is>
      </c>
      <c r="K268" s="75" t="inlineStr">
        <is>
          <t>aceito_payload</t>
        </is>
      </c>
      <c r="L268" s="144" t="n">
        <v>1</v>
      </c>
      <c r="M268" s="75" t="inlineStr">
        <is>
          <t>data/industry_study/generated_revision/artifact_payload.json</t>
        </is>
      </c>
      <c r="N268" s="75" t="inlineStr">
        <is>
          <t>https://fnet.bmfbovespa.com.br/fnet/publico/downloadDocumento?id=930974</t>
        </is>
      </c>
      <c r="O268" s="75" t="inlineStr">
        <is>
          <t>Cotas júnior / PL ajustado: 10,0% até o 24º mês e 12,5% após esse período.</t>
        </is>
      </c>
    </row>
    <row r="269" ht="43.5" customHeight="1">
      <c r="A269" s="142" t="n">
        <v>47640584000123</v>
      </c>
      <c r="B269" s="75" t="inlineStr">
        <is>
          <t>47.640.584/0001-23</t>
        </is>
      </c>
      <c r="C269" s="75" t="inlineStr">
        <is>
          <t>natureza_indice</t>
        </is>
      </c>
      <c r="D269" s="75" t="inlineStr">
        <is>
          <t>junior_pl</t>
        </is>
      </c>
      <c r="E269" s="75" t="inlineStr">
        <is>
          <t>junior_pl</t>
        </is>
      </c>
      <c r="F269" s="75" t="inlineStr">
        <is>
          <t>payload_documental</t>
        </is>
      </c>
      <c r="G269" s="75" t="inlineStr">
        <is>
          <t>930974</t>
        </is>
      </c>
      <c r="H269" s="75" t="inlineStr">
        <is>
          <t>documento_curado</t>
        </is>
      </c>
      <c r="I269" s="75" t="inlineStr">
        <is>
          <t>2025-06-13</t>
        </is>
      </c>
      <c r="J269" s="75" t="inlineStr">
        <is>
          <t>91</t>
        </is>
      </c>
      <c r="K269" s="75" t="inlineStr">
        <is>
          <t>aceito_payload</t>
        </is>
      </c>
      <c r="L269" s="144" t="n">
        <v>1</v>
      </c>
      <c r="M269" s="75" t="inlineStr">
        <is>
          <t>data/industry_study/generated_revision/artifact_payload.json</t>
        </is>
      </c>
      <c r="N269" s="75" t="inlineStr">
        <is>
          <t>https://fnet.bmfbovespa.com.br/fnet/publico/downloadDocumento?id=930974</t>
        </is>
      </c>
      <c r="O269" s="75" t="inlineStr">
        <is>
          <t>Cotas júnior / PL ajustado: 10,0% até o 24º mês e 12,5% após esse período.</t>
        </is>
      </c>
    </row>
    <row r="270" ht="43.5" customHeight="1">
      <c r="A270" s="142" t="n">
        <v>47640584000123</v>
      </c>
      <c r="B270" s="75" t="inlineStr">
        <is>
          <t>47.640.584/0001-23</t>
        </is>
      </c>
      <c r="C270" s="75" t="inlineStr">
        <is>
          <t>originador</t>
        </is>
      </c>
      <c r="D270" s="75" t="inlineStr">
        <is>
          <t>Sol Agora</t>
        </is>
      </c>
      <c r="E270" s="75" t="inlineStr">
        <is>
          <t>rótulo explícito de participante v2</t>
        </is>
      </c>
      <c r="F270" s="75" t="inlineStr">
        <is>
          <t>rating_report</t>
        </is>
      </c>
      <c r="G270" s="75" t="inlineStr">
        <is>
          <t>721487</t>
        </is>
      </c>
      <c r="H270" s="75" t="inlineStr">
        <is>
          <t>Relatórios Relatório de Agência de Rating</t>
        </is>
      </c>
      <c r="I270" s="75" t="inlineStr">
        <is>
          <t>30/06/2024</t>
        </is>
      </c>
      <c r="J270" s="75" t="inlineStr">
        <is>
          <t>5</t>
        </is>
      </c>
      <c r="K270" s="75" t="inlineStr">
        <is>
          <t>encontrado_explicito</t>
        </is>
      </c>
      <c r="L270" s="144" t="n">
        <v>0.93</v>
      </c>
      <c r="M270" s="75" t="inlineStr">
        <is>
          <t>.cache/carteira_101_document_scan/47640584000123/721487.json.gz</t>
        </is>
      </c>
      <c r="N270" s="75" t="inlineStr">
        <is>
          <t>https://fnet.bmfbovespa.com.br/fnet/publico/downloadDocumento?id=721487</t>
        </is>
      </c>
      <c r="O270" s="75" t="inlineStr">
        <is>
          <t>ating. Os analistas utilizaram informações provenientes d as seguintes fontes: Sol Agora (Originador); Genial S.A. (Administrador) e Empírica (Gestora). 7. As informações obtidas p</t>
        </is>
      </c>
    </row>
    <row r="271" ht="43.5" customHeight="1">
      <c r="A271" s="142" t="n">
        <v>47640584000123</v>
      </c>
      <c r="B271" s="75" t="inlineStr">
        <is>
          <t>47.640.584/0001-23</t>
        </is>
      </c>
      <c r="C271" s="75" t="inlineStr">
        <is>
          <t>originador</t>
        </is>
      </c>
      <c r="D271" s="75" t="inlineStr">
        <is>
          <t>Sol Agora</t>
        </is>
      </c>
      <c r="E271" s="75" t="inlineStr">
        <is>
          <t>N/D</t>
        </is>
      </c>
      <c r="F271" s="75" t="inlineStr">
        <is>
          <t>planilha_manual</t>
        </is>
      </c>
      <c r="G271" s="75" t="inlineStr">
        <is>
          <t>IMG_8706.JPG</t>
        </is>
      </c>
      <c r="H271" s="75" t="inlineStr">
        <is>
          <t>payload</t>
        </is>
      </c>
      <c r="I271" s="75" t="inlineStr">
        <is>
          <t>2025-06-13</t>
        </is>
      </c>
      <c r="J271" s="75" t="inlineStr">
        <is>
          <t>91</t>
        </is>
      </c>
      <c r="K271" s="75" t="inlineStr">
        <is>
          <t>aceito_payload</t>
        </is>
      </c>
      <c r="L271" s="144" t="n">
        <v>1</v>
      </c>
      <c r="M271" s="75" t="inlineStr">
        <is>
          <t>data/industry_study/generated_revision/artifact_payload.json</t>
        </is>
      </c>
      <c r="N271" s="75" t="inlineStr">
        <is>
          <t>N/D</t>
        </is>
      </c>
      <c r="O271" s="75" t="inlineStr">
        <is>
          <t>OBS da foto: a Sol Agora é o originador, mas o cedente das CCBs é o BMP (true sale). Os papéis foram desmembrados somente porque estão escritos literalmente na fonte. Denominação cortada.</t>
        </is>
      </c>
    </row>
    <row r="272" ht="43.5" customHeight="1">
      <c r="A272" s="142" t="n">
        <v>47640584000123</v>
      </c>
      <c r="B272" s="75" t="inlineStr">
        <is>
          <t>47.640.584/0001-23</t>
        </is>
      </c>
      <c r="C272" s="75" t="inlineStr">
        <is>
          <t>sacado_devedor</t>
        </is>
      </c>
      <c r="D272" s="75" t="inlineStr">
        <is>
          <t>pessoas físicas ou jurídicas que obtenham um financiamento de Projetos de Geração Energia Elétrica junto a uma Instituição Financeira Parceira por meio da Plataforma Sol Agora</t>
        </is>
      </c>
      <c r="E272" s="75" t="inlineStr">
        <is>
          <t>N/D</t>
        </is>
      </c>
      <c r="F272" s="75" t="inlineStr">
        <is>
          <t>regulamento</t>
        </is>
      </c>
      <c r="G272" s="75" t="inlineStr">
        <is>
          <t>832448</t>
        </is>
      </c>
      <c r="H272" s="75" t="inlineStr">
        <is>
          <t>Regulamento</t>
        </is>
      </c>
      <c r="I272" s="75" t="inlineStr">
        <is>
          <t>04/02/2025</t>
        </is>
      </c>
      <c r="J272" s="75" t="inlineStr">
        <is>
          <t>87</t>
        </is>
      </c>
      <c r="K272" s="75" t="inlineStr">
        <is>
          <t>encontrado_explicito</t>
        </is>
      </c>
      <c r="L272" s="144" t="n">
        <v>0.95</v>
      </c>
      <c r="M272" s="75" t="inlineStr">
        <is>
          <t>.cache/carteira_101_document_scan/47640584000123/832448.json.gz</t>
        </is>
      </c>
      <c r="N272" s="75" t="inlineStr">
        <is>
          <t>https://fnet.bmfbovespa.com.br/fnet/publico/downloadDocumento?id=832448</t>
        </is>
      </c>
      <c r="O272"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3" ht="43.5" customHeight="1">
      <c r="A273" s="142" t="n">
        <v>47640584000123</v>
      </c>
      <c r="B273" s="75" t="inlineStr">
        <is>
          <t>47.640.584/0001-23</t>
        </is>
      </c>
      <c r="C273" s="75" t="inlineStr">
        <is>
          <t>sacado_devedor</t>
        </is>
      </c>
      <c r="D273" s="75" t="inlineStr">
        <is>
          <t>pessoas físicas ou jurídicas que obtenham um financiamento de Projetos de Geração Energia Elétrica junto a uma Instituição Financeira Parceira por meio da Plataforma Sol Agora</t>
        </is>
      </c>
      <c r="E273" s="75" t="inlineStr">
        <is>
          <t>N/D</t>
        </is>
      </c>
      <c r="F273" s="75" t="inlineStr">
        <is>
          <t>regulamento</t>
        </is>
      </c>
      <c r="G273" s="75" t="inlineStr">
        <is>
          <t>930974</t>
        </is>
      </c>
      <c r="H273" s="75" t="inlineStr">
        <is>
          <t>Regulamento</t>
        </is>
      </c>
      <c r="I273" s="75" t="inlineStr">
        <is>
          <t>13/06/2025</t>
        </is>
      </c>
      <c r="J273" s="75" t="inlineStr">
        <is>
          <t>87</t>
        </is>
      </c>
      <c r="K273" s="75" t="inlineStr">
        <is>
          <t>encontrado_explicito</t>
        </is>
      </c>
      <c r="L273" s="144" t="n">
        <v>0.95</v>
      </c>
      <c r="M273" s="75" t="inlineStr">
        <is>
          <t>.cache/carteira_101_document_scan/47640584000123/930974.json.gz</t>
        </is>
      </c>
      <c r="N273" s="75" t="inlineStr">
        <is>
          <t>https://fnet.bmfbovespa.com.br/fnet/publico/downloadDocumento?id=930974</t>
        </is>
      </c>
      <c r="O273"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4" ht="43.5" customHeight="1">
      <c r="A274" s="142" t="n">
        <v>47640584000123</v>
      </c>
      <c r="B274" s="75" t="inlineStr">
        <is>
          <t>47.640.584/0001-23</t>
        </is>
      </c>
      <c r="C274" s="75" t="inlineStr">
        <is>
          <t>tipo_recebivel</t>
        </is>
      </c>
      <c r="D274" s="75" t="inlineStr">
        <is>
          <t>Recebíveis: CCBs</t>
        </is>
      </c>
      <c r="E274" s="75" t="inlineStr">
        <is>
          <t>N/D</t>
        </is>
      </c>
      <c r="F274" s="75" t="inlineStr">
        <is>
          <t>planilha_manual</t>
        </is>
      </c>
      <c r="G274" s="75" t="inlineStr">
        <is>
          <t>IMG_8706.JPG</t>
        </is>
      </c>
      <c r="H274" s="75" t="inlineStr">
        <is>
          <t>payload</t>
        </is>
      </c>
      <c r="I274" s="75" t="inlineStr">
        <is>
          <t>2025-06-13</t>
        </is>
      </c>
      <c r="J274" s="75" t="inlineStr">
        <is>
          <t>91</t>
        </is>
      </c>
      <c r="K274" s="75" t="inlineStr">
        <is>
          <t>aceito_payload</t>
        </is>
      </c>
      <c r="L274" s="144" t="n">
        <v>1</v>
      </c>
      <c r="M274" s="75" t="inlineStr">
        <is>
          <t>data/industry_study/generated_revision/artifact_payload.json</t>
        </is>
      </c>
      <c r="N274" s="75" t="inlineStr">
        <is>
          <t>N/D</t>
        </is>
      </c>
      <c r="O274" s="75" t="inlineStr">
        <is>
          <t>OBS da foto: a Sol Agora é o originador, mas o cedente das CCBs é o BMP (true sale). Os papéis foram desmembrados somente porque estão escritos literalmente na fonte. Denominação cortada.</t>
        </is>
      </c>
    </row>
    <row r="275" ht="43.5" customHeight="1">
      <c r="A275" s="142" t="n">
        <v>47936340000192</v>
      </c>
      <c r="B275" s="75" t="inlineStr">
        <is>
          <t>47.936.340/0001-92</t>
        </is>
      </c>
      <c r="C275" s="75" t="inlineStr">
        <is>
          <t>cedente</t>
        </is>
      </c>
      <c r="D275" s="75" t="inlineStr">
        <is>
          <t>BASF</t>
        </is>
      </c>
      <c r="E275" s="75" t="inlineStr">
        <is>
          <t>N/D</t>
        </is>
      </c>
      <c r="F275" s="75" t="inlineStr">
        <is>
          <t>planilha_manual</t>
        </is>
      </c>
      <c r="G275" s="75" t="inlineStr">
        <is>
          <t>IMG_8706.JPG</t>
        </is>
      </c>
      <c r="H275" s="75" t="inlineStr">
        <is>
          <t>payload</t>
        </is>
      </c>
      <c r="I275" s="75" t="inlineStr">
        <is>
          <t>2025-03-11</t>
        </is>
      </c>
      <c r="J275" s="75" t="inlineStr">
        <is>
          <t>4</t>
        </is>
      </c>
      <c r="K275" s="75" t="inlineStr">
        <is>
          <t>aceito_payload</t>
        </is>
      </c>
      <c r="L275" s="144" t="n">
        <v>1</v>
      </c>
      <c r="M275" s="75" t="inlineStr">
        <is>
          <t>data/industry_study/generated_revision/artifact_payload.json</t>
        </is>
      </c>
      <c r="N275" s="75" t="inlineStr">
        <is>
          <t>N/D</t>
        </is>
      </c>
      <c r="O275" s="75" t="inlineStr">
        <is>
          <t>N/D</t>
        </is>
      </c>
    </row>
    <row r="276" ht="43.5" customHeight="1">
      <c r="A276" s="142" t="n">
        <v>47936340000192</v>
      </c>
      <c r="B276" s="75" t="inlineStr">
        <is>
          <t>47.936.340/0001-92</t>
        </is>
      </c>
      <c r="C276" s="75" t="inlineStr">
        <is>
          <t>minimo_estrutural_total</t>
        </is>
      </c>
      <c r="D276" s="75" t="inlineStr">
        <is>
          <t>25%</t>
        </is>
      </c>
      <c r="E276" s="75" t="inlineStr">
        <is>
          <t>suporte_total_pl</t>
        </is>
      </c>
      <c r="F276" s="75" t="inlineStr">
        <is>
          <t>payload_documental</t>
        </is>
      </c>
      <c r="G276" s="75" t="inlineStr">
        <is>
          <t>801978</t>
        </is>
      </c>
      <c r="H276" s="75" t="inlineStr">
        <is>
          <t>documento_curado</t>
        </is>
      </c>
      <c r="I276" s="75" t="inlineStr">
        <is>
          <t>2025-03-11</t>
        </is>
      </c>
      <c r="J276" s="75" t="inlineStr">
        <is>
          <t>4</t>
        </is>
      </c>
      <c r="K276" s="75" t="inlineStr">
        <is>
          <t>aceito_payload</t>
        </is>
      </c>
      <c r="L276" s="144" t="n">
        <v>1</v>
      </c>
      <c r="M276" s="75" t="inlineStr">
        <is>
          <t>data/industry_study/generated_revision/artifact_payload.json</t>
        </is>
      </c>
      <c r="N276" s="75" t="inlineStr">
        <is>
          <t>https://fnet.bmfbovespa.com.br/fnet/publico/downloadDocumento?id=801978</t>
        </is>
      </c>
      <c r="O276" s="75" t="inlineStr">
        <is>
          <t>N/D</t>
        </is>
      </c>
    </row>
    <row r="277" ht="43.5" customHeight="1">
      <c r="A277" s="142" t="n">
        <v>47936340000192</v>
      </c>
      <c r="B277" s="75" t="inlineStr">
        <is>
          <t>47.936.340/0001-92</t>
        </is>
      </c>
      <c r="C277" s="75" t="inlineStr">
        <is>
          <t>natureza_indice</t>
        </is>
      </c>
      <c r="D277" s="75" t="inlineStr">
        <is>
          <t>suporte_total_pl</t>
        </is>
      </c>
      <c r="E277" s="75" t="inlineStr">
        <is>
          <t>suporte_total_pl</t>
        </is>
      </c>
      <c r="F277" s="75" t="inlineStr">
        <is>
          <t>payload_documental</t>
        </is>
      </c>
      <c r="G277" s="75" t="inlineStr">
        <is>
          <t>801978</t>
        </is>
      </c>
      <c r="H277" s="75" t="inlineStr">
        <is>
          <t>documento_curado</t>
        </is>
      </c>
      <c r="I277" s="75" t="inlineStr">
        <is>
          <t>2025-03-11</t>
        </is>
      </c>
      <c r="J277" s="75" t="inlineStr">
        <is>
          <t>4</t>
        </is>
      </c>
      <c r="K277" s="75" t="inlineStr">
        <is>
          <t>aceito_payload</t>
        </is>
      </c>
      <c r="L277" s="144" t="n">
        <v>1</v>
      </c>
      <c r="M277" s="75" t="inlineStr">
        <is>
          <t>data/industry_study/generated_revision/artifact_payload.json</t>
        </is>
      </c>
      <c r="N277" s="75" t="inlineStr">
        <is>
          <t>https://fnet.bmfbovespa.com.br/fnet/publico/downloadDocumento?id=801978</t>
        </is>
      </c>
      <c r="O277" s="75" t="inlineStr">
        <is>
          <t>N/D</t>
        </is>
      </c>
    </row>
    <row r="278" ht="43.5" customHeight="1">
      <c r="A278" s="142" t="n">
        <v>47936340000192</v>
      </c>
      <c r="B278" s="75" t="inlineStr">
        <is>
          <t>47.936.340/0001-92</t>
        </is>
      </c>
      <c r="C278" s="75" t="inlineStr">
        <is>
          <t>tipo_recebivel</t>
        </is>
      </c>
      <c r="D278" s="75" t="inlineStr">
        <is>
          <t>Insumos Agrícolas - prazo Safra</t>
        </is>
      </c>
      <c r="E278" s="75" t="inlineStr">
        <is>
          <t>N/D</t>
        </is>
      </c>
      <c r="F278" s="75" t="inlineStr">
        <is>
          <t>planilha_manual</t>
        </is>
      </c>
      <c r="G278" s="75" t="inlineStr">
        <is>
          <t>IMG_8706.JPG</t>
        </is>
      </c>
      <c r="H278" s="75" t="inlineStr">
        <is>
          <t>payload</t>
        </is>
      </c>
      <c r="I278" s="75" t="inlineStr">
        <is>
          <t>2025-03-11</t>
        </is>
      </c>
      <c r="J278" s="75" t="inlineStr">
        <is>
          <t>4</t>
        </is>
      </c>
      <c r="K278" s="75" t="inlineStr">
        <is>
          <t>aceito_payload</t>
        </is>
      </c>
      <c r="L278" s="144" t="n">
        <v>1</v>
      </c>
      <c r="M278" s="75" t="inlineStr">
        <is>
          <t>data/industry_study/generated_revision/artifact_payload.json</t>
        </is>
      </c>
      <c r="N278" s="75" t="inlineStr">
        <is>
          <t>N/D</t>
        </is>
      </c>
      <c r="O278" s="75" t="inlineStr">
        <is>
          <t>N/D</t>
        </is>
      </c>
    </row>
    <row r="279" ht="43.5" customHeight="1">
      <c r="A279" s="142" t="n">
        <v>48313595000161</v>
      </c>
      <c r="B279" s="75" t="inlineStr">
        <is>
          <t>48.313.595/0001-61</t>
        </is>
      </c>
      <c r="C279" s="75" t="inlineStr">
        <is>
          <t>cedente</t>
        </is>
      </c>
      <c r="D279" s="75" t="inlineStr">
        <is>
          <t>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t>
        </is>
      </c>
      <c r="E279" s="75" t="inlineStr">
        <is>
          <t>N/D</t>
        </is>
      </c>
      <c r="F279" s="75" t="inlineStr">
        <is>
          <t>regulamento</t>
        </is>
      </c>
      <c r="G279" s="75" t="inlineStr">
        <is>
          <t>839465</t>
        </is>
      </c>
      <c r="H279" s="75" t="inlineStr">
        <is>
          <t>Regulamento</t>
        </is>
      </c>
      <c r="I279" s="75" t="inlineStr">
        <is>
          <t>12/02/2025</t>
        </is>
      </c>
      <c r="J279" s="75" t="inlineStr">
        <is>
          <t>6</t>
        </is>
      </c>
      <c r="K279" s="75" t="inlineStr">
        <is>
          <t>encontrado_explicito</t>
        </is>
      </c>
      <c r="L279" s="144" t="n">
        <v>0.95</v>
      </c>
      <c r="M279" s="75" t="inlineStr">
        <is>
          <t>.cache/carteira_101_document_scan/48313595000161/839465.json.gz</t>
        </is>
      </c>
      <c r="N279" s="75" t="inlineStr">
        <is>
          <t>https://fnet.bmfbovespa.com.br/fnet/publico/downloadDocumento?id=839465</t>
        </is>
      </c>
      <c r="O279" s="75" t="inlineStr">
        <is>
          <t>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t>
        </is>
      </c>
    </row>
    <row r="280" ht="43.5" customHeight="1">
      <c r="A280" s="142" t="n">
        <v>48313595000161</v>
      </c>
      <c r="B280" s="75" t="inlineStr">
        <is>
          <t>48.313.595/0001-61</t>
        </is>
      </c>
      <c r="C280" s="75" t="inlineStr">
        <is>
          <t>cedente</t>
        </is>
      </c>
      <c r="D280" s="75"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E280" s="75" t="inlineStr">
        <is>
          <t>N/D</t>
        </is>
      </c>
      <c r="F280" s="75" t="inlineStr">
        <is>
          <t>regulamento</t>
        </is>
      </c>
      <c r="G280" s="75" t="inlineStr">
        <is>
          <t>976737</t>
        </is>
      </c>
      <c r="H280" s="75" t="inlineStr">
        <is>
          <t>Regulamento</t>
        </is>
      </c>
      <c r="I280" s="75" t="inlineStr">
        <is>
          <t>22/08/2025</t>
        </is>
      </c>
      <c r="J280" s="75" t="inlineStr">
        <is>
          <t>14</t>
        </is>
      </c>
      <c r="K280" s="75" t="inlineStr">
        <is>
          <t>encontrado_explicito</t>
        </is>
      </c>
      <c r="L280" s="144" t="n">
        <v>0.95</v>
      </c>
      <c r="M280" s="75" t="inlineStr">
        <is>
          <t>.cache/carteira_101_document_scan/48313595000161/976737.json.gz</t>
        </is>
      </c>
      <c r="N280" s="75" t="inlineStr">
        <is>
          <t>https://fnet.bmfbovespa.com.br/fnet/publico/downloadDocumento?id=976737</t>
        </is>
      </c>
      <c r="O280" s="75" t="inlineStr">
        <is>
          <t>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t>
        </is>
      </c>
    </row>
    <row r="281" ht="43.5" customHeight="1">
      <c r="A281" s="142" t="n">
        <v>48313595000161</v>
      </c>
      <c r="B281" s="75" t="inlineStr">
        <is>
          <t>48.313.595/0001-61</t>
        </is>
      </c>
      <c r="C281" s="75" t="inlineStr">
        <is>
          <t>cedente</t>
        </is>
      </c>
      <c r="D281" s="75" t="inlineStr">
        <is>
          <t>Multicedentes</t>
        </is>
      </c>
      <c r="E281" s="75" t="inlineStr">
        <is>
          <t>N/D</t>
        </is>
      </c>
      <c r="F281" s="75" t="inlineStr">
        <is>
          <t>planilha_manual</t>
        </is>
      </c>
      <c r="G281" s="75" t="inlineStr">
        <is>
          <t>IMG_8704.JPG</t>
        </is>
      </c>
      <c r="H281" s="75" t="inlineStr">
        <is>
          <t>payload</t>
        </is>
      </c>
      <c r="I281" s="75" t="inlineStr">
        <is>
          <t>2025-08-22</t>
        </is>
      </c>
      <c r="J281" s="75" t="inlineStr">
        <is>
          <t>42</t>
        </is>
      </c>
      <c r="K281" s="75" t="inlineStr">
        <is>
          <t>aceito_payload</t>
        </is>
      </c>
      <c r="L281" s="144" t="n">
        <v>1</v>
      </c>
      <c r="M281" s="75" t="inlineStr">
        <is>
          <t>data/industry_study/generated_revision/artifact_payload.json</t>
        </is>
      </c>
      <c r="N281" s="75" t="inlineStr">
        <is>
          <t>N/D</t>
        </is>
      </c>
      <c r="O281" s="75" t="inlineStr">
        <is>
          <t>OBS da foto: Cota Jr 100% consumida; revisão de rating em out/25; fomos 100% resgatados na SR. Denominação cortada.</t>
        </is>
      </c>
    </row>
    <row r="282" ht="43.5" customHeight="1">
      <c r="A282" s="142" t="n">
        <v>48313595000161</v>
      </c>
      <c r="B282" s="75" t="inlineStr">
        <is>
          <t>48.313.595/0001-61</t>
        </is>
      </c>
      <c r="C282" s="75" t="inlineStr">
        <is>
          <t>natureza_indice</t>
        </is>
      </c>
      <c r="D282" s="75" t="inlineStr">
        <is>
          <t>sem_indice</t>
        </is>
      </c>
      <c r="E282" s="75" t="inlineStr">
        <is>
          <t>sem_indice</t>
        </is>
      </c>
      <c r="F282" s="75" t="inlineStr">
        <is>
          <t>payload_documental</t>
        </is>
      </c>
      <c r="G282" s="75" t="inlineStr">
        <is>
          <t>976737</t>
        </is>
      </c>
      <c r="H282" s="75" t="inlineStr">
        <is>
          <t>documento_curado</t>
        </is>
      </c>
      <c r="I282" s="75" t="inlineStr">
        <is>
          <t>2025-08-22</t>
        </is>
      </c>
      <c r="J282" s="75" t="inlineStr">
        <is>
          <t>42</t>
        </is>
      </c>
      <c r="K282" s="75" t="inlineStr">
        <is>
          <t>aceito_payload</t>
        </is>
      </c>
      <c r="L282" s="144" t="n">
        <v>1</v>
      </c>
      <c r="M282" s="75" t="inlineStr">
        <is>
          <t>data/industry_study/generated_revision/artifact_payload.json</t>
        </is>
      </c>
      <c r="N282" s="75" t="inlineStr">
        <is>
          <t>https://fnet.bmfbovespa.com.br/fnet/publico/downloadDocumento?id=976737</t>
        </is>
      </c>
      <c r="O282" s="75" t="inlineStr">
        <is>
          <t>N/D</t>
        </is>
      </c>
    </row>
    <row r="283" ht="43.5" customHeight="1">
      <c r="A283" s="142" t="n">
        <v>48946335000123</v>
      </c>
      <c r="B283" s="75" t="inlineStr">
        <is>
          <t>48.946.335/0001-23</t>
        </is>
      </c>
      <c r="C283" s="75" t="inlineStr">
        <is>
          <t>cedente</t>
        </is>
      </c>
      <c r="D283" s="75" t="inlineStr">
        <is>
          <t>Multicedentes</t>
        </is>
      </c>
      <c r="E283" s="75" t="inlineStr">
        <is>
          <t>N/D</t>
        </is>
      </c>
      <c r="F283" s="75" t="inlineStr">
        <is>
          <t>planilha_manual</t>
        </is>
      </c>
      <c r="G283" s="75" t="inlineStr">
        <is>
          <t>IMG_8705.JPG</t>
        </is>
      </c>
      <c r="H283" s="75" t="inlineStr">
        <is>
          <t>payload</t>
        </is>
      </c>
      <c r="I283" s="75" t="inlineStr">
        <is>
          <t>2025-09-29</t>
        </is>
      </c>
      <c r="J283" s="75" t="inlineStr">
        <is>
          <t>57</t>
        </is>
      </c>
      <c r="K283" s="75" t="inlineStr">
        <is>
          <t>aceito_payload</t>
        </is>
      </c>
      <c r="L283" s="144" t="n">
        <v>1</v>
      </c>
      <c r="M283" s="75" t="inlineStr">
        <is>
          <t>data/industry_study/generated_revision/artifact_payload.json</t>
        </is>
      </c>
      <c r="N283" s="75" t="inlineStr">
        <is>
          <t>N/D</t>
        </is>
      </c>
      <c r="O283" s="75" t="inlineStr">
        <is>
          <t>OBS da foto: análise NAGRO. Denominação cortada.</t>
        </is>
      </c>
    </row>
    <row r="284" ht="43.5" customHeight="1">
      <c r="A284" s="142" t="n">
        <v>48946335000123</v>
      </c>
      <c r="B284" s="75" t="inlineStr">
        <is>
          <t>48.946.335/0001-23</t>
        </is>
      </c>
      <c r="C284" s="75" t="inlineStr">
        <is>
          <t>minimo_junior</t>
        </is>
      </c>
      <c r="D284" s="75" t="inlineStr">
        <is>
          <t>10%</t>
        </is>
      </c>
      <c r="E284" s="75" t="inlineStr">
        <is>
          <t>junior_pl</t>
        </is>
      </c>
      <c r="F284" s="75" t="inlineStr">
        <is>
          <t>payload_documental</t>
        </is>
      </c>
      <c r="G284" s="75" t="inlineStr">
        <is>
          <t>1000248</t>
        </is>
      </c>
      <c r="H284" s="75" t="inlineStr">
        <is>
          <t>documento_curado</t>
        </is>
      </c>
      <c r="I284" s="75" t="inlineStr">
        <is>
          <t>2025-09-29</t>
        </is>
      </c>
      <c r="J284" s="75" t="inlineStr">
        <is>
          <t>57</t>
        </is>
      </c>
      <c r="K284" s="75" t="inlineStr">
        <is>
          <t>aceito_payload</t>
        </is>
      </c>
      <c r="L284" s="144" t="n">
        <v>1</v>
      </c>
      <c r="M284" s="75" t="inlineStr">
        <is>
          <t>data/industry_study/generated_revision/artifact_payload.json</t>
        </is>
      </c>
      <c r="N284" s="75" t="inlineStr">
        <is>
          <t>https://fnet.bmfbovespa.com.br/fnet/publico/downloadDocumento?id=1000248</t>
        </is>
      </c>
      <c r="O284" s="75" t="inlineStr">
        <is>
          <t>Cotas júnior A e B / PL, mínimo de 10,0%.</t>
        </is>
      </c>
    </row>
    <row r="285" ht="43.5" customHeight="1">
      <c r="A285" s="142" t="n">
        <v>48946335000123</v>
      </c>
      <c r="B285" s="75" t="inlineStr">
        <is>
          <t>48.946.335/0001-23</t>
        </is>
      </c>
      <c r="C285" s="75" t="inlineStr">
        <is>
          <t>natureza_indice</t>
        </is>
      </c>
      <c r="D285" s="75" t="inlineStr">
        <is>
          <t>junior_pl</t>
        </is>
      </c>
      <c r="E285" s="75" t="inlineStr">
        <is>
          <t>junior_pl</t>
        </is>
      </c>
      <c r="F285" s="75" t="inlineStr">
        <is>
          <t>payload_documental</t>
        </is>
      </c>
      <c r="G285" s="75" t="inlineStr">
        <is>
          <t>1000248</t>
        </is>
      </c>
      <c r="H285" s="75" t="inlineStr">
        <is>
          <t>documento_curado</t>
        </is>
      </c>
      <c r="I285" s="75" t="inlineStr">
        <is>
          <t>2025-09-29</t>
        </is>
      </c>
      <c r="J285" s="75" t="inlineStr">
        <is>
          <t>57</t>
        </is>
      </c>
      <c r="K285" s="75" t="inlineStr">
        <is>
          <t>aceito_payload</t>
        </is>
      </c>
      <c r="L285" s="144" t="n">
        <v>1</v>
      </c>
      <c r="M285" s="75" t="inlineStr">
        <is>
          <t>data/industry_study/generated_revision/artifact_payload.json</t>
        </is>
      </c>
      <c r="N285" s="75" t="inlineStr">
        <is>
          <t>https://fnet.bmfbovespa.com.br/fnet/publico/downloadDocumento?id=1000248</t>
        </is>
      </c>
      <c r="O285" s="75" t="inlineStr">
        <is>
          <t>Cotas júnior A e B / PL, mínimo de 10,0%.</t>
        </is>
      </c>
    </row>
    <row r="286" ht="43.5" customHeight="1">
      <c r="A286" s="142" t="n">
        <v>48953864000154</v>
      </c>
      <c r="B286" s="75" t="inlineStr">
        <is>
          <t>48.953.864/0001-54</t>
        </is>
      </c>
      <c r="C286" s="75" t="inlineStr">
        <is>
          <t>cedente</t>
        </is>
      </c>
      <c r="D286"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E286" s="75" t="inlineStr">
        <is>
          <t>N/D</t>
        </is>
      </c>
      <c r="F286" s="75" t="inlineStr">
        <is>
          <t>regulamento</t>
        </is>
      </c>
      <c r="G286" s="75" t="inlineStr">
        <is>
          <t>473796</t>
        </is>
      </c>
      <c r="H286" s="75" t="inlineStr">
        <is>
          <t>Regulamento</t>
        </is>
      </c>
      <c r="I286" s="75" t="inlineStr">
        <is>
          <t>01/06/2023</t>
        </is>
      </c>
      <c r="J286" s="75" t="inlineStr">
        <is>
          <t>7</t>
        </is>
      </c>
      <c r="K286" s="75" t="inlineStr">
        <is>
          <t>encontrado_explicito</t>
        </is>
      </c>
      <c r="L286" s="144" t="n">
        <v>0.95</v>
      </c>
      <c r="M286" s="75" t="inlineStr">
        <is>
          <t>.cache/carteira_101_document_scan/48953864000154/473796.json.gz</t>
        </is>
      </c>
      <c r="N286" s="75" t="inlineStr">
        <is>
          <t>https://fnet.bmfbovespa.com.br/fnet/publico/downloadDocumento?id=473796</t>
        </is>
      </c>
      <c r="O286" s="75" t="inlineStr">
        <is>
          <t>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t>
        </is>
      </c>
    </row>
    <row r="287" ht="43.5" customHeight="1">
      <c r="A287" s="142" t="n">
        <v>48953864000154</v>
      </c>
      <c r="B287" s="75" t="inlineStr">
        <is>
          <t>48.953.864/0001-54</t>
        </is>
      </c>
      <c r="C287" s="75" t="inlineStr">
        <is>
          <t>cedente</t>
        </is>
      </c>
      <c r="D287" s="75" t="inlineStr">
        <is>
          <t>Asaas IP</t>
        </is>
      </c>
      <c r="E287" s="75" t="inlineStr">
        <is>
          <t>N/D</t>
        </is>
      </c>
      <c r="F287" s="75" t="inlineStr">
        <is>
          <t>planilha_manual</t>
        </is>
      </c>
      <c r="G287" s="75" t="inlineStr">
        <is>
          <t>IMG_8705.JPG</t>
        </is>
      </c>
      <c r="H287" s="75" t="inlineStr">
        <is>
          <t>payload</t>
        </is>
      </c>
      <c r="I287" s="75" t="inlineStr">
        <is>
          <t>2024-11-05</t>
        </is>
      </c>
      <c r="J287" s="75" t="inlineStr">
        <is>
          <t>33; 107</t>
        </is>
      </c>
      <c r="K287" s="75" t="inlineStr">
        <is>
          <t>aceito_payload</t>
        </is>
      </c>
      <c r="L287" s="144" t="n">
        <v>1</v>
      </c>
      <c r="M287" s="75" t="inlineStr">
        <is>
          <t>data/industry_study/generated_revision/artifact_payload.json</t>
        </is>
      </c>
      <c r="N287" s="75" t="inlineStr">
        <is>
          <t>N/D</t>
        </is>
      </c>
      <c r="O287" s="75" t="inlineStr">
        <is>
          <t>N/D</t>
        </is>
      </c>
    </row>
    <row r="288" ht="43.5" customHeight="1">
      <c r="A288" s="142" t="n">
        <v>48953864000154</v>
      </c>
      <c r="B288" s="75" t="inlineStr">
        <is>
          <t>48.953.864/0001-54</t>
        </is>
      </c>
      <c r="C288" s="75" t="inlineStr">
        <is>
          <t>minimo_estrutural_total</t>
        </is>
      </c>
      <c r="D288" s="75" t="inlineStr">
        <is>
          <t>15%</t>
        </is>
      </c>
      <c r="E288" s="75" t="inlineStr">
        <is>
          <t>suporte_total_pl</t>
        </is>
      </c>
      <c r="F288" s="75" t="inlineStr">
        <is>
          <t>payload_documental</t>
        </is>
      </c>
      <c r="G288" s="75" t="inlineStr">
        <is>
          <t>774314</t>
        </is>
      </c>
      <c r="H288" s="75" t="inlineStr">
        <is>
          <t>documento_curado</t>
        </is>
      </c>
      <c r="I288" s="75" t="inlineStr">
        <is>
          <t>2024-11-05</t>
        </is>
      </c>
      <c r="J288" s="75" t="inlineStr">
        <is>
          <t>33; 107</t>
        </is>
      </c>
      <c r="K288" s="75" t="inlineStr">
        <is>
          <t>aceito_payload</t>
        </is>
      </c>
      <c r="L288" s="144" t="n">
        <v>1</v>
      </c>
      <c r="M288" s="75" t="inlineStr">
        <is>
          <t>data/industry_study/generated_revision/artifact_payload.json</t>
        </is>
      </c>
      <c r="N288" s="75" t="inlineStr">
        <is>
          <t>https://fnet.bmfbovespa.com.br/fnet/publico/downloadDocumento?id=774314</t>
        </is>
      </c>
      <c r="O288" s="75" t="inlineStr">
        <is>
          <t>Cotas subordinadas / PL, mínimo de 15,0%; estrutura com uma única classe residual.</t>
        </is>
      </c>
    </row>
    <row r="289" ht="43.5" customHeight="1">
      <c r="A289" s="142" t="n">
        <v>48953864000154</v>
      </c>
      <c r="B289" s="75" t="inlineStr">
        <is>
          <t>48.953.864/0001-54</t>
        </is>
      </c>
      <c r="C289" s="75" t="inlineStr">
        <is>
          <t>minimo_junior</t>
        </is>
      </c>
      <c r="D289" s="75" t="inlineStr">
        <is>
          <t>15%</t>
        </is>
      </c>
      <c r="E289" s="75" t="inlineStr">
        <is>
          <t>junior_pl</t>
        </is>
      </c>
      <c r="F289" s="75" t="inlineStr">
        <is>
          <t>payload_documental</t>
        </is>
      </c>
      <c r="G289" s="75" t="inlineStr">
        <is>
          <t>774314</t>
        </is>
      </c>
      <c r="H289" s="75" t="inlineStr">
        <is>
          <t>documento_curado</t>
        </is>
      </c>
      <c r="I289" s="75" t="inlineStr">
        <is>
          <t>2024-11-05</t>
        </is>
      </c>
      <c r="J289" s="75" t="inlineStr">
        <is>
          <t>33; 107</t>
        </is>
      </c>
      <c r="K289" s="75" t="inlineStr">
        <is>
          <t>aceito_payload</t>
        </is>
      </c>
      <c r="L289" s="144" t="n">
        <v>1</v>
      </c>
      <c r="M289" s="75" t="inlineStr">
        <is>
          <t>data/industry_study/generated_revision/artifact_payload.json</t>
        </is>
      </c>
      <c r="N289" s="75" t="inlineStr">
        <is>
          <t>https://fnet.bmfbovespa.com.br/fnet/publico/downloadDocumento?id=774314</t>
        </is>
      </c>
      <c r="O289" s="75" t="inlineStr">
        <is>
          <t>Cotas subordinadas / PL, mínimo de 15,0%; estrutura com uma única classe residual.</t>
        </is>
      </c>
    </row>
    <row r="290" ht="43.5" customHeight="1">
      <c r="A290" s="142" t="n">
        <v>48953864000154</v>
      </c>
      <c r="B290" s="75" t="inlineStr">
        <is>
          <t>48.953.864/0001-54</t>
        </is>
      </c>
      <c r="C290" s="75" t="inlineStr">
        <is>
          <t>natureza_indice</t>
        </is>
      </c>
      <c r="D290" s="75" t="inlineStr">
        <is>
          <t>junior_pl</t>
        </is>
      </c>
      <c r="E290" s="75" t="inlineStr">
        <is>
          <t>junior_pl</t>
        </is>
      </c>
      <c r="F290" s="75" t="inlineStr">
        <is>
          <t>payload_documental</t>
        </is>
      </c>
      <c r="G290" s="75" t="inlineStr">
        <is>
          <t>774314</t>
        </is>
      </c>
      <c r="H290" s="75" t="inlineStr">
        <is>
          <t>documento_curado</t>
        </is>
      </c>
      <c r="I290" s="75" t="inlineStr">
        <is>
          <t>2024-11-05</t>
        </is>
      </c>
      <c r="J290" s="75" t="inlineStr">
        <is>
          <t>33; 107</t>
        </is>
      </c>
      <c r="K290" s="75" t="inlineStr">
        <is>
          <t>aceito_payload</t>
        </is>
      </c>
      <c r="L290" s="144" t="n">
        <v>1</v>
      </c>
      <c r="M290" s="75" t="inlineStr">
        <is>
          <t>data/industry_study/generated_revision/artifact_payload.json</t>
        </is>
      </c>
      <c r="N290" s="75" t="inlineStr">
        <is>
          <t>https://fnet.bmfbovespa.com.br/fnet/publico/downloadDocumento?id=774314</t>
        </is>
      </c>
      <c r="O290" s="75" t="inlineStr">
        <is>
          <t>Cotas subordinadas / PL, mínimo de 15,0%; estrutura com uma única classe residual.</t>
        </is>
      </c>
    </row>
    <row r="291" ht="43.5" customHeight="1">
      <c r="A291" s="142" t="n">
        <v>48953864000154</v>
      </c>
      <c r="B291" s="75" t="inlineStr">
        <is>
          <t>48.953.864/0001-54</t>
        </is>
      </c>
      <c r="C291" s="75" t="inlineStr">
        <is>
          <t>tipo_recebivel</t>
        </is>
      </c>
      <c r="D29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E291" s="75" t="inlineStr">
        <is>
          <t>N/D</t>
        </is>
      </c>
      <c r="F291" s="75" t="inlineStr">
        <is>
          <t>regulamento</t>
        </is>
      </c>
      <c r="G291" s="75" t="inlineStr">
        <is>
          <t>473796</t>
        </is>
      </c>
      <c r="H291" s="75" t="inlineStr">
        <is>
          <t>Regulamento</t>
        </is>
      </c>
      <c r="I291" s="75" t="inlineStr">
        <is>
          <t>01/06/2023</t>
        </is>
      </c>
      <c r="J291" s="75" t="inlineStr">
        <is>
          <t>11</t>
        </is>
      </c>
      <c r="K291" s="75" t="inlineStr">
        <is>
          <t>encontrado_explicito</t>
        </is>
      </c>
      <c r="L291" s="144" t="n">
        <v>0.92</v>
      </c>
      <c r="M291" s="75" t="inlineStr">
        <is>
          <t>.cache/carteira_101_document_scan/48953864000154/473796.json.gz</t>
        </is>
      </c>
      <c r="N291" s="75" t="inlineStr">
        <is>
          <t>https://fnet.bmfbovespa.com.br/fnet/publico/downloadDocumento?id=473796</t>
        </is>
      </c>
      <c r="O291" s="75" t="inlineStr">
        <is>
          <t>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t>
        </is>
      </c>
    </row>
    <row r="292" ht="43.5" customHeight="1">
      <c r="A292" s="142" t="n">
        <v>48953864000154</v>
      </c>
      <c r="B292" s="75" t="inlineStr">
        <is>
          <t>48.953.864/0001-54</t>
        </is>
      </c>
      <c r="C292" s="75" t="inlineStr">
        <is>
          <t>tipo_recebivel</t>
        </is>
      </c>
      <c r="D292" s="75" t="inlineStr">
        <is>
          <t>80% Redecard e 20% Adyen</t>
        </is>
      </c>
      <c r="E292" s="75" t="inlineStr">
        <is>
          <t>N/D</t>
        </is>
      </c>
      <c r="F292" s="75" t="inlineStr">
        <is>
          <t>planilha_manual</t>
        </is>
      </c>
      <c r="G292" s="75" t="inlineStr">
        <is>
          <t>IMG_8705.JPG</t>
        </is>
      </c>
      <c r="H292" s="75" t="inlineStr">
        <is>
          <t>payload</t>
        </is>
      </c>
      <c r="I292" s="75" t="inlineStr">
        <is>
          <t>2024-11-05</t>
        </is>
      </c>
      <c r="J292" s="75" t="inlineStr">
        <is>
          <t>33; 107</t>
        </is>
      </c>
      <c r="K292" s="75" t="inlineStr">
        <is>
          <t>aceito_payload</t>
        </is>
      </c>
      <c r="L292" s="144" t="n">
        <v>1</v>
      </c>
      <c r="M292" s="75" t="inlineStr">
        <is>
          <t>data/industry_study/generated_revision/artifact_payload.json</t>
        </is>
      </c>
      <c r="N292" s="75" t="inlineStr">
        <is>
          <t>N/D</t>
        </is>
      </c>
      <c r="O292" s="75" t="inlineStr">
        <is>
          <t>N/D</t>
        </is>
      </c>
    </row>
    <row r="293" ht="43.5" customHeight="1">
      <c r="A293" s="142" t="n">
        <v>48967719000122</v>
      </c>
      <c r="B293" s="75" t="inlineStr">
        <is>
          <t>48.967.719/0001-22</t>
        </is>
      </c>
      <c r="C293" s="75" t="inlineStr">
        <is>
          <t>cedente</t>
        </is>
      </c>
      <c r="D293" s="75" t="inlineStr">
        <is>
          <t>Soulpay Soluções de Pagamentos</t>
        </is>
      </c>
      <c r="E293" s="75" t="inlineStr">
        <is>
          <t>N/D</t>
        </is>
      </c>
      <c r="F293" s="75" t="inlineStr">
        <is>
          <t>planilha_manual</t>
        </is>
      </c>
      <c r="G293" s="75" t="inlineStr">
        <is>
          <t>IMG_8704.JPG</t>
        </is>
      </c>
      <c r="H293" s="75" t="inlineStr">
        <is>
          <t>payload</t>
        </is>
      </c>
      <c r="I293" s="75" t="inlineStr">
        <is>
          <t>2024-11-22</t>
        </is>
      </c>
      <c r="J293" s="75" t="inlineStr">
        <is>
          <t>82</t>
        </is>
      </c>
      <c r="K293" s="75" t="inlineStr">
        <is>
          <t>aceito_payload</t>
        </is>
      </c>
      <c r="L293" s="144" t="n">
        <v>1</v>
      </c>
      <c r="M293" s="75" t="inlineStr">
        <is>
          <t>data/industry_study/generated_revision/artifact_payload.json</t>
        </is>
      </c>
      <c r="N293" s="75" t="inlineStr">
        <is>
          <t>N/D</t>
        </is>
      </c>
      <c r="O293" s="75" t="inlineStr">
        <is>
          <t>OBS da foto: Risco Rede.</t>
        </is>
      </c>
    </row>
    <row r="294" ht="43.5" customHeight="1">
      <c r="A294" s="142" t="n">
        <v>48967719000122</v>
      </c>
      <c r="B294" s="75" t="inlineStr">
        <is>
          <t>48.967.719/0001-22</t>
        </is>
      </c>
      <c r="C294" s="75" t="inlineStr">
        <is>
          <t>minimo_estrutural_total</t>
        </is>
      </c>
      <c r="D294" s="75" t="inlineStr">
        <is>
          <t>5%</t>
        </is>
      </c>
      <c r="E294" s="75" t="inlineStr">
        <is>
          <t>suporte_total_pl</t>
        </is>
      </c>
      <c r="F294" s="75" t="inlineStr">
        <is>
          <t>payload_documental</t>
        </is>
      </c>
      <c r="G294" s="75" t="inlineStr">
        <is>
          <t>785770</t>
        </is>
      </c>
      <c r="H294" s="75" t="inlineStr">
        <is>
          <t>documento_curado</t>
        </is>
      </c>
      <c r="I294" s="75" t="inlineStr">
        <is>
          <t>2024-11-22</t>
        </is>
      </c>
      <c r="J294" s="75" t="inlineStr">
        <is>
          <t>82</t>
        </is>
      </c>
      <c r="K294" s="75" t="inlineStr">
        <is>
          <t>aceito_payload</t>
        </is>
      </c>
      <c r="L294" s="144" t="n">
        <v>1</v>
      </c>
      <c r="M294" s="75" t="inlineStr">
        <is>
          <t>data/industry_study/generated_revision/artifact_payload.json</t>
        </is>
      </c>
      <c r="N294" s="75" t="inlineStr">
        <is>
          <t>https://fnet.bmfbovespa.com.br/fnet/publico/downloadDocumento?id=785770</t>
        </is>
      </c>
      <c r="O294" s="75" t="inlineStr">
        <is>
          <t>Cotas subordinadas júnior / PL, mínimo de 5,0%.</t>
        </is>
      </c>
    </row>
    <row r="295" ht="43.5" customHeight="1">
      <c r="A295" s="142" t="n">
        <v>48967719000122</v>
      </c>
      <c r="B295" s="75" t="inlineStr">
        <is>
          <t>48.967.719/0001-22</t>
        </is>
      </c>
      <c r="C295" s="75" t="inlineStr">
        <is>
          <t>minimo_junior</t>
        </is>
      </c>
      <c r="D295" s="75" t="inlineStr">
        <is>
          <t>5%</t>
        </is>
      </c>
      <c r="E295" s="75" t="inlineStr">
        <is>
          <t>junior_pl</t>
        </is>
      </c>
      <c r="F295" s="75" t="inlineStr">
        <is>
          <t>payload_documental</t>
        </is>
      </c>
      <c r="G295" s="75" t="inlineStr">
        <is>
          <t>785770</t>
        </is>
      </c>
      <c r="H295" s="75" t="inlineStr">
        <is>
          <t>documento_curado</t>
        </is>
      </c>
      <c r="I295" s="75" t="inlineStr">
        <is>
          <t>2024-11-22</t>
        </is>
      </c>
      <c r="J295" s="75" t="inlineStr">
        <is>
          <t>82</t>
        </is>
      </c>
      <c r="K295" s="75" t="inlineStr">
        <is>
          <t>aceito_payload</t>
        </is>
      </c>
      <c r="L295" s="144" t="n">
        <v>1</v>
      </c>
      <c r="M295" s="75" t="inlineStr">
        <is>
          <t>data/industry_study/generated_revision/artifact_payload.json</t>
        </is>
      </c>
      <c r="N295" s="75" t="inlineStr">
        <is>
          <t>https://fnet.bmfbovespa.com.br/fnet/publico/downloadDocumento?id=785770</t>
        </is>
      </c>
      <c r="O295" s="75" t="inlineStr">
        <is>
          <t>Cotas subordinadas júnior / PL, mínimo de 5,0%.</t>
        </is>
      </c>
    </row>
    <row r="296" ht="43.5" customHeight="1">
      <c r="A296" s="142" t="n">
        <v>48967719000122</v>
      </c>
      <c r="B296" s="75" t="inlineStr">
        <is>
          <t>48.967.719/0001-22</t>
        </is>
      </c>
      <c r="C296" s="75" t="inlineStr">
        <is>
          <t>natureza_indice</t>
        </is>
      </c>
      <c r="D296" s="75" t="inlineStr">
        <is>
          <t>junior_pl</t>
        </is>
      </c>
      <c r="E296" s="75" t="inlineStr">
        <is>
          <t>junior_pl</t>
        </is>
      </c>
      <c r="F296" s="75" t="inlineStr">
        <is>
          <t>payload_documental</t>
        </is>
      </c>
      <c r="G296" s="75" t="inlineStr">
        <is>
          <t>785770</t>
        </is>
      </c>
      <c r="H296" s="75" t="inlineStr">
        <is>
          <t>documento_curado</t>
        </is>
      </c>
      <c r="I296" s="75" t="inlineStr">
        <is>
          <t>2024-11-22</t>
        </is>
      </c>
      <c r="J296" s="75" t="inlineStr">
        <is>
          <t>82</t>
        </is>
      </c>
      <c r="K296" s="75" t="inlineStr">
        <is>
          <t>aceito_payload</t>
        </is>
      </c>
      <c r="L296" s="144" t="n">
        <v>1</v>
      </c>
      <c r="M296" s="75" t="inlineStr">
        <is>
          <t>data/industry_study/generated_revision/artifact_payload.json</t>
        </is>
      </c>
      <c r="N296" s="75" t="inlineStr">
        <is>
          <t>https://fnet.bmfbovespa.com.br/fnet/publico/downloadDocumento?id=785770</t>
        </is>
      </c>
      <c r="O296" s="75" t="inlineStr">
        <is>
          <t>Cotas subordinadas júnior / PL, mínimo de 5,0%.</t>
        </is>
      </c>
    </row>
    <row r="297" ht="43.5" customHeight="1">
      <c r="A297" s="142" t="n">
        <v>49113994000141</v>
      </c>
      <c r="B297" s="75" t="inlineStr">
        <is>
          <t>49.113.994/0001-41</t>
        </is>
      </c>
      <c r="C297" s="75" t="inlineStr">
        <is>
          <t>minimo_junior</t>
        </is>
      </c>
      <c r="D297" s="75" t="inlineStr">
        <is>
          <t>14%</t>
        </is>
      </c>
      <c r="E297" s="75" t="inlineStr">
        <is>
          <t>junior_pl</t>
        </is>
      </c>
      <c r="F297" s="75" t="inlineStr">
        <is>
          <t>payload_documental</t>
        </is>
      </c>
      <c r="G297" s="75" t="inlineStr">
        <is>
          <t>788104</t>
        </is>
      </c>
      <c r="H297" s="75" t="inlineStr">
        <is>
          <t>documento_curado</t>
        </is>
      </c>
      <c r="I297" s="75" t="inlineStr">
        <is>
          <t>2024-11-22</t>
        </is>
      </c>
      <c r="J297" s="75" t="inlineStr">
        <is>
          <t>53</t>
        </is>
      </c>
      <c r="K297" s="75" t="inlineStr">
        <is>
          <t>aceito_payload</t>
        </is>
      </c>
      <c r="L297" s="144" t="n">
        <v>1</v>
      </c>
      <c r="M297" s="75" t="inlineStr">
        <is>
          <t>data/industry_study/generated_revision/artifact_payload.json</t>
        </is>
      </c>
      <c r="N297" s="75" t="inlineStr">
        <is>
          <t>https://fnet.bmfbovespa.com.br/fnet/publico/downloadDocumento?id=788104</t>
        </is>
      </c>
      <c r="O297" s="75" t="inlineStr">
        <is>
          <t>Cotas júnior / PL: mínimo de 14,0%; 15,0% no último dia útil de cada mês.</t>
        </is>
      </c>
    </row>
    <row r="298" ht="43.5" customHeight="1">
      <c r="A298" s="142" t="n">
        <v>49113994000141</v>
      </c>
      <c r="B298" s="75" t="inlineStr">
        <is>
          <t>49.113.994/0001-41</t>
        </is>
      </c>
      <c r="C298" s="75" t="inlineStr">
        <is>
          <t>natureza_indice</t>
        </is>
      </c>
      <c r="D298" s="75" t="inlineStr">
        <is>
          <t>junior_pl</t>
        </is>
      </c>
      <c r="E298" s="75" t="inlineStr">
        <is>
          <t>junior_pl</t>
        </is>
      </c>
      <c r="F298" s="75" t="inlineStr">
        <is>
          <t>payload_documental</t>
        </is>
      </c>
      <c r="G298" s="75" t="inlineStr">
        <is>
          <t>788104</t>
        </is>
      </c>
      <c r="H298" s="75" t="inlineStr">
        <is>
          <t>documento_curado</t>
        </is>
      </c>
      <c r="I298" s="75" t="inlineStr">
        <is>
          <t>2024-11-22</t>
        </is>
      </c>
      <c r="J298" s="75" t="inlineStr">
        <is>
          <t>53</t>
        </is>
      </c>
      <c r="K298" s="75" t="inlineStr">
        <is>
          <t>aceito_payload</t>
        </is>
      </c>
      <c r="L298" s="144" t="n">
        <v>1</v>
      </c>
      <c r="M298" s="75" t="inlineStr">
        <is>
          <t>data/industry_study/generated_revision/artifact_payload.json</t>
        </is>
      </c>
      <c r="N298" s="75" t="inlineStr">
        <is>
          <t>https://fnet.bmfbovespa.com.br/fnet/publico/downloadDocumento?id=788104</t>
        </is>
      </c>
      <c r="O298" s="75" t="inlineStr">
        <is>
          <t>Cotas júnior / PL: mínimo de 14,0%; 15,0% no último dia útil de cada mês.</t>
        </is>
      </c>
    </row>
    <row r="299" ht="43.5" customHeight="1">
      <c r="A299" s="142" t="n">
        <v>50089559000108</v>
      </c>
      <c r="B299" s="75" t="inlineStr">
        <is>
          <t>50.089.559/0001-08</t>
        </is>
      </c>
      <c r="C299" s="75" t="inlineStr">
        <is>
          <t>cedente</t>
        </is>
      </c>
      <c r="D299" s="75" t="inlineStr">
        <is>
          <t>a Agriconnection e, as Empresas do Grupo Econômico da Agriconnection, os Cedentes Parceiros A e os Cedentes Parceiros B quando mencionados em conjunto</t>
        </is>
      </c>
      <c r="E299" s="75" t="inlineStr">
        <is>
          <t>N/D</t>
        </is>
      </c>
      <c r="F299" s="75" t="inlineStr">
        <is>
          <t>rating_report</t>
        </is>
      </c>
      <c r="G299" s="75" t="inlineStr">
        <is>
          <t>882388</t>
        </is>
      </c>
      <c r="H299" s="75" t="inlineStr">
        <is>
          <t>Relatórios Relatório de Agência de Rating</t>
        </is>
      </c>
      <c r="I299" s="75" t="inlineStr">
        <is>
          <t>03/02/2025</t>
        </is>
      </c>
      <c r="J299" s="75" t="inlineStr">
        <is>
          <t>5</t>
        </is>
      </c>
      <c r="K299" s="75" t="inlineStr">
        <is>
          <t>encontrado_explicito</t>
        </is>
      </c>
      <c r="L299" s="144" t="n">
        <v>0.95</v>
      </c>
      <c r="M299" s="75" t="inlineStr">
        <is>
          <t>.cache/carteira_101_document_scan/50089559000108/882388.json.gz</t>
        </is>
      </c>
      <c r="N299" s="75" t="inlineStr">
        <is>
          <t>https://fnet.bmfbovespa.com.br/fnet/publico/downloadDocumento?id=882388</t>
        </is>
      </c>
      <c r="O299" s="75" t="inlineStr">
        <is>
          <t>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t>
        </is>
      </c>
    </row>
    <row r="300" ht="43.5" customHeight="1">
      <c r="A300" s="142" t="n">
        <v>50089559000108</v>
      </c>
      <c r="B300" s="75" t="inlineStr">
        <is>
          <t>50.089.559/0001-08</t>
        </is>
      </c>
      <c r="C300" s="75" t="inlineStr">
        <is>
          <t>cedente</t>
        </is>
      </c>
      <c r="D300" s="75" t="inlineStr">
        <is>
          <t>as pessoas jurídicas que detenham parceria comercial com a Agriconnection e tenham limite de crédito aprovado e vigente com o Fundo</t>
        </is>
      </c>
      <c r="E300" s="75" t="inlineStr">
        <is>
          <t>N/D</t>
        </is>
      </c>
      <c r="F300" s="75" t="inlineStr">
        <is>
          <t>rating_report</t>
        </is>
      </c>
      <c r="G300" s="75" t="inlineStr">
        <is>
          <t>882388</t>
        </is>
      </c>
      <c r="H300" s="75" t="inlineStr">
        <is>
          <t>Relatórios Relatório de Agência de Rating</t>
        </is>
      </c>
      <c r="I300" s="75" t="inlineStr">
        <is>
          <t>03/02/2025</t>
        </is>
      </c>
      <c r="J300" s="75" t="inlineStr">
        <is>
          <t>5</t>
        </is>
      </c>
      <c r="K300" s="75" t="inlineStr">
        <is>
          <t>encontrado_explicito</t>
        </is>
      </c>
      <c r="L300" s="144" t="n">
        <v>0.95</v>
      </c>
      <c r="M300" s="75" t="inlineStr">
        <is>
          <t>.cache/carteira_101_document_scan/50089559000108/882388.json.gz</t>
        </is>
      </c>
      <c r="N300" s="75" t="inlineStr">
        <is>
          <t>https://fnet.bmfbovespa.com.br/fnet/publico/downloadDocumento?id=882388</t>
        </is>
      </c>
      <c r="O300" s="75" t="inlineStr">
        <is>
          <t>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t>
        </is>
      </c>
    </row>
    <row r="301" ht="43.5" customHeight="1">
      <c r="A301" s="142" t="n">
        <v>50089559000108</v>
      </c>
      <c r="B301" s="75" t="inlineStr">
        <is>
          <t>50.089.559/0001-08</t>
        </is>
      </c>
      <c r="C301" s="75" t="inlineStr">
        <is>
          <t>cedente</t>
        </is>
      </c>
      <c r="D301" s="75" t="inlineStr">
        <is>
          <t>as pessoas jurídicas que detenham parceria comercial com a Agriconnection e que não tenham limite de crédito aprovado e vigente com o Fundo</t>
        </is>
      </c>
      <c r="E301" s="75" t="inlineStr">
        <is>
          <t>N/D</t>
        </is>
      </c>
      <c r="F301" s="75" t="inlineStr">
        <is>
          <t>rating_report</t>
        </is>
      </c>
      <c r="G301" s="75" t="inlineStr">
        <is>
          <t>882388</t>
        </is>
      </c>
      <c r="H301" s="75" t="inlineStr">
        <is>
          <t>Relatórios Relatório de Agência de Rating</t>
        </is>
      </c>
      <c r="I301" s="75" t="inlineStr">
        <is>
          <t>03/02/2025</t>
        </is>
      </c>
      <c r="J301" s="75" t="inlineStr">
        <is>
          <t>5</t>
        </is>
      </c>
      <c r="K301" s="75" t="inlineStr">
        <is>
          <t>encontrado_explicito</t>
        </is>
      </c>
      <c r="L301" s="144" t="n">
        <v>0.95</v>
      </c>
      <c r="M301" s="75" t="inlineStr">
        <is>
          <t>.cache/carteira_101_document_scan/50089559000108/882388.json.gz</t>
        </is>
      </c>
      <c r="N301" s="75" t="inlineStr">
        <is>
          <t>https://fnet.bmfbovespa.com.br/fnet/publico/downloadDocumento?id=882388</t>
        </is>
      </c>
      <c r="O301" s="75" t="inlineStr">
        <is>
          <t>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t>
        </is>
      </c>
    </row>
    <row r="302" ht="43.5" customHeight="1">
      <c r="A302" s="142" t="n">
        <v>50089559000108</v>
      </c>
      <c r="B302" s="75" t="inlineStr">
        <is>
          <t>50.089.559/0001-08</t>
        </is>
      </c>
      <c r="C302" s="75" t="inlineStr">
        <is>
          <t>cedente</t>
        </is>
      </c>
      <c r="D302" s="75" t="inlineStr">
        <is>
          <t>a Agriconnection e as Empresas do Grupo Econômico da Agriconnection, os Cedentes Parceiros A e os Cedentes Parceiros B quando mencionadas em conjunto</t>
        </is>
      </c>
      <c r="E302" s="75" t="inlineStr">
        <is>
          <t>N/D</t>
        </is>
      </c>
      <c r="F302" s="75" t="inlineStr">
        <is>
          <t>regulamento</t>
        </is>
      </c>
      <c r="G302" s="75" t="inlineStr">
        <is>
          <t>863311</t>
        </is>
      </c>
      <c r="H302" s="75" t="inlineStr">
        <is>
          <t>Regulamento</t>
        </is>
      </c>
      <c r="I302" s="75" t="inlineStr">
        <is>
          <t>21/03/2025</t>
        </is>
      </c>
      <c r="J302" s="75" t="inlineStr">
        <is>
          <t>48</t>
        </is>
      </c>
      <c r="K302" s="75" t="inlineStr">
        <is>
          <t>encontrado_explicito</t>
        </is>
      </c>
      <c r="L302" s="144" t="n">
        <v>0.95</v>
      </c>
      <c r="M302" s="75" t="inlineStr">
        <is>
          <t>.cache/carteira_101_document_scan/50089559000108/863311.json.gz</t>
        </is>
      </c>
      <c r="N302" s="75" t="inlineStr">
        <is>
          <t>https://fnet.bmfbovespa.com.br/fnet/publico/downloadDocumento?id=863311</t>
        </is>
      </c>
      <c r="O302" s="75" t="inlineStr">
        <is>
          <t>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t>
        </is>
      </c>
    </row>
    <row r="303" ht="43.5" customHeight="1">
      <c r="A303" s="142" t="n">
        <v>50089559000108</v>
      </c>
      <c r="B303" s="75" t="inlineStr">
        <is>
          <t>50.089.559/0001-08</t>
        </is>
      </c>
      <c r="C303" s="75" t="inlineStr">
        <is>
          <t>cedente</t>
        </is>
      </c>
      <c r="D303" s="75" t="inlineStr">
        <is>
          <t>as pessoas jurídicas que detenham parceria comercial com a Agriconnection e tenham limite de crédito aprovado e vigente com o Fundo</t>
        </is>
      </c>
      <c r="E303" s="75" t="inlineStr">
        <is>
          <t>N/D</t>
        </is>
      </c>
      <c r="F303" s="75" t="inlineStr">
        <is>
          <t>regulamento</t>
        </is>
      </c>
      <c r="G303" s="75" t="inlineStr">
        <is>
          <t>863311</t>
        </is>
      </c>
      <c r="H303" s="75" t="inlineStr">
        <is>
          <t>Regulamento</t>
        </is>
      </c>
      <c r="I303" s="75" t="inlineStr">
        <is>
          <t>21/03/2025</t>
        </is>
      </c>
      <c r="J303" s="75" t="inlineStr">
        <is>
          <t>48</t>
        </is>
      </c>
      <c r="K303" s="75" t="inlineStr">
        <is>
          <t>encontrado_explicito</t>
        </is>
      </c>
      <c r="L303" s="144" t="n">
        <v>0.95</v>
      </c>
      <c r="M303" s="75" t="inlineStr">
        <is>
          <t>.cache/carteira_101_document_scan/50089559000108/863311.json.gz</t>
        </is>
      </c>
      <c r="N303" s="75" t="inlineStr">
        <is>
          <t>https://fnet.bmfbovespa.com.br/fnet/publico/downloadDocumento?id=863311</t>
        </is>
      </c>
      <c r="O303" s="75" t="inlineStr">
        <is>
          <t>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t>
        </is>
      </c>
    </row>
    <row r="304" ht="43.5" customHeight="1">
      <c r="A304" s="142" t="n">
        <v>50089559000108</v>
      </c>
      <c r="B304" s="75" t="inlineStr">
        <is>
          <t>50.089.559/0001-08</t>
        </is>
      </c>
      <c r="C304" s="75" t="inlineStr">
        <is>
          <t>cedente</t>
        </is>
      </c>
      <c r="D304" s="75" t="inlineStr">
        <is>
          <t>as pessoas jurídicas que detenham parceria comercial com a Agriconnection e que não tenham limite de crédito aprovado e vigente com o Fundo</t>
        </is>
      </c>
      <c r="E304" s="75" t="inlineStr">
        <is>
          <t>N/D</t>
        </is>
      </c>
      <c r="F304" s="75" t="inlineStr">
        <is>
          <t>regulamento</t>
        </is>
      </c>
      <c r="G304" s="75" t="inlineStr">
        <is>
          <t>863311</t>
        </is>
      </c>
      <c r="H304" s="75" t="inlineStr">
        <is>
          <t>Regulamento</t>
        </is>
      </c>
      <c r="I304" s="75" t="inlineStr">
        <is>
          <t>21/03/2025</t>
        </is>
      </c>
      <c r="J304" s="75" t="inlineStr">
        <is>
          <t>48</t>
        </is>
      </c>
      <c r="K304" s="75" t="inlineStr">
        <is>
          <t>encontrado_explicito</t>
        </is>
      </c>
      <c r="L304" s="144" t="n">
        <v>0.95</v>
      </c>
      <c r="M304" s="75" t="inlineStr">
        <is>
          <t>.cache/carteira_101_document_scan/50089559000108/863311.json.gz</t>
        </is>
      </c>
      <c r="N304" s="75" t="inlineStr">
        <is>
          <t>https://fnet.bmfbovespa.com.br/fnet/publico/downloadDocumento?id=863311</t>
        </is>
      </c>
      <c r="O304" s="75" t="inlineStr">
        <is>
          <t>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t>
        </is>
      </c>
    </row>
    <row r="305" ht="43.5" customHeight="1">
      <c r="A305" s="142" t="n">
        <v>50089559000108</v>
      </c>
      <c r="B305" s="75" t="inlineStr">
        <is>
          <t>50.089.559/0001-08</t>
        </is>
      </c>
      <c r="C305" s="75" t="inlineStr">
        <is>
          <t>cedente</t>
        </is>
      </c>
      <c r="D305" s="75" t="inlineStr">
        <is>
          <t>a Agriconnection</t>
        </is>
      </c>
      <c r="E305" s="75" t="inlineStr">
        <is>
          <t>N/D</t>
        </is>
      </c>
      <c r="F305" s="75" t="inlineStr">
        <is>
          <t>regulamento</t>
        </is>
      </c>
      <c r="G305" s="75" t="inlineStr">
        <is>
          <t>999633</t>
        </is>
      </c>
      <c r="H305" s="75" t="inlineStr">
        <is>
          <t>Regulamento</t>
        </is>
      </c>
      <c r="I305" s="75" t="inlineStr">
        <is>
          <t>26/09/2025</t>
        </is>
      </c>
      <c r="J305" s="75" t="inlineStr">
        <is>
          <t>44</t>
        </is>
      </c>
      <c r="K305" s="75" t="inlineStr">
        <is>
          <t>encontrado_explicito</t>
        </is>
      </c>
      <c r="L305" s="144" t="n">
        <v>0.95</v>
      </c>
      <c r="M305" s="75" t="inlineStr">
        <is>
          <t>.cache/carteira_101_document_scan/50089559000108/999633.json.gz</t>
        </is>
      </c>
      <c r="N305" s="75" t="inlineStr">
        <is>
          <t>https://fnet.bmfbovespa.com.br/fnet/publico/downloadDocumento?id=999633</t>
        </is>
      </c>
      <c r="O305" s="75" t="inlineStr">
        <is>
          <t>na Cidade de Campo Verde, Estado do Mato Grosso, na Av. Manoel Genildo de Araújo, nº 188, Sala 02, Campo Real II. “Cedentes” significa a Agriconnection. “Chamada de Capital” significa a chamada para integralização realizada pela Administradora, sob a orientação d</t>
        </is>
      </c>
    </row>
    <row r="306" ht="43.5" customHeight="1">
      <c r="A306" s="142" t="n">
        <v>50089559000108</v>
      </c>
      <c r="B306" s="75" t="inlineStr">
        <is>
          <t>50.089.559/0001-08</t>
        </is>
      </c>
      <c r="C306" s="75" t="inlineStr">
        <is>
          <t>cedente</t>
        </is>
      </c>
      <c r="D306" s="75" t="inlineStr">
        <is>
          <t>a Agriconnection e, as Empresas do Grupo Econômico da Agriconnection, os Cedentes Parceiros A e os Cedentes Parceiros B quando mencionados em conjunto</t>
        </is>
      </c>
      <c r="E306" s="75" t="inlineStr">
        <is>
          <t>N/D</t>
        </is>
      </c>
      <c r="F306" s="75" t="inlineStr">
        <is>
          <t>assembleia</t>
        </is>
      </c>
      <c r="G306" s="75" t="inlineStr">
        <is>
          <t>789349</t>
        </is>
      </c>
      <c r="H306" s="75" t="inlineStr">
        <is>
          <t>Assembleia AGE Ata da Assembleia</t>
        </is>
      </c>
      <c r="I306" s="75" t="inlineStr">
        <is>
          <t>27/11/2024 11:00</t>
        </is>
      </c>
      <c r="J306" s="75" t="inlineStr">
        <is>
          <t>1</t>
        </is>
      </c>
      <c r="K306" s="75" t="inlineStr">
        <is>
          <t>encontrado_explicito</t>
        </is>
      </c>
      <c r="L306" s="144" t="n">
        <v>0.95</v>
      </c>
      <c r="M306" s="75" t="inlineStr">
        <is>
          <t>.cache/carteira_101_document_scan/50089559000108/789349.json.gz</t>
        </is>
      </c>
      <c r="N306" s="75" t="inlineStr">
        <is>
          <t>https://fnet.bmfbovespa.com.br/fnet/publico/downloadDocumento?id=789349</t>
        </is>
      </c>
      <c r="O306" s="75" t="inlineStr">
        <is>
          <t>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t>
        </is>
      </c>
    </row>
    <row r="307" ht="43.5" customHeight="1">
      <c r="A307" s="142" t="n">
        <v>50089559000108</v>
      </c>
      <c r="B307" s="75" t="inlineStr">
        <is>
          <t>50.089.559/0001-08</t>
        </is>
      </c>
      <c r="C307" s="75" t="inlineStr">
        <is>
          <t>cedente</t>
        </is>
      </c>
      <c r="D307" s="75" t="inlineStr">
        <is>
          <t>Agriconnection</t>
        </is>
      </c>
      <c r="E307" s="75" t="inlineStr">
        <is>
          <t>N/D</t>
        </is>
      </c>
      <c r="F307" s="75" t="inlineStr">
        <is>
          <t>planilha_manual</t>
        </is>
      </c>
      <c r="G307" s="75" t="inlineStr">
        <is>
          <t>IMG_8704.JPG</t>
        </is>
      </c>
      <c r="H307" s="75" t="inlineStr">
        <is>
          <t>payload</t>
        </is>
      </c>
      <c r="I307" s="75" t="inlineStr">
        <is>
          <t>2025-09-26</t>
        </is>
      </c>
      <c r="J307" s="75" t="inlineStr">
        <is>
          <t>52</t>
        </is>
      </c>
      <c r="K307" s="75" t="inlineStr">
        <is>
          <t>aceito_payload</t>
        </is>
      </c>
      <c r="L307" s="144" t="n">
        <v>1</v>
      </c>
      <c r="M307" s="75" t="inlineStr">
        <is>
          <t>data/industry_study/generated_revision/artifact_payload.json</t>
        </is>
      </c>
      <c r="N307" s="75" t="inlineStr">
        <is>
          <t>N/D</t>
        </is>
      </c>
      <c r="O307" s="75" t="inlineStr">
        <is>
          <t>N/D</t>
        </is>
      </c>
    </row>
    <row r="308" ht="43.5" customHeight="1">
      <c r="A308" s="142" t="n">
        <v>50089559000108</v>
      </c>
      <c r="B308" s="75" t="inlineStr">
        <is>
          <t>50.089.559/0001-08</t>
        </is>
      </c>
      <c r="C308" s="75" t="inlineStr">
        <is>
          <t>minimo_junior</t>
        </is>
      </c>
      <c r="D308" s="75" t="inlineStr">
        <is>
          <t>15%</t>
        </is>
      </c>
      <c r="E308" s="75" t="inlineStr">
        <is>
          <t>junior_pl</t>
        </is>
      </c>
      <c r="F308" s="75" t="inlineStr">
        <is>
          <t>payload_documental</t>
        </is>
      </c>
      <c r="G308" s="75" t="inlineStr">
        <is>
          <t>999633</t>
        </is>
      </c>
      <c r="H308" s="75" t="inlineStr">
        <is>
          <t>documento_curado</t>
        </is>
      </c>
      <c r="I308" s="75" t="inlineStr">
        <is>
          <t>2025-09-26</t>
        </is>
      </c>
      <c r="J308" s="75" t="inlineStr">
        <is>
          <t>52</t>
        </is>
      </c>
      <c r="K308" s="75" t="inlineStr">
        <is>
          <t>aceito_payload</t>
        </is>
      </c>
      <c r="L308" s="144" t="n">
        <v>1</v>
      </c>
      <c r="M308" s="75" t="inlineStr">
        <is>
          <t>data/industry_study/generated_revision/artifact_payload.json</t>
        </is>
      </c>
      <c r="N308" s="75" t="inlineStr">
        <is>
          <t>https://fnet.bmfbovespa.com.br/fnet/publico/downloadDocumento?id=999633</t>
        </is>
      </c>
      <c r="O308" s="75" t="inlineStr">
        <is>
          <t>Índice de Subordinação Júnior: cotas júnior / PL, mínimo de 15,0%.</t>
        </is>
      </c>
    </row>
    <row r="309" ht="43.5" customHeight="1">
      <c r="A309" s="142" t="n">
        <v>50089559000108</v>
      </c>
      <c r="B309" s="75" t="inlineStr">
        <is>
          <t>50.089.559/0001-08</t>
        </is>
      </c>
      <c r="C309" s="75" t="inlineStr">
        <is>
          <t>natureza_indice</t>
        </is>
      </c>
      <c r="D309" s="75" t="inlineStr">
        <is>
          <t>junior_pl</t>
        </is>
      </c>
      <c r="E309" s="75" t="inlineStr">
        <is>
          <t>junior_pl</t>
        </is>
      </c>
      <c r="F309" s="75" t="inlineStr">
        <is>
          <t>payload_documental</t>
        </is>
      </c>
      <c r="G309" s="75" t="inlineStr">
        <is>
          <t>999633</t>
        </is>
      </c>
      <c r="H309" s="75" t="inlineStr">
        <is>
          <t>documento_curado</t>
        </is>
      </c>
      <c r="I309" s="75" t="inlineStr">
        <is>
          <t>2025-09-26</t>
        </is>
      </c>
      <c r="J309" s="75" t="inlineStr">
        <is>
          <t>52</t>
        </is>
      </c>
      <c r="K309" s="75" t="inlineStr">
        <is>
          <t>aceito_payload</t>
        </is>
      </c>
      <c r="L309" s="144" t="n">
        <v>1</v>
      </c>
      <c r="M309" s="75" t="inlineStr">
        <is>
          <t>data/industry_study/generated_revision/artifact_payload.json</t>
        </is>
      </c>
      <c r="N309" s="75" t="inlineStr">
        <is>
          <t>https://fnet.bmfbovespa.com.br/fnet/publico/downloadDocumento?id=999633</t>
        </is>
      </c>
      <c r="O309" s="75" t="inlineStr">
        <is>
          <t>Índice de Subordinação Júnior: cotas júnior / PL, mínimo de 15,0%.</t>
        </is>
      </c>
    </row>
    <row r="310" ht="43.5" customHeight="1">
      <c r="A310" s="142" t="n">
        <v>50089559000108</v>
      </c>
      <c r="B310" s="75" t="inlineStr">
        <is>
          <t>50.089.559/0001-08</t>
        </is>
      </c>
      <c r="C310" s="75" t="inlineStr">
        <is>
          <t>sacado_devedor</t>
        </is>
      </c>
      <c r="D310" s="75" t="inlineStr">
        <is>
          <t>os devedores dos Direitos Creditórios, os quais são clientes de uma das Cedentes</t>
        </is>
      </c>
      <c r="E310" s="75" t="inlineStr">
        <is>
          <t>N/D</t>
        </is>
      </c>
      <c r="F310" s="75" t="inlineStr">
        <is>
          <t>regulamento</t>
        </is>
      </c>
      <c r="G310" s="75" t="inlineStr">
        <is>
          <t>863311</t>
        </is>
      </c>
      <c r="H310" s="75" t="inlineStr">
        <is>
          <t>Regulamento</t>
        </is>
      </c>
      <c r="I310" s="75" t="inlineStr">
        <is>
          <t>21/03/2025</t>
        </is>
      </c>
      <c r="J310" s="75" t="inlineStr">
        <is>
          <t>51</t>
        </is>
      </c>
      <c r="K310" s="75" t="inlineStr">
        <is>
          <t>encontrado_explicito</t>
        </is>
      </c>
      <c r="L310" s="144" t="n">
        <v>0.95</v>
      </c>
      <c r="M310" s="75" t="inlineStr">
        <is>
          <t>.cache/carteira_101_document_scan/50089559000108/863311.json.gz</t>
        </is>
      </c>
      <c r="N310" s="75" t="inlineStr">
        <is>
          <t>https://fnet.bmfbovespa.com.br/fnet/publico/downloadDocumento?id=863311</t>
        </is>
      </c>
      <c r="O310"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1" ht="43.5" customHeight="1">
      <c r="A311" s="142" t="n">
        <v>50089559000108</v>
      </c>
      <c r="B311" s="75" t="inlineStr">
        <is>
          <t>50.089.559/0001-08</t>
        </is>
      </c>
      <c r="C311" s="75" t="inlineStr">
        <is>
          <t>sacado_devedor</t>
        </is>
      </c>
      <c r="D311" s="75" t="inlineStr">
        <is>
          <t>os devedores dos Direitos Creditórios, os quais são clientes de uma das Cedentes</t>
        </is>
      </c>
      <c r="E311" s="75" t="inlineStr">
        <is>
          <t>N/D</t>
        </is>
      </c>
      <c r="F311" s="75" t="inlineStr">
        <is>
          <t>regulamento</t>
        </is>
      </c>
      <c r="G311" s="75" t="inlineStr">
        <is>
          <t>999633</t>
        </is>
      </c>
      <c r="H311" s="75" t="inlineStr">
        <is>
          <t>Regulamento</t>
        </is>
      </c>
      <c r="I311" s="75" t="inlineStr">
        <is>
          <t>26/09/2025</t>
        </is>
      </c>
      <c r="J311" s="75" t="inlineStr">
        <is>
          <t>47</t>
        </is>
      </c>
      <c r="K311" s="75" t="inlineStr">
        <is>
          <t>encontrado_explicito</t>
        </is>
      </c>
      <c r="L311" s="144" t="n">
        <v>0.95</v>
      </c>
      <c r="M311" s="75" t="inlineStr">
        <is>
          <t>.cache/carteira_101_document_scan/50089559000108/999633.json.gz</t>
        </is>
      </c>
      <c r="N311" s="75" t="inlineStr">
        <is>
          <t>https://fnet.bmfbovespa.com.br/fnet/publico/downloadDocumento?id=999633</t>
        </is>
      </c>
      <c r="O311"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2" ht="43.5" customHeight="1">
      <c r="A312" s="142" t="n">
        <v>50089559000108</v>
      </c>
      <c r="B312" s="75" t="inlineStr">
        <is>
          <t>50.089.559/0001-08</t>
        </is>
      </c>
      <c r="C312" s="75" t="inlineStr">
        <is>
          <t>tipo_recebivel</t>
        </is>
      </c>
      <c r="D312" s="75" t="inlineStr">
        <is>
          <t>Insumos Agrícolas - prazo Safra</t>
        </is>
      </c>
      <c r="E312" s="75" t="inlineStr">
        <is>
          <t>N/D</t>
        </is>
      </c>
      <c r="F312" s="75" t="inlineStr">
        <is>
          <t>planilha_manual</t>
        </is>
      </c>
      <c r="G312" s="75" t="inlineStr">
        <is>
          <t>IMG_8704.JPG</t>
        </is>
      </c>
      <c r="H312" s="75" t="inlineStr">
        <is>
          <t>payload</t>
        </is>
      </c>
      <c r="I312" s="75" t="inlineStr">
        <is>
          <t>2025-09-26</t>
        </is>
      </c>
      <c r="J312" s="75" t="inlineStr">
        <is>
          <t>52</t>
        </is>
      </c>
      <c r="K312" s="75" t="inlineStr">
        <is>
          <t>aceito_payload</t>
        </is>
      </c>
      <c r="L312" s="144" t="n">
        <v>1</v>
      </c>
      <c r="M312" s="75" t="inlineStr">
        <is>
          <t>data/industry_study/generated_revision/artifact_payload.json</t>
        </is>
      </c>
      <c r="N312" s="75" t="inlineStr">
        <is>
          <t>N/D</t>
        </is>
      </c>
      <c r="O312" s="75" t="inlineStr">
        <is>
          <t>N/D</t>
        </is>
      </c>
    </row>
    <row r="313" ht="43.5" customHeight="1">
      <c r="A313" s="142" t="n">
        <v>50098465000103</v>
      </c>
      <c r="B313" s="75" t="inlineStr">
        <is>
          <t>50.098.465/0001-03</t>
        </is>
      </c>
      <c r="C313" s="75" t="inlineStr">
        <is>
          <t>cedente</t>
        </is>
      </c>
      <c r="D313" s="75" t="inlineStr">
        <is>
          <t>Braskem</t>
        </is>
      </c>
      <c r="E313" s="75" t="inlineStr">
        <is>
          <t>N/D</t>
        </is>
      </c>
      <c r="F313" s="75" t="inlineStr">
        <is>
          <t>planilha_manual</t>
        </is>
      </c>
      <c r="G313" s="75" t="inlineStr">
        <is>
          <t>IMG_8704.JPG</t>
        </is>
      </c>
      <c r="H313" s="75" t="inlineStr">
        <is>
          <t>payload</t>
        </is>
      </c>
      <c r="I313" s="75" t="inlineStr">
        <is>
          <t>2024-07-01</t>
        </is>
      </c>
      <c r="J313" s="75" t="inlineStr">
        <is>
          <t>15</t>
        </is>
      </c>
      <c r="K313" s="75" t="inlineStr">
        <is>
          <t>aceito_payload</t>
        </is>
      </c>
      <c r="L313" s="144" t="n">
        <v>1</v>
      </c>
      <c r="M313" s="75" t="inlineStr">
        <is>
          <t>data/industry_study/generated_revision/artifact_payload.json</t>
        </is>
      </c>
      <c r="N313" s="75" t="inlineStr">
        <is>
          <t>N/D</t>
        </is>
      </c>
      <c r="O313" s="75" t="inlineStr">
        <is>
          <t>OBS da foto: baixo nível de inadimplência (0% Over90 nos últimos meses). Denominação cortada.</t>
        </is>
      </c>
    </row>
    <row r="314" ht="43.5" customHeight="1">
      <c r="A314" s="142" t="n">
        <v>50098465000103</v>
      </c>
      <c r="B314" s="75" t="inlineStr">
        <is>
          <t>50.098.465/0001-03</t>
        </is>
      </c>
      <c r="C314" s="75" t="inlineStr">
        <is>
          <t>minimo_estrutural_total</t>
        </is>
      </c>
      <c r="D314" s="75" t="inlineStr">
        <is>
          <t>9.2%</t>
        </is>
      </c>
      <c r="E314" s="75" t="inlineStr">
        <is>
          <t>suporte_combinado_pl</t>
        </is>
      </c>
      <c r="F314" s="75" t="inlineStr">
        <is>
          <t>payload_documental</t>
        </is>
      </c>
      <c r="G314" s="75" t="inlineStr">
        <is>
          <t>690567</t>
        </is>
      </c>
      <c r="H314" s="75" t="inlineStr">
        <is>
          <t>documento_curado</t>
        </is>
      </c>
      <c r="I314" s="75" t="inlineStr">
        <is>
          <t>2024-07-01</t>
        </is>
      </c>
      <c r="J314" s="75" t="inlineStr">
        <is>
          <t>15</t>
        </is>
      </c>
      <c r="K314" s="75" t="inlineStr">
        <is>
          <t>aceito_payload</t>
        </is>
      </c>
      <c r="L314" s="144" t="n">
        <v>1</v>
      </c>
      <c r="M314" s="75" t="inlineStr">
        <is>
          <t>data/industry_study/generated_revision/artifact_payload.json</t>
        </is>
      </c>
      <c r="N314" s="75" t="inlineStr">
        <is>
          <t>https://fnet.bmfbovespa.com.br/fnet/publico/downloadDocumento?id=690567</t>
        </is>
      </c>
      <c r="O314" s="75" t="inlineStr">
        <is>
          <t>N/D</t>
        </is>
      </c>
    </row>
    <row r="315" ht="43.5" customHeight="1">
      <c r="A315" s="142" t="n">
        <v>50098465000103</v>
      </c>
      <c r="B315" s="75" t="inlineStr">
        <is>
          <t>50.098.465/0001-03</t>
        </is>
      </c>
      <c r="C315" s="75" t="inlineStr">
        <is>
          <t>natureza_indice</t>
        </is>
      </c>
      <c r="D315" s="75" t="inlineStr">
        <is>
          <t>suporte_combinado_pl</t>
        </is>
      </c>
      <c r="E315" s="75" t="inlineStr">
        <is>
          <t>suporte_combinado_pl</t>
        </is>
      </c>
      <c r="F315" s="75" t="inlineStr">
        <is>
          <t>payload_documental</t>
        </is>
      </c>
      <c r="G315" s="75" t="inlineStr">
        <is>
          <t>690567</t>
        </is>
      </c>
      <c r="H315" s="75" t="inlineStr">
        <is>
          <t>documento_curado</t>
        </is>
      </c>
      <c r="I315" s="75" t="inlineStr">
        <is>
          <t>2024-07-01</t>
        </is>
      </c>
      <c r="J315" s="75" t="inlineStr">
        <is>
          <t>15</t>
        </is>
      </c>
      <c r="K315" s="75" t="inlineStr">
        <is>
          <t>aceito_payload</t>
        </is>
      </c>
      <c r="L315" s="144" t="n">
        <v>1</v>
      </c>
      <c r="M315" s="75" t="inlineStr">
        <is>
          <t>data/industry_study/generated_revision/artifact_payload.json</t>
        </is>
      </c>
      <c r="N315" s="75" t="inlineStr">
        <is>
          <t>https://fnet.bmfbovespa.com.br/fnet/publico/downloadDocumento?id=690567</t>
        </is>
      </c>
      <c r="O315" s="75" t="inlineStr">
        <is>
          <t>N/D</t>
        </is>
      </c>
    </row>
    <row r="316" ht="43.5" customHeight="1">
      <c r="A316" s="142" t="n">
        <v>50098465000103</v>
      </c>
      <c r="B316" s="75" t="inlineStr">
        <is>
          <t>50.098.465/0001-03</t>
        </is>
      </c>
      <c r="C316" s="75" t="inlineStr">
        <is>
          <t>originador</t>
        </is>
      </c>
      <c r="D316" s="75" t="inlineStr">
        <is>
          <t>BRASKEM S .A.</t>
        </is>
      </c>
      <c r="E316" s="75" t="inlineStr">
        <is>
          <t>rótulo explícito de participante v2</t>
        </is>
      </c>
      <c r="F316" s="75" t="inlineStr">
        <is>
          <t>rating_report</t>
        </is>
      </c>
      <c r="G316" s="75" t="inlineStr">
        <is>
          <t>963056</t>
        </is>
      </c>
      <c r="H316" s="75" t="inlineStr">
        <is>
          <t>Relatórios Relatório de Agência de Rating</t>
        </is>
      </c>
      <c r="I316" s="75" t="inlineStr">
        <is>
          <t>30/06/2025</t>
        </is>
      </c>
      <c r="J316" s="75" t="inlineStr">
        <is>
          <t>1</t>
        </is>
      </c>
      <c r="K316" s="75" t="inlineStr">
        <is>
          <t>encontrado_explicito</t>
        </is>
      </c>
      <c r="L316" s="144" t="n">
        <v>0.93</v>
      </c>
      <c r="M316" s="75" t="inlineStr">
        <is>
          <t>.cache/carteira_101_document_scan/50098465000103/963056.json.gz</t>
        </is>
      </c>
      <c r="N316" s="75" t="inlineStr">
        <is>
          <t>https://fnet.bmfbovespa.com.br/fnet/publico/downloadDocumento?id=963056</t>
        </is>
      </c>
      <c r="O316" s="75" t="inlineStr">
        <is>
          <t>uados pelos sacados diretamente na conta da operação. Participantes da Operação Originador BRASKEM S .A. Gestor BANCO BRADESCO S .A. Administrador BEM - DISTRIBUIDORA DE TITULOS E VALO</t>
        </is>
      </c>
    </row>
    <row r="317" ht="43.5" customHeight="1">
      <c r="A317" s="142" t="n">
        <v>50098465000103</v>
      </c>
      <c r="B317" s="75" t="inlineStr">
        <is>
          <t>50.098.465/0001-03</t>
        </is>
      </c>
      <c r="C317" s="75" t="inlineStr">
        <is>
          <t>originador</t>
        </is>
      </c>
      <c r="D317" s="75" t="inlineStr">
        <is>
          <t>Braskem S .A.</t>
        </is>
      </c>
      <c r="E317" s="75" t="inlineStr">
        <is>
          <t>rótulo explícito de participante v2</t>
        </is>
      </c>
      <c r="F317" s="75" t="inlineStr">
        <is>
          <t>rating_report</t>
        </is>
      </c>
      <c r="G317" s="75" t="inlineStr">
        <is>
          <t>903310</t>
        </is>
      </c>
      <c r="H317" s="75" t="inlineStr">
        <is>
          <t>Relatórios Relatório de Agência de Rating</t>
        </is>
      </c>
      <c r="I317" s="75" t="inlineStr">
        <is>
          <t>31/03/2025</t>
        </is>
      </c>
      <c r="J317" s="75" t="inlineStr">
        <is>
          <t>1</t>
        </is>
      </c>
      <c r="K317" s="75" t="inlineStr">
        <is>
          <t>encontrado_explicito</t>
        </is>
      </c>
      <c r="L317" s="144" t="n">
        <v>0.93</v>
      </c>
      <c r="M317" s="75" t="inlineStr">
        <is>
          <t>.cache/carteira_101_document_scan/50098465000103/903310.json.gz</t>
        </is>
      </c>
      <c r="N317" s="75" t="inlineStr">
        <is>
          <t>https://fnet.bmfbovespa.com.br/fnet/publico/downloadDocumento?id=903310</t>
        </is>
      </c>
      <c r="O317" s="75" t="inlineStr">
        <is>
          <t>uados pelos sacados diretamente na conta da operação. Participantes da Operação Originador Braskem S .A. Gestor Bram - Bradesco Asset Management S .A. DTVM Administrador Bem Distribuid</t>
        </is>
      </c>
    </row>
    <row r="318" ht="43.5" customHeight="1">
      <c r="A318" s="142" t="n">
        <v>50473039000102</v>
      </c>
      <c r="B318" s="75" t="inlineStr">
        <is>
          <t>50.473.039/0001-02</t>
        </is>
      </c>
      <c r="C318" s="75" t="inlineStr">
        <is>
          <t>cedente</t>
        </is>
      </c>
      <c r="D318"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8" s="75" t="inlineStr">
        <is>
          <t>N/D</t>
        </is>
      </c>
      <c r="F318" s="75" t="inlineStr">
        <is>
          <t>regulamento</t>
        </is>
      </c>
      <c r="G318" s="75" t="inlineStr">
        <is>
          <t>909547</t>
        </is>
      </c>
      <c r="H318" s="75" t="inlineStr">
        <is>
          <t>regulamento</t>
        </is>
      </c>
      <c r="I318" s="75" t="inlineStr">
        <is>
          <t>2025-05-19</t>
        </is>
      </c>
      <c r="J318" s="75" t="inlineStr">
        <is>
          <t>35</t>
        </is>
      </c>
      <c r="K318" s="75" t="inlineStr">
        <is>
          <t>encontrado_explicito</t>
        </is>
      </c>
      <c r="L318" s="144" t="n">
        <v>0.95</v>
      </c>
      <c r="M318" s="75" t="inlineStr">
        <is>
          <t>data/raw/50473039000102/909547_regulamento_regulamento_909547_2025-05-19_2025-05-19.pdf</t>
        </is>
      </c>
      <c r="N318" s="75" t="inlineStr">
        <is>
          <t>https://fnet.bmfbovespa.com.br/fnet/publico/downloadDocumento?id=909547</t>
        </is>
      </c>
      <c r="O318"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19" ht="43.5" customHeight="1">
      <c r="A319" s="142" t="n">
        <v>50473039000102</v>
      </c>
      <c r="B319" s="75" t="inlineStr">
        <is>
          <t>50.473.039/0001-02</t>
        </is>
      </c>
      <c r="C319" s="75" t="inlineStr">
        <is>
          <t>cedente</t>
        </is>
      </c>
      <c r="D319"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9" s="75" t="inlineStr">
        <is>
          <t>N/D</t>
        </is>
      </c>
      <c r="F319" s="75" t="inlineStr">
        <is>
          <t>regulamento</t>
        </is>
      </c>
      <c r="G319" s="75" t="inlineStr">
        <is>
          <t>790777</t>
        </is>
      </c>
      <c r="H319" s="75" t="inlineStr">
        <is>
          <t>Regulamento</t>
        </is>
      </c>
      <c r="I319" s="75" t="inlineStr">
        <is>
          <t>28/11/2024</t>
        </is>
      </c>
      <c r="J319" s="75" t="inlineStr">
        <is>
          <t>35</t>
        </is>
      </c>
      <c r="K319" s="75" t="inlineStr">
        <is>
          <t>encontrado_explicito</t>
        </is>
      </c>
      <c r="L319" s="144" t="n">
        <v>0.95</v>
      </c>
      <c r="M319" s="75" t="inlineStr">
        <is>
          <t>.cache/carteira_101_document_scan/50473039000102/790777.json.gz</t>
        </is>
      </c>
      <c r="N319" s="75" t="inlineStr">
        <is>
          <t>https://fnet.bmfbovespa.com.br/fnet/publico/downloadDocumento?id=790777</t>
        </is>
      </c>
      <c r="O319"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t>
        </is>
      </c>
    </row>
    <row r="320" ht="43.5" customHeight="1">
      <c r="A320" s="142" t="n">
        <v>50473039000102</v>
      </c>
      <c r="B320" s="75" t="inlineStr">
        <is>
          <t>50.473.039/0001-02</t>
        </is>
      </c>
      <c r="C320" s="75" t="inlineStr">
        <is>
          <t>cedente</t>
        </is>
      </c>
      <c r="D320"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20" s="75" t="inlineStr">
        <is>
          <t>N/D</t>
        </is>
      </c>
      <c r="F320" s="75" t="inlineStr">
        <is>
          <t>regulamento</t>
        </is>
      </c>
      <c r="G320" s="75" t="inlineStr">
        <is>
          <t>50473039000102</t>
        </is>
      </c>
      <c r="H320" s="75" t="inlineStr">
        <is>
          <t>regulamento</t>
        </is>
      </c>
      <c r="I320" s="75" t="inlineStr">
        <is>
          <t>N/D</t>
        </is>
      </c>
      <c r="J320" s="75" t="inlineStr">
        <is>
          <t>1</t>
        </is>
      </c>
      <c r="K320" s="75" t="inlineStr">
        <is>
          <t>encontrado_explicito</t>
        </is>
      </c>
      <c r="L320" s="144" t="n">
        <v>0.95</v>
      </c>
      <c r="M320" s="75" t="inlineStr">
        <is>
          <t>outputs/fidc_director_deep_diagnostic_20260609/pdf_text_cache/50473039000102_909547_regulamento_regulamento_909547_2025-05-19.txt</t>
        </is>
      </c>
      <c r="N320" s="75" t="inlineStr">
        <is>
          <t>https://fnet.bmfbovespa.com.br/fnet/publico/downloadDocumento?id=50473039000102</t>
        </is>
      </c>
      <c r="O320"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21" ht="43.5" customHeight="1">
      <c r="A321" s="142" t="n">
        <v>50473039000102</v>
      </c>
      <c r="B321" s="75" t="inlineStr">
        <is>
          <t>50.473.039/0001-02</t>
        </is>
      </c>
      <c r="C321" s="75" t="inlineStr">
        <is>
          <t>cedente</t>
        </is>
      </c>
      <c r="D321" s="75" t="inlineStr">
        <is>
          <t>Mercado Livre</t>
        </is>
      </c>
      <c r="E321" s="75" t="inlineStr">
        <is>
          <t>N/D</t>
        </is>
      </c>
      <c r="F321" s="75" t="inlineStr">
        <is>
          <t>planilha_manual</t>
        </is>
      </c>
      <c r="G321" s="75" t="inlineStr">
        <is>
          <t>IMG_8706.JPG</t>
        </is>
      </c>
      <c r="H321" s="75" t="inlineStr">
        <is>
          <t>payload</t>
        </is>
      </c>
      <c r="I321" s="75" t="inlineStr">
        <is>
          <t>2025-05-19</t>
        </is>
      </c>
      <c r="J321" s="75" t="inlineStr">
        <is>
          <t>99</t>
        </is>
      </c>
      <c r="K321" s="75" t="inlineStr">
        <is>
          <t>aceito_payload</t>
        </is>
      </c>
      <c r="L321" s="144" t="n">
        <v>1</v>
      </c>
      <c r="M321" s="75" t="inlineStr">
        <is>
          <t>data/industry_study/generated_revision/artifact_payload.json</t>
        </is>
      </c>
      <c r="N321" s="75" t="inlineStr">
        <is>
          <t>N/D</t>
        </is>
      </c>
      <c r="O321" s="75" t="inlineStr">
        <is>
          <t>Denominação cortada pela largura da coluna na foto.</t>
        </is>
      </c>
    </row>
    <row r="322" ht="43.5" customHeight="1">
      <c r="A322" s="142" t="n">
        <v>50473039000102</v>
      </c>
      <c r="B322" s="75" t="inlineStr">
        <is>
          <t>50.473.039/0001-02</t>
        </is>
      </c>
      <c r="C322" s="75" t="inlineStr">
        <is>
          <t>minimo_junior</t>
        </is>
      </c>
      <c r="D322" s="75" t="inlineStr">
        <is>
          <t>10%</t>
        </is>
      </c>
      <c r="E322" s="75" t="inlineStr">
        <is>
          <t>junior_pl</t>
        </is>
      </c>
      <c r="F322" s="75" t="inlineStr">
        <is>
          <t>payload_documental</t>
        </is>
      </c>
      <c r="G322" s="75" t="inlineStr">
        <is>
          <t>909547</t>
        </is>
      </c>
      <c r="H322" s="75" t="inlineStr">
        <is>
          <t>documento_curado</t>
        </is>
      </c>
      <c r="I322" s="75" t="inlineStr">
        <is>
          <t>2025-05-19</t>
        </is>
      </c>
      <c r="J322" s="75" t="inlineStr">
        <is>
          <t>99</t>
        </is>
      </c>
      <c r="K322" s="75" t="inlineStr">
        <is>
          <t>aceito_payload</t>
        </is>
      </c>
      <c r="L322" s="144" t="n">
        <v>1</v>
      </c>
      <c r="M322" s="75" t="inlineStr">
        <is>
          <t>data/industry_study/generated_revision/artifact_payload.json</t>
        </is>
      </c>
      <c r="N322" s="75" t="inlineStr">
        <is>
          <t>https://fnet.bmfbovespa.com.br/fnet/publico/downloadDocumento?id=909547</t>
        </is>
      </c>
      <c r="O322" s="75" t="inlineStr">
        <is>
          <t>Totalidade das cotas júnior / PL, mínimo de 10,0%.</t>
        </is>
      </c>
    </row>
    <row r="323" ht="43.5" customHeight="1">
      <c r="A323" s="142" t="n">
        <v>50473039000102</v>
      </c>
      <c r="B323" s="75" t="inlineStr">
        <is>
          <t>50.473.039/0001-02</t>
        </is>
      </c>
      <c r="C323" s="75" t="inlineStr">
        <is>
          <t>natureza_indice</t>
        </is>
      </c>
      <c r="D323" s="75" t="inlineStr">
        <is>
          <t>junior_pl</t>
        </is>
      </c>
      <c r="E323" s="75" t="inlineStr">
        <is>
          <t>junior_pl</t>
        </is>
      </c>
      <c r="F323" s="75" t="inlineStr">
        <is>
          <t>payload_documental</t>
        </is>
      </c>
      <c r="G323" s="75" t="inlineStr">
        <is>
          <t>909547</t>
        </is>
      </c>
      <c r="H323" s="75" t="inlineStr">
        <is>
          <t>documento_curado</t>
        </is>
      </c>
      <c r="I323" s="75" t="inlineStr">
        <is>
          <t>2025-05-19</t>
        </is>
      </c>
      <c r="J323" s="75" t="inlineStr">
        <is>
          <t>99</t>
        </is>
      </c>
      <c r="K323" s="75" t="inlineStr">
        <is>
          <t>aceito_payload</t>
        </is>
      </c>
      <c r="L323" s="144" t="n">
        <v>1</v>
      </c>
      <c r="M323" s="75" t="inlineStr">
        <is>
          <t>data/industry_study/generated_revision/artifact_payload.json</t>
        </is>
      </c>
      <c r="N323" s="75" t="inlineStr">
        <is>
          <t>https://fnet.bmfbovespa.com.br/fnet/publico/downloadDocumento?id=909547</t>
        </is>
      </c>
      <c r="O323" s="75" t="inlineStr">
        <is>
          <t>Totalidade das cotas júnior / PL, mínimo de 10,0%.</t>
        </is>
      </c>
    </row>
    <row r="324" ht="43.5" customHeight="1">
      <c r="A324" s="142" t="n">
        <v>50473039000102</v>
      </c>
      <c r="B324" s="75" t="inlineStr">
        <is>
          <t>50.473.039/0001-02</t>
        </is>
      </c>
      <c r="C324" s="75" t="inlineStr">
        <is>
          <t>sacado_devedor</t>
        </is>
      </c>
      <c r="D324" s="75" t="inlineStr">
        <is>
          <t>o MERCADO PAGO INSTITUIÇÃO DE PAGAMENTO LTDA., sociedade limitada, com sede na Avenida das Nações Unidas, nº 3.003, Parte E, Bonfim, no Município de Osasco, Estado de São Paulo, CEP 06.233-903, inscrita no CNPJ sob o nº 10.573.521/0001-91</t>
        </is>
      </c>
      <c r="E324" s="75" t="inlineStr">
        <is>
          <t>N/D</t>
        </is>
      </c>
      <c r="F324" s="75" t="inlineStr">
        <is>
          <t>regulamento</t>
        </is>
      </c>
      <c r="G324" s="75" t="inlineStr">
        <is>
          <t>909547</t>
        </is>
      </c>
      <c r="H324" s="75" t="inlineStr">
        <is>
          <t>regulamento</t>
        </is>
      </c>
      <c r="I324" s="75" t="inlineStr">
        <is>
          <t>2025-05-19</t>
        </is>
      </c>
      <c r="J324" s="75" t="inlineStr">
        <is>
          <t>40</t>
        </is>
      </c>
      <c r="K324" s="75" t="inlineStr">
        <is>
          <t>encontrado_explicito</t>
        </is>
      </c>
      <c r="L324" s="144" t="n">
        <v>0.95</v>
      </c>
      <c r="M324" s="75" t="inlineStr">
        <is>
          <t>data/raw/50473039000102/909547_regulamento_regulamento_909547_2025-05-19_2025-05-19.pdf</t>
        </is>
      </c>
      <c r="N324" s="75" t="inlineStr">
        <is>
          <t>https://fnet.bmfbovespa.com.br/fnet/publico/downloadDocumento?id=909547</t>
        </is>
      </c>
      <c r="O324"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5" ht="43.5" customHeight="1">
      <c r="A325" s="142" t="n">
        <v>50473039000102</v>
      </c>
      <c r="B325" s="75" t="inlineStr">
        <is>
          <t>50.473.039/0001-02</t>
        </is>
      </c>
      <c r="C325" s="75" t="inlineStr">
        <is>
          <t>sacado_devedor</t>
        </is>
      </c>
      <c r="D325" s="75" t="inlineStr">
        <is>
          <t>o MERCADO PAGO INSTITUIÇÃO DE PAGAMENTO LTDA., sociedade limitada, com sede na Avenida das Nações Unidas, nº 3.003, Parte E, Bonfim, no Município de Osasco, Estado de São Paulo, CEP 06.233-903, inscrita no CNPJ sob o nº 10.573.521/0001-91</t>
        </is>
      </c>
      <c r="E325" s="75" t="inlineStr">
        <is>
          <t>N/D</t>
        </is>
      </c>
      <c r="F325" s="75" t="inlineStr">
        <is>
          <t>regulamento</t>
        </is>
      </c>
      <c r="G325" s="75" t="inlineStr">
        <is>
          <t>790777</t>
        </is>
      </c>
      <c r="H325" s="75" t="inlineStr">
        <is>
          <t>Regulamento</t>
        </is>
      </c>
      <c r="I325" s="75" t="inlineStr">
        <is>
          <t>28/11/2024</t>
        </is>
      </c>
      <c r="J325" s="75" t="inlineStr">
        <is>
          <t>40</t>
        </is>
      </c>
      <c r="K325" s="75" t="inlineStr">
        <is>
          <t>encontrado_explicito</t>
        </is>
      </c>
      <c r="L325" s="144" t="n">
        <v>0.95</v>
      </c>
      <c r="M325" s="75" t="inlineStr">
        <is>
          <t>.cache/carteira_101_document_scan/50473039000102/790777.json.gz</t>
        </is>
      </c>
      <c r="N325" s="75" t="inlineStr">
        <is>
          <t>https://fnet.bmfbovespa.com.br/fnet/publico/downloadDocumento?id=790777</t>
        </is>
      </c>
      <c r="O325"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6" ht="43.5" customHeight="1">
      <c r="A326" s="142" t="n">
        <v>50473039000102</v>
      </c>
      <c r="B326" s="75" t="inlineStr">
        <is>
          <t>50.473.039/0001-02</t>
        </is>
      </c>
      <c r="C326" s="75" t="inlineStr">
        <is>
          <t>sacado_devedor</t>
        </is>
      </c>
      <c r="D326" s="75" t="inlineStr">
        <is>
          <t>o MERCADO PAGO INSTITUIÇÃO DE PAGAMENTO LTDA., sociedade limitada, com sede na Avenida das Nações Unidas, nº 3.003, Parte E, Bonfim, no Município de Osasco, Estado de São Paulo, CEP 06.233-903, inscrita no CNPJ sob o nº 10.573.521/0001-91</t>
        </is>
      </c>
      <c r="E326" s="75" t="inlineStr">
        <is>
          <t>N/D</t>
        </is>
      </c>
      <c r="F326" s="75" t="inlineStr">
        <is>
          <t>regulamento</t>
        </is>
      </c>
      <c r="G326" s="75" t="inlineStr">
        <is>
          <t>50473039000102</t>
        </is>
      </c>
      <c r="H326" s="75" t="inlineStr">
        <is>
          <t>regulamento</t>
        </is>
      </c>
      <c r="I326" s="75" t="inlineStr">
        <is>
          <t>N/D</t>
        </is>
      </c>
      <c r="J326" s="75" t="inlineStr">
        <is>
          <t>1</t>
        </is>
      </c>
      <c r="K326" s="75" t="inlineStr">
        <is>
          <t>encontrado_explicito</t>
        </is>
      </c>
      <c r="L326" s="144" t="n">
        <v>0.95</v>
      </c>
      <c r="M326" s="75" t="inlineStr">
        <is>
          <t>outputs/fidc_director_deep_diagnostic_20260609/pdf_text_cache/50473039000102_909547_regulamento_regulamento_909547_2025-05-19.txt</t>
        </is>
      </c>
      <c r="N326" s="75" t="inlineStr">
        <is>
          <t>https://fnet.bmfbovespa.com.br/fnet/publico/downloadDocumento?id=50473039000102</t>
        </is>
      </c>
      <c r="O326"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7" ht="43.5" customHeight="1">
      <c r="A327" s="142" t="n">
        <v>50473039000102</v>
      </c>
      <c r="B327" s="75" t="inlineStr">
        <is>
          <t>50.473.039/0001-02</t>
        </is>
      </c>
      <c r="C327" s="75" t="inlineStr">
        <is>
          <t>tipo_recebivel</t>
        </is>
      </c>
      <c r="D327" s="75" t="inlineStr">
        <is>
          <t>os Direitos Creditórios dos Estabelecimentos Comerciais e os Direitos Creditórios do Mercado Crédito quando referidos em co njunto ou de forma indistinta, conforme aplicável</t>
        </is>
      </c>
      <c r="E327" s="75" t="inlineStr">
        <is>
          <t>N/D</t>
        </is>
      </c>
      <c r="F327" s="75" t="inlineStr">
        <is>
          <t>assembleia</t>
        </is>
      </c>
      <c r="G327" s="75" t="inlineStr">
        <is>
          <t>467929</t>
        </is>
      </c>
      <c r="H327" s="75" t="inlineStr">
        <is>
          <t>extracao_json</t>
        </is>
      </c>
      <c r="I327" s="75" t="inlineStr">
        <is>
          <t>N/D</t>
        </is>
      </c>
      <c r="J327" s="75" t="inlineStr">
        <is>
          <t>1</t>
        </is>
      </c>
      <c r="K327" s="75" t="inlineStr">
        <is>
          <t>encontrado_explicito</t>
        </is>
      </c>
      <c r="L327" s="144" t="n">
        <v>0.92</v>
      </c>
      <c r="M327" s="75" t="inlineStr">
        <is>
          <t>data/regulatory_extractions/50473039000102/467929.local.json</t>
        </is>
      </c>
      <c r="N327" s="75" t="inlineStr">
        <is>
          <t>https://fnet.bmfbovespa.com.br/fnet/publico/downloadDocumento?id=467929</t>
        </is>
      </c>
      <c r="O327" s="75" t="inlineStr">
        <is>
          <t>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t>
        </is>
      </c>
    </row>
    <row r="328" ht="43.5" customHeight="1">
      <c r="A328" s="142" t="n">
        <v>50473039000102</v>
      </c>
      <c r="B328" s="75" t="inlineStr">
        <is>
          <t>50.473.039/0001-02</t>
        </is>
      </c>
      <c r="C328" s="75" t="inlineStr">
        <is>
          <t>tipo_recebivel</t>
        </is>
      </c>
      <c r="D328" s="75" t="inlineStr">
        <is>
          <t>recebíveis com risco Grupo Mercado Livre</t>
        </is>
      </c>
      <c r="E328" s="75" t="inlineStr">
        <is>
          <t>N/D</t>
        </is>
      </c>
      <c r="F328" s="75" t="inlineStr">
        <is>
          <t>planilha_manual</t>
        </is>
      </c>
      <c r="G328" s="75" t="inlineStr">
        <is>
          <t>IMG_8706.JPG</t>
        </is>
      </c>
      <c r="H328" s="75" t="inlineStr">
        <is>
          <t>payload</t>
        </is>
      </c>
      <c r="I328" s="75" t="inlineStr">
        <is>
          <t>2025-05-19</t>
        </is>
      </c>
      <c r="J328" s="75" t="inlineStr">
        <is>
          <t>99</t>
        </is>
      </c>
      <c r="K328" s="75" t="inlineStr">
        <is>
          <t>aceito_payload</t>
        </is>
      </c>
      <c r="L328" s="144" t="n">
        <v>1</v>
      </c>
      <c r="M328" s="75" t="inlineStr">
        <is>
          <t>data/industry_study/generated_revision/artifact_payload.json</t>
        </is>
      </c>
      <c r="N328" s="75" t="inlineStr">
        <is>
          <t>N/D</t>
        </is>
      </c>
      <c r="O328" s="75" t="inlineStr">
        <is>
          <t>Denominação cortada pela largura da coluna na foto.</t>
        </is>
      </c>
    </row>
    <row r="329" ht="43.5" customHeight="1">
      <c r="A329" s="142" t="n">
        <v>50536324000117</v>
      </c>
      <c r="B329" s="75" t="inlineStr">
        <is>
          <t>50.536.324/0001-17</t>
        </is>
      </c>
      <c r="C329" s="75" t="inlineStr">
        <is>
          <t>cedente</t>
        </is>
      </c>
      <c r="D329" s="75" t="inlineStr">
        <is>
          <t>Maqnelson</t>
        </is>
      </c>
      <c r="E329" s="75" t="inlineStr">
        <is>
          <t>N/D</t>
        </is>
      </c>
      <c r="F329" s="75" t="inlineStr">
        <is>
          <t>planilha_manual</t>
        </is>
      </c>
      <c r="G329" s="75" t="inlineStr">
        <is>
          <t>IMG_8706.JPG</t>
        </is>
      </c>
      <c r="H329" s="75" t="inlineStr">
        <is>
          <t>payload</t>
        </is>
      </c>
      <c r="I329" s="75" t="inlineStr">
        <is>
          <t>2025-06-04</t>
        </is>
      </c>
      <c r="J329" s="75" t="inlineStr">
        <is>
          <t>111</t>
        </is>
      </c>
      <c r="K329" s="75" t="inlineStr">
        <is>
          <t>aceito_payload</t>
        </is>
      </c>
      <c r="L329" s="144" t="n">
        <v>1</v>
      </c>
      <c r="M329" s="75" t="inlineStr">
        <is>
          <t>data/industry_study/generated_revision/artifact_payload.json</t>
        </is>
      </c>
      <c r="N329" s="75" t="inlineStr">
        <is>
          <t>N/D</t>
        </is>
      </c>
      <c r="O329" s="75" t="inlineStr">
        <is>
          <t>OBS legível: houve desenquadramento da subordinação e haverá amortização de parcela da cota para reenquadramento; final cortado. Denominação cortada.</t>
        </is>
      </c>
    </row>
    <row r="330" ht="43.5" customHeight="1">
      <c r="A330" s="142" t="n">
        <v>50536324000117</v>
      </c>
      <c r="B330" s="75" t="inlineStr">
        <is>
          <t>50.536.324/0001-17</t>
        </is>
      </c>
      <c r="C330" s="75" t="inlineStr">
        <is>
          <t>minimo_estrutural_total</t>
        </is>
      </c>
      <c r="D330" s="75" t="inlineStr">
        <is>
          <t>50%</t>
        </is>
      </c>
      <c r="E330" s="75" t="inlineStr">
        <is>
          <t>suporte_total_pl</t>
        </is>
      </c>
      <c r="F330" s="75" t="inlineStr">
        <is>
          <t>payload_documental</t>
        </is>
      </c>
      <c r="G330" s="75" t="inlineStr">
        <is>
          <t>918862</t>
        </is>
      </c>
      <c r="H330" s="75" t="inlineStr">
        <is>
          <t>documento_curado</t>
        </is>
      </c>
      <c r="I330" s="75" t="inlineStr">
        <is>
          <t>2025-06-04</t>
        </is>
      </c>
      <c r="J330" s="75" t="inlineStr">
        <is>
          <t>111</t>
        </is>
      </c>
      <c r="K330" s="75" t="inlineStr">
        <is>
          <t>aceito_payload</t>
        </is>
      </c>
      <c r="L330" s="144" t="n">
        <v>1</v>
      </c>
      <c r="M330" s="75" t="inlineStr">
        <is>
          <t>data/industry_study/generated_revision/artifact_payload.json</t>
        </is>
      </c>
      <c r="N330" s="75" t="inlineStr">
        <is>
          <t>https://fnet.bmfbovespa.com.br/fnet/publico/downloadDocumento?id=918862</t>
        </is>
      </c>
      <c r="O330" s="75" t="inlineStr">
        <is>
          <t>Cotas subordinadas / PL, mínimo de 50,0%; estrutura com uma única classe residual.</t>
        </is>
      </c>
    </row>
    <row r="331" ht="43.5" customHeight="1">
      <c r="A331" s="142" t="n">
        <v>50536324000117</v>
      </c>
      <c r="B331" s="75" t="inlineStr">
        <is>
          <t>50.536.324/0001-17</t>
        </is>
      </c>
      <c r="C331" s="75" t="inlineStr">
        <is>
          <t>minimo_junior</t>
        </is>
      </c>
      <c r="D331" s="75" t="inlineStr">
        <is>
          <t>50%</t>
        </is>
      </c>
      <c r="E331" s="75" t="inlineStr">
        <is>
          <t>junior_pl</t>
        </is>
      </c>
      <c r="F331" s="75" t="inlineStr">
        <is>
          <t>payload_documental</t>
        </is>
      </c>
      <c r="G331" s="75" t="inlineStr">
        <is>
          <t>918862</t>
        </is>
      </c>
      <c r="H331" s="75" t="inlineStr">
        <is>
          <t>documento_curado</t>
        </is>
      </c>
      <c r="I331" s="75" t="inlineStr">
        <is>
          <t>2025-06-04</t>
        </is>
      </c>
      <c r="J331" s="75" t="inlineStr">
        <is>
          <t>111</t>
        </is>
      </c>
      <c r="K331" s="75" t="inlineStr">
        <is>
          <t>aceito_payload</t>
        </is>
      </c>
      <c r="L331" s="144" t="n">
        <v>1</v>
      </c>
      <c r="M331" s="75" t="inlineStr">
        <is>
          <t>data/industry_study/generated_revision/artifact_payload.json</t>
        </is>
      </c>
      <c r="N331" s="75" t="inlineStr">
        <is>
          <t>https://fnet.bmfbovespa.com.br/fnet/publico/downloadDocumento?id=918862</t>
        </is>
      </c>
      <c r="O331" s="75" t="inlineStr">
        <is>
          <t>Cotas subordinadas / PL, mínimo de 50,0%; estrutura com uma única classe residual.</t>
        </is>
      </c>
    </row>
    <row r="332" ht="43.5" customHeight="1">
      <c r="A332" s="142" t="n">
        <v>50536324000117</v>
      </c>
      <c r="B332" s="75" t="inlineStr">
        <is>
          <t>50.536.324/0001-17</t>
        </is>
      </c>
      <c r="C332" s="75" t="inlineStr">
        <is>
          <t>natureza_indice</t>
        </is>
      </c>
      <c r="D332" s="75" t="inlineStr">
        <is>
          <t>junior_pl</t>
        </is>
      </c>
      <c r="E332" s="75" t="inlineStr">
        <is>
          <t>junior_pl</t>
        </is>
      </c>
      <c r="F332" s="75" t="inlineStr">
        <is>
          <t>payload_documental</t>
        </is>
      </c>
      <c r="G332" s="75" t="inlineStr">
        <is>
          <t>918862</t>
        </is>
      </c>
      <c r="H332" s="75" t="inlineStr">
        <is>
          <t>documento_curado</t>
        </is>
      </c>
      <c r="I332" s="75" t="inlineStr">
        <is>
          <t>2025-06-04</t>
        </is>
      </c>
      <c r="J332" s="75" t="inlineStr">
        <is>
          <t>111</t>
        </is>
      </c>
      <c r="K332" s="75" t="inlineStr">
        <is>
          <t>aceito_payload</t>
        </is>
      </c>
      <c r="L332" s="144" t="n">
        <v>1</v>
      </c>
      <c r="M332" s="75" t="inlineStr">
        <is>
          <t>data/industry_study/generated_revision/artifact_payload.json</t>
        </is>
      </c>
      <c r="N332" s="75" t="inlineStr">
        <is>
          <t>https://fnet.bmfbovespa.com.br/fnet/publico/downloadDocumento?id=918862</t>
        </is>
      </c>
      <c r="O332" s="75" t="inlineStr">
        <is>
          <t>Cotas subordinadas / PL, mínimo de 50,0%; estrutura com uma única classe residual.</t>
        </is>
      </c>
    </row>
    <row r="333" ht="43.5" customHeight="1">
      <c r="A333" s="142" t="n">
        <v>50536324000117</v>
      </c>
      <c r="B333" s="75" t="inlineStr">
        <is>
          <t>50.536.324/0001-17</t>
        </is>
      </c>
      <c r="C333" s="75" t="inlineStr">
        <is>
          <t>tipo_recebivel</t>
        </is>
      </c>
      <c r="D333" s="75" t="inlineStr">
        <is>
          <t>os direitos creditórios performados originados da venda a prazo de Bens, representados pelos Documentos Comprobatórios, conforme o caso, detidas pelas Cedentes contra as Devedoras</t>
        </is>
      </c>
      <c r="E333" s="75" t="inlineStr">
        <is>
          <t>N/D</t>
        </is>
      </c>
      <c r="F333" s="75" t="inlineStr">
        <is>
          <t>regulamento</t>
        </is>
      </c>
      <c r="G333" s="75" t="inlineStr">
        <is>
          <t>756476</t>
        </is>
      </c>
      <c r="H333" s="75" t="inlineStr">
        <is>
          <t>Regulamento</t>
        </is>
      </c>
      <c r="I333" s="75" t="inlineStr">
        <is>
          <t>09/10/2024</t>
        </is>
      </c>
      <c r="J333" s="75" t="inlineStr">
        <is>
          <t>98</t>
        </is>
      </c>
      <c r="K333" s="75" t="inlineStr">
        <is>
          <t>encontrado_explicito</t>
        </is>
      </c>
      <c r="L333" s="144" t="n">
        <v>0.92</v>
      </c>
      <c r="M333" s="75" t="inlineStr">
        <is>
          <t>.cache/carteira_101_document_scan/50536324000117/756476.json.gz</t>
        </is>
      </c>
      <c r="N333" s="75" t="inlineStr">
        <is>
          <t>https://fnet.bmfbovespa.com.br/fnet/publico/downloadDocumento?id=756476</t>
        </is>
      </c>
      <c r="O333"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4" ht="43.5" customHeight="1">
      <c r="A334" s="142" t="n">
        <v>50536324000117</v>
      </c>
      <c r="B334" s="75" t="inlineStr">
        <is>
          <t>50.536.324/0001-17</t>
        </is>
      </c>
      <c r="C334" s="75" t="inlineStr">
        <is>
          <t>tipo_recebivel</t>
        </is>
      </c>
      <c r="D334" s="75" t="inlineStr">
        <is>
          <t>os direitos creditórios performados originados da venda a prazo de Bens, representados pelos Documentos Comprobatórios, conforme o caso, detidas pelas Cedentes contra as Devedoras</t>
        </is>
      </c>
      <c r="E334" s="75" t="inlineStr">
        <is>
          <t>N/D</t>
        </is>
      </c>
      <c r="F334" s="75" t="inlineStr">
        <is>
          <t>regulamento</t>
        </is>
      </c>
      <c r="G334" s="75" t="inlineStr">
        <is>
          <t>918862</t>
        </is>
      </c>
      <c r="H334" s="75" t="inlineStr">
        <is>
          <t>regulamento</t>
        </is>
      </c>
      <c r="I334" s="75" t="inlineStr">
        <is>
          <t>2025-06-04</t>
        </is>
      </c>
      <c r="J334" s="75" t="inlineStr">
        <is>
          <t>99</t>
        </is>
      </c>
      <c r="K334" s="75" t="inlineStr">
        <is>
          <t>encontrado_explicito</t>
        </is>
      </c>
      <c r="L334" s="144" t="n">
        <v>0.92</v>
      </c>
      <c r="M334" s="75" t="inlineStr">
        <is>
          <t>data/raw/50536324000117/918862_regulamento_regulamento_918862_2025-06-04_2025-06-04.pdf</t>
        </is>
      </c>
      <c r="N334" s="75" t="inlineStr">
        <is>
          <t>https://fnet.bmfbovespa.com.br/fnet/publico/downloadDocumento?id=918862</t>
        </is>
      </c>
      <c r="O334"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5" ht="43.5" customHeight="1">
      <c r="A335" s="142" t="n">
        <v>50536324000117</v>
      </c>
      <c r="B335" s="75" t="inlineStr">
        <is>
          <t>50.536.324/0001-17</t>
        </is>
      </c>
      <c r="C335" s="75" t="inlineStr">
        <is>
          <t>tipo_recebivel</t>
        </is>
      </c>
      <c r="D335" s="75" t="inlineStr">
        <is>
          <t>máquinas agrícolas</t>
        </is>
      </c>
      <c r="E335" s="75" t="inlineStr">
        <is>
          <t>N/D</t>
        </is>
      </c>
      <c r="F335" s="75" t="inlineStr">
        <is>
          <t>planilha_manual</t>
        </is>
      </c>
      <c r="G335" s="75" t="inlineStr">
        <is>
          <t>IMG_8706.JPG</t>
        </is>
      </c>
      <c r="H335" s="75" t="inlineStr">
        <is>
          <t>payload</t>
        </is>
      </c>
      <c r="I335" s="75" t="inlineStr">
        <is>
          <t>2025-06-04</t>
        </is>
      </c>
      <c r="J335" s="75" t="inlineStr">
        <is>
          <t>111</t>
        </is>
      </c>
      <c r="K335" s="75" t="inlineStr">
        <is>
          <t>aceito_payload</t>
        </is>
      </c>
      <c r="L335" s="144" t="n">
        <v>1</v>
      </c>
      <c r="M335" s="75" t="inlineStr">
        <is>
          <t>data/industry_study/generated_revision/artifact_payload.json</t>
        </is>
      </c>
      <c r="N335" s="75" t="inlineStr">
        <is>
          <t>N/D</t>
        </is>
      </c>
      <c r="O335" s="75" t="inlineStr">
        <is>
          <t>OBS legível: houve desenquadramento da subordinação e haverá amortização de parcela da cota para reenquadramento; final cortado. Denominação cortada.</t>
        </is>
      </c>
    </row>
    <row r="336" ht="43.5" customHeight="1">
      <c r="A336" s="142" t="n">
        <v>50832746000130</v>
      </c>
      <c r="B336" s="75" t="inlineStr">
        <is>
          <t>50.832.746/0001-30</t>
        </is>
      </c>
      <c r="C336" s="75" t="inlineStr">
        <is>
          <t>cedente</t>
        </is>
      </c>
      <c r="D336" s="75" t="inlineStr">
        <is>
          <t>Boasafra</t>
        </is>
      </c>
      <c r="E336" s="75" t="inlineStr">
        <is>
          <t>rótulo explícito de participante v2</t>
        </is>
      </c>
      <c r="F336" s="75" t="inlineStr">
        <is>
          <t>rating_report</t>
        </is>
      </c>
      <c r="G336" s="75" t="inlineStr">
        <is>
          <t>992930</t>
        </is>
      </c>
      <c r="H336" s="75" t="inlineStr">
        <is>
          <t>Relatórios Relatório de Agência de Rating</t>
        </is>
      </c>
      <c r="I336" s="75" t="inlineStr">
        <is>
          <t>10/09/2025</t>
        </is>
      </c>
      <c r="J336" s="75" t="inlineStr">
        <is>
          <t>5</t>
        </is>
      </c>
      <c r="K336" s="75" t="inlineStr">
        <is>
          <t>encontrado_explicito</t>
        </is>
      </c>
      <c r="L336" s="144" t="n">
        <v>0.93</v>
      </c>
      <c r="M336" s="75" t="inlineStr">
        <is>
          <t>.cache/carteira_101_document_scan/50832746000130/992930.json.gz</t>
        </is>
      </c>
      <c r="N336" s="75" t="inlineStr">
        <is>
          <t>https://fnet.bmfbovespa.com.br/fnet/publico/downloadDocumento?id=992930</t>
        </is>
      </c>
      <c r="O336" s="75" t="inlineStr">
        <is>
          <t>analistas utilizaram informações provenientes d a(s) seguinte(s) fonte(s): i) Boasafra (Cedente), ii) Oliveira Trust (Administradora), e iii) Brave e Struttura Capital (Gestora</t>
        </is>
      </c>
    </row>
    <row r="337" ht="43.5" customHeight="1">
      <c r="A337" s="142" t="n">
        <v>50832746000130</v>
      </c>
      <c r="B337" s="75" t="inlineStr">
        <is>
          <t>50.832.746/0001-30</t>
        </is>
      </c>
      <c r="C337" s="75" t="inlineStr">
        <is>
          <t>cedente</t>
        </is>
      </c>
      <c r="D337" s="75" t="inlineStr">
        <is>
          <t>Boasafra</t>
        </is>
      </c>
      <c r="E337" s="75" t="inlineStr">
        <is>
          <t>rótulo explícito de participante v2</t>
        </is>
      </c>
      <c r="F337" s="75" t="inlineStr">
        <is>
          <t>rating_report</t>
        </is>
      </c>
      <c r="G337" s="75" t="inlineStr">
        <is>
          <t>932142</t>
        </is>
      </c>
      <c r="H337" s="75" t="inlineStr">
        <is>
          <t>Relatórios Relatório de Agência de Rating</t>
        </is>
      </c>
      <c r="I337" s="75" t="inlineStr">
        <is>
          <t>16/06/2025</t>
        </is>
      </c>
      <c r="J337" s="75" t="inlineStr">
        <is>
          <t>5</t>
        </is>
      </c>
      <c r="K337" s="75" t="inlineStr">
        <is>
          <t>encontrado_explicito</t>
        </is>
      </c>
      <c r="L337" s="144" t="n">
        <v>0.93</v>
      </c>
      <c r="M337" s="75" t="inlineStr">
        <is>
          <t>.cache/carteira_101_document_scan/50832746000130/932142.json.gz</t>
        </is>
      </c>
      <c r="N337" s="75" t="inlineStr">
        <is>
          <t>https://fnet.bmfbovespa.com.br/fnet/publico/downloadDocumento?id=932142</t>
        </is>
      </c>
      <c r="O337" s="75" t="inlineStr">
        <is>
          <t>analistas utilizaram informações provenientes d a(s) seguinte(s) fonte(s): i) Boasafra (Cedente), ii) Oliveira Trust (Administradora), e iii) Brave e Struttura Capital (Gestora</t>
        </is>
      </c>
    </row>
    <row r="338" ht="43.5" customHeight="1">
      <c r="A338" s="142" t="n">
        <v>50832746000130</v>
      </c>
      <c r="B338" s="75" t="inlineStr">
        <is>
          <t>50.832.746/0001-30</t>
        </is>
      </c>
      <c r="C338" s="75" t="inlineStr">
        <is>
          <t>cedente</t>
        </is>
      </c>
      <c r="D338" s="75" t="inlineStr">
        <is>
          <t>Boasafra (ID 5662361)</t>
        </is>
      </c>
      <c r="E338" s="75" t="inlineStr">
        <is>
          <t>N/D</t>
        </is>
      </c>
      <c r="F338" s="75" t="inlineStr">
        <is>
          <t>planilha_manual</t>
        </is>
      </c>
      <c r="G338" s="75" t="inlineStr">
        <is>
          <t>IMG_8704.JPG</t>
        </is>
      </c>
      <c r="H338" s="75" t="inlineStr">
        <is>
          <t>payload</t>
        </is>
      </c>
      <c r="I338" s="75" t="inlineStr">
        <is>
          <t>2024-11-28</t>
        </is>
      </c>
      <c r="J338" s="75" t="inlineStr">
        <is>
          <t>44</t>
        </is>
      </c>
      <c r="K338" s="75" t="inlineStr">
        <is>
          <t>aceito_payload</t>
        </is>
      </c>
      <c r="L338" s="144" t="n">
        <v>1</v>
      </c>
      <c r="M338" s="75" t="inlineStr">
        <is>
          <t>data/industry_study/generated_revision/artifact_payload.json</t>
        </is>
      </c>
      <c r="N338" s="75" t="inlineStr">
        <is>
          <t>N/D</t>
        </is>
      </c>
      <c r="O338" s="75" t="inlineStr">
        <is>
          <t>N/D</t>
        </is>
      </c>
    </row>
    <row r="339" ht="43.5" customHeight="1">
      <c r="A339" s="142" t="n">
        <v>50832746000130</v>
      </c>
      <c r="B339" s="75" t="inlineStr">
        <is>
          <t>50.832.746/0001-30</t>
        </is>
      </c>
      <c r="C339" s="75" t="inlineStr">
        <is>
          <t>minimo_estrutural_total</t>
        </is>
      </c>
      <c r="D339" s="75" t="inlineStr">
        <is>
          <t>30%</t>
        </is>
      </c>
      <c r="E339" s="75" t="inlineStr">
        <is>
          <t>suporte_total_pl</t>
        </is>
      </c>
      <c r="F339" s="75" t="inlineStr">
        <is>
          <t>payload_documental</t>
        </is>
      </c>
      <c r="G339" s="75" t="inlineStr">
        <is>
          <t>791780</t>
        </is>
      </c>
      <c r="H339" s="75" t="inlineStr">
        <is>
          <t>documento_curado</t>
        </is>
      </c>
      <c r="I339" s="75" t="inlineStr">
        <is>
          <t>2024-11-28</t>
        </is>
      </c>
      <c r="J339" s="75" t="inlineStr">
        <is>
          <t>44</t>
        </is>
      </c>
      <c r="K339" s="75" t="inlineStr">
        <is>
          <t>aceito_payload</t>
        </is>
      </c>
      <c r="L339" s="144" t="n">
        <v>1</v>
      </c>
      <c r="M339" s="75" t="inlineStr">
        <is>
          <t>data/industry_study/generated_revision/artifact_payload.json</t>
        </is>
      </c>
      <c r="N339" s="75" t="inlineStr">
        <is>
          <t>https://fnet.bmfbovespa.com.br/fnet/publico/downloadDocumento?id=791780</t>
        </is>
      </c>
      <c r="O339" s="75" t="inlineStr">
        <is>
          <t>Cotas júnior / PL, mínimo de 20,0%; suporte subordinado total mínimo de 30,0%.</t>
        </is>
      </c>
    </row>
    <row r="340" ht="43.5" customHeight="1">
      <c r="A340" s="142" t="n">
        <v>50832746000130</v>
      </c>
      <c r="B340" s="75" t="inlineStr">
        <is>
          <t>50.832.746/0001-30</t>
        </is>
      </c>
      <c r="C340" s="75" t="inlineStr">
        <is>
          <t>minimo_junior</t>
        </is>
      </c>
      <c r="D340" s="75" t="inlineStr">
        <is>
          <t>20%</t>
        </is>
      </c>
      <c r="E340" s="75" t="inlineStr">
        <is>
          <t>junior_pl</t>
        </is>
      </c>
      <c r="F340" s="75" t="inlineStr">
        <is>
          <t>payload_documental</t>
        </is>
      </c>
      <c r="G340" s="75" t="inlineStr">
        <is>
          <t>791780</t>
        </is>
      </c>
      <c r="H340" s="75" t="inlineStr">
        <is>
          <t>documento_curado</t>
        </is>
      </c>
      <c r="I340" s="75" t="inlineStr">
        <is>
          <t>2024-11-28</t>
        </is>
      </c>
      <c r="J340" s="75" t="inlineStr">
        <is>
          <t>44</t>
        </is>
      </c>
      <c r="K340" s="75" t="inlineStr">
        <is>
          <t>aceito_payload</t>
        </is>
      </c>
      <c r="L340" s="144" t="n">
        <v>1</v>
      </c>
      <c r="M340" s="75" t="inlineStr">
        <is>
          <t>data/industry_study/generated_revision/artifact_payload.json</t>
        </is>
      </c>
      <c r="N340" s="75" t="inlineStr">
        <is>
          <t>https://fnet.bmfbovespa.com.br/fnet/publico/downloadDocumento?id=791780</t>
        </is>
      </c>
      <c r="O340" s="75" t="inlineStr">
        <is>
          <t>Cotas júnior / PL, mínimo de 20,0%; suporte subordinado total mínimo de 30,0%.</t>
        </is>
      </c>
    </row>
    <row r="341" ht="43.5" customHeight="1">
      <c r="A341" s="142" t="n">
        <v>50832746000130</v>
      </c>
      <c r="B341" s="75" t="inlineStr">
        <is>
          <t>50.832.746/0001-30</t>
        </is>
      </c>
      <c r="C341" s="75" t="inlineStr">
        <is>
          <t>natureza_indice</t>
        </is>
      </c>
      <c r="D341" s="75" t="inlineStr">
        <is>
          <t>junior_pl</t>
        </is>
      </c>
      <c r="E341" s="75" t="inlineStr">
        <is>
          <t>junior_pl</t>
        </is>
      </c>
      <c r="F341" s="75" t="inlineStr">
        <is>
          <t>payload_documental</t>
        </is>
      </c>
      <c r="G341" s="75" t="inlineStr">
        <is>
          <t>791780</t>
        </is>
      </c>
      <c r="H341" s="75" t="inlineStr">
        <is>
          <t>documento_curado</t>
        </is>
      </c>
      <c r="I341" s="75" t="inlineStr">
        <is>
          <t>2024-11-28</t>
        </is>
      </c>
      <c r="J341" s="75" t="inlineStr">
        <is>
          <t>44</t>
        </is>
      </c>
      <c r="K341" s="75" t="inlineStr">
        <is>
          <t>aceito_payload</t>
        </is>
      </c>
      <c r="L341" s="144" t="n">
        <v>1</v>
      </c>
      <c r="M341" s="75" t="inlineStr">
        <is>
          <t>data/industry_study/generated_revision/artifact_payload.json</t>
        </is>
      </c>
      <c r="N341" s="75" t="inlineStr">
        <is>
          <t>https://fnet.bmfbovespa.com.br/fnet/publico/downloadDocumento?id=791780</t>
        </is>
      </c>
      <c r="O341" s="75" t="inlineStr">
        <is>
          <t>Cotas júnior / PL, mínimo de 20,0%; suporte subordinado total mínimo de 30,0%.</t>
        </is>
      </c>
    </row>
    <row r="342" ht="43.5" customHeight="1">
      <c r="A342" s="142" t="n">
        <v>50832746000130</v>
      </c>
      <c r="B342" s="75" t="inlineStr">
        <is>
          <t>50.832.746/0001-30</t>
        </is>
      </c>
      <c r="C342" s="75" t="inlineStr">
        <is>
          <t>tipo_recebivel</t>
        </is>
      </c>
      <c r="D342" s="75" t="inlineStr">
        <is>
          <t>Insumos Agrícolas - prazo Safra</t>
        </is>
      </c>
      <c r="E342" s="75" t="inlineStr">
        <is>
          <t>N/D</t>
        </is>
      </c>
      <c r="F342" s="75" t="inlineStr">
        <is>
          <t>planilha_manual</t>
        </is>
      </c>
      <c r="G342" s="75" t="inlineStr">
        <is>
          <t>IMG_8704.JPG</t>
        </is>
      </c>
      <c r="H342" s="75" t="inlineStr">
        <is>
          <t>payload</t>
        </is>
      </c>
      <c r="I342" s="75" t="inlineStr">
        <is>
          <t>2024-11-28</t>
        </is>
      </c>
      <c r="J342" s="75" t="inlineStr">
        <is>
          <t>44</t>
        </is>
      </c>
      <c r="K342" s="75" t="inlineStr">
        <is>
          <t>aceito_payload</t>
        </is>
      </c>
      <c r="L342" s="144" t="n">
        <v>1</v>
      </c>
      <c r="M342" s="75" t="inlineStr">
        <is>
          <t>data/industry_study/generated_revision/artifact_payload.json</t>
        </is>
      </c>
      <c r="N342" s="75" t="inlineStr">
        <is>
          <t>N/D</t>
        </is>
      </c>
      <c r="O342" s="75" t="inlineStr">
        <is>
          <t>N/D</t>
        </is>
      </c>
    </row>
    <row r="343" ht="43.5" customHeight="1">
      <c r="A343" s="142" t="n">
        <v>50857998000113</v>
      </c>
      <c r="B343" s="75" t="inlineStr">
        <is>
          <t>50.857.998/0001-13</t>
        </is>
      </c>
      <c r="C343" s="75" t="inlineStr">
        <is>
          <t>cedente</t>
        </is>
      </c>
      <c r="D343" s="75" t="inlineStr">
        <is>
          <t>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t>
        </is>
      </c>
      <c r="E343" s="75" t="inlineStr">
        <is>
          <t>N/D</t>
        </is>
      </c>
      <c r="F343" s="75" t="inlineStr">
        <is>
          <t>regulamento</t>
        </is>
      </c>
      <c r="G343" s="75" t="inlineStr">
        <is>
          <t>1017825</t>
        </is>
      </c>
      <c r="H343" s="75" t="inlineStr">
        <is>
          <t>Regulamento</t>
        </is>
      </c>
      <c r="I343" s="75" t="inlineStr">
        <is>
          <t>06/10/2025</t>
        </is>
      </c>
      <c r="J343" s="75" t="inlineStr">
        <is>
          <t>57</t>
        </is>
      </c>
      <c r="K343" s="75" t="inlineStr">
        <is>
          <t>encontrado_explicito</t>
        </is>
      </c>
      <c r="L343" s="144" t="n">
        <v>0.95</v>
      </c>
      <c r="M343" s="75" t="inlineStr">
        <is>
          <t>.cache/carteira_101_document_scan/50857998000113/1017825.json.gz</t>
        </is>
      </c>
      <c r="N343" s="75" t="inlineStr">
        <is>
          <t>https://fnet.bmfbovespa.com.br/fnet/publico/downloadDocumento?id=1017825</t>
        </is>
      </c>
      <c r="O343" s="75" t="inlineStr">
        <is>
          <t>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4" ht="43.5" customHeight="1">
      <c r="A344" s="142" t="n">
        <v>50857998000113</v>
      </c>
      <c r="B344" s="75" t="inlineStr">
        <is>
          <t>50.857.998/0001-13</t>
        </is>
      </c>
      <c r="C344" s="75" t="inlineStr">
        <is>
          <t>cedente</t>
        </is>
      </c>
      <c r="D344"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E344" s="75" t="inlineStr">
        <is>
          <t>N/D</t>
        </is>
      </c>
      <c r="F344" s="75" t="inlineStr">
        <is>
          <t>regulamento</t>
        </is>
      </c>
      <c r="G344" s="75" t="inlineStr">
        <is>
          <t>910444</t>
        </is>
      </c>
      <c r="H344" s="75" t="inlineStr">
        <is>
          <t>Regulamento</t>
        </is>
      </c>
      <c r="I344" s="75" t="inlineStr">
        <is>
          <t>22/05/2025</t>
        </is>
      </c>
      <c r="J344" s="75" t="inlineStr">
        <is>
          <t>56</t>
        </is>
      </c>
      <c r="K344" s="75" t="inlineStr">
        <is>
          <t>encontrado_explicito</t>
        </is>
      </c>
      <c r="L344" s="144" t="n">
        <v>0.95</v>
      </c>
      <c r="M344" s="75" t="inlineStr">
        <is>
          <t>.cache/carteira_101_document_scan/50857998000113/910444.json.gz</t>
        </is>
      </c>
      <c r="N344" s="75" t="inlineStr">
        <is>
          <t>https://fnet.bmfbovespa.com.br/fnet/publico/downloadDocumento?id=910444</t>
        </is>
      </c>
      <c r="O344" s="75" t="inlineStr">
        <is>
          <t>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5" ht="43.5" customHeight="1">
      <c r="A345" s="142" t="n">
        <v>50857998000113</v>
      </c>
      <c r="B345" s="75" t="inlineStr">
        <is>
          <t>50.857.998/0001-13</t>
        </is>
      </c>
      <c r="C345" s="75" t="inlineStr">
        <is>
          <t>minimo_junior</t>
        </is>
      </c>
      <c r="D345" s="75" t="inlineStr">
        <is>
          <t>5%</t>
        </is>
      </c>
      <c r="E345" s="75" t="inlineStr">
        <is>
          <t>junior_pl</t>
        </is>
      </c>
      <c r="F345" s="75" t="inlineStr">
        <is>
          <t>payload_documental</t>
        </is>
      </c>
      <c r="G345" s="75" t="inlineStr">
        <is>
          <t>1017825</t>
        </is>
      </c>
      <c r="H345" s="75" t="inlineStr">
        <is>
          <t>documento_curado</t>
        </is>
      </c>
      <c r="I345" s="75" t="inlineStr">
        <is>
          <t>2025-10-06</t>
        </is>
      </c>
      <c r="J345" s="75" t="inlineStr">
        <is>
          <t>62</t>
        </is>
      </c>
      <c r="K345" s="75" t="inlineStr">
        <is>
          <t>aceito_payload</t>
        </is>
      </c>
      <c r="L345" s="144" t="n">
        <v>1</v>
      </c>
      <c r="M345" s="75" t="inlineStr">
        <is>
          <t>data/industry_study/generated_revision/artifact_payload.json</t>
        </is>
      </c>
      <c r="N345" s="75" t="inlineStr">
        <is>
          <t>https://fnet.bmfbovespa.com.br/fnet/publico/downloadDocumento?id=1017825</t>
        </is>
      </c>
      <c r="O345" s="75" t="inlineStr">
        <is>
          <t>Índice de Subordinação Mezanino: cotas júnior / PL, mínimo de 5,0%.</t>
        </is>
      </c>
    </row>
    <row r="346" ht="43.5" customHeight="1">
      <c r="A346" s="142" t="n">
        <v>50857998000113</v>
      </c>
      <c r="B346" s="75" t="inlineStr">
        <is>
          <t>50.857.998/0001-13</t>
        </is>
      </c>
      <c r="C346" s="75" t="inlineStr">
        <is>
          <t>natureza_indice</t>
        </is>
      </c>
      <c r="D346" s="75" t="inlineStr">
        <is>
          <t>junior_pl</t>
        </is>
      </c>
      <c r="E346" s="75" t="inlineStr">
        <is>
          <t>junior_pl</t>
        </is>
      </c>
      <c r="F346" s="75" t="inlineStr">
        <is>
          <t>payload_documental</t>
        </is>
      </c>
      <c r="G346" s="75" t="inlineStr">
        <is>
          <t>1017825</t>
        </is>
      </c>
      <c r="H346" s="75" t="inlineStr">
        <is>
          <t>documento_curado</t>
        </is>
      </c>
      <c r="I346" s="75" t="inlineStr">
        <is>
          <t>2025-10-06</t>
        </is>
      </c>
      <c r="J346" s="75" t="inlineStr">
        <is>
          <t>62</t>
        </is>
      </c>
      <c r="K346" s="75" t="inlineStr">
        <is>
          <t>aceito_payload</t>
        </is>
      </c>
      <c r="L346" s="144" t="n">
        <v>1</v>
      </c>
      <c r="M346" s="75" t="inlineStr">
        <is>
          <t>data/industry_study/generated_revision/artifact_payload.json</t>
        </is>
      </c>
      <c r="N346" s="75" t="inlineStr">
        <is>
          <t>https://fnet.bmfbovespa.com.br/fnet/publico/downloadDocumento?id=1017825</t>
        </is>
      </c>
      <c r="O346" s="75" t="inlineStr">
        <is>
          <t>Índice de Subordinação Mezanino: cotas júnior / PL, mínimo de 5,0%.</t>
        </is>
      </c>
    </row>
    <row r="347" ht="43.5" customHeight="1">
      <c r="A347" s="142" t="n">
        <v>50857998000113</v>
      </c>
      <c r="B347" s="75" t="inlineStr">
        <is>
          <t>50.857.998/0001-13</t>
        </is>
      </c>
      <c r="C347" s="75" t="inlineStr">
        <is>
          <t>sacado_devedor</t>
        </is>
      </c>
      <c r="D347" s="75" t="inlineStr">
        <is>
          <t>a Subcredenciadora, na qualidade de devedora dos Direitos Creditórios</t>
        </is>
      </c>
      <c r="E347" s="75" t="inlineStr">
        <is>
          <t>N/D</t>
        </is>
      </c>
      <c r="F347" s="75" t="inlineStr">
        <is>
          <t>regulamento</t>
        </is>
      </c>
      <c r="G347" s="75" t="inlineStr">
        <is>
          <t>1017825</t>
        </is>
      </c>
      <c r="H347" s="75" t="inlineStr">
        <is>
          <t>Regulamento</t>
        </is>
      </c>
      <c r="I347" s="75" t="inlineStr">
        <is>
          <t>06/10/2025</t>
        </is>
      </c>
      <c r="J347" s="75" t="inlineStr">
        <is>
          <t>59</t>
        </is>
      </c>
      <c r="K347" s="75" t="inlineStr">
        <is>
          <t>encontrado_explicito</t>
        </is>
      </c>
      <c r="L347" s="144" t="n">
        <v>0.95</v>
      </c>
      <c r="M347" s="75" t="inlineStr">
        <is>
          <t>.cache/carteira_101_document_scan/50857998000113/1017825.json.gz</t>
        </is>
      </c>
      <c r="N347" s="75" t="inlineStr">
        <is>
          <t>https://fnet.bmfbovespa.com.br/fnet/publico/downloadDocumento?id=1017825</t>
        </is>
      </c>
      <c r="O347" s="75" t="inlineStr">
        <is>
          <t>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t>
        </is>
      </c>
    </row>
    <row r="348" ht="43.5" customHeight="1">
      <c r="A348" s="142" t="n">
        <v>50857998000113</v>
      </c>
      <c r="B348" s="75" t="inlineStr">
        <is>
          <t>50.857.998/0001-13</t>
        </is>
      </c>
      <c r="C348" s="75" t="inlineStr">
        <is>
          <t>sacado_devedor</t>
        </is>
      </c>
      <c r="D348" s="75" t="inlineStr">
        <is>
          <t>a Subcredenciadora, na qualidade de devedora dos Direitos Creditórios</t>
        </is>
      </c>
      <c r="E348" s="75" t="inlineStr">
        <is>
          <t>N/D</t>
        </is>
      </c>
      <c r="F348" s="75" t="inlineStr">
        <is>
          <t>regulamento</t>
        </is>
      </c>
      <c r="G348" s="75" t="inlineStr">
        <is>
          <t>910444</t>
        </is>
      </c>
      <c r="H348" s="75" t="inlineStr">
        <is>
          <t>Regulamento</t>
        </is>
      </c>
      <c r="I348" s="75" t="inlineStr">
        <is>
          <t>22/05/2025</t>
        </is>
      </c>
      <c r="J348" s="75" t="inlineStr">
        <is>
          <t>59</t>
        </is>
      </c>
      <c r="K348" s="75" t="inlineStr">
        <is>
          <t>encontrado_explicito</t>
        </is>
      </c>
      <c r="L348" s="144" t="n">
        <v>0.95</v>
      </c>
      <c r="M348" s="75" t="inlineStr">
        <is>
          <t>.cache/carteira_101_document_scan/50857998000113/910444.json.gz</t>
        </is>
      </c>
      <c r="N348" s="75" t="inlineStr">
        <is>
          <t>https://fnet.bmfbovespa.com.br/fnet/publico/downloadDocumento?id=910444</t>
        </is>
      </c>
      <c r="O348" s="75" t="inlineStr">
        <is>
          <t>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t>
        </is>
      </c>
    </row>
    <row r="349" ht="43.5" customHeight="1">
      <c r="A349" s="142" t="n">
        <v>50988212000105</v>
      </c>
      <c r="B349" s="75" t="inlineStr">
        <is>
          <t>50.988.212/0001-05</t>
        </is>
      </c>
      <c r="C349" s="75" t="inlineStr">
        <is>
          <t>cedente</t>
        </is>
      </c>
      <c r="D349" s="75" t="inlineStr">
        <is>
          <t>Supplier</t>
        </is>
      </c>
      <c r="E349" s="75" t="inlineStr">
        <is>
          <t>N/D</t>
        </is>
      </c>
      <c r="F349" s="75" t="inlineStr">
        <is>
          <t>planilha_manual</t>
        </is>
      </c>
      <c r="G349" s="75" t="inlineStr">
        <is>
          <t>IMG_8706.JPG</t>
        </is>
      </c>
      <c r="H349" s="75" t="inlineStr">
        <is>
          <t>payload</t>
        </is>
      </c>
      <c r="I349" s="75" t="inlineStr">
        <is>
          <t>2024-11-14</t>
        </is>
      </c>
      <c r="J349" s="75" t="inlineStr">
        <is>
          <t>29; 62</t>
        </is>
      </c>
      <c r="K349" s="75" t="inlineStr">
        <is>
          <t>aceito_payload</t>
        </is>
      </c>
      <c r="L349" s="144" t="n">
        <v>1</v>
      </c>
      <c r="M349" s="75" t="inlineStr">
        <is>
          <t>data/industry_study/generated_revision/artifact_payload.json</t>
        </is>
      </c>
      <c r="N349" s="75" t="inlineStr">
        <is>
          <t>N/D</t>
        </is>
      </c>
      <c r="O349" s="75" t="inlineStr">
        <is>
          <t>Denominação cortada pela largura da coluna na foto.</t>
        </is>
      </c>
    </row>
    <row r="350" ht="43.5" customHeight="1">
      <c r="A350" s="142" t="n">
        <v>50988212000105</v>
      </c>
      <c r="B350" s="75" t="inlineStr">
        <is>
          <t>50.988.212/0001-05</t>
        </is>
      </c>
      <c r="C350" s="75" t="inlineStr">
        <is>
          <t>minimo_junior</t>
        </is>
      </c>
      <c r="D350" s="75" t="inlineStr">
        <is>
          <t>4.5%</t>
        </is>
      </c>
      <c r="E350" s="75" t="inlineStr">
        <is>
          <t>junior_pl_ajustado</t>
        </is>
      </c>
      <c r="F350" s="75" t="inlineStr">
        <is>
          <t>payload_documental</t>
        </is>
      </c>
      <c r="G350" s="75" t="inlineStr">
        <is>
          <t>1013021</t>
        </is>
      </c>
      <c r="H350" s="75" t="inlineStr">
        <is>
          <t>documento_curado</t>
        </is>
      </c>
      <c r="I350" s="75" t="inlineStr">
        <is>
          <t>2024-11-14</t>
        </is>
      </c>
      <c r="J350" s="75" t="inlineStr">
        <is>
          <t>29; 62</t>
        </is>
      </c>
      <c r="K350" s="75" t="inlineStr">
        <is>
          <t>aceito_payload</t>
        </is>
      </c>
      <c r="L350" s="144" t="n">
        <v>1</v>
      </c>
      <c r="M350" s="75" t="inlineStr">
        <is>
          <t>data/industry_study/generated_revision/artifact_payload.json</t>
        </is>
      </c>
      <c r="N350" s="75" t="inlineStr">
        <is>
          <t>https://fnet.bmfbovespa.com.br/fnet/publico/downloadDocumento?id=1013021</t>
        </is>
      </c>
      <c r="O350" s="75" t="inlineStr">
        <is>
          <t>Cotas júnior / PL ajustado por outros ativos, mínimo de 4,5%.*</t>
        </is>
      </c>
    </row>
    <row r="351" ht="43.5" customHeight="1">
      <c r="A351" s="142" t="n">
        <v>50988212000105</v>
      </c>
      <c r="B351" s="75" t="inlineStr">
        <is>
          <t>50.988.212/0001-05</t>
        </is>
      </c>
      <c r="C351" s="75" t="inlineStr">
        <is>
          <t>natureza_indice</t>
        </is>
      </c>
      <c r="D351" s="75" t="inlineStr">
        <is>
          <t>junior_pl_ajustado</t>
        </is>
      </c>
      <c r="E351" s="75" t="inlineStr">
        <is>
          <t>junior_pl_ajustado</t>
        </is>
      </c>
      <c r="F351" s="75" t="inlineStr">
        <is>
          <t>payload_documental</t>
        </is>
      </c>
      <c r="G351" s="75" t="inlineStr">
        <is>
          <t>1013021</t>
        </is>
      </c>
      <c r="H351" s="75" t="inlineStr">
        <is>
          <t>documento_curado</t>
        </is>
      </c>
      <c r="I351" s="75" t="inlineStr">
        <is>
          <t>2024-11-14</t>
        </is>
      </c>
      <c r="J351" s="75" t="inlineStr">
        <is>
          <t>29; 62</t>
        </is>
      </c>
      <c r="K351" s="75" t="inlineStr">
        <is>
          <t>aceito_payload</t>
        </is>
      </c>
      <c r="L351" s="144" t="n">
        <v>1</v>
      </c>
      <c r="M351" s="75" t="inlineStr">
        <is>
          <t>data/industry_study/generated_revision/artifact_payload.json</t>
        </is>
      </c>
      <c r="N351" s="75" t="inlineStr">
        <is>
          <t>https://fnet.bmfbovespa.com.br/fnet/publico/downloadDocumento?id=1013021</t>
        </is>
      </c>
      <c r="O351" s="75" t="inlineStr">
        <is>
          <t>Cotas júnior / PL ajustado por outros ativos, mínimo de 4,5%.*</t>
        </is>
      </c>
    </row>
    <row r="352" ht="43.5" customHeight="1">
      <c r="A352" s="142" t="n">
        <v>50988212000105</v>
      </c>
      <c r="B352" s="75" t="inlineStr">
        <is>
          <t>50.988.212/0001-05</t>
        </is>
      </c>
      <c r="C352" s="75" t="inlineStr">
        <is>
          <t>sacado_devedor</t>
        </is>
      </c>
      <c r="D352" s="75" t="inlineStr">
        <is>
          <t>02.150.453/0001-20</t>
        </is>
      </c>
      <c r="E352" s="75" t="inlineStr">
        <is>
          <t>N/D</t>
        </is>
      </c>
      <c r="F352" s="75" t="inlineStr">
        <is>
          <t>candidate_extraction</t>
        </is>
      </c>
      <c r="G352" s="75" t="inlineStr">
        <is>
          <t>50988212000105</t>
        </is>
      </c>
      <c r="H352" s="75" t="inlineStr">
        <is>
          <t>extração heurística</t>
        </is>
      </c>
      <c r="I352" s="75" t="inlineStr">
        <is>
          <t>N/D</t>
        </is>
      </c>
      <c r="J352" s="75" t="inlineStr">
        <is>
          <t>N/D</t>
        </is>
      </c>
      <c r="K352" s="75" t="inlineStr">
        <is>
          <t>candidato_revisao</t>
        </is>
      </c>
      <c r="L352" s="144" t="n">
        <v>0.95</v>
      </c>
      <c r="M352" s="75" t="inlineStr">
        <is>
          <t>outputs/fidc_director_deep_diagnostic_20260609/pdf_text_cache/50988212000105_1013021_regulamento_regulamento_1013021_2024-11-14.txt</t>
        </is>
      </c>
      <c r="N352" s="75" t="inlineStr">
        <is>
          <t>https://fnet.bmfbovespa.com.br/fnet/publico/downloadDocumento?id=50988212000105</t>
        </is>
      </c>
      <c r="O352" s="75" t="inlineStr">
        <is>
          <t>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t>
        </is>
      </c>
    </row>
    <row r="353" ht="43.5" customHeight="1">
      <c r="A353" s="142" t="n">
        <v>50988212000105</v>
      </c>
      <c r="B353" s="75" t="inlineStr">
        <is>
          <t>50.988.212/0001-05</t>
        </is>
      </c>
      <c r="C353" s="75" t="inlineStr">
        <is>
          <t>tipo_recebivel</t>
        </is>
      </c>
      <c r="D353" s="75" t="inlineStr">
        <is>
          <t>Crédito Curto Prazo com o segurado; Crédito PME</t>
        </is>
      </c>
      <c r="E353" s="75" t="inlineStr">
        <is>
          <t>N/D</t>
        </is>
      </c>
      <c r="F353" s="75" t="inlineStr">
        <is>
          <t>planilha_manual</t>
        </is>
      </c>
      <c r="G353" s="75" t="inlineStr">
        <is>
          <t>IMG_8706.JPG</t>
        </is>
      </c>
      <c r="H353" s="75" t="inlineStr">
        <is>
          <t>payload</t>
        </is>
      </c>
      <c r="I353" s="75" t="inlineStr">
        <is>
          <t>2024-11-14</t>
        </is>
      </c>
      <c r="J353" s="75" t="inlineStr">
        <is>
          <t>29; 62</t>
        </is>
      </c>
      <c r="K353" s="75" t="inlineStr">
        <is>
          <t>aceito_payload</t>
        </is>
      </c>
      <c r="L353" s="144" t="n">
        <v>1</v>
      </c>
      <c r="M353" s="75" t="inlineStr">
        <is>
          <t>data/industry_study/generated_revision/artifact_payload.json</t>
        </is>
      </c>
      <c r="N353" s="75" t="inlineStr">
        <is>
          <t>N/D</t>
        </is>
      </c>
      <c r="O353" s="75" t="inlineStr">
        <is>
          <t>Denominação cortada pela largura da coluna na foto.</t>
        </is>
      </c>
    </row>
    <row r="354" ht="43.5" customHeight="1">
      <c r="A354" s="142" t="n">
        <v>51554551000138</v>
      </c>
      <c r="B354" s="75" t="inlineStr">
        <is>
          <t>51.554.551/0001-38</t>
        </is>
      </c>
      <c r="C354" s="75" t="inlineStr">
        <is>
          <t>cedente</t>
        </is>
      </c>
      <c r="D354" s="75" t="inlineStr">
        <is>
          <t>a COMPANHIA NITRO QUÍMICA BRASILEIRA, com sede na cidade de São Paulo, Estado de São Paulo, na Avenida Doutor José Artur Nova, nº 951, São Miguel Paulista,</t>
        </is>
      </c>
      <c r="E354" s="75" t="inlineStr">
        <is>
          <t>N/D</t>
        </is>
      </c>
      <c r="F354" s="75" t="inlineStr">
        <is>
          <t>regulamento</t>
        </is>
      </c>
      <c r="G354" s="75" t="inlineStr">
        <is>
          <t>806373</t>
        </is>
      </c>
      <c r="H354" s="75" t="inlineStr">
        <is>
          <t>Regulamento</t>
        </is>
      </c>
      <c r="I354" s="75" t="inlineStr">
        <is>
          <t>17/12/2024</t>
        </is>
      </c>
      <c r="J354" s="75" t="inlineStr">
        <is>
          <t>64</t>
        </is>
      </c>
      <c r="K354" s="75" t="inlineStr">
        <is>
          <t>encontrado_explicito</t>
        </is>
      </c>
      <c r="L354" s="144" t="n">
        <v>0.95</v>
      </c>
      <c r="M354" s="75" t="inlineStr">
        <is>
          <t>.cache/carteira_101_document_scan/51554551000138/806373.json.gz</t>
        </is>
      </c>
      <c r="N354" s="75" t="inlineStr">
        <is>
          <t>https://fnet.bmfbovespa.com.br/fnet/publico/downloadDocumento?id=806373</t>
        </is>
      </c>
      <c r="O354" s="75" t="inlineStr">
        <is>
          <t>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t>
        </is>
      </c>
    </row>
    <row r="355" ht="43.5" customHeight="1">
      <c r="A355" s="142" t="n">
        <v>51554551000138</v>
      </c>
      <c r="B355" s="75" t="inlineStr">
        <is>
          <t>51.554.551/0001-38</t>
        </is>
      </c>
      <c r="C355" s="75" t="inlineStr">
        <is>
          <t>cedente</t>
        </is>
      </c>
      <c r="D35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5" s="75" t="inlineStr">
        <is>
          <t>N/D</t>
        </is>
      </c>
      <c r="F355" s="75" t="inlineStr">
        <is>
          <t>regulamento</t>
        </is>
      </c>
      <c r="G355" s="75" t="inlineStr">
        <is>
          <t>1261911</t>
        </is>
      </c>
      <c r="H355" s="75" t="inlineStr">
        <is>
          <t>Regulamento</t>
        </is>
      </c>
      <c r="I355" s="75" t="inlineStr">
        <is>
          <t>18/06/2026</t>
        </is>
      </c>
      <c r="J355" s="75" t="inlineStr">
        <is>
          <t>63</t>
        </is>
      </c>
      <c r="K355" s="75" t="inlineStr">
        <is>
          <t>encontrado_explicito</t>
        </is>
      </c>
      <c r="L355" s="144" t="n">
        <v>0.95</v>
      </c>
      <c r="M355" s="75" t="inlineStr">
        <is>
          <t>.cache/carteira_101_document_scan/51554551000138/1261911.json.gz</t>
        </is>
      </c>
      <c r="N355" s="75" t="inlineStr">
        <is>
          <t>https://fnet.bmfbovespa.com.br/fnet/publico/downloadDocumento?id=1261911</t>
        </is>
      </c>
      <c r="O355"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6" ht="43.5" customHeight="1">
      <c r="A356" s="142" t="n">
        <v>51554551000138</v>
      </c>
      <c r="B356" s="75" t="inlineStr">
        <is>
          <t>51.554.551/0001-38</t>
        </is>
      </c>
      <c r="C356" s="75" t="inlineStr">
        <is>
          <t>cedente</t>
        </is>
      </c>
      <c r="D356"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6" s="75" t="inlineStr">
        <is>
          <t>N/D</t>
        </is>
      </c>
      <c r="F356" s="75" t="inlineStr">
        <is>
          <t>assembleia</t>
        </is>
      </c>
      <c r="G356" s="75" t="inlineStr">
        <is>
          <t>1261909</t>
        </is>
      </c>
      <c r="H356" s="75" t="inlineStr">
        <is>
          <t>Assembleia AGE Ata da Assembleia</t>
        </is>
      </c>
      <c r="I356" s="75" t="inlineStr">
        <is>
          <t>15/06/2026 10:00</t>
        </is>
      </c>
      <c r="J356" s="75" t="inlineStr">
        <is>
          <t>63</t>
        </is>
      </c>
      <c r="K356" s="75" t="inlineStr">
        <is>
          <t>encontrado_explicito</t>
        </is>
      </c>
      <c r="L356" s="144" t="n">
        <v>0.95</v>
      </c>
      <c r="M356" s="75" t="inlineStr">
        <is>
          <t>.cache/carteira_101_document_scan/51554551000138/1261909.json.gz</t>
        </is>
      </c>
      <c r="N356" s="75" t="inlineStr">
        <is>
          <t>https://fnet.bmfbovespa.com.br/fnet/publico/downloadDocumento?id=1261909</t>
        </is>
      </c>
      <c r="O356"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7" ht="43.5" customHeight="1">
      <c r="A357" s="142" t="n">
        <v>51554551000138</v>
      </c>
      <c r="B357" s="75" t="inlineStr">
        <is>
          <t>51.554.551/0001-38</t>
        </is>
      </c>
      <c r="C357" s="75" t="inlineStr">
        <is>
          <t>cedente</t>
        </is>
      </c>
      <c r="D357" s="75" t="inlineStr">
        <is>
          <t>Nitroquímica</t>
        </is>
      </c>
      <c r="E357" s="75" t="inlineStr">
        <is>
          <t>N/D</t>
        </is>
      </c>
      <c r="F357" s="75" t="inlineStr">
        <is>
          <t>planilha_manual</t>
        </is>
      </c>
      <c r="G357" s="75" t="inlineStr">
        <is>
          <t>IMG_8706.JPG</t>
        </is>
      </c>
      <c r="H357" s="75" t="inlineStr">
        <is>
          <t>payload</t>
        </is>
      </c>
      <c r="I357" s="75" t="inlineStr">
        <is>
          <t>2026-06-18</t>
        </is>
      </c>
      <c r="J357" s="75" t="inlineStr">
        <is>
          <t>71</t>
        </is>
      </c>
      <c r="K357" s="75" t="inlineStr">
        <is>
          <t>aceito_payload</t>
        </is>
      </c>
      <c r="L357" s="144" t="n">
        <v>1</v>
      </c>
      <c r="M357" s="75" t="inlineStr">
        <is>
          <t>data/industry_study/generated_revision/artifact_payload.json</t>
        </is>
      </c>
      <c r="N357" s="75" t="inlineStr">
        <is>
          <t>N/D</t>
        </is>
      </c>
      <c r="O357" s="75" t="inlineStr">
        <is>
          <t>Denominação cortada pela largura da coluna na foto.</t>
        </is>
      </c>
    </row>
    <row r="358" ht="43.5" customHeight="1">
      <c r="A358" s="142" t="n">
        <v>51554551000138</v>
      </c>
      <c r="B358" s="75" t="inlineStr">
        <is>
          <t>51.554.551/0001-38</t>
        </is>
      </c>
      <c r="C358" s="75" t="inlineStr">
        <is>
          <t>minimo_estrutural_total</t>
        </is>
      </c>
      <c r="D358" s="75" t="inlineStr">
        <is>
          <t>25%</t>
        </is>
      </c>
      <c r="E358" s="75" t="inlineStr">
        <is>
          <t>suporte_combinado_pl</t>
        </is>
      </c>
      <c r="F358" s="75" t="inlineStr">
        <is>
          <t>payload_documental</t>
        </is>
      </c>
      <c r="G358" s="75" t="inlineStr">
        <is>
          <t>1261911</t>
        </is>
      </c>
      <c r="H358" s="75" t="inlineStr">
        <is>
          <t>documento_curado</t>
        </is>
      </c>
      <c r="I358" s="75" t="inlineStr">
        <is>
          <t>2026-06-18</t>
        </is>
      </c>
      <c r="J358" s="75" t="inlineStr">
        <is>
          <t>71</t>
        </is>
      </c>
      <c r="K358" s="75" t="inlineStr">
        <is>
          <t>aceito_payload</t>
        </is>
      </c>
      <c r="L358" s="144" t="n">
        <v>1</v>
      </c>
      <c r="M358" s="75" t="inlineStr">
        <is>
          <t>data/industry_study/generated_revision/artifact_payload.json</t>
        </is>
      </c>
      <c r="N358" s="75" t="inlineStr">
        <is>
          <t>https://fnet.bmfbovespa.com.br/fnet/publico/downloadDocumento?id=1261911</t>
        </is>
      </c>
      <c r="O358" s="75" t="inlineStr">
        <is>
          <t>N/D</t>
        </is>
      </c>
    </row>
    <row r="359" ht="43.5" customHeight="1">
      <c r="A359" s="142" t="n">
        <v>51554551000138</v>
      </c>
      <c r="B359" s="75" t="inlineStr">
        <is>
          <t>51.554.551/0001-38</t>
        </is>
      </c>
      <c r="C359" s="75" t="inlineStr">
        <is>
          <t>natureza_indice</t>
        </is>
      </c>
      <c r="D359" s="75" t="inlineStr">
        <is>
          <t>suporte_combinado_pl</t>
        </is>
      </c>
      <c r="E359" s="75" t="inlineStr">
        <is>
          <t>suporte_combinado_pl</t>
        </is>
      </c>
      <c r="F359" s="75" t="inlineStr">
        <is>
          <t>payload_documental</t>
        </is>
      </c>
      <c r="G359" s="75" t="inlineStr">
        <is>
          <t>1261911</t>
        </is>
      </c>
      <c r="H359" s="75" t="inlineStr">
        <is>
          <t>documento_curado</t>
        </is>
      </c>
      <c r="I359" s="75" t="inlineStr">
        <is>
          <t>2026-06-18</t>
        </is>
      </c>
      <c r="J359" s="75" t="inlineStr">
        <is>
          <t>71</t>
        </is>
      </c>
      <c r="K359" s="75" t="inlineStr">
        <is>
          <t>aceito_payload</t>
        </is>
      </c>
      <c r="L359" s="144" t="n">
        <v>1</v>
      </c>
      <c r="M359" s="75" t="inlineStr">
        <is>
          <t>data/industry_study/generated_revision/artifact_payload.json</t>
        </is>
      </c>
      <c r="N359" s="75" t="inlineStr">
        <is>
          <t>https://fnet.bmfbovespa.com.br/fnet/publico/downloadDocumento?id=1261911</t>
        </is>
      </c>
      <c r="O359" s="75" t="inlineStr">
        <is>
          <t>N/D</t>
        </is>
      </c>
    </row>
    <row r="360" ht="43.5" customHeight="1">
      <c r="A360" s="142" t="n">
        <v>51554551000138</v>
      </c>
      <c r="B360" s="75" t="inlineStr">
        <is>
          <t>51.554.551/0001-38</t>
        </is>
      </c>
      <c r="C360" s="75" t="inlineStr">
        <is>
          <t>sacado_devedor</t>
        </is>
      </c>
      <c r="D360"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0" s="75" t="inlineStr">
        <is>
          <t>N/D</t>
        </is>
      </c>
      <c r="F360" s="75" t="inlineStr">
        <is>
          <t>regulamento</t>
        </is>
      </c>
      <c r="G360" s="75" t="inlineStr">
        <is>
          <t>806373</t>
        </is>
      </c>
      <c r="H360" s="75" t="inlineStr">
        <is>
          <t>Regulamento</t>
        </is>
      </c>
      <c r="I360" s="75" t="inlineStr">
        <is>
          <t>17/12/2024</t>
        </is>
      </c>
      <c r="J360" s="75" t="inlineStr">
        <is>
          <t>70</t>
        </is>
      </c>
      <c r="K360" s="75" t="inlineStr">
        <is>
          <t>encontrado_explicito</t>
        </is>
      </c>
      <c r="L360" s="144" t="n">
        <v>0.95</v>
      </c>
      <c r="M360" s="75" t="inlineStr">
        <is>
          <t>.cache/carteira_101_document_scan/51554551000138/806373.json.gz</t>
        </is>
      </c>
      <c r="N360" s="75" t="inlineStr">
        <is>
          <t>https://fnet.bmfbovespa.com.br/fnet/publico/downloadDocumento?id=806373</t>
        </is>
      </c>
      <c r="O360"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1" ht="43.5" customHeight="1">
      <c r="A361" s="142" t="n">
        <v>51554551000138</v>
      </c>
      <c r="B361" s="75" t="inlineStr">
        <is>
          <t>51.554.551/0001-38</t>
        </is>
      </c>
      <c r="C361" s="75" t="inlineStr">
        <is>
          <t>sacado_devedor</t>
        </is>
      </c>
      <c r="D361"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1" s="75" t="inlineStr">
        <is>
          <t>N/D</t>
        </is>
      </c>
      <c r="F361" s="75" t="inlineStr">
        <is>
          <t>regulamento</t>
        </is>
      </c>
      <c r="G361" s="75" t="inlineStr">
        <is>
          <t>1261911</t>
        </is>
      </c>
      <c r="H361" s="75" t="inlineStr">
        <is>
          <t>Regulamento</t>
        </is>
      </c>
      <c r="I361" s="75" t="inlineStr">
        <is>
          <t>18/06/2026</t>
        </is>
      </c>
      <c r="J361" s="75" t="inlineStr">
        <is>
          <t>68</t>
        </is>
      </c>
      <c r="K361" s="75" t="inlineStr">
        <is>
          <t>encontrado_explicito</t>
        </is>
      </c>
      <c r="L361" s="144" t="n">
        <v>0.95</v>
      </c>
      <c r="M361" s="75" t="inlineStr">
        <is>
          <t>.cache/carteira_101_document_scan/51554551000138/1261911.json.gz</t>
        </is>
      </c>
      <c r="N361" s="75" t="inlineStr">
        <is>
          <t>https://fnet.bmfbovespa.com.br/fnet/publico/downloadDocumento?id=1261911</t>
        </is>
      </c>
      <c r="O361"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2" ht="43.5" customHeight="1">
      <c r="A362" s="142" t="n">
        <v>51554551000138</v>
      </c>
      <c r="B362" s="75" t="inlineStr">
        <is>
          <t>51.554.551/0001-38</t>
        </is>
      </c>
      <c r="C362" s="75" t="inlineStr">
        <is>
          <t>sacado_devedor</t>
        </is>
      </c>
      <c r="D362"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2" s="75" t="inlineStr">
        <is>
          <t>N/D</t>
        </is>
      </c>
      <c r="F362" s="75" t="inlineStr">
        <is>
          <t>assembleia</t>
        </is>
      </c>
      <c r="G362" s="75" t="inlineStr">
        <is>
          <t>1261909</t>
        </is>
      </c>
      <c r="H362" s="75" t="inlineStr">
        <is>
          <t>Assembleia AGE Ata da Assembleia</t>
        </is>
      </c>
      <c r="I362" s="75" t="inlineStr">
        <is>
          <t>15/06/2026 10:00</t>
        </is>
      </c>
      <c r="J362" s="75" t="inlineStr">
        <is>
          <t>68</t>
        </is>
      </c>
      <c r="K362" s="75" t="inlineStr">
        <is>
          <t>encontrado_explicito</t>
        </is>
      </c>
      <c r="L362" s="144" t="n">
        <v>0.95</v>
      </c>
      <c r="M362" s="75" t="inlineStr">
        <is>
          <t>.cache/carteira_101_document_scan/51554551000138/1261909.json.gz</t>
        </is>
      </c>
      <c r="N362" s="75" t="inlineStr">
        <is>
          <t>https://fnet.bmfbovespa.com.br/fnet/publico/downloadDocumento?id=1261909</t>
        </is>
      </c>
      <c r="O362"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3" ht="43.5" customHeight="1">
      <c r="A363" s="142" t="n">
        <v>51554551000138</v>
      </c>
      <c r="B363" s="75" t="inlineStr">
        <is>
          <t>51.554.551/0001-38</t>
        </is>
      </c>
      <c r="C363" s="75" t="inlineStr">
        <is>
          <t>tipo_recebivel</t>
        </is>
      </c>
      <c r="D363"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3" s="75" t="inlineStr">
        <is>
          <t>N/D</t>
        </is>
      </c>
      <c r="F363" s="75" t="inlineStr">
        <is>
          <t>regulamento</t>
        </is>
      </c>
      <c r="G363" s="75" t="inlineStr">
        <is>
          <t>806373</t>
        </is>
      </c>
      <c r="H363" s="75" t="inlineStr">
        <is>
          <t>Regulamento</t>
        </is>
      </c>
      <c r="I363" s="75" t="inlineStr">
        <is>
          <t>17/12/2024</t>
        </is>
      </c>
      <c r="J363" s="75" t="inlineStr">
        <is>
          <t>70</t>
        </is>
      </c>
      <c r="K363" s="75" t="inlineStr">
        <is>
          <t>encontrado_explicito</t>
        </is>
      </c>
      <c r="L363" s="144" t="n">
        <v>0.92</v>
      </c>
      <c r="M363" s="75" t="inlineStr">
        <is>
          <t>.cache/carteira_101_document_scan/51554551000138/806373.json.gz</t>
        </is>
      </c>
      <c r="N363" s="75" t="inlineStr">
        <is>
          <t>https://fnet.bmfbovespa.com.br/fnet/publico/downloadDocumento?id=806373</t>
        </is>
      </c>
      <c r="O363" s="75" t="inlineStr">
        <is>
          <t>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t>
        </is>
      </c>
    </row>
    <row r="364" ht="43.5" customHeight="1">
      <c r="A364" s="142" t="n">
        <v>51554551000138</v>
      </c>
      <c r="B364" s="75" t="inlineStr">
        <is>
          <t>51.554.551/0001-38</t>
        </is>
      </c>
      <c r="C364" s="75" t="inlineStr">
        <is>
          <t>tipo_recebivel</t>
        </is>
      </c>
      <c r="D364"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4" s="75" t="inlineStr">
        <is>
          <t>N/D</t>
        </is>
      </c>
      <c r="F364" s="75" t="inlineStr">
        <is>
          <t>regulamento</t>
        </is>
      </c>
      <c r="G364" s="75" t="inlineStr">
        <is>
          <t>1261911</t>
        </is>
      </c>
      <c r="H364" s="75" t="inlineStr">
        <is>
          <t>Regulamento</t>
        </is>
      </c>
      <c r="I364" s="75" t="inlineStr">
        <is>
          <t>18/06/2026</t>
        </is>
      </c>
      <c r="J364" s="75" t="inlineStr">
        <is>
          <t>15</t>
        </is>
      </c>
      <c r="K364" s="75" t="inlineStr">
        <is>
          <t>encontrado_explicito</t>
        </is>
      </c>
      <c r="L364" s="144" t="n">
        <v>0.92</v>
      </c>
      <c r="M364" s="75" t="inlineStr">
        <is>
          <t>.cache/carteira_101_document_scan/51554551000138/1261911.json.gz</t>
        </is>
      </c>
      <c r="N364" s="75" t="inlineStr">
        <is>
          <t>https://fnet.bmfbovespa.com.br/fnet/publico/downloadDocumento?id=1261911</t>
        </is>
      </c>
      <c r="O364"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5" ht="43.5" customHeight="1">
      <c r="A365" s="142" t="n">
        <v>51554551000138</v>
      </c>
      <c r="B365" s="75" t="inlineStr">
        <is>
          <t>51.554.551/0001-38</t>
        </is>
      </c>
      <c r="C365" s="75" t="inlineStr">
        <is>
          <t>tipo_recebivel</t>
        </is>
      </c>
      <c r="D36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5" s="75" t="inlineStr">
        <is>
          <t>N/D</t>
        </is>
      </c>
      <c r="F365" s="75" t="inlineStr">
        <is>
          <t>assembleia</t>
        </is>
      </c>
      <c r="G365" s="75" t="inlineStr">
        <is>
          <t>1261909</t>
        </is>
      </c>
      <c r="H365" s="75" t="inlineStr">
        <is>
          <t>Assembleia AGE Ata da Assembleia</t>
        </is>
      </c>
      <c r="I365" s="75" t="inlineStr">
        <is>
          <t>15/06/2026 10:00</t>
        </is>
      </c>
      <c r="J365" s="75" t="inlineStr">
        <is>
          <t>15</t>
        </is>
      </c>
      <c r="K365" s="75" t="inlineStr">
        <is>
          <t>encontrado_explicito</t>
        </is>
      </c>
      <c r="L365" s="144" t="n">
        <v>0.92</v>
      </c>
      <c r="M365" s="75" t="inlineStr">
        <is>
          <t>.cache/carteira_101_document_scan/51554551000138/1261909.json.gz</t>
        </is>
      </c>
      <c r="N365" s="75" t="inlineStr">
        <is>
          <t>https://fnet.bmfbovespa.com.br/fnet/publico/downloadDocumento?id=1261909</t>
        </is>
      </c>
      <c r="O365"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6" ht="43.5" customHeight="1">
      <c r="A366" s="142" t="n">
        <v>51554551000138</v>
      </c>
      <c r="B366" s="75" t="inlineStr">
        <is>
          <t>51.554.551/0001-38</t>
        </is>
      </c>
      <c r="C366" s="75" t="inlineStr">
        <is>
          <t>tipo_recebivel</t>
        </is>
      </c>
      <c r="D366" s="75" t="inlineStr">
        <is>
          <t>Insumos Agrícolas - prazo Safra</t>
        </is>
      </c>
      <c r="E366" s="75" t="inlineStr">
        <is>
          <t>N/D</t>
        </is>
      </c>
      <c r="F366" s="75" t="inlineStr">
        <is>
          <t>planilha_manual</t>
        </is>
      </c>
      <c r="G366" s="75" t="inlineStr">
        <is>
          <t>IMG_8706.JPG</t>
        </is>
      </c>
      <c r="H366" s="75" t="inlineStr">
        <is>
          <t>payload</t>
        </is>
      </c>
      <c r="I366" s="75" t="inlineStr">
        <is>
          <t>2026-06-18</t>
        </is>
      </c>
      <c r="J366" s="75" t="inlineStr">
        <is>
          <t>71</t>
        </is>
      </c>
      <c r="K366" s="75" t="inlineStr">
        <is>
          <t>aceito_payload</t>
        </is>
      </c>
      <c r="L366" s="144" t="n">
        <v>1</v>
      </c>
      <c r="M366" s="75" t="inlineStr">
        <is>
          <t>data/industry_study/generated_revision/artifact_payload.json</t>
        </is>
      </c>
      <c r="N366" s="75" t="inlineStr">
        <is>
          <t>N/D</t>
        </is>
      </c>
      <c r="O366" s="75" t="inlineStr">
        <is>
          <t>Denominação cortada pela largura da coluna na foto.</t>
        </is>
      </c>
    </row>
    <row r="367" ht="43.5" customHeight="1">
      <c r="A367" s="142" t="n">
        <v>52100879000147</v>
      </c>
      <c r="B367" s="75" t="inlineStr">
        <is>
          <t>52.100.879/0001-47</t>
        </is>
      </c>
      <c r="C367" s="75" t="inlineStr">
        <is>
          <t>cedente</t>
        </is>
      </c>
      <c r="D367" s="75" t="inlineStr">
        <is>
          <t>a Sotreq e a Somov, na qualidade de cedentes de Direitos Creditórios, por meio de sua matriz ou de suas filiais</t>
        </is>
      </c>
      <c r="E367" s="75" t="inlineStr">
        <is>
          <t>N/D</t>
        </is>
      </c>
      <c r="F367" s="75" t="inlineStr">
        <is>
          <t>regulamento</t>
        </is>
      </c>
      <c r="G367" s="75" t="inlineStr">
        <is>
          <t>1117315</t>
        </is>
      </c>
      <c r="H367" s="75" t="inlineStr">
        <is>
          <t>Regulamento</t>
        </is>
      </c>
      <c r="I367" s="75" t="inlineStr">
        <is>
          <t>06/02/2026</t>
        </is>
      </c>
      <c r="J367" s="75" t="inlineStr">
        <is>
          <t>51</t>
        </is>
      </c>
      <c r="K367" s="75" t="inlineStr">
        <is>
          <t>encontrado_explicito</t>
        </is>
      </c>
      <c r="L367" s="144" t="n">
        <v>0.95</v>
      </c>
      <c r="M367" s="75" t="inlineStr">
        <is>
          <t>.cache/carteira_101_document_scan/52100879000147/1117315.json.gz</t>
        </is>
      </c>
      <c r="N367" s="75" t="inlineStr">
        <is>
          <t>https://fnet.bmfbovespa.com.br/fnet/publico/downloadDocumento?id=1117315</t>
        </is>
      </c>
      <c r="O367" s="75" t="inlineStr">
        <is>
          <t>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t>
        </is>
      </c>
    </row>
    <row r="368" ht="43.5" customHeight="1">
      <c r="A368" s="142" t="n">
        <v>52100879000147</v>
      </c>
      <c r="B368" s="75" t="inlineStr">
        <is>
          <t>52.100.879/0001-47</t>
        </is>
      </c>
      <c r="C368" s="75" t="inlineStr">
        <is>
          <t>cedente</t>
        </is>
      </c>
      <c r="D368" s="75" t="inlineStr">
        <is>
          <t>a Sotreq e a Somov, na qualidade de cedentes de Direitos Creditórios, por meio de sua matriz ou de suas filiais. - 9 -</t>
        </is>
      </c>
      <c r="E368" s="75" t="inlineStr">
        <is>
          <t>N/D</t>
        </is>
      </c>
      <c r="F368" s="75" t="inlineStr">
        <is>
          <t>regulamento</t>
        </is>
      </c>
      <c r="G368" s="75" t="inlineStr">
        <is>
          <t>740367</t>
        </is>
      </c>
      <c r="H368" s="75" t="inlineStr">
        <is>
          <t>Regulamento</t>
        </is>
      </c>
      <c r="I368" s="75" t="inlineStr">
        <is>
          <t>17/09/2024</t>
        </is>
      </c>
      <c r="J368" s="75" t="inlineStr">
        <is>
          <t>50</t>
        </is>
      </c>
      <c r="K368" s="75" t="inlineStr">
        <is>
          <t>encontrado_explicito</t>
        </is>
      </c>
      <c r="L368" s="144" t="n">
        <v>0.95</v>
      </c>
      <c r="M368" s="75" t="inlineStr">
        <is>
          <t>.cache/carteira_101_document_scan/52100879000147/740367.json.gz</t>
        </is>
      </c>
      <c r="N368" s="75" t="inlineStr">
        <is>
          <t>https://fnet.bmfbovespa.com.br/fnet/publico/downloadDocumento?id=740367</t>
        </is>
      </c>
      <c r="O368" s="75" t="inlineStr">
        <is>
          <t>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t>
        </is>
      </c>
    </row>
    <row r="369" ht="43.5" customHeight="1">
      <c r="A369" s="142" t="n">
        <v>52100879000147</v>
      </c>
      <c r="B369" s="75" t="inlineStr">
        <is>
          <t>52.100.879/0001-47</t>
        </is>
      </c>
      <c r="C369" s="75" t="inlineStr">
        <is>
          <t>cedente</t>
        </is>
      </c>
      <c r="D369" s="75" t="inlineStr">
        <is>
          <t>Sotreq</t>
        </is>
      </c>
      <c r="E369" s="75" t="inlineStr">
        <is>
          <t>N/D</t>
        </is>
      </c>
      <c r="F369" s="75" t="inlineStr">
        <is>
          <t>planilha_manual</t>
        </is>
      </c>
      <c r="G369" s="75" t="inlineStr">
        <is>
          <t>IMG_8704.JPG</t>
        </is>
      </c>
      <c r="H369" s="75" t="inlineStr">
        <is>
          <t>payload</t>
        </is>
      </c>
      <c r="I369" s="75" t="inlineStr">
        <is>
          <t>2026-02-06</t>
        </is>
      </c>
      <c r="J369" s="75" t="inlineStr">
        <is>
          <t>49</t>
        </is>
      </c>
      <c r="K369" s="75" t="inlineStr">
        <is>
          <t>aceito_payload</t>
        </is>
      </c>
      <c r="L369" s="144" t="n">
        <v>1</v>
      </c>
      <c r="M369" s="75" t="inlineStr">
        <is>
          <t>data/industry_study/generated_revision/artifact_payload.json</t>
        </is>
      </c>
      <c r="N369" s="75" t="inlineStr">
        <is>
          <t>N/D</t>
        </is>
      </c>
      <c r="O369" s="75" t="inlineStr">
        <is>
          <t>Denominação cortada pela largura da coluna na foto.</t>
        </is>
      </c>
    </row>
    <row r="370" ht="43.5" customHeight="1">
      <c r="A370" s="142" t="n">
        <v>52100879000147</v>
      </c>
      <c r="B370" s="75" t="inlineStr">
        <is>
          <t>52.100.879/0001-47</t>
        </is>
      </c>
      <c r="C370" s="75" t="inlineStr">
        <is>
          <t>minimo_estrutural_total</t>
        </is>
      </c>
      <c r="D370" s="75" t="inlineStr">
        <is>
          <t>25%</t>
        </is>
      </c>
      <c r="E370" s="75" t="inlineStr">
        <is>
          <t>suporte_total_pl</t>
        </is>
      </c>
      <c r="F370" s="75" t="inlineStr">
        <is>
          <t>payload_documental</t>
        </is>
      </c>
      <c r="G370" s="75" t="inlineStr">
        <is>
          <t>1117315</t>
        </is>
      </c>
      <c r="H370" s="75" t="inlineStr">
        <is>
          <t>documento_curado</t>
        </is>
      </c>
      <c r="I370" s="75" t="inlineStr">
        <is>
          <t>2026-02-06</t>
        </is>
      </c>
      <c r="J370" s="75" t="inlineStr">
        <is>
          <t>49</t>
        </is>
      </c>
      <c r="K370" s="75" t="inlineStr">
        <is>
          <t>aceito_payload</t>
        </is>
      </c>
      <c r="L370" s="144" t="n">
        <v>1</v>
      </c>
      <c r="M370" s="75" t="inlineStr">
        <is>
          <t>data/industry_study/generated_revision/artifact_payload.json</t>
        </is>
      </c>
      <c r="N370" s="75" t="inlineStr">
        <is>
          <t>https://fnet.bmfbovespa.com.br/fnet/publico/downloadDocumento?id=1117315</t>
        </is>
      </c>
      <c r="O370" s="75" t="inlineStr">
        <is>
          <t>N/D</t>
        </is>
      </c>
    </row>
    <row r="371" ht="43.5" customHeight="1">
      <c r="A371" s="142" t="n">
        <v>52100879000147</v>
      </c>
      <c r="B371" s="75" t="inlineStr">
        <is>
          <t>52.100.879/0001-47</t>
        </is>
      </c>
      <c r="C371" s="75" t="inlineStr">
        <is>
          <t>natureza_indice</t>
        </is>
      </c>
      <c r="D371" s="75" t="inlineStr">
        <is>
          <t>suporte_total_pl</t>
        </is>
      </c>
      <c r="E371" s="75" t="inlineStr">
        <is>
          <t>suporte_total_pl</t>
        </is>
      </c>
      <c r="F371" s="75" t="inlineStr">
        <is>
          <t>payload_documental</t>
        </is>
      </c>
      <c r="G371" s="75" t="inlineStr">
        <is>
          <t>1117315</t>
        </is>
      </c>
      <c r="H371" s="75" t="inlineStr">
        <is>
          <t>documento_curado</t>
        </is>
      </c>
      <c r="I371" s="75" t="inlineStr">
        <is>
          <t>2026-02-06</t>
        </is>
      </c>
      <c r="J371" s="75" t="inlineStr">
        <is>
          <t>49</t>
        </is>
      </c>
      <c r="K371" s="75" t="inlineStr">
        <is>
          <t>aceito_payload</t>
        </is>
      </c>
      <c r="L371" s="144" t="n">
        <v>1</v>
      </c>
      <c r="M371" s="75" t="inlineStr">
        <is>
          <t>data/industry_study/generated_revision/artifact_payload.json</t>
        </is>
      </c>
      <c r="N371" s="75" t="inlineStr">
        <is>
          <t>https://fnet.bmfbovespa.com.br/fnet/publico/downloadDocumento?id=1117315</t>
        </is>
      </c>
      <c r="O371" s="75" t="inlineStr">
        <is>
          <t>N/D</t>
        </is>
      </c>
    </row>
    <row r="372" ht="43.5" customHeight="1">
      <c r="A372" s="142" t="n">
        <v>52271464000136</v>
      </c>
      <c r="B372" s="75" t="inlineStr">
        <is>
          <t>52.271.464/0001-36</t>
        </is>
      </c>
      <c r="C372" s="75" t="inlineStr">
        <is>
          <t>cedente</t>
        </is>
      </c>
      <c r="D372" s="75" t="inlineStr">
        <is>
          <t>a Subcredenciadora</t>
        </is>
      </c>
      <c r="E372" s="75" t="inlineStr">
        <is>
          <t>N/D</t>
        </is>
      </c>
      <c r="F372" s="75" t="inlineStr">
        <is>
          <t>regulamento</t>
        </is>
      </c>
      <c r="G372" s="75" t="inlineStr">
        <is>
          <t>1007659</t>
        </is>
      </c>
      <c r="H372" s="75" t="inlineStr">
        <is>
          <t>Regulamento</t>
        </is>
      </c>
      <c r="I372" s="75" t="inlineStr">
        <is>
          <t>02/10/2025</t>
        </is>
      </c>
      <c r="J372" s="75" t="inlineStr">
        <is>
          <t>7</t>
        </is>
      </c>
      <c r="K372" s="75" t="inlineStr">
        <is>
          <t>encontrado_explicito</t>
        </is>
      </c>
      <c r="L372" s="144" t="n">
        <v>0.95</v>
      </c>
      <c r="M372" s="75" t="inlineStr">
        <is>
          <t>.cache/carteira_101_document_scan/52271464000136/1007659.json.gz</t>
        </is>
      </c>
      <c r="N372" s="75" t="inlineStr">
        <is>
          <t>https://fnet.bmfbovespa.com.br/fnet/publico/downloadDocumento?id=1007659</t>
        </is>
      </c>
      <c r="O372" s="75" t="inlineStr">
        <is>
          <t>arcas, nomes ou logomarcas admitidas na Plataforma Kiwify, instrumento este utilizado em Transações de Pagamento. “Cedente” significa a Subcredenciadora. “Chargeback” significa a contestação de Transação(ões) de Pagamento, seja no todo ou em parte, por parte de Comp</t>
        </is>
      </c>
    </row>
    <row r="373" ht="43.5" customHeight="1">
      <c r="A373" s="142" t="n">
        <v>52271464000136</v>
      </c>
      <c r="B373" s="75" t="inlineStr">
        <is>
          <t>52.271.464/0001-36</t>
        </is>
      </c>
      <c r="C373" s="75" t="inlineStr">
        <is>
          <t>cedente</t>
        </is>
      </c>
      <c r="D373" s="75" t="inlineStr">
        <is>
          <t>a Subcredenciadora</t>
        </is>
      </c>
      <c r="E373" s="75" t="inlineStr">
        <is>
          <t>N/D</t>
        </is>
      </c>
      <c r="F373" s="75" t="inlineStr">
        <is>
          <t>regulamento</t>
        </is>
      </c>
      <c r="G373" s="75" t="inlineStr">
        <is>
          <t>1155755</t>
        </is>
      </c>
      <c r="H373" s="75" t="inlineStr">
        <is>
          <t>Regulamento</t>
        </is>
      </c>
      <c r="I373" s="75" t="inlineStr">
        <is>
          <t>18/03/2026</t>
        </is>
      </c>
      <c r="J373" s="75" t="inlineStr">
        <is>
          <t>7</t>
        </is>
      </c>
      <c r="K373" s="75" t="inlineStr">
        <is>
          <t>encontrado_explicito</t>
        </is>
      </c>
      <c r="L373" s="144" t="n">
        <v>0.95</v>
      </c>
      <c r="M373" s="75" t="inlineStr">
        <is>
          <t>.cache/carteira_101_document_scan/52271464000136/1155755.json.gz</t>
        </is>
      </c>
      <c r="N373" s="75" t="inlineStr">
        <is>
          <t>https://fnet.bmfbovespa.com.br/fnet/publico/downloadDocumento?id=1155755</t>
        </is>
      </c>
      <c r="O373" s="75" t="inlineStr">
        <is>
          <t>arcas, nomes ou logomarcas admitidas na Plataforma Kiwify, instrumento este utilizado em Transações de Pagamento. “Cedente” significa a Subcredenciadora. Docusign Envelope ID: DD8282DA-53D2-4EE1-9E04-15A3856127FF 8 “Chargeback” significa a contestação de Transaçã</t>
        </is>
      </c>
    </row>
    <row r="374" ht="43.5" customHeight="1">
      <c r="A374" s="142" t="n">
        <v>52271464000136</v>
      </c>
      <c r="B374" s="75" t="inlineStr">
        <is>
          <t>52.271.464/0001-36</t>
        </is>
      </c>
      <c r="C374" s="75" t="inlineStr">
        <is>
          <t>minimo_junior</t>
        </is>
      </c>
      <c r="D374" s="75" t="inlineStr">
        <is>
          <t>6%</t>
        </is>
      </c>
      <c r="E374" s="75" t="inlineStr">
        <is>
          <t>junior_pl</t>
        </is>
      </c>
      <c r="F374" s="75" t="inlineStr">
        <is>
          <t>payload_documental</t>
        </is>
      </c>
      <c r="G374" s="75" t="inlineStr">
        <is>
          <t>1155755</t>
        </is>
      </c>
      <c r="H374" s="75" t="inlineStr">
        <is>
          <t>documento_curado</t>
        </is>
      </c>
      <c r="I374" s="75" t="inlineStr">
        <is>
          <t>2026-03-18</t>
        </is>
      </c>
      <c r="J374" s="75" t="inlineStr">
        <is>
          <t>18</t>
        </is>
      </c>
      <c r="K374" s="75" t="inlineStr">
        <is>
          <t>aceito_payload</t>
        </is>
      </c>
      <c r="L374" s="144" t="n">
        <v>1</v>
      </c>
      <c r="M374" s="75" t="inlineStr">
        <is>
          <t>data/industry_study/generated_revision/artifact_payload.json</t>
        </is>
      </c>
      <c r="N374" s="75" t="inlineStr">
        <is>
          <t>https://fnet.bmfbovespa.com.br/fnet/publico/downloadDocumento?id=1155755</t>
        </is>
      </c>
      <c r="O374" s="75" t="inlineStr">
        <is>
          <t>Cotas subordinadas júnior / PL, mínimo de 6,0%.</t>
        </is>
      </c>
    </row>
    <row r="375" ht="43.5" customHeight="1">
      <c r="A375" s="142" t="n">
        <v>52271464000136</v>
      </c>
      <c r="B375" s="75" t="inlineStr">
        <is>
          <t>52.271.464/0001-36</t>
        </is>
      </c>
      <c r="C375" s="75" t="inlineStr">
        <is>
          <t>natureza_indice</t>
        </is>
      </c>
      <c r="D375" s="75" t="inlineStr">
        <is>
          <t>junior_pl</t>
        </is>
      </c>
      <c r="E375" s="75" t="inlineStr">
        <is>
          <t>junior_pl</t>
        </is>
      </c>
      <c r="F375" s="75" t="inlineStr">
        <is>
          <t>payload_documental</t>
        </is>
      </c>
      <c r="G375" s="75" t="inlineStr">
        <is>
          <t>1155755</t>
        </is>
      </c>
      <c r="H375" s="75" t="inlineStr">
        <is>
          <t>documento_curado</t>
        </is>
      </c>
      <c r="I375" s="75" t="inlineStr">
        <is>
          <t>2026-03-18</t>
        </is>
      </c>
      <c r="J375" s="75" t="inlineStr">
        <is>
          <t>18</t>
        </is>
      </c>
      <c r="K375" s="75" t="inlineStr">
        <is>
          <t>aceito_payload</t>
        </is>
      </c>
      <c r="L375" s="144" t="n">
        <v>1</v>
      </c>
      <c r="M375" s="75" t="inlineStr">
        <is>
          <t>data/industry_study/generated_revision/artifact_payload.json</t>
        </is>
      </c>
      <c r="N375" s="75" t="inlineStr">
        <is>
          <t>https://fnet.bmfbovespa.com.br/fnet/publico/downloadDocumento?id=1155755</t>
        </is>
      </c>
      <c r="O375" s="75" t="inlineStr">
        <is>
          <t>Cotas subordinadas júnior / PL, mínimo de 6,0%.</t>
        </is>
      </c>
    </row>
    <row r="376" ht="43.5" customHeight="1">
      <c r="A376" s="142" t="n">
        <v>52271464000136</v>
      </c>
      <c r="B376" s="75" t="inlineStr">
        <is>
          <t>52.271.464/0001-36</t>
        </is>
      </c>
      <c r="C376" s="75" t="inlineStr">
        <is>
          <t>sacado_devedor</t>
        </is>
      </c>
      <c r="D376" s="75" t="inlineStr">
        <is>
          <t>a Credenciadora, na qualidade de devedora dos Direitos Creditórios</t>
        </is>
      </c>
      <c r="E376" s="75" t="inlineStr">
        <is>
          <t>N/D</t>
        </is>
      </c>
      <c r="F376" s="75" t="inlineStr">
        <is>
          <t>regulamento</t>
        </is>
      </c>
      <c r="G376" s="75" t="inlineStr">
        <is>
          <t>1007659</t>
        </is>
      </c>
      <c r="H376" s="75" t="inlineStr">
        <is>
          <t>Regulamento</t>
        </is>
      </c>
      <c r="I376" s="75" t="inlineStr">
        <is>
          <t>02/10/2025</t>
        </is>
      </c>
      <c r="J376" s="75" t="inlineStr">
        <is>
          <t>12</t>
        </is>
      </c>
      <c r="K376" s="75" t="inlineStr">
        <is>
          <t>encontrado_explicito</t>
        </is>
      </c>
      <c r="L376" s="144" t="n">
        <v>0.95</v>
      </c>
      <c r="M376" s="75" t="inlineStr">
        <is>
          <t>.cache/carteira_101_document_scan/52271464000136/1007659.json.gz</t>
        </is>
      </c>
      <c r="N376" s="75" t="inlineStr">
        <is>
          <t>https://fnet.bmfbovespa.com.br/fnet/publico/downloadDocumento?id=1007659</t>
        </is>
      </c>
      <c r="O376" s="75" t="inlineStr">
        <is>
          <t>.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t>
        </is>
      </c>
    </row>
    <row r="377" ht="43.5" customHeight="1">
      <c r="A377" s="142" t="n">
        <v>52271464000136</v>
      </c>
      <c r="B377" s="75" t="inlineStr">
        <is>
          <t>52.271.464/0001-36</t>
        </is>
      </c>
      <c r="C377" s="75" t="inlineStr">
        <is>
          <t>sacado_devedor</t>
        </is>
      </c>
      <c r="D377" s="75" t="inlineStr">
        <is>
          <t>a Credenciadora, na qualidade de devedora dos Direitos Creditórios</t>
        </is>
      </c>
      <c r="E377" s="75" t="inlineStr">
        <is>
          <t>N/D</t>
        </is>
      </c>
      <c r="F377" s="75" t="inlineStr">
        <is>
          <t>regulamento</t>
        </is>
      </c>
      <c r="G377" s="75" t="inlineStr">
        <is>
          <t>1155755</t>
        </is>
      </c>
      <c r="H377" s="75" t="inlineStr">
        <is>
          <t>Regulamento</t>
        </is>
      </c>
      <c r="I377" s="75" t="inlineStr">
        <is>
          <t>18/03/2026</t>
        </is>
      </c>
      <c r="J377" s="75" t="inlineStr">
        <is>
          <t>13</t>
        </is>
      </c>
      <c r="K377" s="75" t="inlineStr">
        <is>
          <t>encontrado_explicito</t>
        </is>
      </c>
      <c r="L377" s="144" t="n">
        <v>0.95</v>
      </c>
      <c r="M377" s="75" t="inlineStr">
        <is>
          <t>.cache/carteira_101_document_scan/52271464000136/1155755.json.gz</t>
        </is>
      </c>
      <c r="N377" s="75" t="inlineStr">
        <is>
          <t>https://fnet.bmfbovespa.com.br/fnet/publico/downloadDocumento?id=1155755</t>
        </is>
      </c>
      <c r="O377" s="75" t="inlineStr">
        <is>
          <t>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t>
        </is>
      </c>
    </row>
    <row r="378" ht="43.5" customHeight="1">
      <c r="A378" s="142" t="n">
        <v>52271464000136</v>
      </c>
      <c r="B378" s="75" t="inlineStr">
        <is>
          <t>52.271.464/0001-36</t>
        </is>
      </c>
      <c r="C378" s="75" t="inlineStr">
        <is>
          <t>tipo_recebivel</t>
        </is>
      </c>
      <c r="D378"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8" s="75" t="inlineStr">
        <is>
          <t>N/D</t>
        </is>
      </c>
      <c r="F378" s="75" t="inlineStr">
        <is>
          <t>regulamento</t>
        </is>
      </c>
      <c r="G378" s="75" t="inlineStr">
        <is>
          <t>1007659</t>
        </is>
      </c>
      <c r="H378" s="75" t="inlineStr">
        <is>
          <t>Regulamento</t>
        </is>
      </c>
      <c r="I378" s="75" t="inlineStr">
        <is>
          <t>02/10/2025</t>
        </is>
      </c>
      <c r="J378" s="75" t="inlineStr">
        <is>
          <t>13</t>
        </is>
      </c>
      <c r="K378" s="75" t="inlineStr">
        <is>
          <t>encontrado_explicito</t>
        </is>
      </c>
      <c r="L378" s="144" t="n">
        <v>0.92</v>
      </c>
      <c r="M378" s="75" t="inlineStr">
        <is>
          <t>.cache/carteira_101_document_scan/52271464000136/1007659.json.gz</t>
        </is>
      </c>
      <c r="N378" s="75" t="inlineStr">
        <is>
          <t>https://fnet.bmfbovespa.com.br/fnet/publico/downloadDocumento?id=1007659</t>
        </is>
      </c>
      <c r="O378"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79" ht="43.5" customHeight="1">
      <c r="A379" s="142" t="n">
        <v>52271464000136</v>
      </c>
      <c r="B379" s="75" t="inlineStr">
        <is>
          <t>52.271.464/0001-36</t>
        </is>
      </c>
      <c r="C379" s="75" t="inlineStr">
        <is>
          <t>tipo_recebivel</t>
        </is>
      </c>
      <c r="D379"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9" s="75" t="inlineStr">
        <is>
          <t>N/D</t>
        </is>
      </c>
      <c r="F379" s="75" t="inlineStr">
        <is>
          <t>regulamento</t>
        </is>
      </c>
      <c r="G379" s="75" t="inlineStr">
        <is>
          <t>1155755</t>
        </is>
      </c>
      <c r="H379" s="75" t="inlineStr">
        <is>
          <t>Regulamento</t>
        </is>
      </c>
      <c r="I379" s="75" t="inlineStr">
        <is>
          <t>18/03/2026</t>
        </is>
      </c>
      <c r="J379" s="75" t="inlineStr">
        <is>
          <t>13</t>
        </is>
      </c>
      <c r="K379" s="75" t="inlineStr">
        <is>
          <t>encontrado_explicito</t>
        </is>
      </c>
      <c r="L379" s="144" t="n">
        <v>0.92</v>
      </c>
      <c r="M379" s="75" t="inlineStr">
        <is>
          <t>.cache/carteira_101_document_scan/52271464000136/1155755.json.gz</t>
        </is>
      </c>
      <c r="N379" s="75" t="inlineStr">
        <is>
          <t>https://fnet.bmfbovespa.com.br/fnet/publico/downloadDocumento?id=1155755</t>
        </is>
      </c>
      <c r="O379"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80" ht="43.5" customHeight="1">
      <c r="A380" s="142" t="n">
        <v>52340225000190</v>
      </c>
      <c r="B380" s="75" t="inlineStr">
        <is>
          <t>52.340.225/0001-90</t>
        </is>
      </c>
      <c r="C380" s="75" t="inlineStr">
        <is>
          <t>cedente</t>
        </is>
      </c>
      <c r="D380" s="75" t="inlineStr">
        <is>
          <t>49.288.113/0001-23</t>
        </is>
      </c>
      <c r="E380" s="75" t="inlineStr">
        <is>
          <t>N/D</t>
        </is>
      </c>
      <c r="F380" s="75" t="inlineStr">
        <is>
          <t>candidate_extraction</t>
        </is>
      </c>
      <c r="G380" s="75" t="inlineStr">
        <is>
          <t>52340225000190</t>
        </is>
      </c>
      <c r="H380" s="75" t="inlineStr">
        <is>
          <t>extração heurística</t>
        </is>
      </c>
      <c r="I380" s="75" t="inlineStr">
        <is>
          <t>N/D</t>
        </is>
      </c>
      <c r="J380" s="75" t="inlineStr">
        <is>
          <t>N/D</t>
        </is>
      </c>
      <c r="K380" s="75" t="inlineStr">
        <is>
          <t>candidato_revisao</t>
        </is>
      </c>
      <c r="L380" s="144" t="n">
        <v>0.95</v>
      </c>
      <c r="M380" s="75" t="inlineStr">
        <is>
          <t>outputs/fidc_director_deep_diagnostic_20260609/pdf_text_cache/52340225000190_1171206_regulamento_regulamento_1171206_2026-03-25.txt</t>
        </is>
      </c>
      <c r="N380" s="75" t="inlineStr">
        <is>
          <t>https://fnet.bmfbovespa.com.br/fnet/publico/downloadDocumento?id=52340225000190</t>
        </is>
      </c>
      <c r="O380" s="75" t="inlineStr">
        <is>
          <t>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t>
        </is>
      </c>
    </row>
    <row r="381" ht="43.5" customHeight="1">
      <c r="A381" s="142" t="n">
        <v>52340225000190</v>
      </c>
      <c r="B381" s="75" t="inlineStr">
        <is>
          <t>52.340.225/0001-90</t>
        </is>
      </c>
      <c r="C381" s="75" t="inlineStr">
        <is>
          <t>cedente</t>
        </is>
      </c>
      <c r="D381" s="75" t="inlineStr">
        <is>
          <t>SIGNIFICA A CENCOSUD BRASIL COMERCIAL S.A</t>
        </is>
      </c>
      <c r="E381" s="75" t="inlineStr">
        <is>
          <t>N/D</t>
        </is>
      </c>
      <c r="F381" s="75" t="inlineStr">
        <is>
          <t>candidate_extraction</t>
        </is>
      </c>
      <c r="G381" s="75" t="inlineStr">
        <is>
          <t>52340225000190</t>
        </is>
      </c>
      <c r="H381" s="75" t="inlineStr">
        <is>
          <t>extração heurística</t>
        </is>
      </c>
      <c r="I381" s="75" t="inlineStr">
        <is>
          <t>N/D</t>
        </is>
      </c>
      <c r="J381" s="75" t="inlineStr">
        <is>
          <t>N/D</t>
        </is>
      </c>
      <c r="K381" s="75" t="inlineStr">
        <is>
          <t>candidato_revisao</t>
        </is>
      </c>
      <c r="L381" s="144" t="n">
        <v>0.95</v>
      </c>
      <c r="M381" s="75" t="inlineStr">
        <is>
          <t>outputs/fidc_director_deep_diagnostic_20260609/pdf_text_cache/52340225000190_1171206_regulamento_regulamento_1171206_2026-03-25.txt</t>
        </is>
      </c>
      <c r="N381" s="75" t="inlineStr">
        <is>
          <t>https://fnet.bmfbovespa.com.br/fnet/publico/downloadDocumento?id=52340225000190</t>
        </is>
      </c>
      <c r="O381" s="75" t="inlineStr">
        <is>
          <t>;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t>
        </is>
      </c>
    </row>
    <row r="382" ht="43.5" customHeight="1">
      <c r="A382" s="142" t="n">
        <v>52340225000190</v>
      </c>
      <c r="B382" s="75" t="inlineStr">
        <is>
          <t>52.340.225/0001-90</t>
        </is>
      </c>
      <c r="C382" s="75" t="inlineStr">
        <is>
          <t>minimo_junior</t>
        </is>
      </c>
      <c r="D382" s="75" t="inlineStr">
        <is>
          <t>7.5%</t>
        </is>
      </c>
      <c r="E382" s="75" t="inlineStr">
        <is>
          <t>junior_pl</t>
        </is>
      </c>
      <c r="F382" s="75" t="inlineStr">
        <is>
          <t>payload_documental</t>
        </is>
      </c>
      <c r="G382" s="75" t="inlineStr">
        <is>
          <t>1171206</t>
        </is>
      </c>
      <c r="H382" s="75" t="inlineStr">
        <is>
          <t>documento_curado</t>
        </is>
      </c>
      <c r="I382" s="75" t="inlineStr">
        <is>
          <t>2026-03-25</t>
        </is>
      </c>
      <c r="J382" s="75" t="inlineStr">
        <is>
          <t>77</t>
        </is>
      </c>
      <c r="K382" s="75" t="inlineStr">
        <is>
          <t>aceito_payload</t>
        </is>
      </c>
      <c r="L382" s="144" t="n">
        <v>1</v>
      </c>
      <c r="M382" s="75" t="inlineStr">
        <is>
          <t>data/industry_study/generated_revision/artifact_payload.json</t>
        </is>
      </c>
      <c r="N382" s="75" t="inlineStr">
        <is>
          <t>https://fnet.bmfbovespa.com.br/fnet/publico/downloadDocumento?id=1171206</t>
        </is>
      </c>
      <c r="O382" s="75" t="inlineStr">
        <is>
          <t>Índice de Subordinação Mezanino B: cotas júnior / PL, mínimo de 7,5%.</t>
        </is>
      </c>
    </row>
    <row r="383" ht="43.5" customHeight="1">
      <c r="A383" s="142" t="n">
        <v>52340225000190</v>
      </c>
      <c r="B383" s="75" t="inlineStr">
        <is>
          <t>52.340.225/0001-90</t>
        </is>
      </c>
      <c r="C383" s="75" t="inlineStr">
        <is>
          <t>natureza_indice</t>
        </is>
      </c>
      <c r="D383" s="75" t="inlineStr">
        <is>
          <t>junior_pl</t>
        </is>
      </c>
      <c r="E383" s="75" t="inlineStr">
        <is>
          <t>junior_pl</t>
        </is>
      </c>
      <c r="F383" s="75" t="inlineStr">
        <is>
          <t>payload_documental</t>
        </is>
      </c>
      <c r="G383" s="75" t="inlineStr">
        <is>
          <t>1171206</t>
        </is>
      </c>
      <c r="H383" s="75" t="inlineStr">
        <is>
          <t>documento_curado</t>
        </is>
      </c>
      <c r="I383" s="75" t="inlineStr">
        <is>
          <t>2026-03-25</t>
        </is>
      </c>
      <c r="J383" s="75" t="inlineStr">
        <is>
          <t>77</t>
        </is>
      </c>
      <c r="K383" s="75" t="inlineStr">
        <is>
          <t>aceito_payload</t>
        </is>
      </c>
      <c r="L383" s="144" t="n">
        <v>1</v>
      </c>
      <c r="M383" s="75" t="inlineStr">
        <is>
          <t>data/industry_study/generated_revision/artifact_payload.json</t>
        </is>
      </c>
      <c r="N383" s="75" t="inlineStr">
        <is>
          <t>https://fnet.bmfbovespa.com.br/fnet/publico/downloadDocumento?id=1171206</t>
        </is>
      </c>
      <c r="O383" s="75" t="inlineStr">
        <is>
          <t>Índice de Subordinação Mezanino B: cotas júnior / PL, mínimo de 7,5%.</t>
        </is>
      </c>
    </row>
    <row r="384" ht="43.5" customHeight="1">
      <c r="A384" s="142" t="n">
        <v>52340225000190</v>
      </c>
      <c r="B384" s="75" t="inlineStr">
        <is>
          <t>52.340.225/0001-90</t>
        </is>
      </c>
      <c r="C384" s="75" t="inlineStr">
        <is>
          <t>sacado_devedor</t>
        </is>
      </c>
      <c r="D384" s="75" t="inlineStr">
        <is>
          <t>o devedor dos Direitos Creditórios Adquiridos</t>
        </is>
      </c>
      <c r="E384" s="75" t="inlineStr">
        <is>
          <t>N/D</t>
        </is>
      </c>
      <c r="F384" s="75" t="inlineStr">
        <is>
          <t>regulamento</t>
        </is>
      </c>
      <c r="G384" s="75" t="inlineStr">
        <is>
          <t>1143358</t>
        </is>
      </c>
      <c r="H384" s="75" t="inlineStr">
        <is>
          <t>regulamento</t>
        </is>
      </c>
      <c r="I384" s="75" t="inlineStr">
        <is>
          <t>2026-02-23</t>
        </is>
      </c>
      <c r="J384" s="75" t="inlineStr">
        <is>
          <t>70</t>
        </is>
      </c>
      <c r="K384" s="75" t="inlineStr">
        <is>
          <t>encontrado_explicito</t>
        </is>
      </c>
      <c r="L384" s="144" t="n">
        <v>0.95</v>
      </c>
      <c r="M384" s="75" t="inlineStr">
        <is>
          <t>data/raw/52340225000190/1143358_regulamento_regulamento_1143358_2026-02-23.pdf</t>
        </is>
      </c>
      <c r="N384" s="75" t="inlineStr">
        <is>
          <t>https://fnet.bmfbovespa.com.br/fnet/publico/downloadDocumento?id=1143358</t>
        </is>
      </c>
      <c r="O384"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5" ht="43.5" customHeight="1">
      <c r="A385" s="142" t="n">
        <v>52340225000190</v>
      </c>
      <c r="B385" s="75" t="inlineStr">
        <is>
          <t>52.340.225/0001-90</t>
        </is>
      </c>
      <c r="C385" s="75" t="inlineStr">
        <is>
          <t>sacado_devedor</t>
        </is>
      </c>
      <c r="D385" s="75" t="inlineStr">
        <is>
          <t>o devedor dos Direitos Creditórios Adquiridos</t>
        </is>
      </c>
      <c r="E385" s="75" t="inlineStr">
        <is>
          <t>N/D</t>
        </is>
      </c>
      <c r="F385" s="75" t="inlineStr">
        <is>
          <t>regulamento</t>
        </is>
      </c>
      <c r="G385" s="75" t="inlineStr">
        <is>
          <t>1171206</t>
        </is>
      </c>
      <c r="H385" s="75" t="inlineStr">
        <is>
          <t>regulamento</t>
        </is>
      </c>
      <c r="I385" s="75" t="inlineStr">
        <is>
          <t>2026-03-25</t>
        </is>
      </c>
      <c r="J385" s="75" t="inlineStr">
        <is>
          <t>70</t>
        </is>
      </c>
      <c r="K385" s="75" t="inlineStr">
        <is>
          <t>encontrado_explicito</t>
        </is>
      </c>
      <c r="L385" s="144" t="n">
        <v>0.95</v>
      </c>
      <c r="M385" s="75" t="inlineStr">
        <is>
          <t>data/raw/52340225000190/1171206_regulamento_regulamento_1171206_2026-03-25.pdf</t>
        </is>
      </c>
      <c r="N385" s="75" t="inlineStr">
        <is>
          <t>https://fnet.bmfbovespa.com.br/fnet/publico/downloadDocumento?id=1171206</t>
        </is>
      </c>
      <c r="O385"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6" ht="43.5" customHeight="1">
      <c r="A386" s="142" t="n">
        <v>52340225000190</v>
      </c>
      <c r="B386" s="75" t="inlineStr">
        <is>
          <t>52.340.225/0001-90</t>
        </is>
      </c>
      <c r="C386" s="75" t="inlineStr">
        <is>
          <t>sacado_devedor</t>
        </is>
      </c>
      <c r="D386" s="75" t="inlineStr">
        <is>
          <t>o devedor dos Direitos Creditórios Adquiridos</t>
        </is>
      </c>
      <c r="E386" s="75" t="inlineStr">
        <is>
          <t>N/D</t>
        </is>
      </c>
      <c r="F386" s="75" t="inlineStr">
        <is>
          <t>assembleia</t>
        </is>
      </c>
      <c r="G386" s="75" t="inlineStr">
        <is>
          <t>1143357</t>
        </is>
      </c>
      <c r="H386" s="75" t="inlineStr">
        <is>
          <t>assembleia</t>
        </is>
      </c>
      <c r="I386" s="75" t="inlineStr">
        <is>
          <t>2026-02-23</t>
        </is>
      </c>
      <c r="J386" s="75" t="inlineStr">
        <is>
          <t>74</t>
        </is>
      </c>
      <c r="K386" s="75" t="inlineStr">
        <is>
          <t>encontrado_explicito</t>
        </is>
      </c>
      <c r="L386" s="144" t="n">
        <v>0.95</v>
      </c>
      <c r="M386" s="75" t="inlineStr">
        <is>
          <t>data/raw/52340225000190/1143357_assembleia_assembleia_1143357_2026-02-23.pdf</t>
        </is>
      </c>
      <c r="N386" s="75" t="inlineStr">
        <is>
          <t>https://fnet.bmfbovespa.com.br/fnet/publico/downloadDocumento?id=1143357</t>
        </is>
      </c>
      <c r="O386"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7" ht="43.5" customHeight="1">
      <c r="A387" s="142" t="n">
        <v>52340225000190</v>
      </c>
      <c r="B387" s="75" t="inlineStr">
        <is>
          <t>52.340.225/0001-90</t>
        </is>
      </c>
      <c r="C387" s="75" t="inlineStr">
        <is>
          <t>sacado_devedor</t>
        </is>
      </c>
      <c r="D387" s="75" t="inlineStr">
        <is>
          <t>o devedor dos Direitos Creditórios Adquiridos</t>
        </is>
      </c>
      <c r="E387" s="75" t="inlineStr">
        <is>
          <t>N/D</t>
        </is>
      </c>
      <c r="F387" s="75" t="inlineStr">
        <is>
          <t>assembleia</t>
        </is>
      </c>
      <c r="G387" s="75" t="inlineStr">
        <is>
          <t>1171205</t>
        </is>
      </c>
      <c r="H387" s="75" t="inlineStr">
        <is>
          <t>assembleia</t>
        </is>
      </c>
      <c r="I387" s="75" t="inlineStr">
        <is>
          <t>2026-03-25</t>
        </is>
      </c>
      <c r="J387" s="75" t="inlineStr">
        <is>
          <t>76</t>
        </is>
      </c>
      <c r="K387" s="75" t="inlineStr">
        <is>
          <t>encontrado_explicito</t>
        </is>
      </c>
      <c r="L387" s="144" t="n">
        <v>0.95</v>
      </c>
      <c r="M387" s="75" t="inlineStr">
        <is>
          <t>data/raw/52340225000190/1171205_assembleia_assembleia_1171205_2026-03-25.pdf</t>
        </is>
      </c>
      <c r="N387" s="75" t="inlineStr">
        <is>
          <t>https://fnet.bmfbovespa.com.br/fnet/publico/downloadDocumento?id=1171205</t>
        </is>
      </c>
      <c r="O387"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8" ht="43.5" customHeight="1">
      <c r="A388" s="142" t="n">
        <v>52340225000190</v>
      </c>
      <c r="B388" s="75" t="inlineStr">
        <is>
          <t>52.340.225/0001-90</t>
        </is>
      </c>
      <c r="C388" s="75" t="inlineStr">
        <is>
          <t>sacado_devedor</t>
        </is>
      </c>
      <c r="D388" s="75" t="inlineStr">
        <is>
          <t>35.444.423/0001-85</t>
        </is>
      </c>
      <c r="E388" s="75" t="inlineStr">
        <is>
          <t>N/D</t>
        </is>
      </c>
      <c r="F388" s="75" t="inlineStr">
        <is>
          <t>candidate_extraction</t>
        </is>
      </c>
      <c r="G388" s="75" t="inlineStr">
        <is>
          <t>52340225000190</t>
        </is>
      </c>
      <c r="H388" s="75" t="inlineStr">
        <is>
          <t>extração heurística</t>
        </is>
      </c>
      <c r="I388" s="75" t="inlineStr">
        <is>
          <t>N/D</t>
        </is>
      </c>
      <c r="J388" s="75" t="inlineStr">
        <is>
          <t>N/D</t>
        </is>
      </c>
      <c r="K388" s="75" t="inlineStr">
        <is>
          <t>candidato_revisao</t>
        </is>
      </c>
      <c r="L388" s="144" t="n">
        <v>0.95</v>
      </c>
      <c r="M388" s="75" t="inlineStr">
        <is>
          <t>outputs/fidc_director_deep_diagnostic_20260609/pdf_text_cache/52340225000190_1171206_regulamento_regulamento_1171206_2026-03-25.txt</t>
        </is>
      </c>
      <c r="N388" s="75" t="inlineStr">
        <is>
          <t>https://fnet.bmfbovespa.com.br/fnet/publico/downloadDocumento?id=52340225000190</t>
        </is>
      </c>
      <c r="O388" s="75" t="inlineStr">
        <is>
          <t>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t>
        </is>
      </c>
    </row>
    <row r="389" ht="43.5" customHeight="1">
      <c r="A389" s="142" t="n">
        <v>52340225000190</v>
      </c>
      <c r="B389" s="75" t="inlineStr">
        <is>
          <t>52.340.225/0001-90</t>
        </is>
      </c>
      <c r="C389" s="75" t="inlineStr">
        <is>
          <t>tipo_recebivel</t>
        </is>
      </c>
      <c r="D389" s="75" t="inlineStr">
        <is>
          <t>os direitos creditórios originados pela Originadora e devidos pelos Devedores, os quais podem ser formalizados por Duplicatas, Notas Comerciais ou CCBs</t>
        </is>
      </c>
      <c r="E389" s="75" t="inlineStr">
        <is>
          <t>N/D</t>
        </is>
      </c>
      <c r="F389" s="75" t="inlineStr">
        <is>
          <t>regulamento</t>
        </is>
      </c>
      <c r="G389" s="75" t="inlineStr">
        <is>
          <t>1143358</t>
        </is>
      </c>
      <c r="H389" s="75" t="inlineStr">
        <is>
          <t>regulamento</t>
        </is>
      </c>
      <c r="I389" s="75" t="inlineStr">
        <is>
          <t>2026-02-23</t>
        </is>
      </c>
      <c r="J389" s="75" t="inlineStr">
        <is>
          <t>70</t>
        </is>
      </c>
      <c r="K389" s="75" t="inlineStr">
        <is>
          <t>encontrado_explicito</t>
        </is>
      </c>
      <c r="L389" s="144" t="n">
        <v>0.92</v>
      </c>
      <c r="M389" s="75" t="inlineStr">
        <is>
          <t>data/raw/52340225000190/1143358_regulamento_regulamento_1143358_2026-02-23.pdf</t>
        </is>
      </c>
      <c r="N389" s="75" t="inlineStr">
        <is>
          <t>https://fnet.bmfbovespa.com.br/fnet/publico/downloadDocumento?id=1143358</t>
        </is>
      </c>
      <c r="O389"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0" ht="43.5" customHeight="1">
      <c r="A390" s="142" t="n">
        <v>52340225000190</v>
      </c>
      <c r="B390" s="75" t="inlineStr">
        <is>
          <t>52.340.225/0001-90</t>
        </is>
      </c>
      <c r="C390" s="75" t="inlineStr">
        <is>
          <t>tipo_recebivel</t>
        </is>
      </c>
      <c r="D390" s="75" t="inlineStr">
        <is>
          <t>os direitos creditórios originados pela Originadora e devidos pelos Devedores, os quais podem ser formalizados por Duplicatas, Notas Comerciais ou CCBs</t>
        </is>
      </c>
      <c r="E390" s="75" t="inlineStr">
        <is>
          <t>N/D</t>
        </is>
      </c>
      <c r="F390" s="75" t="inlineStr">
        <is>
          <t>regulamento</t>
        </is>
      </c>
      <c r="G390" s="75" t="inlineStr">
        <is>
          <t>1171206</t>
        </is>
      </c>
      <c r="H390" s="75" t="inlineStr">
        <is>
          <t>regulamento</t>
        </is>
      </c>
      <c r="I390" s="75" t="inlineStr">
        <is>
          <t>2026-03-25</t>
        </is>
      </c>
      <c r="J390" s="75" t="inlineStr">
        <is>
          <t>70</t>
        </is>
      </c>
      <c r="K390" s="75" t="inlineStr">
        <is>
          <t>encontrado_explicito</t>
        </is>
      </c>
      <c r="L390" s="144" t="n">
        <v>0.92</v>
      </c>
      <c r="M390" s="75" t="inlineStr">
        <is>
          <t>data/raw/52340225000190/1171206_regulamento_regulamento_1171206_2026-03-25.pdf</t>
        </is>
      </c>
      <c r="N390" s="75" t="inlineStr">
        <is>
          <t>https://fnet.bmfbovespa.com.br/fnet/publico/downloadDocumento?id=1171206</t>
        </is>
      </c>
      <c r="O390"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1" ht="43.5" customHeight="1">
      <c r="A391" s="142" t="n">
        <v>52340225000190</v>
      </c>
      <c r="B391" s="75" t="inlineStr">
        <is>
          <t>52.340.225/0001-90</t>
        </is>
      </c>
      <c r="C391" s="75" t="inlineStr">
        <is>
          <t>tipo_recebivel</t>
        </is>
      </c>
      <c r="D391" s="75" t="inlineStr">
        <is>
          <t>os direitos creditórios originados pela Originadora e devidos pelos Devedores, os quais podem ser formalizados por Duplicatas, Notas Comerciais ou CCBs</t>
        </is>
      </c>
      <c r="E391" s="75" t="inlineStr">
        <is>
          <t>N/D</t>
        </is>
      </c>
      <c r="F391" s="75" t="inlineStr">
        <is>
          <t>assembleia</t>
        </is>
      </c>
      <c r="G391" s="75" t="inlineStr">
        <is>
          <t>1143357</t>
        </is>
      </c>
      <c r="H391" s="75" t="inlineStr">
        <is>
          <t>assembleia</t>
        </is>
      </c>
      <c r="I391" s="75" t="inlineStr">
        <is>
          <t>2026-02-23</t>
        </is>
      </c>
      <c r="J391" s="75" t="inlineStr">
        <is>
          <t>74</t>
        </is>
      </c>
      <c r="K391" s="75" t="inlineStr">
        <is>
          <t>encontrado_explicito</t>
        </is>
      </c>
      <c r="L391" s="144" t="n">
        <v>0.92</v>
      </c>
      <c r="M391" s="75" t="inlineStr">
        <is>
          <t>data/raw/52340225000190/1143357_assembleia_assembleia_1143357_2026-02-23.pdf</t>
        </is>
      </c>
      <c r="N391" s="75" t="inlineStr">
        <is>
          <t>https://fnet.bmfbovespa.com.br/fnet/publico/downloadDocumento?id=1143357</t>
        </is>
      </c>
      <c r="O391"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2" ht="43.5" customHeight="1">
      <c r="A392" s="142" t="n">
        <v>52340225000190</v>
      </c>
      <c r="B392" s="75" t="inlineStr">
        <is>
          <t>52.340.225/0001-90</t>
        </is>
      </c>
      <c r="C392" s="75" t="inlineStr">
        <is>
          <t>tipo_recebivel</t>
        </is>
      </c>
      <c r="D392" s="75" t="inlineStr">
        <is>
          <t>os direitos creditórios originados pela Originadora e devidos pelos Devedores, os quais podem ser formalizados por Duplicatas, Notas Comerciais ou CCBs</t>
        </is>
      </c>
      <c r="E392" s="75" t="inlineStr">
        <is>
          <t>N/D</t>
        </is>
      </c>
      <c r="F392" s="75" t="inlineStr">
        <is>
          <t>assembleia</t>
        </is>
      </c>
      <c r="G392" s="75" t="inlineStr">
        <is>
          <t>1171205</t>
        </is>
      </c>
      <c r="H392" s="75" t="inlineStr">
        <is>
          <t>assembleia</t>
        </is>
      </c>
      <c r="I392" s="75" t="inlineStr">
        <is>
          <t>2026-03-25</t>
        </is>
      </c>
      <c r="J392" s="75" t="inlineStr">
        <is>
          <t>76</t>
        </is>
      </c>
      <c r="K392" s="75" t="inlineStr">
        <is>
          <t>encontrado_explicito</t>
        </is>
      </c>
      <c r="L392" s="144" t="n">
        <v>0.92</v>
      </c>
      <c r="M392" s="75" t="inlineStr">
        <is>
          <t>data/raw/52340225000190/1171205_assembleia_assembleia_1171205_2026-03-25.pdf</t>
        </is>
      </c>
      <c r="N392" s="75" t="inlineStr">
        <is>
          <t>https://fnet.bmfbovespa.com.br/fnet/publico/downloadDocumento?id=1171205</t>
        </is>
      </c>
      <c r="O392"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3" ht="43.5" customHeight="1">
      <c r="A393" s="142" t="n">
        <v>52343195000176</v>
      </c>
      <c r="B393" s="75" t="inlineStr">
        <is>
          <t>52.343.195/0001-76</t>
        </is>
      </c>
      <c r="C393" s="75" t="inlineStr">
        <is>
          <t>cedente</t>
        </is>
      </c>
      <c r="D393" s="75" t="inlineStr">
        <is>
          <t>Multicedentes</t>
        </is>
      </c>
      <c r="E393" s="75" t="inlineStr">
        <is>
          <t>N/D</t>
        </is>
      </c>
      <c r="F393" s="75" t="inlineStr">
        <is>
          <t>planilha_manual</t>
        </is>
      </c>
      <c r="G393" s="75" t="inlineStr">
        <is>
          <t>IMG_8704.JPG</t>
        </is>
      </c>
      <c r="H393" s="75" t="inlineStr">
        <is>
          <t>payload</t>
        </is>
      </c>
      <c r="I393" s="75" t="inlineStr">
        <is>
          <t>2024-11-27</t>
        </is>
      </c>
      <c r="J393" s="75" t="inlineStr">
        <is>
          <t>7</t>
        </is>
      </c>
      <c r="K393" s="75" t="inlineStr">
        <is>
          <t>aceito_payload</t>
        </is>
      </c>
      <c r="L393" s="144" t="n">
        <v>1</v>
      </c>
      <c r="M393" s="75" t="inlineStr">
        <is>
          <t>data/industry_study/generated_revision/artifact_payload.json</t>
        </is>
      </c>
      <c r="N393" s="75" t="inlineStr">
        <is>
          <t>N/D</t>
        </is>
      </c>
      <c r="O393" s="75" t="inlineStr">
        <is>
          <t>OBS da foto: Multicedente análise FARM. Denominação cortada.</t>
        </is>
      </c>
    </row>
    <row r="394" ht="43.5" customHeight="1">
      <c r="A394" s="142" t="n">
        <v>52343195000176</v>
      </c>
      <c r="B394" s="75" t="inlineStr">
        <is>
          <t>52.343.195/0001-76</t>
        </is>
      </c>
      <c r="C394" s="75" t="inlineStr">
        <is>
          <t>minimo_estrutural_total</t>
        </is>
      </c>
      <c r="D394" s="75" t="inlineStr">
        <is>
          <t>15%</t>
        </is>
      </c>
      <c r="E394" s="75" t="inlineStr">
        <is>
          <t>suporte_total_pl</t>
        </is>
      </c>
      <c r="F394" s="75" t="inlineStr">
        <is>
          <t>payload_documental</t>
        </is>
      </c>
      <c r="G394" s="75" t="inlineStr">
        <is>
          <t>791944</t>
        </is>
      </c>
      <c r="H394" s="75" t="inlineStr">
        <is>
          <t>documento_curado</t>
        </is>
      </c>
      <c r="I394" s="75" t="inlineStr">
        <is>
          <t>2024-11-27</t>
        </is>
      </c>
      <c r="J394" s="75" t="inlineStr">
        <is>
          <t>7</t>
        </is>
      </c>
      <c r="K394" s="75" t="inlineStr">
        <is>
          <t>aceito_payload</t>
        </is>
      </c>
      <c r="L394" s="144" t="n">
        <v>1</v>
      </c>
      <c r="M394" s="75" t="inlineStr">
        <is>
          <t>data/industry_study/generated_revision/artifact_payload.json</t>
        </is>
      </c>
      <c r="N394" s="75" t="inlineStr">
        <is>
          <t>https://fnet.bmfbovespa.com.br/fnet/publico/downloadDocumento?id=791944</t>
        </is>
      </c>
      <c r="O394" s="75" t="inlineStr">
        <is>
          <t>N/D</t>
        </is>
      </c>
    </row>
    <row r="395" ht="43.5" customHeight="1">
      <c r="A395" s="142" t="n">
        <v>52343195000176</v>
      </c>
      <c r="B395" s="75" t="inlineStr">
        <is>
          <t>52.343.195/0001-76</t>
        </is>
      </c>
      <c r="C395" s="75" t="inlineStr">
        <is>
          <t>natureza_indice</t>
        </is>
      </c>
      <c r="D395" s="75" t="inlineStr">
        <is>
          <t>suporte_total_pl</t>
        </is>
      </c>
      <c r="E395" s="75" t="inlineStr">
        <is>
          <t>suporte_total_pl</t>
        </is>
      </c>
      <c r="F395" s="75" t="inlineStr">
        <is>
          <t>payload_documental</t>
        </is>
      </c>
      <c r="G395" s="75" t="inlineStr">
        <is>
          <t>791944</t>
        </is>
      </c>
      <c r="H395" s="75" t="inlineStr">
        <is>
          <t>documento_curado</t>
        </is>
      </c>
      <c r="I395" s="75" t="inlineStr">
        <is>
          <t>2024-11-27</t>
        </is>
      </c>
      <c r="J395" s="75" t="inlineStr">
        <is>
          <t>7</t>
        </is>
      </c>
      <c r="K395" s="75" t="inlineStr">
        <is>
          <t>aceito_payload</t>
        </is>
      </c>
      <c r="L395" s="144" t="n">
        <v>1</v>
      </c>
      <c r="M395" s="75" t="inlineStr">
        <is>
          <t>data/industry_study/generated_revision/artifact_payload.json</t>
        </is>
      </c>
      <c r="N395" s="75" t="inlineStr">
        <is>
          <t>https://fnet.bmfbovespa.com.br/fnet/publico/downloadDocumento?id=791944</t>
        </is>
      </c>
      <c r="O395" s="75" t="inlineStr">
        <is>
          <t>N/D</t>
        </is>
      </c>
    </row>
    <row r="396" ht="43.5" customHeight="1">
      <c r="A396" s="142" t="n">
        <v>52968533000165</v>
      </c>
      <c r="B396" s="75" t="inlineStr">
        <is>
          <t>52.968.533/0001-65</t>
        </is>
      </c>
      <c r="C396" s="75" t="inlineStr">
        <is>
          <t>cedente</t>
        </is>
      </c>
      <c r="D396" s="75" t="inlineStr">
        <is>
          <t>a MAQCAMPO SOLUÇÕES AGRÍCOLAS S.A., sociedade por ações, com sede na cidade de Brasília, Distrito Federal, no Setor S.I.A Trecho 17, Rua 12, Lote 80, térreo, S/N, CEP 71.200- 234, inscrita no CNPJ sob o nº 00.970.771/0001-01</t>
        </is>
      </c>
      <c r="E396" s="75" t="inlineStr">
        <is>
          <t>N/D</t>
        </is>
      </c>
      <c r="F396" s="75" t="inlineStr">
        <is>
          <t>regulamento</t>
        </is>
      </c>
      <c r="G396" s="75" t="inlineStr">
        <is>
          <t>994391</t>
        </is>
      </c>
      <c r="H396" s="75" t="inlineStr">
        <is>
          <t>Regulamento</t>
        </is>
      </c>
      <c r="I396" s="75" t="inlineStr">
        <is>
          <t>06/08/2025</t>
        </is>
      </c>
      <c r="J396" s="75" t="inlineStr">
        <is>
          <t>56</t>
        </is>
      </c>
      <c r="K396" s="75" t="inlineStr">
        <is>
          <t>encontrado_explicito</t>
        </is>
      </c>
      <c r="L396" s="144" t="n">
        <v>0.95</v>
      </c>
      <c r="M396" s="75" t="inlineStr">
        <is>
          <t>.cache/carteira_101_document_scan/52968533000165/994391.json.gz</t>
        </is>
      </c>
      <c r="N396" s="75" t="inlineStr">
        <is>
          <t>https://fnet.bmfbovespa.com.br/fnet/publico/downloadDocumento?id=994391</t>
        </is>
      </c>
      <c r="O396" s="75" t="inlineStr">
        <is>
          <t>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t>
        </is>
      </c>
    </row>
    <row r="397" ht="43.5" customHeight="1">
      <c r="A397" s="142" t="n">
        <v>52968533000165</v>
      </c>
      <c r="B397" s="75" t="inlineStr">
        <is>
          <t>52.968.533/0001-65</t>
        </is>
      </c>
      <c r="C397" s="75" t="inlineStr">
        <is>
          <t>cedente</t>
        </is>
      </c>
      <c r="D397" s="75" t="inlineStr">
        <is>
          <t>a MAQCAMPO SOLUÇÕES AGRÍCOLAS S.A. , sociedade por ações, com sede na cidade de Brasília, Distrito Federal, no Docusign Envelope ID: 5A498997-5E9C-4FDB-AAA6-D7EDA05D2564</t>
        </is>
      </c>
      <c r="E397" s="75" t="inlineStr">
        <is>
          <t>N/D</t>
        </is>
      </c>
      <c r="F397" s="75" t="inlineStr">
        <is>
          <t>regulamento</t>
        </is>
      </c>
      <c r="G397" s="75" t="inlineStr">
        <is>
          <t>1049185</t>
        </is>
      </c>
      <c r="H397" s="75" t="inlineStr">
        <is>
          <t>Regulamento</t>
        </is>
      </c>
      <c r="I397" s="75" t="inlineStr">
        <is>
          <t>14/10/2025</t>
        </is>
      </c>
      <c r="J397" s="75" t="inlineStr">
        <is>
          <t>57</t>
        </is>
      </c>
      <c r="K397" s="75" t="inlineStr">
        <is>
          <t>encontrado_explicito</t>
        </is>
      </c>
      <c r="L397" s="144" t="n">
        <v>0.95</v>
      </c>
      <c r="M397" s="75" t="inlineStr">
        <is>
          <t>.cache/carteira_101_document_scan/52968533000165/1049185.json.gz</t>
        </is>
      </c>
      <c r="N397" s="75" t="inlineStr">
        <is>
          <t>https://fnet.bmfbovespa.com.br/fnet/publico/downloadDocumento?id=1049185</t>
        </is>
      </c>
      <c r="O397" s="75" t="inlineStr">
        <is>
          <t>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t>
        </is>
      </c>
    </row>
    <row r="398" ht="43.5" customHeight="1">
      <c r="A398" s="142" t="n">
        <v>52968533000165</v>
      </c>
      <c r="B398" s="75" t="inlineStr">
        <is>
          <t>52.968.533/0001-65</t>
        </is>
      </c>
      <c r="C398" s="75" t="inlineStr">
        <is>
          <t>cedente</t>
        </is>
      </c>
      <c r="D398" s="75" t="inlineStr">
        <is>
          <t>Maqcampo</t>
        </is>
      </c>
      <c r="E398" s="75" t="inlineStr">
        <is>
          <t>N/D</t>
        </is>
      </c>
      <c r="F398" s="75" t="inlineStr">
        <is>
          <t>planilha_manual</t>
        </is>
      </c>
      <c r="G398" s="75" t="inlineStr">
        <is>
          <t>IMG_8704.JPG</t>
        </is>
      </c>
      <c r="H398" s="75" t="inlineStr">
        <is>
          <t>payload</t>
        </is>
      </c>
      <c r="I398" s="75" t="inlineStr">
        <is>
          <t>2025-10-14</t>
        </is>
      </c>
      <c r="J398" s="75" t="inlineStr">
        <is>
          <t>72</t>
        </is>
      </c>
      <c r="K398" s="75" t="inlineStr">
        <is>
          <t>aceito_payload</t>
        </is>
      </c>
      <c r="L398" s="144" t="n">
        <v>1</v>
      </c>
      <c r="M398" s="75" t="inlineStr">
        <is>
          <t>data/industry_study/generated_revision/artifact_payload.json</t>
        </is>
      </c>
      <c r="N398" s="75" t="inlineStr">
        <is>
          <t>N/D</t>
        </is>
      </c>
      <c r="O398" s="75" t="inlineStr">
        <is>
          <t>OBS da foto: atrasos elevados; em discussão de possível solução de parcela dos vencidos.</t>
        </is>
      </c>
    </row>
    <row r="399" ht="43.5" customHeight="1">
      <c r="A399" s="142" t="n">
        <v>52968533000165</v>
      </c>
      <c r="B399" s="75" t="inlineStr">
        <is>
          <t>52.968.533/0001-65</t>
        </is>
      </c>
      <c r="C399" s="75" t="inlineStr">
        <is>
          <t>minimo_estrutural_total</t>
        </is>
      </c>
      <c r="D399" s="75" t="inlineStr">
        <is>
          <t>20%</t>
        </is>
      </c>
      <c r="E399" s="75" t="inlineStr">
        <is>
          <t>suporte_total_pl</t>
        </is>
      </c>
      <c r="F399" s="75" t="inlineStr">
        <is>
          <t>payload_documental</t>
        </is>
      </c>
      <c r="G399" s="75" t="inlineStr">
        <is>
          <t>1049185</t>
        </is>
      </c>
      <c r="H399" s="75" t="inlineStr">
        <is>
          <t>documento_curado</t>
        </is>
      </c>
      <c r="I399" s="75" t="inlineStr">
        <is>
          <t>2025-10-14</t>
        </is>
      </c>
      <c r="J399" s="75" t="inlineStr">
        <is>
          <t>72</t>
        </is>
      </c>
      <c r="K399" s="75" t="inlineStr">
        <is>
          <t>aceito_payload</t>
        </is>
      </c>
      <c r="L399" s="144" t="n">
        <v>1</v>
      </c>
      <c r="M399" s="75" t="inlineStr">
        <is>
          <t>data/industry_study/generated_revision/artifact_payload.json</t>
        </is>
      </c>
      <c r="N399" s="75" t="inlineStr">
        <is>
          <t>https://fnet.bmfbovespa.com.br/fnet/publico/downloadDocumento?id=1049185</t>
        </is>
      </c>
      <c r="O399" s="75" t="inlineStr">
        <is>
          <t>N/D</t>
        </is>
      </c>
    </row>
    <row r="400" ht="43.5" customHeight="1">
      <c r="A400" s="142" t="n">
        <v>52968533000165</v>
      </c>
      <c r="B400" s="75" t="inlineStr">
        <is>
          <t>52.968.533/0001-65</t>
        </is>
      </c>
      <c r="C400" s="75" t="inlineStr">
        <is>
          <t>natureza_indice</t>
        </is>
      </c>
      <c r="D400" s="75" t="inlineStr">
        <is>
          <t>suporte_total_pl</t>
        </is>
      </c>
      <c r="E400" s="75" t="inlineStr">
        <is>
          <t>suporte_total_pl</t>
        </is>
      </c>
      <c r="F400" s="75" t="inlineStr">
        <is>
          <t>payload_documental</t>
        </is>
      </c>
      <c r="G400" s="75" t="inlineStr">
        <is>
          <t>1049185</t>
        </is>
      </c>
      <c r="H400" s="75" t="inlineStr">
        <is>
          <t>documento_curado</t>
        </is>
      </c>
      <c r="I400" s="75" t="inlineStr">
        <is>
          <t>2025-10-14</t>
        </is>
      </c>
      <c r="J400" s="75" t="inlineStr">
        <is>
          <t>72</t>
        </is>
      </c>
      <c r="K400" s="75" t="inlineStr">
        <is>
          <t>aceito_payload</t>
        </is>
      </c>
      <c r="L400" s="144" t="n">
        <v>1</v>
      </c>
      <c r="M400" s="75" t="inlineStr">
        <is>
          <t>data/industry_study/generated_revision/artifact_payload.json</t>
        </is>
      </c>
      <c r="N400" s="75" t="inlineStr">
        <is>
          <t>https://fnet.bmfbovespa.com.br/fnet/publico/downloadDocumento?id=1049185</t>
        </is>
      </c>
      <c r="O400" s="75" t="inlineStr">
        <is>
          <t>N/D</t>
        </is>
      </c>
    </row>
    <row r="401" ht="43.5" customHeight="1">
      <c r="A401" s="142" t="n">
        <v>52968533000165</v>
      </c>
      <c r="B401" s="75" t="inlineStr">
        <is>
          <t>52.968.533/0001-65</t>
        </is>
      </c>
      <c r="C401" s="75" t="inlineStr">
        <is>
          <t>sacado_devedor</t>
        </is>
      </c>
      <c r="D401" s="75" t="inlineStr">
        <is>
          <t>qualquer cliente da Cedente cujos Direitos Creditórios venham a ser cedidos ao Fundo, observadas as características e condições descritas neste Anexo Descritivo</t>
        </is>
      </c>
      <c r="E401" s="75" t="inlineStr">
        <is>
          <t>N/D</t>
        </is>
      </c>
      <c r="F401" s="75" t="inlineStr">
        <is>
          <t>regulamento</t>
        </is>
      </c>
      <c r="G401" s="75" t="inlineStr">
        <is>
          <t>994391</t>
        </is>
      </c>
      <c r="H401" s="75" t="inlineStr">
        <is>
          <t>Regulamento</t>
        </is>
      </c>
      <c r="I401" s="75" t="inlineStr">
        <is>
          <t>06/08/2025</t>
        </is>
      </c>
      <c r="J401" s="75" t="inlineStr">
        <is>
          <t>63</t>
        </is>
      </c>
      <c r="K401" s="75" t="inlineStr">
        <is>
          <t>encontrado_explicito</t>
        </is>
      </c>
      <c r="L401" s="144" t="n">
        <v>0.95</v>
      </c>
      <c r="M401" s="75" t="inlineStr">
        <is>
          <t>.cache/carteira_101_document_scan/52968533000165/994391.json.gz</t>
        </is>
      </c>
      <c r="N401" s="75" t="inlineStr">
        <is>
          <t>https://fnet.bmfbovespa.com.br/fnet/publico/downloadDocumento?id=994391</t>
        </is>
      </c>
      <c r="O401"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2" ht="43.5" customHeight="1">
      <c r="A402" s="142" t="n">
        <v>52968533000165</v>
      </c>
      <c r="B402" s="75" t="inlineStr">
        <is>
          <t>52.968.533/0001-65</t>
        </is>
      </c>
      <c r="C402" s="75" t="inlineStr">
        <is>
          <t>sacado_devedor</t>
        </is>
      </c>
      <c r="D402" s="75" t="inlineStr">
        <is>
          <t>qualquer cliente da Cedente cujos Direitos Creditórios venham a ser cedidos ao Fundo, observadas as características e condições descritas neste Anexo Descritivo</t>
        </is>
      </c>
      <c r="E402" s="75" t="inlineStr">
        <is>
          <t>N/D</t>
        </is>
      </c>
      <c r="F402" s="75" t="inlineStr">
        <is>
          <t>regulamento</t>
        </is>
      </c>
      <c r="G402" s="75" t="inlineStr">
        <is>
          <t>1049185</t>
        </is>
      </c>
      <c r="H402" s="75" t="inlineStr">
        <is>
          <t>Regulamento</t>
        </is>
      </c>
      <c r="I402" s="75" t="inlineStr">
        <is>
          <t>14/10/2025</t>
        </is>
      </c>
      <c r="J402" s="75" t="inlineStr">
        <is>
          <t>63</t>
        </is>
      </c>
      <c r="K402" s="75" t="inlineStr">
        <is>
          <t>encontrado_explicito</t>
        </is>
      </c>
      <c r="L402" s="144" t="n">
        <v>0.95</v>
      </c>
      <c r="M402" s="75" t="inlineStr">
        <is>
          <t>.cache/carteira_101_document_scan/52968533000165/1049185.json.gz</t>
        </is>
      </c>
      <c r="N402" s="75" t="inlineStr">
        <is>
          <t>https://fnet.bmfbovespa.com.br/fnet/publico/downloadDocumento?id=1049185</t>
        </is>
      </c>
      <c r="O402"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3" ht="43.5" customHeight="1">
      <c r="A403" s="142" t="n">
        <v>52968533000165</v>
      </c>
      <c r="B403" s="75" t="inlineStr">
        <is>
          <t>52.968.533/0001-65</t>
        </is>
      </c>
      <c r="C403" s="75" t="inlineStr">
        <is>
          <t>tipo_recebivel</t>
        </is>
      </c>
      <c r="D403" s="75" t="inlineStr">
        <is>
          <t>os direitos creditórios performados originados da venda a prazo de Bens, assim como da prestação dos Serviços pela Cedente, representados pelos Documentos Comprobatórios, conforme o caso, detidas pela Cedente contra os Devedores</t>
        </is>
      </c>
      <c r="E403" s="75" t="inlineStr">
        <is>
          <t>N/D</t>
        </is>
      </c>
      <c r="F403" s="75" t="inlineStr">
        <is>
          <t>regulamento</t>
        </is>
      </c>
      <c r="G403" s="75" t="inlineStr">
        <is>
          <t>994391</t>
        </is>
      </c>
      <c r="H403" s="75" t="inlineStr">
        <is>
          <t>Regulamento</t>
        </is>
      </c>
      <c r="I403" s="75" t="inlineStr">
        <is>
          <t>06/08/2025</t>
        </is>
      </c>
      <c r="J403" s="75" t="inlineStr">
        <is>
          <t>63</t>
        </is>
      </c>
      <c r="K403" s="75" t="inlineStr">
        <is>
          <t>encontrado_explicito</t>
        </is>
      </c>
      <c r="L403" s="144" t="n">
        <v>0.92</v>
      </c>
      <c r="M403" s="75" t="inlineStr">
        <is>
          <t>.cache/carteira_101_document_scan/52968533000165/994391.json.gz</t>
        </is>
      </c>
      <c r="N403" s="75" t="inlineStr">
        <is>
          <t>https://fnet.bmfbovespa.com.br/fnet/publico/downloadDocumento?id=994391</t>
        </is>
      </c>
      <c r="O403" s="75" t="inlineStr">
        <is>
          <t>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t>
        </is>
      </c>
    </row>
    <row r="404" ht="43.5" customHeight="1">
      <c r="A404" s="142" t="n">
        <v>53270983000142</v>
      </c>
      <c r="B404" s="75" t="inlineStr">
        <is>
          <t>53.270.983/0001-42</t>
        </is>
      </c>
      <c r="C404" s="75" t="inlineStr">
        <is>
          <t>cedente</t>
        </is>
      </c>
      <c r="D404" s="75" t="inlineStr">
        <is>
          <t>QI Tech</t>
        </is>
      </c>
      <c r="E404" s="75" t="inlineStr">
        <is>
          <t>N/D</t>
        </is>
      </c>
      <c r="F404" s="75" t="inlineStr">
        <is>
          <t>planilha_manual</t>
        </is>
      </c>
      <c r="G404" s="75" t="inlineStr">
        <is>
          <t>IMG_8704.JPG</t>
        </is>
      </c>
      <c r="H404" s="75" t="inlineStr">
        <is>
          <t>payload</t>
        </is>
      </c>
      <c r="I404" s="75" t="inlineStr">
        <is>
          <t>2025-04-03</t>
        </is>
      </c>
      <c r="J404" s="75" t="inlineStr">
        <is>
          <t>14</t>
        </is>
      </c>
      <c r="K404" s="75" t="inlineStr">
        <is>
          <t>aceito_payload</t>
        </is>
      </c>
      <c r="L404" s="144" t="n">
        <v>1</v>
      </c>
      <c r="M404" s="75" t="inlineStr">
        <is>
          <t>data/industry_study/generated_revision/artifact_payload.json</t>
        </is>
      </c>
      <c r="N404" s="75" t="inlineStr">
        <is>
          <t>N/D</t>
        </is>
      </c>
      <c r="O404" s="75" t="inlineStr">
        <is>
          <t>N/D</t>
        </is>
      </c>
    </row>
    <row r="405" ht="43.5" customHeight="1">
      <c r="A405" s="142" t="n">
        <v>53270983000142</v>
      </c>
      <c r="B405" s="75" t="inlineStr">
        <is>
          <t>53.270.983/0001-42</t>
        </is>
      </c>
      <c r="C405" s="75" t="inlineStr">
        <is>
          <t>minimo_estrutural_total</t>
        </is>
      </c>
      <c r="D405" s="75" t="inlineStr">
        <is>
          <t>20%</t>
        </is>
      </c>
      <c r="E405" s="75" t="inlineStr">
        <is>
          <t>suporte_total_pl</t>
        </is>
      </c>
      <c r="F405" s="75" t="inlineStr">
        <is>
          <t>regulamento</t>
        </is>
      </c>
      <c r="G405" s="75" t="inlineStr">
        <is>
          <t>881263</t>
        </is>
      </c>
      <c r="H405" s="75" t="inlineStr">
        <is>
          <t>Regulamento</t>
        </is>
      </c>
      <c r="I405" s="75" t="inlineStr">
        <is>
          <t>03/04/2025</t>
        </is>
      </c>
      <c r="J405" s="75" t="inlineStr">
        <is>
          <t>14</t>
        </is>
      </c>
      <c r="K405" s="75" t="inlineStr">
        <is>
          <t>encontrado_explicito</t>
        </is>
      </c>
      <c r="L405" s="144" t="n">
        <v>0.95</v>
      </c>
      <c r="M405" s="75" t="inlineStr">
        <is>
          <t>.cache/carteira_101_document_scan/53270983000142/881263.json.gz</t>
        </is>
      </c>
      <c r="N405" s="75" t="inlineStr">
        <is>
          <t>https://fnet.bmfbovespa.com.br/fnet/publico/downloadDocumento?id=881263</t>
        </is>
      </c>
      <c r="O405" s="75" t="inlineStr">
        <is>
          <t>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t>
        </is>
      </c>
    </row>
    <row r="406" ht="43.5" customHeight="1">
      <c r="A406" s="142" t="n">
        <v>53270983000142</v>
      </c>
      <c r="B406" s="75" t="inlineStr">
        <is>
          <t>53.270.983/0001-42</t>
        </is>
      </c>
      <c r="C406" s="75" t="inlineStr">
        <is>
          <t>minimo_junior</t>
        </is>
      </c>
      <c r="D406" s="75" t="inlineStr">
        <is>
          <t>8%</t>
        </is>
      </c>
      <c r="E406" s="75" t="inlineStr">
        <is>
          <t>junior_pl</t>
        </is>
      </c>
      <c r="F406" s="75" t="inlineStr">
        <is>
          <t>payload_documental</t>
        </is>
      </c>
      <c r="G406" s="75" t="inlineStr">
        <is>
          <t>881263</t>
        </is>
      </c>
      <c r="H406" s="75" t="inlineStr">
        <is>
          <t>documento_curado</t>
        </is>
      </c>
      <c r="I406" s="75" t="inlineStr">
        <is>
          <t>2025-04-03</t>
        </is>
      </c>
      <c r="J406" s="75" t="inlineStr">
        <is>
          <t>14</t>
        </is>
      </c>
      <c r="K406" s="75" t="inlineStr">
        <is>
          <t>aceito_payload</t>
        </is>
      </c>
      <c r="L406" s="144" t="n">
        <v>1</v>
      </c>
      <c r="M406" s="75" t="inlineStr">
        <is>
          <t>data/industry_study/generated_revision/artifact_payload.json</t>
        </is>
      </c>
      <c r="N406" s="75" t="inlineStr">
        <is>
          <t>https://fnet.bmfbovespa.com.br/fnet/publico/downloadDocumento?id=881263</t>
        </is>
      </c>
      <c r="O406" s="75" t="inlineStr">
        <is>
          <t>Índice de Subordinação Mezanino: cotas júnior / PL, mínimo de 8,0%.</t>
        </is>
      </c>
    </row>
    <row r="407" ht="43.5" customHeight="1">
      <c r="A407" s="142" t="n">
        <v>53270983000142</v>
      </c>
      <c r="B407" s="75" t="inlineStr">
        <is>
          <t>53.270.983/0001-42</t>
        </is>
      </c>
      <c r="C407" s="75" t="inlineStr">
        <is>
          <t>natureza_indice</t>
        </is>
      </c>
      <c r="D407" s="75" t="inlineStr">
        <is>
          <t>junior_pl</t>
        </is>
      </c>
      <c r="E407" s="75" t="inlineStr">
        <is>
          <t>junior_pl</t>
        </is>
      </c>
      <c r="F407" s="75" t="inlineStr">
        <is>
          <t>payload_documental</t>
        </is>
      </c>
      <c r="G407" s="75" t="inlineStr">
        <is>
          <t>881263</t>
        </is>
      </c>
      <c r="H407" s="75" t="inlineStr">
        <is>
          <t>documento_curado</t>
        </is>
      </c>
      <c r="I407" s="75" t="inlineStr">
        <is>
          <t>2025-04-03</t>
        </is>
      </c>
      <c r="J407" s="75" t="inlineStr">
        <is>
          <t>14</t>
        </is>
      </c>
      <c r="K407" s="75" t="inlineStr">
        <is>
          <t>aceito_payload</t>
        </is>
      </c>
      <c r="L407" s="144" t="n">
        <v>1</v>
      </c>
      <c r="M407" s="75" t="inlineStr">
        <is>
          <t>data/industry_study/generated_revision/artifact_payload.json</t>
        </is>
      </c>
      <c r="N407" s="75" t="inlineStr">
        <is>
          <t>https://fnet.bmfbovespa.com.br/fnet/publico/downloadDocumento?id=881263</t>
        </is>
      </c>
      <c r="O407" s="75" t="inlineStr">
        <is>
          <t>Índice de Subordinação Mezanino: cotas júnior / PL, mínimo de 8,0%.</t>
        </is>
      </c>
    </row>
    <row r="408" ht="43.5" customHeight="1">
      <c r="A408" s="142" t="n">
        <v>53577135000180</v>
      </c>
      <c r="B408" s="75" t="inlineStr">
        <is>
          <t>53.577.135/0001-80</t>
        </is>
      </c>
      <c r="C408" s="75" t="inlineStr">
        <is>
          <t>cedente</t>
        </is>
      </c>
      <c r="D408" s="75" t="inlineStr">
        <is>
          <t>QI Tech</t>
        </is>
      </c>
      <c r="E408" s="75" t="inlineStr">
        <is>
          <t>N/D</t>
        </is>
      </c>
      <c r="F408" s="75" t="inlineStr">
        <is>
          <t>planilha_manual</t>
        </is>
      </c>
      <c r="G408" s="75" t="inlineStr">
        <is>
          <t>IMG_8704.JPG</t>
        </is>
      </c>
      <c r="H408" s="75" t="inlineStr">
        <is>
          <t>payload</t>
        </is>
      </c>
      <c r="I408" s="75" t="inlineStr">
        <is>
          <t>2026-06-18</t>
        </is>
      </c>
      <c r="J408" s="75" t="inlineStr">
        <is>
          <t>17</t>
        </is>
      </c>
      <c r="K408" s="75" t="inlineStr">
        <is>
          <t>aceito_payload</t>
        </is>
      </c>
      <c r="L408" s="144" t="n">
        <v>1</v>
      </c>
      <c r="M408" s="75" t="inlineStr">
        <is>
          <t>data/industry_study/generated_revision/artifact_payload.json</t>
        </is>
      </c>
      <c r="N408" s="75" t="inlineStr">
        <is>
          <t>N/D</t>
        </is>
      </c>
      <c r="O408" s="75" t="inlineStr">
        <is>
          <t>Denominação cortada pela largura da coluna na foto.</t>
        </is>
      </c>
    </row>
    <row r="409" ht="43.5" customHeight="1">
      <c r="A409" s="142" t="n">
        <v>53577135000180</v>
      </c>
      <c r="B409" s="75" t="inlineStr">
        <is>
          <t>53.577.135/0001-80</t>
        </is>
      </c>
      <c r="C409" s="75" t="inlineStr">
        <is>
          <t>minimo_junior</t>
        </is>
      </c>
      <c r="D409" s="75" t="inlineStr">
        <is>
          <t>15%</t>
        </is>
      </c>
      <c r="E409" s="75" t="inlineStr">
        <is>
          <t>junior_pl</t>
        </is>
      </c>
      <c r="F409" s="75" t="inlineStr">
        <is>
          <t>payload_documental</t>
        </is>
      </c>
      <c r="G409" s="75" t="inlineStr">
        <is>
          <t>1224059</t>
        </is>
      </c>
      <c r="H409" s="75" t="inlineStr">
        <is>
          <t>documento_curado</t>
        </is>
      </c>
      <c r="I409" s="75" t="inlineStr">
        <is>
          <t>2026-06-18</t>
        </is>
      </c>
      <c r="J409" s="75" t="inlineStr">
        <is>
          <t>17</t>
        </is>
      </c>
      <c r="K409" s="75" t="inlineStr">
        <is>
          <t>aceito_payload</t>
        </is>
      </c>
      <c r="L409" s="144" t="n">
        <v>1</v>
      </c>
      <c r="M409" s="75" t="inlineStr">
        <is>
          <t>data/industry_study/generated_revision/artifact_payload.json</t>
        </is>
      </c>
      <c r="N409" s="75" t="inlineStr">
        <is>
          <t>https://fnet.bmfbovespa.com.br/fnet/publico/downloadDocumento?id=1224059</t>
        </is>
      </c>
      <c r="O409" s="75" t="inlineStr">
        <is>
          <t>Índice de Subordinação Mezanino: cotas júnior / PL, mínimo de 15,0%.</t>
        </is>
      </c>
    </row>
    <row r="410" ht="43.5" customHeight="1">
      <c r="A410" s="142" t="n">
        <v>53577135000180</v>
      </c>
      <c r="B410" s="75" t="inlineStr">
        <is>
          <t>53.577.135/0001-80</t>
        </is>
      </c>
      <c r="C410" s="75" t="inlineStr">
        <is>
          <t>natureza_indice</t>
        </is>
      </c>
      <c r="D410" s="75" t="inlineStr">
        <is>
          <t>junior_pl</t>
        </is>
      </c>
      <c r="E410" s="75" t="inlineStr">
        <is>
          <t>junior_pl</t>
        </is>
      </c>
      <c r="F410" s="75" t="inlineStr">
        <is>
          <t>payload_documental</t>
        </is>
      </c>
      <c r="G410" s="75" t="inlineStr">
        <is>
          <t>1224059</t>
        </is>
      </c>
      <c r="H410" s="75" t="inlineStr">
        <is>
          <t>documento_curado</t>
        </is>
      </c>
      <c r="I410" s="75" t="inlineStr">
        <is>
          <t>2026-06-18</t>
        </is>
      </c>
      <c r="J410" s="75" t="inlineStr">
        <is>
          <t>17</t>
        </is>
      </c>
      <c r="K410" s="75" t="inlineStr">
        <is>
          <t>aceito_payload</t>
        </is>
      </c>
      <c r="L410" s="144" t="n">
        <v>1</v>
      </c>
      <c r="M410" s="75" t="inlineStr">
        <is>
          <t>data/industry_study/generated_revision/artifact_payload.json</t>
        </is>
      </c>
      <c r="N410" s="75" t="inlineStr">
        <is>
          <t>https://fnet.bmfbovespa.com.br/fnet/publico/downloadDocumento?id=1224059</t>
        </is>
      </c>
      <c r="O410" s="75" t="inlineStr">
        <is>
          <t>Índice de Subordinação Mezanino: cotas júnior / PL, mínimo de 15,0%.</t>
        </is>
      </c>
    </row>
    <row r="411" ht="43.5" customHeight="1">
      <c r="A411" s="142" t="n">
        <v>53577135000180</v>
      </c>
      <c r="B411" s="75" t="inlineStr">
        <is>
          <t>53.577.135/0001-80</t>
        </is>
      </c>
      <c r="C411" s="75" t="inlineStr">
        <is>
          <t>tipo_recebivel</t>
        </is>
      </c>
      <c r="D411" s="75" t="inlineStr">
        <is>
          <t>Crédito FGTS</t>
        </is>
      </c>
      <c r="E411" s="75" t="inlineStr">
        <is>
          <t>N/D</t>
        </is>
      </c>
      <c r="F411" s="75" t="inlineStr">
        <is>
          <t>planilha_manual</t>
        </is>
      </c>
      <c r="G411" s="75" t="inlineStr">
        <is>
          <t>IMG_8704.JPG</t>
        </is>
      </c>
      <c r="H411" s="75" t="inlineStr">
        <is>
          <t>payload</t>
        </is>
      </c>
      <c r="I411" s="75" t="inlineStr">
        <is>
          <t>2026-06-18</t>
        </is>
      </c>
      <c r="J411" s="75" t="inlineStr">
        <is>
          <t>17</t>
        </is>
      </c>
      <c r="K411" s="75" t="inlineStr">
        <is>
          <t>aceito_payload</t>
        </is>
      </c>
      <c r="L411" s="144" t="n">
        <v>1</v>
      </c>
      <c r="M411" s="75" t="inlineStr">
        <is>
          <t>data/industry_study/generated_revision/artifact_payload.json</t>
        </is>
      </c>
      <c r="N411" s="75" t="inlineStr">
        <is>
          <t>N/D</t>
        </is>
      </c>
      <c r="O411" s="75" t="inlineStr">
        <is>
          <t>Denominação cortada pela largura da coluna na foto.</t>
        </is>
      </c>
    </row>
    <row r="412" ht="43.5" customHeight="1">
      <c r="A412" s="142" t="n">
        <v>53662209000187</v>
      </c>
      <c r="B412" s="75" t="inlineStr">
        <is>
          <t>53.662.209/0001-87</t>
        </is>
      </c>
      <c r="C412" s="75" t="inlineStr">
        <is>
          <t>cedente</t>
        </is>
      </c>
      <c r="D412" s="75" t="inlineStr">
        <is>
          <t>Cantu Store</t>
        </is>
      </c>
      <c r="E412" s="75" t="inlineStr">
        <is>
          <t>N/D</t>
        </is>
      </c>
      <c r="F412" s="75" t="inlineStr">
        <is>
          <t>planilha_manual</t>
        </is>
      </c>
      <c r="G412" s="75" t="inlineStr">
        <is>
          <t>IMG_8704.JPG</t>
        </is>
      </c>
      <c r="H412" s="75" t="inlineStr">
        <is>
          <t>payload</t>
        </is>
      </c>
      <c r="I412" s="75" t="inlineStr">
        <is>
          <t>2026-06-30</t>
        </is>
      </c>
      <c r="J412" s="75" t="inlineStr">
        <is>
          <t>49</t>
        </is>
      </c>
      <c r="K412" s="75" t="inlineStr">
        <is>
          <t>aceito_payload</t>
        </is>
      </c>
      <c r="L412" s="144" t="n">
        <v>1</v>
      </c>
      <c r="M412" s="75" t="inlineStr">
        <is>
          <t>data/industry_study/generated_revision/artifact_payload.json</t>
        </is>
      </c>
      <c r="N412" s="75" t="inlineStr">
        <is>
          <t>N/D</t>
        </is>
      </c>
      <c r="O412" s="75" t="inlineStr">
        <is>
          <t>OBS da foto: FIDC pulverizado com 20% de subordinação e baixa inadimplência.</t>
        </is>
      </c>
    </row>
    <row r="413" ht="43.5" customHeight="1">
      <c r="A413" s="142" t="n">
        <v>53662209000187</v>
      </c>
      <c r="B413" s="75" t="inlineStr">
        <is>
          <t>53.662.209/0001-87</t>
        </is>
      </c>
      <c r="C413" s="75" t="inlineStr">
        <is>
          <t>minimo_estrutural_total</t>
        </is>
      </c>
      <c r="D413" s="75" t="inlineStr">
        <is>
          <t>20%</t>
        </is>
      </c>
      <c r="E413" s="75" t="inlineStr">
        <is>
          <t>suporte_total_pl</t>
        </is>
      </c>
      <c r="F413" s="75" t="inlineStr">
        <is>
          <t>payload_documental</t>
        </is>
      </c>
      <c r="G413" s="75" t="inlineStr">
        <is>
          <t>1239751</t>
        </is>
      </c>
      <c r="H413" s="75" t="inlineStr">
        <is>
          <t>documento_curado</t>
        </is>
      </c>
      <c r="I413" s="75" t="inlineStr">
        <is>
          <t>2026-06-30</t>
        </is>
      </c>
      <c r="J413" s="75" t="inlineStr">
        <is>
          <t>49</t>
        </is>
      </c>
      <c r="K413" s="75" t="inlineStr">
        <is>
          <t>aceito_payload</t>
        </is>
      </c>
      <c r="L413" s="144" t="n">
        <v>1</v>
      </c>
      <c r="M413" s="75" t="inlineStr">
        <is>
          <t>data/industry_study/generated_revision/artifact_payload.json</t>
        </is>
      </c>
      <c r="N413" s="75" t="inlineStr">
        <is>
          <t>https://fnet.bmfbovespa.com.br/fnet/publico/downloadDocumento?id=1239751</t>
        </is>
      </c>
      <c r="O413" s="75" t="inlineStr">
        <is>
          <t>N/D</t>
        </is>
      </c>
    </row>
    <row r="414" ht="43.5" customHeight="1">
      <c r="A414" s="142" t="n">
        <v>53662209000187</v>
      </c>
      <c r="B414" s="75" t="inlineStr">
        <is>
          <t>53.662.209/0001-87</t>
        </is>
      </c>
      <c r="C414" s="75" t="inlineStr">
        <is>
          <t>natureza_indice</t>
        </is>
      </c>
      <c r="D414" s="75" t="inlineStr">
        <is>
          <t>suporte_total_pl</t>
        </is>
      </c>
      <c r="E414" s="75" t="inlineStr">
        <is>
          <t>suporte_total_pl</t>
        </is>
      </c>
      <c r="F414" s="75" t="inlineStr">
        <is>
          <t>payload_documental</t>
        </is>
      </c>
      <c r="G414" s="75" t="inlineStr">
        <is>
          <t>1239751</t>
        </is>
      </c>
      <c r="H414" s="75" t="inlineStr">
        <is>
          <t>documento_curado</t>
        </is>
      </c>
      <c r="I414" s="75" t="inlineStr">
        <is>
          <t>2026-06-30</t>
        </is>
      </c>
      <c r="J414" s="75" t="inlineStr">
        <is>
          <t>49</t>
        </is>
      </c>
      <c r="K414" s="75" t="inlineStr">
        <is>
          <t>aceito_payload</t>
        </is>
      </c>
      <c r="L414" s="144" t="n">
        <v>1</v>
      </c>
      <c r="M414" s="75" t="inlineStr">
        <is>
          <t>data/industry_study/generated_revision/artifact_payload.json</t>
        </is>
      </c>
      <c r="N414" s="75" t="inlineStr">
        <is>
          <t>https://fnet.bmfbovespa.com.br/fnet/publico/downloadDocumento?id=1239751</t>
        </is>
      </c>
      <c r="O414" s="75" t="inlineStr">
        <is>
          <t>N/D</t>
        </is>
      </c>
    </row>
    <row r="415" ht="43.5" customHeight="1">
      <c r="A415" s="142" t="n">
        <v>53662209000187</v>
      </c>
      <c r="B415" s="75" t="inlineStr">
        <is>
          <t>53.662.209/0001-87</t>
        </is>
      </c>
      <c r="C415" s="75" t="inlineStr">
        <is>
          <t>sacado_devedor</t>
        </is>
      </c>
      <c r="D415" s="75" t="inlineStr">
        <is>
          <t>os devedores (sacados), pessoas físicas ou jurídicas, que tenham estabelecido relação de consumo dos Direitos Creditórios com as Cedentes</t>
        </is>
      </c>
      <c r="E415" s="75" t="inlineStr">
        <is>
          <t>N/D</t>
        </is>
      </c>
      <c r="F415" s="75" t="inlineStr">
        <is>
          <t>regulamento</t>
        </is>
      </c>
      <c r="G415" s="75" t="inlineStr">
        <is>
          <t>911129</t>
        </is>
      </c>
      <c r="H415" s="75" t="inlineStr">
        <is>
          <t>regulamento</t>
        </is>
      </c>
      <c r="I415" s="75" t="inlineStr">
        <is>
          <t>2025-05-21</t>
        </is>
      </c>
      <c r="J415" s="75" t="inlineStr">
        <is>
          <t>6</t>
        </is>
      </c>
      <c r="K415" s="75" t="inlineStr">
        <is>
          <t>encontrado_explicito</t>
        </is>
      </c>
      <c r="L415" s="144" t="n">
        <v>0.95</v>
      </c>
      <c r="M415" s="75" t="inlineStr">
        <is>
          <t>data/raw/53662209000187/911129_regulamento_regulamento_911129_2025-05-21_2025-05-21.pdf</t>
        </is>
      </c>
      <c r="N415" s="75" t="inlineStr">
        <is>
          <t>https://fnet.bmfbovespa.com.br/fnet/publico/downloadDocumento?id=911129</t>
        </is>
      </c>
      <c r="O415"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6" ht="43.5" customHeight="1">
      <c r="A416" s="142" t="n">
        <v>53662209000187</v>
      </c>
      <c r="B416" s="75" t="inlineStr">
        <is>
          <t>53.662.209/0001-87</t>
        </is>
      </c>
      <c r="C416" s="75" t="inlineStr">
        <is>
          <t>sacado_devedor</t>
        </is>
      </c>
      <c r="D416" s="75" t="inlineStr">
        <is>
          <t>os devedores (sacados), pessoas físicas ou jurídicas, que tenham estabelecido relação de consumo dos Direitos Creditórios com as Cedentes</t>
        </is>
      </c>
      <c r="E416" s="75" t="inlineStr">
        <is>
          <t>N/D</t>
        </is>
      </c>
      <c r="F416" s="75" t="inlineStr">
        <is>
          <t>regulamento</t>
        </is>
      </c>
      <c r="G416" s="75" t="inlineStr">
        <is>
          <t>1239751</t>
        </is>
      </c>
      <c r="H416" s="75" t="inlineStr">
        <is>
          <t>Regulamento</t>
        </is>
      </c>
      <c r="I416" s="75" t="inlineStr">
        <is>
          <t>30/06/2026</t>
        </is>
      </c>
      <c r="J416" s="75" t="inlineStr">
        <is>
          <t>7</t>
        </is>
      </c>
      <c r="K416" s="75" t="inlineStr">
        <is>
          <t>encontrado_explicito</t>
        </is>
      </c>
      <c r="L416" s="144" t="n">
        <v>0.95</v>
      </c>
      <c r="M416" s="75" t="inlineStr">
        <is>
          <t>.cache/carteira_101_document_scan/53662209000187/1239751.json.gz</t>
        </is>
      </c>
      <c r="N416" s="75" t="inlineStr">
        <is>
          <t>https://fnet.bmfbovespa.com.br/fnet/publico/downloadDocumento?id=1239751</t>
        </is>
      </c>
      <c r="O416" s="75" t="inlineStr">
        <is>
          <t>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t>
        </is>
      </c>
    </row>
    <row r="417" ht="43.5" customHeight="1">
      <c r="A417" s="142" t="n">
        <v>53662209000187</v>
      </c>
      <c r="B417" s="75" t="inlineStr">
        <is>
          <t>53.662.209/0001-87</t>
        </is>
      </c>
      <c r="C417" s="75" t="inlineStr">
        <is>
          <t>sacado_devedor</t>
        </is>
      </c>
      <c r="D417" s="75" t="inlineStr">
        <is>
          <t>os devedores (sacados), pessoas físicas ou jurídicas, que tenham estabelecido relação de consumo dos Direitos Creditórios com as Cedentes</t>
        </is>
      </c>
      <c r="E417" s="75" t="inlineStr">
        <is>
          <t>N/D</t>
        </is>
      </c>
      <c r="F417" s="75" t="inlineStr">
        <is>
          <t>regulamento</t>
        </is>
      </c>
      <c r="G417" s="75" t="inlineStr">
        <is>
          <t>53662209000187</t>
        </is>
      </c>
      <c r="H417" s="75" t="inlineStr">
        <is>
          <t>regulamento</t>
        </is>
      </c>
      <c r="I417" s="75" t="inlineStr">
        <is>
          <t>N/D</t>
        </is>
      </c>
      <c r="J417" s="75" t="inlineStr">
        <is>
          <t>1</t>
        </is>
      </c>
      <c r="K417" s="75" t="inlineStr">
        <is>
          <t>encontrado_explicito</t>
        </is>
      </c>
      <c r="L417" s="144" t="n">
        <v>0.95</v>
      </c>
      <c r="M417" s="75" t="inlineStr">
        <is>
          <t>outputs/fidc_director_deep_diagnostic_20260609/pdf_text_cache/53662209000187_911129_regulamento_regulamento_911129_2025-05-21_2025-05-21.txt</t>
        </is>
      </c>
      <c r="N417" s="75" t="inlineStr">
        <is>
          <t>https://fnet.bmfbovespa.com.br/fnet/publico/downloadDocumento?id=53662209000187</t>
        </is>
      </c>
      <c r="O417"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8" ht="43.5" customHeight="1">
      <c r="A418" s="142" t="n">
        <v>53662209000187</v>
      </c>
      <c r="B418" s="75" t="inlineStr">
        <is>
          <t>53.662.209/0001-87</t>
        </is>
      </c>
      <c r="C418" s="75" t="inlineStr">
        <is>
          <t>sacado_devedor</t>
        </is>
      </c>
      <c r="D418" s="75" t="inlineStr">
        <is>
          <t>15.426.874/0001-82</t>
        </is>
      </c>
      <c r="E418" s="75" t="inlineStr">
        <is>
          <t>N/D</t>
        </is>
      </c>
      <c r="F418" s="75" t="inlineStr">
        <is>
          <t>candidate_extraction</t>
        </is>
      </c>
      <c r="G418" s="75" t="inlineStr">
        <is>
          <t>53662209000187</t>
        </is>
      </c>
      <c r="H418" s="75" t="inlineStr">
        <is>
          <t>extração heurística</t>
        </is>
      </c>
      <c r="I418" s="75" t="inlineStr">
        <is>
          <t>N/D</t>
        </is>
      </c>
      <c r="J418" s="75" t="inlineStr">
        <is>
          <t>N/D</t>
        </is>
      </c>
      <c r="K418" s="75" t="inlineStr">
        <is>
          <t>candidato_revisao</t>
        </is>
      </c>
      <c r="L418" s="144" t="n">
        <v>0.95</v>
      </c>
      <c r="M418" s="75" t="inlineStr">
        <is>
          <t>outputs/fidc_director_deep_diagnostic_20260609/pdf_text_cache/53662209000187_911129_regulamento_regulamento_911129_2025-05-21_2025-05-21.txt</t>
        </is>
      </c>
      <c r="N418" s="75" t="inlineStr">
        <is>
          <t>https://fnet.bmfbovespa.com.br/fnet/publico/downloadDocumento?id=53662209000187</t>
        </is>
      </c>
      <c r="O418" s="75" t="inlineStr">
        <is>
          <t>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t>
        </is>
      </c>
    </row>
    <row r="419" ht="43.5" customHeight="1">
      <c r="A419" s="142" t="n">
        <v>54083697000130</v>
      </c>
      <c r="B419" s="75" t="inlineStr">
        <is>
          <t>54.083.697/0001-30</t>
        </is>
      </c>
      <c r="C419" s="75" t="inlineStr">
        <is>
          <t>cedente</t>
        </is>
      </c>
      <c r="D419"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t>
        </is>
      </c>
      <c r="E419" s="75" t="inlineStr">
        <is>
          <t>N/D</t>
        </is>
      </c>
      <c r="F419" s="75" t="inlineStr">
        <is>
          <t>regulamento</t>
        </is>
      </c>
      <c r="G419" s="75" t="inlineStr">
        <is>
          <t>640301</t>
        </is>
      </c>
      <c r="H419" s="75" t="inlineStr">
        <is>
          <t>Regulamento</t>
        </is>
      </c>
      <c r="I419" s="75" t="inlineStr">
        <is>
          <t>12/04/2024</t>
        </is>
      </c>
      <c r="J419" s="75" t="inlineStr">
        <is>
          <t>5</t>
        </is>
      </c>
      <c r="K419" s="75" t="inlineStr">
        <is>
          <t>encontrado_explicito</t>
        </is>
      </c>
      <c r="L419" s="144" t="n">
        <v>0.95</v>
      </c>
      <c r="M419" s="75" t="inlineStr">
        <is>
          <t>.cache/carteira_101_document_scan/54083697000130/640301.json.gz</t>
        </is>
      </c>
      <c r="N419" s="75" t="inlineStr">
        <is>
          <t>https://fnet.bmfbovespa.com.br/fnet/publico/downloadDocumento?id=640301</t>
        </is>
      </c>
      <c r="O419"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t>
        </is>
      </c>
    </row>
    <row r="420" ht="43.5" customHeight="1">
      <c r="A420" s="142" t="n">
        <v>54083697000130</v>
      </c>
      <c r="B420" s="75" t="inlineStr">
        <is>
          <t>54.083.697/0001-30</t>
        </is>
      </c>
      <c r="C420" s="75" t="inlineStr">
        <is>
          <t>cedente</t>
        </is>
      </c>
      <c r="D420"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E420" s="75" t="inlineStr">
        <is>
          <t>N/D</t>
        </is>
      </c>
      <c r="F420" s="75" t="inlineStr">
        <is>
          <t>regulamento</t>
        </is>
      </c>
      <c r="G420" s="75" t="inlineStr">
        <is>
          <t>628851</t>
        </is>
      </c>
      <c r="H420" s="75" t="inlineStr">
        <is>
          <t>Regulamento</t>
        </is>
      </c>
      <c r="I420" s="75" t="inlineStr">
        <is>
          <t>27/03/2024</t>
        </is>
      </c>
      <c r="J420" s="75" t="inlineStr">
        <is>
          <t>5</t>
        </is>
      </c>
      <c r="K420" s="75" t="inlineStr">
        <is>
          <t>encontrado_explicito</t>
        </is>
      </c>
      <c r="L420" s="144" t="n">
        <v>0.95</v>
      </c>
      <c r="M420" s="75" t="inlineStr">
        <is>
          <t>.cache/carteira_101_document_scan/54083697000130/628851.json.gz</t>
        </is>
      </c>
      <c r="N420" s="75" t="inlineStr">
        <is>
          <t>https://fnet.bmfbovespa.com.br/fnet/publico/downloadDocumento?id=628851</t>
        </is>
      </c>
      <c r="O420"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t>
        </is>
      </c>
    </row>
    <row r="421" ht="43.5" customHeight="1">
      <c r="A421" s="142" t="n">
        <v>54083697000130</v>
      </c>
      <c r="B421" s="75" t="inlineStr">
        <is>
          <t>54.083.697/0001-30</t>
        </is>
      </c>
      <c r="C421" s="75" t="inlineStr">
        <is>
          <t>cedente</t>
        </is>
      </c>
      <c r="D421" s="75" t="inlineStr">
        <is>
          <t>Pernambucanas</t>
        </is>
      </c>
      <c r="E421" s="75" t="inlineStr">
        <is>
          <t>N/D</t>
        </is>
      </c>
      <c r="F421" s="75" t="inlineStr">
        <is>
          <t>planilha_manual</t>
        </is>
      </c>
      <c r="G421" s="75" t="inlineStr">
        <is>
          <t>IMG_8704.JPG</t>
        </is>
      </c>
      <c r="H421" s="75" t="inlineStr">
        <is>
          <t>payload</t>
        </is>
      </c>
      <c r="I421" s="75" t="inlineStr">
        <is>
          <t>2024-04-12</t>
        </is>
      </c>
      <c r="J421" s="75" t="inlineStr">
        <is>
          <t>84</t>
        </is>
      </c>
      <c r="K421" s="75" t="inlineStr">
        <is>
          <t>aceito_payload</t>
        </is>
      </c>
      <c r="L421" s="144" t="n">
        <v>1</v>
      </c>
      <c r="M421" s="75" t="inlineStr">
        <is>
          <t>data/industry_study/generated_revision/artifact_payload.json</t>
        </is>
      </c>
      <c r="N421" s="75" t="inlineStr">
        <is>
          <t>N/D</t>
        </is>
      </c>
      <c r="O421" s="75" t="inlineStr">
        <is>
          <t>N/D</t>
        </is>
      </c>
    </row>
    <row r="422" ht="43.5" customHeight="1">
      <c r="A422" s="142" t="n">
        <v>54083697000130</v>
      </c>
      <c r="B422" s="75" t="inlineStr">
        <is>
          <t>54.083.697/0001-30</t>
        </is>
      </c>
      <c r="C422" s="75" t="inlineStr">
        <is>
          <t>minimo_estrutural_total</t>
        </is>
      </c>
      <c r="D422" s="75" t="inlineStr">
        <is>
          <t>10%</t>
        </is>
      </c>
      <c r="E422" s="75" t="inlineStr">
        <is>
          <t>suporte_total_pl</t>
        </is>
      </c>
      <c r="F422" s="75" t="inlineStr">
        <is>
          <t>payload_documental</t>
        </is>
      </c>
      <c r="G422" s="75" t="inlineStr">
        <is>
          <t>640301</t>
        </is>
      </c>
      <c r="H422" s="75" t="inlineStr">
        <is>
          <t>documento_curado</t>
        </is>
      </c>
      <c r="I422" s="75" t="inlineStr">
        <is>
          <t>2024-04-12</t>
        </is>
      </c>
      <c r="J422" s="75" t="inlineStr">
        <is>
          <t>84</t>
        </is>
      </c>
      <c r="K422" s="75" t="inlineStr">
        <is>
          <t>aceito_payload</t>
        </is>
      </c>
      <c r="L422" s="144" t="n">
        <v>1</v>
      </c>
      <c r="M422" s="75" t="inlineStr">
        <is>
          <t>data/industry_study/generated_revision/artifact_payload.json</t>
        </is>
      </c>
      <c r="N422" s="75" t="inlineStr">
        <is>
          <t>https://fnet.bmfbovespa.com.br/fnet/publico/downloadDocumento?id=640301</t>
        </is>
      </c>
      <c r="O422" s="75" t="inlineStr">
        <is>
          <t>Cotas subordinadas júnior / PL, mínimo de 10,0%.</t>
        </is>
      </c>
    </row>
    <row r="423" ht="43.5" customHeight="1">
      <c r="A423" s="142" t="n">
        <v>54083697000130</v>
      </c>
      <c r="B423" s="75" t="inlineStr">
        <is>
          <t>54.083.697/0001-30</t>
        </is>
      </c>
      <c r="C423" s="75" t="inlineStr">
        <is>
          <t>minimo_junior</t>
        </is>
      </c>
      <c r="D423" s="75" t="inlineStr">
        <is>
          <t>10%</t>
        </is>
      </c>
      <c r="E423" s="75" t="inlineStr">
        <is>
          <t>junior_pl</t>
        </is>
      </c>
      <c r="F423" s="75" t="inlineStr">
        <is>
          <t>payload_documental</t>
        </is>
      </c>
      <c r="G423" s="75" t="inlineStr">
        <is>
          <t>640301</t>
        </is>
      </c>
      <c r="H423" s="75" t="inlineStr">
        <is>
          <t>documento_curado</t>
        </is>
      </c>
      <c r="I423" s="75" t="inlineStr">
        <is>
          <t>2024-04-12</t>
        </is>
      </c>
      <c r="J423" s="75" t="inlineStr">
        <is>
          <t>84</t>
        </is>
      </c>
      <c r="K423" s="75" t="inlineStr">
        <is>
          <t>aceito_payload</t>
        </is>
      </c>
      <c r="L423" s="144" t="n">
        <v>1</v>
      </c>
      <c r="M423" s="75" t="inlineStr">
        <is>
          <t>data/industry_study/generated_revision/artifact_payload.json</t>
        </is>
      </c>
      <c r="N423" s="75" t="inlineStr">
        <is>
          <t>https://fnet.bmfbovespa.com.br/fnet/publico/downloadDocumento?id=640301</t>
        </is>
      </c>
      <c r="O423" s="75" t="inlineStr">
        <is>
          <t>Cotas subordinadas júnior / PL, mínimo de 10,0%.</t>
        </is>
      </c>
    </row>
    <row r="424" ht="43.5" customHeight="1">
      <c r="A424" s="142" t="n">
        <v>54083697000130</v>
      </c>
      <c r="B424" s="75" t="inlineStr">
        <is>
          <t>54.083.697/0001-30</t>
        </is>
      </c>
      <c r="C424" s="75" t="inlineStr">
        <is>
          <t>natureza_indice</t>
        </is>
      </c>
      <c r="D424" s="75" t="inlineStr">
        <is>
          <t>junior_pl</t>
        </is>
      </c>
      <c r="E424" s="75" t="inlineStr">
        <is>
          <t>junior_pl</t>
        </is>
      </c>
      <c r="F424" s="75" t="inlineStr">
        <is>
          <t>payload_documental</t>
        </is>
      </c>
      <c r="G424" s="75" t="inlineStr">
        <is>
          <t>640301</t>
        </is>
      </c>
      <c r="H424" s="75" t="inlineStr">
        <is>
          <t>documento_curado</t>
        </is>
      </c>
      <c r="I424" s="75" t="inlineStr">
        <is>
          <t>2024-04-12</t>
        </is>
      </c>
      <c r="J424" s="75" t="inlineStr">
        <is>
          <t>84</t>
        </is>
      </c>
      <c r="K424" s="75" t="inlineStr">
        <is>
          <t>aceito_payload</t>
        </is>
      </c>
      <c r="L424" s="144" t="n">
        <v>1</v>
      </c>
      <c r="M424" s="75" t="inlineStr">
        <is>
          <t>data/industry_study/generated_revision/artifact_payload.json</t>
        </is>
      </c>
      <c r="N424" s="75" t="inlineStr">
        <is>
          <t>https://fnet.bmfbovespa.com.br/fnet/publico/downloadDocumento?id=640301</t>
        </is>
      </c>
      <c r="O424" s="75" t="inlineStr">
        <is>
          <t>Cotas subordinadas júnior / PL, mínimo de 10,0%.</t>
        </is>
      </c>
    </row>
    <row r="425" ht="43.5" customHeight="1">
      <c r="A425" s="142" t="n">
        <v>54252144000164</v>
      </c>
      <c r="B425" s="75" t="inlineStr">
        <is>
          <t>54.252.144/0001-64</t>
        </is>
      </c>
      <c r="C425" s="75" t="inlineStr">
        <is>
          <t>cedente</t>
        </is>
      </c>
      <c r="D425" s="75" t="inlineStr">
        <is>
          <t>a J17 e, apenas para a s Aquisições Iniciais, o Metropolitana FIDC-NP</t>
        </is>
      </c>
      <c r="E425" s="75" t="inlineStr">
        <is>
          <t>N/D</t>
        </is>
      </c>
      <c r="F425" s="75" t="inlineStr">
        <is>
          <t>regulamento</t>
        </is>
      </c>
      <c r="G425" s="75" t="inlineStr">
        <is>
          <t>1223382</t>
        </is>
      </c>
      <c r="H425" s="75" t="inlineStr">
        <is>
          <t>Regulamento</t>
        </is>
      </c>
      <c r="I425" s="75" t="inlineStr">
        <is>
          <t>08/06/2026</t>
        </is>
      </c>
      <c r="J425" s="75" t="inlineStr">
        <is>
          <t>44</t>
        </is>
      </c>
      <c r="K425" s="75" t="inlineStr">
        <is>
          <t>encontrado_explicito</t>
        </is>
      </c>
      <c r="L425" s="144" t="n">
        <v>0.95</v>
      </c>
      <c r="M425" s="75" t="inlineStr">
        <is>
          <t>.cache/carteira_101_document_scan/54252144000164/1223382.json.gz</t>
        </is>
      </c>
      <c r="N425" s="75" t="inlineStr">
        <is>
          <t>https://fnet.bmfbovespa.com.br/fnet/publico/downloadDocumento?id=1223382</t>
        </is>
      </c>
      <c r="O425"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6" ht="43.5" customHeight="1">
      <c r="A426" s="142" t="n">
        <v>54252144000164</v>
      </c>
      <c r="B426" s="75" t="inlineStr">
        <is>
          <t>54.252.144/0001-64</t>
        </is>
      </c>
      <c r="C426" s="75" t="inlineStr">
        <is>
          <t>cedente</t>
        </is>
      </c>
      <c r="D426" s="75" t="inlineStr">
        <is>
          <t>a J17 e, apenas para a s Aquisições Iniciais, o Metropolitana FIDC-NP</t>
        </is>
      </c>
      <c r="E426" s="75" t="inlineStr">
        <is>
          <t>N/D</t>
        </is>
      </c>
      <c r="F426" s="75" t="inlineStr">
        <is>
          <t>regulamento</t>
        </is>
      </c>
      <c r="G426" s="75" t="inlineStr">
        <is>
          <t>1072289</t>
        </is>
      </c>
      <c r="H426" s="75" t="inlineStr">
        <is>
          <t>regulamento</t>
        </is>
      </c>
      <c r="I426" s="75" t="inlineStr">
        <is>
          <t>2025-12-29</t>
        </is>
      </c>
      <c r="J426" s="75" t="inlineStr">
        <is>
          <t>47</t>
        </is>
      </c>
      <c r="K426" s="75" t="inlineStr">
        <is>
          <t>encontrado_explicito</t>
        </is>
      </c>
      <c r="L426" s="144" t="n">
        <v>0.95</v>
      </c>
      <c r="M426" s="75" t="inlineStr">
        <is>
          <t>data/raw/54252144000164/1072289_regulamento_regulamento_1072289_2025-12-29.pdf</t>
        </is>
      </c>
      <c r="N426" s="75" t="inlineStr">
        <is>
          <t>https://fnet.bmfbovespa.com.br/fnet/publico/downloadDocumento?id=1072289</t>
        </is>
      </c>
      <c r="O426"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7" ht="43.5" customHeight="1">
      <c r="A427" s="142" t="n">
        <v>54252144000164</v>
      </c>
      <c r="B427" s="75" t="inlineStr">
        <is>
          <t>54.252.144/0001-64</t>
        </is>
      </c>
      <c r="C427" s="75" t="inlineStr">
        <is>
          <t>cedente</t>
        </is>
      </c>
      <c r="D427" s="75" t="inlineStr">
        <is>
          <t>a J17 e, apenas para a s Aquisições Iniciais, o Metropolitana FIDC-NP</t>
        </is>
      </c>
      <c r="E427" s="75" t="inlineStr">
        <is>
          <t>N/D</t>
        </is>
      </c>
      <c r="F427" s="75" t="inlineStr">
        <is>
          <t>regulamento</t>
        </is>
      </c>
      <c r="G427" s="75" t="inlineStr">
        <is>
          <t>1072290</t>
        </is>
      </c>
      <c r="H427" s="75" t="inlineStr">
        <is>
          <t>regulamento</t>
        </is>
      </c>
      <c r="I427" s="75" t="inlineStr">
        <is>
          <t>2025-12-29</t>
        </is>
      </c>
      <c r="J427" s="75" t="inlineStr">
        <is>
          <t>N/D</t>
        </is>
      </c>
      <c r="K427" s="75" t="inlineStr">
        <is>
          <t>encontrado_explicito</t>
        </is>
      </c>
      <c r="L427" s="144" t="n">
        <v>0.95</v>
      </c>
      <c r="M427" s="75" t="inlineStr">
        <is>
          <t>outputs/fidc_director_deep_diagnostic_20260609/pdf_text_cache/54252144000164_1072290_regulamento_regulamento_1072290_2025-12-29.txt</t>
        </is>
      </c>
      <c r="N427" s="75" t="inlineStr">
        <is>
          <t>https://fnet.bmfbovespa.com.br/fnet/publico/downloadDocumento?id=1072290</t>
        </is>
      </c>
      <c r="O427"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8" ht="43.5" customHeight="1">
      <c r="A428" s="142" t="n">
        <v>54252144000164</v>
      </c>
      <c r="B428" s="75" t="inlineStr">
        <is>
          <t>54.252.144/0001-64</t>
        </is>
      </c>
      <c r="C428" s="75" t="inlineStr">
        <is>
          <t>cedente</t>
        </is>
      </c>
      <c r="D428" s="75" t="inlineStr">
        <is>
          <t>a J17 e, apenas para a s Aquisições Iniciais, o Metropolitana FIDC-NP</t>
        </is>
      </c>
      <c r="E428" s="75" t="inlineStr">
        <is>
          <t>N/D</t>
        </is>
      </c>
      <c r="F428" s="75" t="inlineStr">
        <is>
          <t>assembleia</t>
        </is>
      </c>
      <c r="G428" s="75" t="inlineStr">
        <is>
          <t>1223380</t>
        </is>
      </c>
      <c r="H428" s="75" t="inlineStr">
        <is>
          <t>Assembleia AGE Ata da Assembleia</t>
        </is>
      </c>
      <c r="I428" s="75" t="inlineStr">
        <is>
          <t>08/06/2026 09:00</t>
        </is>
      </c>
      <c r="J428" s="75" t="inlineStr">
        <is>
          <t>49</t>
        </is>
      </c>
      <c r="K428" s="75" t="inlineStr">
        <is>
          <t>encontrado_explicito</t>
        </is>
      </c>
      <c r="L428" s="144" t="n">
        <v>0.95</v>
      </c>
      <c r="M428" s="75" t="inlineStr">
        <is>
          <t>.cache/carteira_101_document_scan/54252144000164/1223380.json.gz</t>
        </is>
      </c>
      <c r="N428" s="75" t="inlineStr">
        <is>
          <t>https://fnet.bmfbovespa.com.br/fnet/publico/downloadDocumento?id=1223380</t>
        </is>
      </c>
      <c r="O428"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9" ht="43.5" customHeight="1">
      <c r="A429" s="142" t="n">
        <v>54252144000164</v>
      </c>
      <c r="B429" s="75" t="inlineStr">
        <is>
          <t>54.252.144/0001-64</t>
        </is>
      </c>
      <c r="C429" s="75" t="inlineStr">
        <is>
          <t>cedente</t>
        </is>
      </c>
      <c r="D429" s="75" t="inlineStr">
        <is>
          <t>a J17 e, apenas para a s Aquisições Iniciais, o Metropolitana FIDC-NP.</t>
        </is>
      </c>
      <c r="E429" s="75" t="inlineStr">
        <is>
          <t>N/D</t>
        </is>
      </c>
      <c r="F429" s="75" t="inlineStr">
        <is>
          <t>assembleia</t>
        </is>
      </c>
      <c r="G429" s="75" t="inlineStr">
        <is>
          <t>926234</t>
        </is>
      </c>
      <c r="H429" s="75" t="inlineStr">
        <is>
          <t>assembleia</t>
        </is>
      </c>
      <c r="I429" s="75" t="inlineStr">
        <is>
          <t>2025-06-13</t>
        </is>
      </c>
      <c r="J429" s="75" t="inlineStr">
        <is>
          <t>46</t>
        </is>
      </c>
      <c r="K429" s="75" t="inlineStr">
        <is>
          <t>encontrado_explicito</t>
        </is>
      </c>
      <c r="L429" s="144" t="n">
        <v>0.95</v>
      </c>
      <c r="M429" s="75" t="inlineStr">
        <is>
          <t>data/raw/54252144000164/926234_assembleia_assembleia_926234_2025-06-13.pdf</t>
        </is>
      </c>
      <c r="N429" s="75" t="inlineStr">
        <is>
          <t>https://fnet.bmfbovespa.com.br/fnet/publico/downloadDocumento?id=926234</t>
        </is>
      </c>
      <c r="O429" s="75" t="inlineStr">
        <is>
          <t>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t>
        </is>
      </c>
    </row>
    <row r="430" ht="43.5" customHeight="1">
      <c r="A430" s="142" t="n">
        <v>54252144000164</v>
      </c>
      <c r="B430" s="75" t="inlineStr">
        <is>
          <t>54.252.144/0001-64</t>
        </is>
      </c>
      <c r="C430" s="75" t="inlineStr">
        <is>
          <t>cedente</t>
        </is>
      </c>
      <c r="D430" s="75" t="inlineStr">
        <is>
          <t>J17</t>
        </is>
      </c>
      <c r="E430" s="75" t="inlineStr">
        <is>
          <t>N/D</t>
        </is>
      </c>
      <c r="F430" s="75" t="inlineStr">
        <is>
          <t>planilha_manual</t>
        </is>
      </c>
      <c r="G430" s="75" t="inlineStr">
        <is>
          <t>IMG_8704.JPG</t>
        </is>
      </c>
      <c r="H430" s="75" t="inlineStr">
        <is>
          <t>payload</t>
        </is>
      </c>
      <c r="I430" s="75" t="inlineStr">
        <is>
          <t>2026-06-08</t>
        </is>
      </c>
      <c r="J430" s="75" t="inlineStr">
        <is>
          <t>109</t>
        </is>
      </c>
      <c r="K430" s="75" t="inlineStr">
        <is>
          <t>aceito_payload</t>
        </is>
      </c>
      <c r="L430" s="144" t="n">
        <v>1</v>
      </c>
      <c r="M430" s="75" t="inlineStr">
        <is>
          <t>data/industry_study/generated_revision/artifact_payload.json</t>
        </is>
      </c>
      <c r="N430" s="75" t="inlineStr">
        <is>
          <t>N/D</t>
        </is>
      </c>
      <c r="O430" s="75" t="inlineStr">
        <is>
          <t>Denominação cortada pela largura da coluna na foto.</t>
        </is>
      </c>
    </row>
    <row r="431" ht="43.5" customHeight="1">
      <c r="A431" s="142" t="n">
        <v>54252144000164</v>
      </c>
      <c r="B431" s="75" t="inlineStr">
        <is>
          <t>54.252.144/0001-64</t>
        </is>
      </c>
      <c r="C431" s="75" t="inlineStr">
        <is>
          <t>cedente</t>
        </is>
      </c>
      <c r="D431" s="75" t="inlineStr">
        <is>
          <t>SIGNIFICA GRANDINO LTDA</t>
        </is>
      </c>
      <c r="E431" s="75" t="inlineStr">
        <is>
          <t>N/D</t>
        </is>
      </c>
      <c r="F431" s="75" t="inlineStr">
        <is>
          <t>candidate_extraction</t>
        </is>
      </c>
      <c r="G431" s="75" t="inlineStr">
        <is>
          <t>54252144000164</t>
        </is>
      </c>
      <c r="H431" s="75" t="inlineStr">
        <is>
          <t>extração heurística</t>
        </is>
      </c>
      <c r="I431" s="75" t="inlineStr">
        <is>
          <t>N/D</t>
        </is>
      </c>
      <c r="J431" s="75" t="inlineStr">
        <is>
          <t>N/D</t>
        </is>
      </c>
      <c r="K431" s="75" t="inlineStr">
        <is>
          <t>candidato_revisao</t>
        </is>
      </c>
      <c r="L431" s="144" t="n">
        <v>0.95</v>
      </c>
      <c r="M431" s="75" t="inlineStr">
        <is>
          <t>outputs/fidc_director_deep_diagnostic_20260609/pdf_text_cache/54252144000164_1072290_regulamento_regulamento_1072290_2025-12-29.txt</t>
        </is>
      </c>
      <c r="N431" s="75" t="inlineStr">
        <is>
          <t>https://fnet.bmfbovespa.com.br/fnet/publico/downloadDocumento?id=54252144000164</t>
        </is>
      </c>
      <c r="O431" s="75" t="inlineStr">
        <is>
          <t>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t>
        </is>
      </c>
    </row>
    <row r="432" ht="43.5" customHeight="1">
      <c r="A432" s="142" t="n">
        <v>54252144000164</v>
      </c>
      <c r="B432" s="75" t="inlineStr">
        <is>
          <t>54.252.144/0001-64</t>
        </is>
      </c>
      <c r="C432" s="75" t="inlineStr">
        <is>
          <t>minimo_estrutural_total</t>
        </is>
      </c>
      <c r="D432" s="75" t="inlineStr">
        <is>
          <t>15%</t>
        </is>
      </c>
      <c r="E432" s="75" t="inlineStr">
        <is>
          <t>suporte_total_pl</t>
        </is>
      </c>
      <c r="F432" s="75" t="inlineStr">
        <is>
          <t>regulamento</t>
        </is>
      </c>
      <c r="G432" s="75" t="inlineStr">
        <is>
          <t>1223382</t>
        </is>
      </c>
      <c r="H432" s="75" t="inlineStr">
        <is>
          <t>Regulamento</t>
        </is>
      </c>
      <c r="I432" s="75" t="inlineStr">
        <is>
          <t>08/06/2026</t>
        </is>
      </c>
      <c r="J432" s="75" t="inlineStr">
        <is>
          <t>109</t>
        </is>
      </c>
      <c r="K432" s="75" t="inlineStr">
        <is>
          <t>encontrado_explicito</t>
        </is>
      </c>
      <c r="L432" s="144" t="n">
        <v>0.95</v>
      </c>
      <c r="M432" s="75" t="inlineStr">
        <is>
          <t>.cache/carteira_101_document_scan/54252144000164/1223382.json.gz</t>
        </is>
      </c>
      <c r="N432" s="75" t="inlineStr">
        <is>
          <t>https://fnet.bmfbovespa.com.br/fnet/publico/downloadDocumento?id=1223382</t>
        </is>
      </c>
      <c r="O432"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3" ht="43.5" customHeight="1">
      <c r="A433" s="142" t="n">
        <v>54252144000164</v>
      </c>
      <c r="B433" s="75" t="inlineStr">
        <is>
          <t>54.252.144/0001-64</t>
        </is>
      </c>
      <c r="C433" s="75" t="inlineStr">
        <is>
          <t>minimo_estrutural_total</t>
        </is>
      </c>
      <c r="D433" s="75" t="inlineStr">
        <is>
          <t>15%</t>
        </is>
      </c>
      <c r="E433" s="75" t="inlineStr">
        <is>
          <t>suporte_total_pl</t>
        </is>
      </c>
      <c r="F433" s="75" t="inlineStr">
        <is>
          <t>regulamento</t>
        </is>
      </c>
      <c r="G433" s="75" t="inlineStr">
        <is>
          <t>1072289</t>
        </is>
      </c>
      <c r="H433" s="75" t="inlineStr">
        <is>
          <t>regulamento</t>
        </is>
      </c>
      <c r="I433" s="75" t="inlineStr">
        <is>
          <t>2025-12-29</t>
        </is>
      </c>
      <c r="J433" s="75" t="inlineStr">
        <is>
          <t>111</t>
        </is>
      </c>
      <c r="K433" s="75" t="inlineStr">
        <is>
          <t>encontrado_explicito</t>
        </is>
      </c>
      <c r="L433" s="144" t="n">
        <v>0.95</v>
      </c>
      <c r="M433" s="75" t="inlineStr">
        <is>
          <t>data/raw/54252144000164/1072289_regulamento_regulamento_1072289_2025-12-29.pdf</t>
        </is>
      </c>
      <c r="N433" s="75" t="inlineStr">
        <is>
          <t>https://fnet.bmfbovespa.com.br/fnet/publico/downloadDocumento?id=1072289</t>
        </is>
      </c>
      <c r="O433"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4" ht="43.5" customHeight="1">
      <c r="A434" s="142" t="n">
        <v>54252144000164</v>
      </c>
      <c r="B434" s="75" t="inlineStr">
        <is>
          <t>54.252.144/0001-64</t>
        </is>
      </c>
      <c r="C434" s="75" t="inlineStr">
        <is>
          <t>minimo_estrutural_total</t>
        </is>
      </c>
      <c r="D434" s="75" t="inlineStr">
        <is>
          <t>15%</t>
        </is>
      </c>
      <c r="E434" s="75" t="inlineStr">
        <is>
          <t>suporte_total_pl</t>
        </is>
      </c>
      <c r="F434" s="75" t="inlineStr">
        <is>
          <t>regulamento</t>
        </is>
      </c>
      <c r="G434" s="75" t="inlineStr">
        <is>
          <t>1072290</t>
        </is>
      </c>
      <c r="H434" s="75" t="inlineStr">
        <is>
          <t>regulamento</t>
        </is>
      </c>
      <c r="I434" s="75" t="inlineStr">
        <is>
          <t>2025-12-29</t>
        </is>
      </c>
      <c r="J434" s="75" t="inlineStr">
        <is>
          <t>N/D</t>
        </is>
      </c>
      <c r="K434" s="75" t="inlineStr">
        <is>
          <t>encontrado_explicito</t>
        </is>
      </c>
      <c r="L434" s="144" t="n">
        <v>0.95</v>
      </c>
      <c r="M434" s="75" t="inlineStr">
        <is>
          <t>outputs/fidc_director_deep_diagnostic_20260609/pdf_text_cache/54252144000164_1072290_regulamento_regulamento_1072290_2025-12-29.txt</t>
        </is>
      </c>
      <c r="N434" s="75" t="inlineStr">
        <is>
          <t>https://fnet.bmfbovespa.com.br/fnet/publico/downloadDocumento?id=1072290</t>
        </is>
      </c>
      <c r="O434"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5" ht="43.5" customHeight="1">
      <c r="A435" s="142" t="n">
        <v>54252144000164</v>
      </c>
      <c r="B435" s="75" t="inlineStr">
        <is>
          <t>54.252.144/0001-64</t>
        </is>
      </c>
      <c r="C435" s="75" t="inlineStr">
        <is>
          <t>minimo_estrutural_total</t>
        </is>
      </c>
      <c r="D435" s="75" t="inlineStr">
        <is>
          <t>15%</t>
        </is>
      </c>
      <c r="E435" s="75" t="inlineStr">
        <is>
          <t>suporte_total_pl</t>
        </is>
      </c>
      <c r="F435" s="75" t="inlineStr">
        <is>
          <t>assembleia</t>
        </is>
      </c>
      <c r="G435" s="75" t="inlineStr">
        <is>
          <t>1223380</t>
        </is>
      </c>
      <c r="H435" s="75" t="inlineStr">
        <is>
          <t>Assembleia AGE Ata da Assembleia</t>
        </is>
      </c>
      <c r="I435" s="75" t="inlineStr">
        <is>
          <t>08/06/2026 09:00</t>
        </is>
      </c>
      <c r="J435" s="75" t="inlineStr">
        <is>
          <t>114</t>
        </is>
      </c>
      <c r="K435" s="75" t="inlineStr">
        <is>
          <t>encontrado_explicito</t>
        </is>
      </c>
      <c r="L435" s="144" t="n">
        <v>0.95</v>
      </c>
      <c r="M435" s="75" t="inlineStr">
        <is>
          <t>.cache/carteira_101_document_scan/54252144000164/1223380.json.gz</t>
        </is>
      </c>
      <c r="N435" s="75" t="inlineStr">
        <is>
          <t>https://fnet.bmfbovespa.com.br/fnet/publico/downloadDocumento?id=1223380</t>
        </is>
      </c>
      <c r="O435"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6" ht="43.5" customHeight="1">
      <c r="A436" s="142" t="n">
        <v>54252144000164</v>
      </c>
      <c r="B436" s="75" t="inlineStr">
        <is>
          <t>54.252.144/0001-64</t>
        </is>
      </c>
      <c r="C436" s="75" t="inlineStr">
        <is>
          <t>minimo_estrutural_total</t>
        </is>
      </c>
      <c r="D436" s="75" t="inlineStr">
        <is>
          <t>15%</t>
        </is>
      </c>
      <c r="E436" s="75" t="inlineStr">
        <is>
          <t>suporte_total_pl</t>
        </is>
      </c>
      <c r="F436" s="75" t="inlineStr">
        <is>
          <t>assembleia</t>
        </is>
      </c>
      <c r="G436" s="75" t="inlineStr">
        <is>
          <t>926234</t>
        </is>
      </c>
      <c r="H436" s="75" t="inlineStr">
        <is>
          <t>assembleia</t>
        </is>
      </c>
      <c r="I436" s="75" t="inlineStr">
        <is>
          <t>2025-06-13</t>
        </is>
      </c>
      <c r="J436" s="75" t="inlineStr">
        <is>
          <t>109</t>
        </is>
      </c>
      <c r="K436" s="75" t="inlineStr">
        <is>
          <t>encontrado_explicito</t>
        </is>
      </c>
      <c r="L436" s="144" t="n">
        <v>0.95</v>
      </c>
      <c r="M436" s="75" t="inlineStr">
        <is>
          <t>data/raw/54252144000164/926234_assembleia_assembleia_926234_2025-06-13.pdf</t>
        </is>
      </c>
      <c r="N436" s="75" t="inlineStr">
        <is>
          <t>https://fnet.bmfbovespa.com.br/fnet/publico/downloadDocumento?id=926234</t>
        </is>
      </c>
      <c r="O436" s="75" t="inlineStr">
        <is>
          <t>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7" ht="43.5" customHeight="1">
      <c r="A437" s="142" t="n">
        <v>54252144000164</v>
      </c>
      <c r="B437" s="75" t="inlineStr">
        <is>
          <t>54.252.144/0001-64</t>
        </is>
      </c>
      <c r="C437" s="75" t="inlineStr">
        <is>
          <t>minimo_junior</t>
        </is>
      </c>
      <c r="D437" s="75" t="inlineStr">
        <is>
          <t>5%</t>
        </is>
      </c>
      <c r="E437" s="75" t="inlineStr">
        <is>
          <t>junior_pl</t>
        </is>
      </c>
      <c r="F437" s="75" t="inlineStr">
        <is>
          <t>payload_documental</t>
        </is>
      </c>
      <c r="G437" s="75" t="inlineStr">
        <is>
          <t>1223382</t>
        </is>
      </c>
      <c r="H437" s="75" t="inlineStr">
        <is>
          <t>documento_curado</t>
        </is>
      </c>
      <c r="I437" s="75" t="inlineStr">
        <is>
          <t>2026-06-08</t>
        </is>
      </c>
      <c r="J437" s="75" t="inlineStr">
        <is>
          <t>109</t>
        </is>
      </c>
      <c r="K437" s="75" t="inlineStr">
        <is>
          <t>aceito_payload</t>
        </is>
      </c>
      <c r="L437" s="144" t="n">
        <v>1</v>
      </c>
      <c r="M437" s="75" t="inlineStr">
        <is>
          <t>data/industry_study/generated_revision/artifact_payload.json</t>
        </is>
      </c>
      <c r="N437" s="75" t="inlineStr">
        <is>
          <t>https://fnet.bmfbovespa.com.br/fnet/publico/downloadDocumento?id=1223382</t>
        </is>
      </c>
      <c r="O437" s="75" t="inlineStr">
        <is>
          <t>Índice de Subordinação Mezanino: cotas júnior / PL, mínimo de 5,0%.</t>
        </is>
      </c>
    </row>
    <row r="438" ht="43.5" customHeight="1">
      <c r="A438" s="142" t="n">
        <v>54252144000164</v>
      </c>
      <c r="B438" s="75" t="inlineStr">
        <is>
          <t>54.252.144/0001-64</t>
        </is>
      </c>
      <c r="C438" s="75" t="inlineStr">
        <is>
          <t>natureza_indice</t>
        </is>
      </c>
      <c r="D438" s="75" t="inlineStr">
        <is>
          <t>junior_pl</t>
        </is>
      </c>
      <c r="E438" s="75" t="inlineStr">
        <is>
          <t>junior_pl</t>
        </is>
      </c>
      <c r="F438" s="75" t="inlineStr">
        <is>
          <t>payload_documental</t>
        </is>
      </c>
      <c r="G438" s="75" t="inlineStr">
        <is>
          <t>1223382</t>
        </is>
      </c>
      <c r="H438" s="75" t="inlineStr">
        <is>
          <t>documento_curado</t>
        </is>
      </c>
      <c r="I438" s="75" t="inlineStr">
        <is>
          <t>2026-06-08</t>
        </is>
      </c>
      <c r="J438" s="75" t="inlineStr">
        <is>
          <t>109</t>
        </is>
      </c>
      <c r="K438" s="75" t="inlineStr">
        <is>
          <t>aceito_payload</t>
        </is>
      </c>
      <c r="L438" s="144" t="n">
        <v>1</v>
      </c>
      <c r="M438" s="75" t="inlineStr">
        <is>
          <t>data/industry_study/generated_revision/artifact_payload.json</t>
        </is>
      </c>
      <c r="N438" s="75" t="inlineStr">
        <is>
          <t>https://fnet.bmfbovespa.com.br/fnet/publico/downloadDocumento?id=1223382</t>
        </is>
      </c>
      <c r="O438" s="75" t="inlineStr">
        <is>
          <t>Índice de Subordinação Mezanino: cotas júnior / PL, mínimo de 5,0%.</t>
        </is>
      </c>
    </row>
    <row r="439" ht="43.5" customHeight="1">
      <c r="A439" s="142" t="n">
        <v>54252144000164</v>
      </c>
      <c r="B439" s="75" t="inlineStr">
        <is>
          <t>54.252.144/0001-64</t>
        </is>
      </c>
      <c r="C439" s="75" t="inlineStr">
        <is>
          <t>originador</t>
        </is>
      </c>
      <c r="D439" s="75" t="inlineStr">
        <is>
          <t>GRANDINO LTDA.</t>
        </is>
      </c>
      <c r="E439" s="75" t="inlineStr">
        <is>
          <t>rótulo explícito de participante v2</t>
        </is>
      </c>
      <c r="F439" s="75" t="inlineStr">
        <is>
          <t>rating_report</t>
        </is>
      </c>
      <c r="G439" s="75" t="inlineStr">
        <is>
          <t>990257</t>
        </is>
      </c>
      <c r="H439" s="75" t="inlineStr">
        <is>
          <t>Relatórios Relatório de Agência de Rating</t>
        </is>
      </c>
      <c r="I439" s="75" t="inlineStr">
        <is>
          <t>30/06/2025</t>
        </is>
      </c>
      <c r="J439" s="75" t="inlineStr">
        <is>
          <t>1</t>
        </is>
      </c>
      <c r="K439" s="75" t="inlineStr">
        <is>
          <t>encontrado_explicito</t>
        </is>
      </c>
      <c r="L439" s="144" t="n">
        <v>0.93</v>
      </c>
      <c r="M439" s="75" t="inlineStr">
        <is>
          <t>.cache/carteira_101_document_scan/54252144000164/990257.json.gz</t>
        </is>
      </c>
      <c r="N439" s="75" t="inlineStr">
        <is>
          <t>https://fnet.bmfbovespa.com.br/fnet/publico/downloadDocumento?id=990257</t>
        </is>
      </c>
      <c r="O439" s="75" t="inlineStr">
        <is>
          <t>dito Direto S.A. (“J17”), através de canais digitais. Participantes da Operação Originador GRANDINO LTDA. Gestor BURITI INVESTIMENTOS GESTORA DE RECURSOS LTDA Administrador LIMINE TRUST</t>
        </is>
      </c>
    </row>
    <row r="440" ht="43.5" customHeight="1">
      <c r="A440" s="142" t="n">
        <v>54252144000164</v>
      </c>
      <c r="B440" s="75" t="inlineStr">
        <is>
          <t>54.252.144/0001-64</t>
        </is>
      </c>
      <c r="C440" s="75" t="inlineStr">
        <is>
          <t>originador</t>
        </is>
      </c>
      <c r="D440" s="75" t="inlineStr">
        <is>
          <t>Grandino Ltda., inscrita no CNPJ sob o nº 33.311.701/0001-09</t>
        </is>
      </c>
      <c r="E440" s="75" t="inlineStr">
        <is>
          <t>N/D</t>
        </is>
      </c>
      <c r="F440" s="75" t="inlineStr">
        <is>
          <t>regulamento</t>
        </is>
      </c>
      <c r="G440" s="75" t="inlineStr">
        <is>
          <t>1223382</t>
        </is>
      </c>
      <c r="H440" s="75" t="inlineStr">
        <is>
          <t>Regulamento</t>
        </is>
      </c>
      <c r="I440" s="75" t="inlineStr">
        <is>
          <t>08/06/2026</t>
        </is>
      </c>
      <c r="J440" s="75" t="inlineStr">
        <is>
          <t>55</t>
        </is>
      </c>
      <c r="K440" s="75" t="inlineStr">
        <is>
          <t>encontrado_explicito</t>
        </is>
      </c>
      <c r="L440" s="144" t="n">
        <v>0.95</v>
      </c>
      <c r="M440" s="75" t="inlineStr">
        <is>
          <t>.cache/carteira_101_document_scan/54252144000164/1223382.json.gz</t>
        </is>
      </c>
      <c r="N440" s="75" t="inlineStr">
        <is>
          <t>https://fnet.bmfbovespa.com.br/fnet/publico/downloadDocumento?id=1223382</t>
        </is>
      </c>
      <c r="O440"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1" ht="43.5" customHeight="1">
      <c r="A441" s="142" t="n">
        <v>54252144000164</v>
      </c>
      <c r="B441" s="75" t="inlineStr">
        <is>
          <t>54.252.144/0001-64</t>
        </is>
      </c>
      <c r="C441" s="75" t="inlineStr">
        <is>
          <t>originador</t>
        </is>
      </c>
      <c r="D441" s="75" t="inlineStr">
        <is>
          <t>Grandino Ltda., inscrita no CNPJ sob o nº 33.311.701/0001-09</t>
        </is>
      </c>
      <c r="E441" s="75" t="inlineStr">
        <is>
          <t>N/D</t>
        </is>
      </c>
      <c r="F441" s="75" t="inlineStr">
        <is>
          <t>regulamento</t>
        </is>
      </c>
      <c r="G441" s="75" t="inlineStr">
        <is>
          <t>1072289</t>
        </is>
      </c>
      <c r="H441" s="75" t="inlineStr">
        <is>
          <t>regulamento</t>
        </is>
      </c>
      <c r="I441" s="75" t="inlineStr">
        <is>
          <t>2025-12-29</t>
        </is>
      </c>
      <c r="J441" s="75" t="inlineStr">
        <is>
          <t>58</t>
        </is>
      </c>
      <c r="K441" s="75" t="inlineStr">
        <is>
          <t>encontrado_explicito</t>
        </is>
      </c>
      <c r="L441" s="144" t="n">
        <v>0.95</v>
      </c>
      <c r="M441" s="75" t="inlineStr">
        <is>
          <t>data/raw/54252144000164/1072289_regulamento_regulamento_1072289_2025-12-29.pdf</t>
        </is>
      </c>
      <c r="N441" s="75" t="inlineStr">
        <is>
          <t>https://fnet.bmfbovespa.com.br/fnet/publico/downloadDocumento?id=1072289</t>
        </is>
      </c>
      <c r="O441"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2" ht="43.5" customHeight="1">
      <c r="A442" s="142" t="n">
        <v>54252144000164</v>
      </c>
      <c r="B442" s="75" t="inlineStr">
        <is>
          <t>54.252.144/0001-64</t>
        </is>
      </c>
      <c r="C442" s="75" t="inlineStr">
        <is>
          <t>originador</t>
        </is>
      </c>
      <c r="D442" s="75" t="inlineStr">
        <is>
          <t>Grandino Ltda., inscrita no CNPJ sob o nº 33.311.701/0001-09</t>
        </is>
      </c>
      <c r="E442" s="75" t="inlineStr">
        <is>
          <t>N/D</t>
        </is>
      </c>
      <c r="F442" s="75" t="inlineStr">
        <is>
          <t>regulamento</t>
        </is>
      </c>
      <c r="G442" s="75" t="inlineStr">
        <is>
          <t>1072290</t>
        </is>
      </c>
      <c r="H442" s="75" t="inlineStr">
        <is>
          <t>regulamento</t>
        </is>
      </c>
      <c r="I442" s="75" t="inlineStr">
        <is>
          <t>2025-12-29</t>
        </is>
      </c>
      <c r="J442" s="75" t="inlineStr">
        <is>
          <t>N/D</t>
        </is>
      </c>
      <c r="K442" s="75" t="inlineStr">
        <is>
          <t>encontrado_explicito</t>
        </is>
      </c>
      <c r="L442" s="144" t="n">
        <v>0.95</v>
      </c>
      <c r="M442" s="75" t="inlineStr">
        <is>
          <t>outputs/fidc_director_deep_diagnostic_20260609/pdf_text_cache/54252144000164_1072290_regulamento_regulamento_1072290_2025-12-29.txt</t>
        </is>
      </c>
      <c r="N442" s="75" t="inlineStr">
        <is>
          <t>https://fnet.bmfbovespa.com.br/fnet/publico/downloadDocumento?id=1072290</t>
        </is>
      </c>
      <c r="O442"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3" ht="43.5" customHeight="1">
      <c r="A443" s="142" t="n">
        <v>54252144000164</v>
      </c>
      <c r="B443" s="75" t="inlineStr">
        <is>
          <t>54.252.144/0001-64</t>
        </is>
      </c>
      <c r="C443" s="75" t="inlineStr">
        <is>
          <t>originador</t>
        </is>
      </c>
      <c r="D443" s="75" t="inlineStr">
        <is>
          <t>Grandino Ltda., inscrita no CNPJ sob o nº 33.311.701/0001-09</t>
        </is>
      </c>
      <c r="E443" s="75" t="inlineStr">
        <is>
          <t>N/D</t>
        </is>
      </c>
      <c r="F443" s="75" t="inlineStr">
        <is>
          <t>assembleia</t>
        </is>
      </c>
      <c r="G443" s="75" t="inlineStr">
        <is>
          <t>1223380</t>
        </is>
      </c>
      <c r="H443" s="75" t="inlineStr">
        <is>
          <t>Assembleia AGE Ata da Assembleia</t>
        </is>
      </c>
      <c r="I443" s="75" t="inlineStr">
        <is>
          <t>08/06/2026 09:00</t>
        </is>
      </c>
      <c r="J443" s="75" t="inlineStr">
        <is>
          <t>60</t>
        </is>
      </c>
      <c r="K443" s="75" t="inlineStr">
        <is>
          <t>encontrado_explicito</t>
        </is>
      </c>
      <c r="L443" s="144" t="n">
        <v>0.95</v>
      </c>
      <c r="M443" s="75" t="inlineStr">
        <is>
          <t>.cache/carteira_101_document_scan/54252144000164/1223380.json.gz</t>
        </is>
      </c>
      <c r="N443" s="75" t="inlineStr">
        <is>
          <t>https://fnet.bmfbovespa.com.br/fnet/publico/downloadDocumento?id=1223380</t>
        </is>
      </c>
      <c r="O443"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4" ht="43.5" customHeight="1">
      <c r="A444" s="142" t="n">
        <v>54252144000164</v>
      </c>
      <c r="B444" s="75" t="inlineStr">
        <is>
          <t>54.252.144/0001-64</t>
        </is>
      </c>
      <c r="C444" s="75" t="inlineStr">
        <is>
          <t>originador</t>
        </is>
      </c>
      <c r="D444" s="75" t="inlineStr">
        <is>
          <t>Grandino Ltda., inscrita no CNPJ sob o nº 33.311.701/0001-09</t>
        </is>
      </c>
      <c r="E444" s="75" t="inlineStr">
        <is>
          <t>N/D</t>
        </is>
      </c>
      <c r="F444" s="75" t="inlineStr">
        <is>
          <t>assembleia</t>
        </is>
      </c>
      <c r="G444" s="75" t="inlineStr">
        <is>
          <t>926234</t>
        </is>
      </c>
      <c r="H444" s="75" t="inlineStr">
        <is>
          <t>assembleia</t>
        </is>
      </c>
      <c r="I444" s="75" t="inlineStr">
        <is>
          <t>2025-06-13</t>
        </is>
      </c>
      <c r="J444" s="75" t="inlineStr">
        <is>
          <t>57</t>
        </is>
      </c>
      <c r="K444" s="75" t="inlineStr">
        <is>
          <t>encontrado_explicito</t>
        </is>
      </c>
      <c r="L444" s="144" t="n">
        <v>0.95</v>
      </c>
      <c r="M444" s="75" t="inlineStr">
        <is>
          <t>data/raw/54252144000164/926234_assembleia_assembleia_926234_2025-06-13.pdf</t>
        </is>
      </c>
      <c r="N444" s="75" t="inlineStr">
        <is>
          <t>https://fnet.bmfbovespa.com.br/fnet/publico/downloadDocumento?id=926234</t>
        </is>
      </c>
      <c r="O444"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5" ht="43.5" customHeight="1">
      <c r="A445" s="142" t="n">
        <v>54252144000164</v>
      </c>
      <c r="B445" s="75" t="inlineStr">
        <is>
          <t>54.252.144/0001-64</t>
        </is>
      </c>
      <c r="C445" s="75" t="inlineStr">
        <is>
          <t>sacado_devedor</t>
        </is>
      </c>
      <c r="D445"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5" s="75" t="inlineStr">
        <is>
          <t>N/D</t>
        </is>
      </c>
      <c r="F445" s="75" t="inlineStr">
        <is>
          <t>regulamento</t>
        </is>
      </c>
      <c r="G445" s="75" t="inlineStr">
        <is>
          <t>1223382</t>
        </is>
      </c>
      <c r="H445" s="75" t="inlineStr">
        <is>
          <t>Regulamento</t>
        </is>
      </c>
      <c r="I445" s="75" t="inlineStr">
        <is>
          <t>08/06/2026</t>
        </is>
      </c>
      <c r="J445" s="75" t="inlineStr">
        <is>
          <t>49</t>
        </is>
      </c>
      <c r="K445" s="75" t="inlineStr">
        <is>
          <t>encontrado_explicito</t>
        </is>
      </c>
      <c r="L445" s="144" t="n">
        <v>0.95</v>
      </c>
      <c r="M445" s="75" t="inlineStr">
        <is>
          <t>.cache/carteira_101_document_scan/54252144000164/1223382.json.gz</t>
        </is>
      </c>
      <c r="N445" s="75" t="inlineStr">
        <is>
          <t>https://fnet.bmfbovespa.com.br/fnet/publico/downloadDocumento?id=1223382</t>
        </is>
      </c>
      <c r="O445"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6" ht="43.5" customHeight="1">
      <c r="A446" s="142" t="n">
        <v>54252144000164</v>
      </c>
      <c r="B446" s="75" t="inlineStr">
        <is>
          <t>54.252.144/0001-64</t>
        </is>
      </c>
      <c r="C446" s="75" t="inlineStr">
        <is>
          <t>sacado_devedor</t>
        </is>
      </c>
      <c r="D446"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6" s="75" t="inlineStr">
        <is>
          <t>N/D</t>
        </is>
      </c>
      <c r="F446" s="75" t="inlineStr">
        <is>
          <t>regulamento</t>
        </is>
      </c>
      <c r="G446" s="75" t="inlineStr">
        <is>
          <t>1072289</t>
        </is>
      </c>
      <c r="H446" s="75" t="inlineStr">
        <is>
          <t>regulamento</t>
        </is>
      </c>
      <c r="I446" s="75" t="inlineStr">
        <is>
          <t>2025-12-29</t>
        </is>
      </c>
      <c r="J446" s="75" t="inlineStr">
        <is>
          <t>52</t>
        </is>
      </c>
      <c r="K446" s="75" t="inlineStr">
        <is>
          <t>encontrado_explicito</t>
        </is>
      </c>
      <c r="L446" s="144" t="n">
        <v>0.95</v>
      </c>
      <c r="M446" s="75" t="inlineStr">
        <is>
          <t>data/raw/54252144000164/1072289_regulamento_regulamento_1072289_2025-12-29.pdf</t>
        </is>
      </c>
      <c r="N446" s="75" t="inlineStr">
        <is>
          <t>https://fnet.bmfbovespa.com.br/fnet/publico/downloadDocumento?id=1072289</t>
        </is>
      </c>
      <c r="O446"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7" ht="43.5" customHeight="1">
      <c r="A447" s="142" t="n">
        <v>54252144000164</v>
      </c>
      <c r="B447" s="75" t="inlineStr">
        <is>
          <t>54.252.144/0001-64</t>
        </is>
      </c>
      <c r="C447" s="75" t="inlineStr">
        <is>
          <t>sacado_devedor</t>
        </is>
      </c>
      <c r="D447"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7" s="75" t="inlineStr">
        <is>
          <t>N/D</t>
        </is>
      </c>
      <c r="F447" s="75" t="inlineStr">
        <is>
          <t>regulamento</t>
        </is>
      </c>
      <c r="G447" s="75" t="inlineStr">
        <is>
          <t>1072290</t>
        </is>
      </c>
      <c r="H447" s="75" t="inlineStr">
        <is>
          <t>regulamento</t>
        </is>
      </c>
      <c r="I447" s="75" t="inlineStr">
        <is>
          <t>2025-12-29</t>
        </is>
      </c>
      <c r="J447" s="75" t="inlineStr">
        <is>
          <t>N/D</t>
        </is>
      </c>
      <c r="K447" s="75" t="inlineStr">
        <is>
          <t>encontrado_explicito</t>
        </is>
      </c>
      <c r="L447" s="144" t="n">
        <v>0.95</v>
      </c>
      <c r="M447" s="75" t="inlineStr">
        <is>
          <t>outputs/fidc_director_deep_diagnostic_20260609/pdf_text_cache/54252144000164_1072290_regulamento_regulamento_1072290_2025-12-29.txt</t>
        </is>
      </c>
      <c r="N447" s="75" t="inlineStr">
        <is>
          <t>https://fnet.bmfbovespa.com.br/fnet/publico/downloadDocumento?id=1072290</t>
        </is>
      </c>
      <c r="O447"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8" ht="43.5" customHeight="1">
      <c r="A448" s="142" t="n">
        <v>54252144000164</v>
      </c>
      <c r="B448" s="75" t="inlineStr">
        <is>
          <t>54.252.144/0001-64</t>
        </is>
      </c>
      <c r="C448" s="75" t="inlineStr">
        <is>
          <t>sacado_devedor</t>
        </is>
      </c>
      <c r="D448"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8" s="75" t="inlineStr">
        <is>
          <t>N/D</t>
        </is>
      </c>
      <c r="F448" s="75" t="inlineStr">
        <is>
          <t>assembleia</t>
        </is>
      </c>
      <c r="G448" s="75" t="inlineStr">
        <is>
          <t>1223380</t>
        </is>
      </c>
      <c r="H448" s="75" t="inlineStr">
        <is>
          <t>Assembleia AGE Ata da Assembleia</t>
        </is>
      </c>
      <c r="I448" s="75" t="inlineStr">
        <is>
          <t>08/06/2026 09:00</t>
        </is>
      </c>
      <c r="J448" s="75" t="inlineStr">
        <is>
          <t>54</t>
        </is>
      </c>
      <c r="K448" s="75" t="inlineStr">
        <is>
          <t>encontrado_explicito</t>
        </is>
      </c>
      <c r="L448" s="144" t="n">
        <v>0.95</v>
      </c>
      <c r="M448" s="75" t="inlineStr">
        <is>
          <t>.cache/carteira_101_document_scan/54252144000164/1223380.json.gz</t>
        </is>
      </c>
      <c r="N448" s="75" t="inlineStr">
        <is>
          <t>https://fnet.bmfbovespa.com.br/fnet/publico/downloadDocumento?id=1223380</t>
        </is>
      </c>
      <c r="O448"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9" ht="43.5" customHeight="1">
      <c r="A449" s="142" t="n">
        <v>54252144000164</v>
      </c>
      <c r="B449" s="75" t="inlineStr">
        <is>
          <t>54.252.144/0001-64</t>
        </is>
      </c>
      <c r="C449" s="75" t="inlineStr">
        <is>
          <t>sacado_devedor</t>
        </is>
      </c>
      <c r="D44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9" s="75" t="inlineStr">
        <is>
          <t>N/D</t>
        </is>
      </c>
      <c r="F449" s="75" t="inlineStr">
        <is>
          <t>assembleia</t>
        </is>
      </c>
      <c r="G449" s="75" t="inlineStr">
        <is>
          <t>926234</t>
        </is>
      </c>
      <c r="H449" s="75" t="inlineStr">
        <is>
          <t>assembleia</t>
        </is>
      </c>
      <c r="I449" s="75" t="inlineStr">
        <is>
          <t>2025-06-13</t>
        </is>
      </c>
      <c r="J449" s="75" t="inlineStr">
        <is>
          <t>51</t>
        </is>
      </c>
      <c r="K449" s="75" t="inlineStr">
        <is>
          <t>encontrado_explicito</t>
        </is>
      </c>
      <c r="L449" s="144" t="n">
        <v>0.95</v>
      </c>
      <c r="M449" s="75" t="inlineStr">
        <is>
          <t>data/raw/54252144000164/926234_assembleia_assembleia_926234_2025-06-13.pdf</t>
        </is>
      </c>
      <c r="N449" s="75" t="inlineStr">
        <is>
          <t>https://fnet.bmfbovespa.com.br/fnet/publico/downloadDocumento?id=926234</t>
        </is>
      </c>
      <c r="O449"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t>
        </is>
      </c>
    </row>
    <row r="450" ht="43.5" customHeight="1">
      <c r="A450" s="142" t="n">
        <v>54252144000164</v>
      </c>
      <c r="B450" s="75" t="inlineStr">
        <is>
          <t>54.252.144/0001-64</t>
        </is>
      </c>
      <c r="C450" s="75" t="inlineStr">
        <is>
          <t>tipo_recebivel</t>
        </is>
      </c>
      <c r="D450"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0" s="75" t="inlineStr">
        <is>
          <t>N/D</t>
        </is>
      </c>
      <c r="F450" s="75" t="inlineStr">
        <is>
          <t>regulamento</t>
        </is>
      </c>
      <c r="G450" s="75" t="inlineStr">
        <is>
          <t>1223382</t>
        </is>
      </c>
      <c r="H450" s="75" t="inlineStr">
        <is>
          <t>Regulamento</t>
        </is>
      </c>
      <c r="I450" s="75" t="inlineStr">
        <is>
          <t>08/06/2026</t>
        </is>
      </c>
      <c r="J450" s="75" t="inlineStr">
        <is>
          <t>49</t>
        </is>
      </c>
      <c r="K450" s="75" t="inlineStr">
        <is>
          <t>encontrado_explicito</t>
        </is>
      </c>
      <c r="L450" s="144" t="n">
        <v>0.92</v>
      </c>
      <c r="M450" s="75" t="inlineStr">
        <is>
          <t>.cache/carteira_101_document_scan/54252144000164/1223382.json.gz</t>
        </is>
      </c>
      <c r="N450" s="75" t="inlineStr">
        <is>
          <t>https://fnet.bmfbovespa.com.br/fnet/publico/downloadDocumento?id=1223382</t>
        </is>
      </c>
      <c r="O450"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1" ht="43.5" customHeight="1">
      <c r="A451" s="142" t="n">
        <v>54252144000164</v>
      </c>
      <c r="B451" s="75" t="inlineStr">
        <is>
          <t>54.252.144/0001-64</t>
        </is>
      </c>
      <c r="C451" s="75" t="inlineStr">
        <is>
          <t>tipo_recebivel</t>
        </is>
      </c>
      <c r="D451"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1" s="75" t="inlineStr">
        <is>
          <t>N/D</t>
        </is>
      </c>
      <c r="F451" s="75" t="inlineStr">
        <is>
          <t>regulamento</t>
        </is>
      </c>
      <c r="G451" s="75" t="inlineStr">
        <is>
          <t>1072289</t>
        </is>
      </c>
      <c r="H451" s="75" t="inlineStr">
        <is>
          <t>regulamento</t>
        </is>
      </c>
      <c r="I451" s="75" t="inlineStr">
        <is>
          <t>2025-12-29</t>
        </is>
      </c>
      <c r="J451" s="75" t="inlineStr">
        <is>
          <t>52</t>
        </is>
      </c>
      <c r="K451" s="75" t="inlineStr">
        <is>
          <t>encontrado_explicito</t>
        </is>
      </c>
      <c r="L451" s="144" t="n">
        <v>0.92</v>
      </c>
      <c r="M451" s="75" t="inlineStr">
        <is>
          <t>data/raw/54252144000164/1072289_regulamento_regulamento_1072289_2025-12-29.pdf</t>
        </is>
      </c>
      <c r="N451" s="75" t="inlineStr">
        <is>
          <t>https://fnet.bmfbovespa.com.br/fnet/publico/downloadDocumento?id=1072289</t>
        </is>
      </c>
      <c r="O451"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2" ht="43.5" customHeight="1">
      <c r="A452" s="142" t="n">
        <v>54252144000164</v>
      </c>
      <c r="B452" s="75" t="inlineStr">
        <is>
          <t>54.252.144/0001-64</t>
        </is>
      </c>
      <c r="C452" s="75" t="inlineStr">
        <is>
          <t>tipo_recebivel</t>
        </is>
      </c>
      <c r="D452"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2" s="75" t="inlineStr">
        <is>
          <t>N/D</t>
        </is>
      </c>
      <c r="F452" s="75" t="inlineStr">
        <is>
          <t>regulamento</t>
        </is>
      </c>
      <c r="G452" s="75" t="inlineStr">
        <is>
          <t>1072290</t>
        </is>
      </c>
      <c r="H452" s="75" t="inlineStr">
        <is>
          <t>regulamento</t>
        </is>
      </c>
      <c r="I452" s="75" t="inlineStr">
        <is>
          <t>2025-12-29</t>
        </is>
      </c>
      <c r="J452" s="75" t="inlineStr">
        <is>
          <t>N/D</t>
        </is>
      </c>
      <c r="K452" s="75" t="inlineStr">
        <is>
          <t>encontrado_explicito</t>
        </is>
      </c>
      <c r="L452" s="144" t="n">
        <v>0.92</v>
      </c>
      <c r="M452" s="75" t="inlineStr">
        <is>
          <t>outputs/fidc_director_deep_diagnostic_20260609/pdf_text_cache/54252144000164_1072290_regulamento_regulamento_1072290_2025-12-29.txt</t>
        </is>
      </c>
      <c r="N452" s="75" t="inlineStr">
        <is>
          <t>https://fnet.bmfbovespa.com.br/fnet/publico/downloadDocumento?id=1072290</t>
        </is>
      </c>
      <c r="O452"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3" ht="43.5" customHeight="1">
      <c r="A453" s="142" t="n">
        <v>54252144000164</v>
      </c>
      <c r="B453" s="75" t="inlineStr">
        <is>
          <t>54.252.144/0001-64</t>
        </is>
      </c>
      <c r="C453" s="75" t="inlineStr">
        <is>
          <t>tipo_recebivel</t>
        </is>
      </c>
      <c r="D453"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3" s="75" t="inlineStr">
        <is>
          <t>N/D</t>
        </is>
      </c>
      <c r="F453" s="75" t="inlineStr">
        <is>
          <t>assembleia</t>
        </is>
      </c>
      <c r="G453" s="75" t="inlineStr">
        <is>
          <t>1223380</t>
        </is>
      </c>
      <c r="H453" s="75" t="inlineStr">
        <is>
          <t>Assembleia AGE Ata da Assembleia</t>
        </is>
      </c>
      <c r="I453" s="75" t="inlineStr">
        <is>
          <t>08/06/2026 09:00</t>
        </is>
      </c>
      <c r="J453" s="75" t="inlineStr">
        <is>
          <t>54</t>
        </is>
      </c>
      <c r="K453" s="75" t="inlineStr">
        <is>
          <t>encontrado_explicito</t>
        </is>
      </c>
      <c r="L453" s="144" t="n">
        <v>0.92</v>
      </c>
      <c r="M453" s="75" t="inlineStr">
        <is>
          <t>.cache/carteira_101_document_scan/54252144000164/1223380.json.gz</t>
        </is>
      </c>
      <c r="N453" s="75" t="inlineStr">
        <is>
          <t>https://fnet.bmfbovespa.com.br/fnet/publico/downloadDocumento?id=1223380</t>
        </is>
      </c>
      <c r="O453"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4" ht="43.5" customHeight="1">
      <c r="A454" s="142" t="n">
        <v>54252144000164</v>
      </c>
      <c r="B454" s="75" t="inlineStr">
        <is>
          <t>54.252.144/0001-64</t>
        </is>
      </c>
      <c r="C454" s="75" t="inlineStr">
        <is>
          <t>tipo_recebivel</t>
        </is>
      </c>
      <c r="D454"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4" s="75" t="inlineStr">
        <is>
          <t>N/D</t>
        </is>
      </c>
      <c r="F454" s="75" t="inlineStr">
        <is>
          <t>assembleia</t>
        </is>
      </c>
      <c r="G454" s="75" t="inlineStr">
        <is>
          <t>926234</t>
        </is>
      </c>
      <c r="H454" s="75" t="inlineStr">
        <is>
          <t>assembleia</t>
        </is>
      </c>
      <c r="I454" s="75" t="inlineStr">
        <is>
          <t>2025-06-13</t>
        </is>
      </c>
      <c r="J454" s="75" t="inlineStr">
        <is>
          <t>52</t>
        </is>
      </c>
      <c r="K454" s="75" t="inlineStr">
        <is>
          <t>encontrado_explicito</t>
        </is>
      </c>
      <c r="L454" s="144" t="n">
        <v>0.92</v>
      </c>
      <c r="M454" s="75" t="inlineStr">
        <is>
          <t>data/raw/54252144000164/926234_assembleia_assembleia_926234_2025-06-13.pdf</t>
        </is>
      </c>
      <c r="N454" s="75" t="inlineStr">
        <is>
          <t>https://fnet.bmfbovespa.com.br/fnet/publico/downloadDocumento?id=926234</t>
        </is>
      </c>
      <c r="O454" s="75" t="inlineStr">
        <is>
          <t>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5" ht="43.5" customHeight="1">
      <c r="A455" s="142" t="n">
        <v>54252144000164</v>
      </c>
      <c r="B455" s="75" t="inlineStr">
        <is>
          <t>54.252.144/0001-64</t>
        </is>
      </c>
      <c r="C455" s="75" t="inlineStr">
        <is>
          <t>tipo_recebivel</t>
        </is>
      </c>
      <c r="D455" s="75" t="inlineStr">
        <is>
          <t>FGTS Saque-aniversário</t>
        </is>
      </c>
      <c r="E455" s="75" t="inlineStr">
        <is>
          <t>N/D</t>
        </is>
      </c>
      <c r="F455" s="75" t="inlineStr">
        <is>
          <t>planilha_manual</t>
        </is>
      </c>
      <c r="G455" s="75" t="inlineStr">
        <is>
          <t>IMG_8704.JPG</t>
        </is>
      </c>
      <c r="H455" s="75" t="inlineStr">
        <is>
          <t>payload</t>
        </is>
      </c>
      <c r="I455" s="75" t="inlineStr">
        <is>
          <t>2026-06-08</t>
        </is>
      </c>
      <c r="J455" s="75" t="inlineStr">
        <is>
          <t>109</t>
        </is>
      </c>
      <c r="K455" s="75" t="inlineStr">
        <is>
          <t>aceito_payload</t>
        </is>
      </c>
      <c r="L455" s="144" t="n">
        <v>1</v>
      </c>
      <c r="M455" s="75" t="inlineStr">
        <is>
          <t>data/industry_study/generated_revision/artifact_payload.json</t>
        </is>
      </c>
      <c r="N455" s="75" t="inlineStr">
        <is>
          <t>N/D</t>
        </is>
      </c>
      <c r="O455" s="75" t="inlineStr">
        <is>
          <t>Denominação cortada pela largura da coluna na foto.</t>
        </is>
      </c>
    </row>
    <row r="456" ht="43.5" customHeight="1">
      <c r="A456" s="142" t="n">
        <v>54464892000100</v>
      </c>
      <c r="B456" s="75" t="inlineStr">
        <is>
          <t>54.464.892/0001-00</t>
        </is>
      </c>
      <c r="C456" s="75" t="inlineStr">
        <is>
          <t>cedente</t>
        </is>
      </c>
      <c r="D456" s="75" t="inlineStr">
        <is>
          <t>75% Parati / 25% QI Tech</t>
        </is>
      </c>
      <c r="E456" s="75" t="inlineStr">
        <is>
          <t>N/D</t>
        </is>
      </c>
      <c r="F456" s="75" t="inlineStr">
        <is>
          <t>planilha_manual</t>
        </is>
      </c>
      <c r="G456" s="75" t="inlineStr">
        <is>
          <t>IMG_8707.jpg</t>
        </is>
      </c>
      <c r="H456" s="75" t="inlineStr">
        <is>
          <t>payload</t>
        </is>
      </c>
      <c r="I456" s="75" t="inlineStr">
        <is>
          <t>2025-04-23</t>
        </is>
      </c>
      <c r="J456" s="75" t="inlineStr">
        <is>
          <t>85–86</t>
        </is>
      </c>
      <c r="K456" s="75" t="inlineStr">
        <is>
          <t>aceito_payload</t>
        </is>
      </c>
      <c r="L456" s="144" t="n">
        <v>1</v>
      </c>
      <c r="M456" s="75" t="inlineStr">
        <is>
          <t>data/industry_study/generated_revision/artifact_payload.json</t>
        </is>
      </c>
      <c r="N456" s="75" t="inlineStr">
        <is>
          <t>N/D</t>
        </is>
      </c>
      <c r="O456" s="75" t="inlineStr">
        <is>
          <t>OBS da foto: Rating atual Ba1; se ajustar o rating na base, pode considerar perspectiva estável. Denominação cortada.</t>
        </is>
      </c>
    </row>
    <row r="457" ht="43.5" customHeight="1">
      <c r="A457" s="142" t="n">
        <v>54464892000100</v>
      </c>
      <c r="B457" s="75" t="inlineStr">
        <is>
          <t>54.464.892/0001-00</t>
        </is>
      </c>
      <c r="C457" s="75" t="inlineStr">
        <is>
          <t>minimo_junior</t>
        </is>
      </c>
      <c r="D457" s="75" t="inlineStr">
        <is>
          <t>3.5%</t>
        </is>
      </c>
      <c r="E457" s="75" t="inlineStr">
        <is>
          <t>junior_pl</t>
        </is>
      </c>
      <c r="F457" s="75" t="inlineStr">
        <is>
          <t>payload_documental</t>
        </is>
      </c>
      <c r="G457" s="75" t="inlineStr">
        <is>
          <t>884293</t>
        </is>
      </c>
      <c r="H457" s="75" t="inlineStr">
        <is>
          <t>documento_curado</t>
        </is>
      </c>
      <c r="I457" s="75" t="inlineStr">
        <is>
          <t>2025-04-23</t>
        </is>
      </c>
      <c r="J457" s="75" t="inlineStr">
        <is>
          <t>85–86</t>
        </is>
      </c>
      <c r="K457" s="75" t="inlineStr">
        <is>
          <t>aceito_payload</t>
        </is>
      </c>
      <c r="L457" s="144" t="n">
        <v>1</v>
      </c>
      <c r="M457" s="75" t="inlineStr">
        <is>
          <t>data/industry_study/generated_revision/artifact_payload.json</t>
        </is>
      </c>
      <c r="N457" s="75" t="inlineStr">
        <is>
          <t>https://fnet.bmfbovespa.com.br/fnet/publico/downloadDocumento?id=884293</t>
        </is>
      </c>
      <c r="O457" s="75" t="inlineStr">
        <is>
          <t>Cotas júnior / PL, mínimo de 3,5% no período de investimento e 5,0% depois.</t>
        </is>
      </c>
    </row>
    <row r="458" ht="43.5" customHeight="1">
      <c r="A458" s="142" t="n">
        <v>54464892000100</v>
      </c>
      <c r="B458" s="75" t="inlineStr">
        <is>
          <t>54.464.892/0001-00</t>
        </is>
      </c>
      <c r="C458" s="75" t="inlineStr">
        <is>
          <t>natureza_indice</t>
        </is>
      </c>
      <c r="D458" s="75" t="inlineStr">
        <is>
          <t>junior_pl</t>
        </is>
      </c>
      <c r="E458" s="75" t="inlineStr">
        <is>
          <t>junior_pl</t>
        </is>
      </c>
      <c r="F458" s="75" t="inlineStr">
        <is>
          <t>payload_documental</t>
        </is>
      </c>
      <c r="G458" s="75" t="inlineStr">
        <is>
          <t>884293</t>
        </is>
      </c>
      <c r="H458" s="75" t="inlineStr">
        <is>
          <t>documento_curado</t>
        </is>
      </c>
      <c r="I458" s="75" t="inlineStr">
        <is>
          <t>2025-04-23</t>
        </is>
      </c>
      <c r="J458" s="75" t="inlineStr">
        <is>
          <t>85–86</t>
        </is>
      </c>
      <c r="K458" s="75" t="inlineStr">
        <is>
          <t>aceito_payload</t>
        </is>
      </c>
      <c r="L458" s="144" t="n">
        <v>1</v>
      </c>
      <c r="M458" s="75" t="inlineStr">
        <is>
          <t>data/industry_study/generated_revision/artifact_payload.json</t>
        </is>
      </c>
      <c r="N458" s="75" t="inlineStr">
        <is>
          <t>https://fnet.bmfbovespa.com.br/fnet/publico/downloadDocumento?id=884293</t>
        </is>
      </c>
      <c r="O458" s="75" t="inlineStr">
        <is>
          <t>Cotas júnior / PL, mínimo de 3,5% no período de investimento e 5,0% depois.</t>
        </is>
      </c>
    </row>
    <row r="459" ht="43.5" customHeight="1">
      <c r="A459" s="142" t="n">
        <v>54559035000194</v>
      </c>
      <c r="B459" s="75" t="inlineStr">
        <is>
          <t>54.559.035/0001-94</t>
        </is>
      </c>
      <c r="C459" s="75" t="inlineStr">
        <is>
          <t>cedente</t>
        </is>
      </c>
      <c r="D459" s="75" t="inlineStr">
        <is>
          <t>Banco IBM</t>
        </is>
      </c>
      <c r="E459" s="75" t="inlineStr">
        <is>
          <t>N/D</t>
        </is>
      </c>
      <c r="F459" s="75" t="inlineStr">
        <is>
          <t>planilha_manual</t>
        </is>
      </c>
      <c r="G459" s="75" t="inlineStr">
        <is>
          <t>IMG_8706.JPG</t>
        </is>
      </c>
      <c r="H459" s="75" t="inlineStr">
        <is>
          <t>payload</t>
        </is>
      </c>
      <c r="I459" s="75" t="inlineStr">
        <is>
          <t>2024-04-05</t>
        </is>
      </c>
      <c r="J459" s="75" t="inlineStr">
        <is>
          <t>50</t>
        </is>
      </c>
      <c r="K459" s="75" t="inlineStr">
        <is>
          <t>aceito_payload</t>
        </is>
      </c>
      <c r="L459" s="144" t="n">
        <v>1</v>
      </c>
      <c r="M459" s="75" t="inlineStr">
        <is>
          <t>data/industry_study/generated_revision/artifact_payload.json</t>
        </is>
      </c>
      <c r="N459" s="75" t="inlineStr">
        <is>
          <t>N/D</t>
        </is>
      </c>
      <c r="O459" s="75" t="inlineStr">
        <is>
          <t>N/D</t>
        </is>
      </c>
    </row>
    <row r="460" ht="43.5" customHeight="1">
      <c r="A460" s="142" t="n">
        <v>54559035000194</v>
      </c>
      <c r="B460" s="75" t="inlineStr">
        <is>
          <t>54.559.035/0001-94</t>
        </is>
      </c>
      <c r="C460" s="75" t="inlineStr">
        <is>
          <t>minimo_estrutural_total</t>
        </is>
      </c>
      <c r="D460" s="75" t="inlineStr">
        <is>
          <t>10%</t>
        </is>
      </c>
      <c r="E460" s="75" t="inlineStr">
        <is>
          <t>suporte_total_pl</t>
        </is>
      </c>
      <c r="F460" s="75" t="inlineStr">
        <is>
          <t>payload_documental</t>
        </is>
      </c>
      <c r="G460" s="75" t="inlineStr">
        <is>
          <t>634463</t>
        </is>
      </c>
      <c r="H460" s="75" t="inlineStr">
        <is>
          <t>documento_curado</t>
        </is>
      </c>
      <c r="I460" s="75" t="inlineStr">
        <is>
          <t>2024-04-05</t>
        </is>
      </c>
      <c r="J460" s="75" t="inlineStr">
        <is>
          <t>50</t>
        </is>
      </c>
      <c r="K460" s="75" t="inlineStr">
        <is>
          <t>aceito_payload</t>
        </is>
      </c>
      <c r="L460" s="144" t="n">
        <v>1</v>
      </c>
      <c r="M460" s="75" t="inlineStr">
        <is>
          <t>data/industry_study/generated_revision/artifact_payload.json</t>
        </is>
      </c>
      <c r="N460" s="75" t="inlineStr">
        <is>
          <t>https://fnet.bmfbovespa.com.br/fnet/publico/downloadDocumento?id=634463</t>
        </is>
      </c>
      <c r="O460" s="75" t="inlineStr">
        <is>
          <t>Cotas subordinadas júnior / PL, mínimo de 10,0%; estrutura com cotas seniores e juniores.</t>
        </is>
      </c>
    </row>
    <row r="461" ht="43.5" customHeight="1">
      <c r="A461" s="142" t="n">
        <v>54559035000194</v>
      </c>
      <c r="B461" s="75" t="inlineStr">
        <is>
          <t>54.559.035/0001-94</t>
        </is>
      </c>
      <c r="C461" s="75" t="inlineStr">
        <is>
          <t>minimo_junior</t>
        </is>
      </c>
      <c r="D461" s="75" t="inlineStr">
        <is>
          <t>10%</t>
        </is>
      </c>
      <c r="E461" s="75" t="inlineStr">
        <is>
          <t>junior_pl</t>
        </is>
      </c>
      <c r="F461" s="75" t="inlineStr">
        <is>
          <t>payload_documental</t>
        </is>
      </c>
      <c r="G461" s="75" t="inlineStr">
        <is>
          <t>634463</t>
        </is>
      </c>
      <c r="H461" s="75" t="inlineStr">
        <is>
          <t>documento_curado</t>
        </is>
      </c>
      <c r="I461" s="75" t="inlineStr">
        <is>
          <t>2024-04-05</t>
        </is>
      </c>
      <c r="J461" s="75" t="inlineStr">
        <is>
          <t>50</t>
        </is>
      </c>
      <c r="K461" s="75" t="inlineStr">
        <is>
          <t>aceito_payload</t>
        </is>
      </c>
      <c r="L461" s="144" t="n">
        <v>1</v>
      </c>
      <c r="M461" s="75" t="inlineStr">
        <is>
          <t>data/industry_study/generated_revision/artifact_payload.json</t>
        </is>
      </c>
      <c r="N461" s="75" t="inlineStr">
        <is>
          <t>https://fnet.bmfbovespa.com.br/fnet/publico/downloadDocumento?id=634463</t>
        </is>
      </c>
      <c r="O461" s="75" t="inlineStr">
        <is>
          <t>Cotas subordinadas júnior / PL, mínimo de 10,0%; estrutura com cotas seniores e juniores.</t>
        </is>
      </c>
    </row>
    <row r="462" ht="43.5" customHeight="1">
      <c r="A462" s="142" t="n">
        <v>54559035000194</v>
      </c>
      <c r="B462" s="75" t="inlineStr">
        <is>
          <t>54.559.035/0001-94</t>
        </is>
      </c>
      <c r="C462" s="75" t="inlineStr">
        <is>
          <t>natureza_indice</t>
        </is>
      </c>
      <c r="D462" s="75" t="inlineStr">
        <is>
          <t>junior_pl</t>
        </is>
      </c>
      <c r="E462" s="75" t="inlineStr">
        <is>
          <t>junior_pl</t>
        </is>
      </c>
      <c r="F462" s="75" t="inlineStr">
        <is>
          <t>payload_documental</t>
        </is>
      </c>
      <c r="G462" s="75" t="inlineStr">
        <is>
          <t>634463</t>
        </is>
      </c>
      <c r="H462" s="75" t="inlineStr">
        <is>
          <t>documento_curado</t>
        </is>
      </c>
      <c r="I462" s="75" t="inlineStr">
        <is>
          <t>2024-04-05</t>
        </is>
      </c>
      <c r="J462" s="75" t="inlineStr">
        <is>
          <t>50</t>
        </is>
      </c>
      <c r="K462" s="75" t="inlineStr">
        <is>
          <t>aceito_payload</t>
        </is>
      </c>
      <c r="L462" s="144" t="n">
        <v>1</v>
      </c>
      <c r="M462" s="75" t="inlineStr">
        <is>
          <t>data/industry_study/generated_revision/artifact_payload.json</t>
        </is>
      </c>
      <c r="N462" s="75" t="inlineStr">
        <is>
          <t>https://fnet.bmfbovespa.com.br/fnet/publico/downloadDocumento?id=634463</t>
        </is>
      </c>
      <c r="O462" s="75" t="inlineStr">
        <is>
          <t>Cotas subordinadas júnior / PL, mínimo de 10,0%; estrutura com cotas seniores e juniores.</t>
        </is>
      </c>
    </row>
    <row r="463" ht="43.5" customHeight="1">
      <c r="A463" s="142" t="n">
        <v>54559035000194</v>
      </c>
      <c r="B463" s="75" t="inlineStr">
        <is>
          <t>54.559.035/0001-94</t>
        </is>
      </c>
      <c r="C463" s="75" t="inlineStr">
        <is>
          <t>tipo_recebivel</t>
        </is>
      </c>
      <c r="D463"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E463" s="75" t="inlineStr">
        <is>
          <t>N/D</t>
        </is>
      </c>
      <c r="F463" s="75" t="inlineStr">
        <is>
          <t>regulamento</t>
        </is>
      </c>
      <c r="G463" s="75" t="inlineStr">
        <is>
          <t>634437</t>
        </is>
      </c>
      <c r="H463" s="75" t="inlineStr">
        <is>
          <t>regulamento</t>
        </is>
      </c>
      <c r="I463" s="75" t="inlineStr">
        <is>
          <t>2024-04-05</t>
        </is>
      </c>
      <c r="J463" s="75" t="inlineStr">
        <is>
          <t>49</t>
        </is>
      </c>
      <c r="K463" s="75" t="inlineStr">
        <is>
          <t>encontrado_explicito</t>
        </is>
      </c>
      <c r="L463" s="144" t="n">
        <v>0.92</v>
      </c>
      <c r="M463" s="75" t="inlineStr">
        <is>
          <t>data/raw/54559035000194/634437_regulamento_regulamento_634437_2024-04-05.pdf</t>
        </is>
      </c>
      <c r="N463" s="75" t="inlineStr">
        <is>
          <t>https://fnet.bmfbovespa.com.br/fnet/publico/downloadDocumento?id=634437</t>
        </is>
      </c>
      <c r="O46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64" ht="43.5" customHeight="1">
      <c r="A464" s="142" t="n">
        <v>54559035000194</v>
      </c>
      <c r="B464" s="75" t="inlineStr">
        <is>
          <t>54.559.035/0001-94</t>
        </is>
      </c>
      <c r="C464" s="75" t="inlineStr">
        <is>
          <t>tipo_recebivel</t>
        </is>
      </c>
      <c r="D464"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t>
        </is>
      </c>
      <c r="E464" s="75" t="inlineStr">
        <is>
          <t>N/D</t>
        </is>
      </c>
      <c r="F464" s="75" t="inlineStr">
        <is>
          <t>assembleia</t>
        </is>
      </c>
      <c r="G464" s="75" t="inlineStr">
        <is>
          <t>634435</t>
        </is>
      </c>
      <c r="H464" s="75" t="inlineStr">
        <is>
          <t>assembleia</t>
        </is>
      </c>
      <c r="I464" s="75" t="inlineStr">
        <is>
          <t>2024-04-01</t>
        </is>
      </c>
      <c r="J464" s="75" t="inlineStr">
        <is>
          <t>49</t>
        </is>
      </c>
      <c r="K464" s="75" t="inlineStr">
        <is>
          <t>encontrado_explicito</t>
        </is>
      </c>
      <c r="L464" s="144" t="n">
        <v>0.92</v>
      </c>
      <c r="M464" s="75" t="inlineStr">
        <is>
          <t>data/raw/54559035000194/634435_assembleia_assembleia_634435_2024-04-01.pdf</t>
        </is>
      </c>
      <c r="N464" s="75" t="inlineStr">
        <is>
          <t>https://fnet.bmfbovespa.com.br/fnet/publico/downloadDocumento?id=634435</t>
        </is>
      </c>
      <c r="O464"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t>
        </is>
      </c>
    </row>
    <row r="465" ht="43.5" customHeight="1">
      <c r="A465" s="142" t="n">
        <v>54810968000102</v>
      </c>
      <c r="B465" s="75" t="inlineStr">
        <is>
          <t>54.810.968/0001-02</t>
        </is>
      </c>
      <c r="C465" s="75" t="inlineStr">
        <is>
          <t>cedente</t>
        </is>
      </c>
      <c r="D465" s="75" t="inlineStr">
        <is>
          <t>BMG</t>
        </is>
      </c>
      <c r="E465" s="75" t="inlineStr">
        <is>
          <t>N/D</t>
        </is>
      </c>
      <c r="F465" s="75" t="inlineStr">
        <is>
          <t>planilha_manual</t>
        </is>
      </c>
      <c r="G465" s="75" t="inlineStr">
        <is>
          <t>IMG_8704.JPG</t>
        </is>
      </c>
      <c r="H465" s="75" t="inlineStr">
        <is>
          <t>payload</t>
        </is>
      </c>
      <c r="I465" s="75" t="inlineStr">
        <is>
          <t>2025-04-22</t>
        </is>
      </c>
      <c r="J465" s="75" t="inlineStr">
        <is>
          <t>16</t>
        </is>
      </c>
      <c r="K465" s="75" t="inlineStr">
        <is>
          <t>aceito_payload</t>
        </is>
      </c>
      <c r="L465" s="144" t="n">
        <v>1</v>
      </c>
      <c r="M465" s="75" t="inlineStr">
        <is>
          <t>data/industry_study/generated_revision/artifact_payload.json</t>
        </is>
      </c>
      <c r="N465" s="75" t="inlineStr">
        <is>
          <t>N/D</t>
        </is>
      </c>
      <c r="O465" s="75" t="inlineStr">
        <is>
          <t>Denominação cortada pela largura da coluna na foto.</t>
        </is>
      </c>
    </row>
    <row r="466" ht="43.5" customHeight="1">
      <c r="A466" s="142" t="n">
        <v>54810968000102</v>
      </c>
      <c r="B466" s="75" t="inlineStr">
        <is>
          <t>54.810.968/0001-02</t>
        </is>
      </c>
      <c r="C466" s="75" t="inlineStr">
        <is>
          <t>minimo_junior</t>
        </is>
      </c>
      <c r="D466" s="75" t="inlineStr">
        <is>
          <t>5%</t>
        </is>
      </c>
      <c r="E466" s="75" t="inlineStr">
        <is>
          <t>junior_pl</t>
        </is>
      </c>
      <c r="F466" s="75" t="inlineStr">
        <is>
          <t>payload_documental</t>
        </is>
      </c>
      <c r="G466" s="75" t="inlineStr">
        <is>
          <t>937760</t>
        </is>
      </c>
      <c r="H466" s="75" t="inlineStr">
        <is>
          <t>documento_curado</t>
        </is>
      </c>
      <c r="I466" s="75" t="inlineStr">
        <is>
          <t>2025-04-22</t>
        </is>
      </c>
      <c r="J466" s="75" t="inlineStr">
        <is>
          <t>16</t>
        </is>
      </c>
      <c r="K466" s="75" t="inlineStr">
        <is>
          <t>aceito_payload</t>
        </is>
      </c>
      <c r="L466" s="144" t="n">
        <v>1</v>
      </c>
      <c r="M466" s="75" t="inlineStr">
        <is>
          <t>data/industry_study/generated_revision/artifact_payload.json</t>
        </is>
      </c>
      <c r="N466" s="75" t="inlineStr">
        <is>
          <t>https://fnet.bmfbovespa.com.br/fnet/publico/downloadDocumento?id=937760</t>
        </is>
      </c>
      <c r="O466" s="75" t="inlineStr">
        <is>
          <t>Índice de Subordinação Mezanino: cotas júnior / PL, mínimo de 5,0%.</t>
        </is>
      </c>
    </row>
    <row r="467" ht="43.5" customHeight="1">
      <c r="A467" s="142" t="n">
        <v>54810968000102</v>
      </c>
      <c r="B467" s="75" t="inlineStr">
        <is>
          <t>54.810.968/0001-02</t>
        </is>
      </c>
      <c r="C467" s="75" t="inlineStr">
        <is>
          <t>natureza_indice</t>
        </is>
      </c>
      <c r="D467" s="75" t="inlineStr">
        <is>
          <t>junior_pl</t>
        </is>
      </c>
      <c r="E467" s="75" t="inlineStr">
        <is>
          <t>junior_pl</t>
        </is>
      </c>
      <c r="F467" s="75" t="inlineStr">
        <is>
          <t>payload_documental</t>
        </is>
      </c>
      <c r="G467" s="75" t="inlineStr">
        <is>
          <t>937760</t>
        </is>
      </c>
      <c r="H467" s="75" t="inlineStr">
        <is>
          <t>documento_curado</t>
        </is>
      </c>
      <c r="I467" s="75" t="inlineStr">
        <is>
          <t>2025-04-22</t>
        </is>
      </c>
      <c r="J467" s="75" t="inlineStr">
        <is>
          <t>16</t>
        </is>
      </c>
      <c r="K467" s="75" t="inlineStr">
        <is>
          <t>aceito_payload</t>
        </is>
      </c>
      <c r="L467" s="144" t="n">
        <v>1</v>
      </c>
      <c r="M467" s="75" t="inlineStr">
        <is>
          <t>data/industry_study/generated_revision/artifact_payload.json</t>
        </is>
      </c>
      <c r="N467" s="75" t="inlineStr">
        <is>
          <t>https://fnet.bmfbovespa.com.br/fnet/publico/downloadDocumento?id=937760</t>
        </is>
      </c>
      <c r="O467" s="75" t="inlineStr">
        <is>
          <t>Índice de Subordinação Mezanino: cotas júnior / PL, mínimo de 5,0%.</t>
        </is>
      </c>
    </row>
    <row r="468" ht="43.5" customHeight="1">
      <c r="A468" s="142" t="n">
        <v>54810968000102</v>
      </c>
      <c r="B468" s="75" t="inlineStr">
        <is>
          <t>54.810.968/0001-02</t>
        </is>
      </c>
      <c r="C468" s="75" t="inlineStr">
        <is>
          <t>sacado_devedor</t>
        </is>
      </c>
      <c r="D468" s="75" t="inlineStr">
        <is>
          <t>61.186.680/0001-74</t>
        </is>
      </c>
      <c r="E468" s="75" t="inlineStr">
        <is>
          <t>N/D</t>
        </is>
      </c>
      <c r="F468" s="75" t="inlineStr">
        <is>
          <t>candidate_extraction</t>
        </is>
      </c>
      <c r="G468" s="75" t="inlineStr">
        <is>
          <t>54810968000102</t>
        </is>
      </c>
      <c r="H468" s="75" t="inlineStr">
        <is>
          <t>extração heurística</t>
        </is>
      </c>
      <c r="I468" s="75" t="inlineStr">
        <is>
          <t>N/D</t>
        </is>
      </c>
      <c r="J468" s="75" t="inlineStr">
        <is>
          <t>N/D</t>
        </is>
      </c>
      <c r="K468" s="75" t="inlineStr">
        <is>
          <t>candidato_revisao</t>
        </is>
      </c>
      <c r="L468" s="144" t="n">
        <v>0.95</v>
      </c>
      <c r="M468" s="75" t="inlineStr">
        <is>
          <t>outputs/fidc_director_deep_diagnostic_20260609/pdf_text_cache/54810968000102_937760_regulamento_regulamento_937760_2025-04-22.txt</t>
        </is>
      </c>
      <c r="N468" s="75" t="inlineStr">
        <is>
          <t>https://fnet.bmfbovespa.com.br/fnet/publico/downloadDocumento?id=54810968000102</t>
        </is>
      </c>
      <c r="O468" s="75" t="inlineStr">
        <is>
          <t>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t>
        </is>
      </c>
    </row>
    <row r="469" ht="43.5" customHeight="1">
      <c r="A469" s="142" t="n">
        <v>54810968000102</v>
      </c>
      <c r="B469" s="75" t="inlineStr">
        <is>
          <t>54.810.968/0001-02</t>
        </is>
      </c>
      <c r="C469" s="75" t="inlineStr">
        <is>
          <t>tipo_recebivel</t>
        </is>
      </c>
      <c r="D469" s="75" t="inlineStr">
        <is>
          <t>Crédito FGTS</t>
        </is>
      </c>
      <c r="E469" s="75" t="inlineStr">
        <is>
          <t>N/D</t>
        </is>
      </c>
      <c r="F469" s="75" t="inlineStr">
        <is>
          <t>planilha_manual</t>
        </is>
      </c>
      <c r="G469" s="75" t="inlineStr">
        <is>
          <t>IMG_8704.JPG</t>
        </is>
      </c>
      <c r="H469" s="75" t="inlineStr">
        <is>
          <t>payload</t>
        </is>
      </c>
      <c r="I469" s="75" t="inlineStr">
        <is>
          <t>2025-04-22</t>
        </is>
      </c>
      <c r="J469" s="75" t="inlineStr">
        <is>
          <t>16</t>
        </is>
      </c>
      <c r="K469" s="75" t="inlineStr">
        <is>
          <t>aceito_payload</t>
        </is>
      </c>
      <c r="L469" s="144" t="n">
        <v>1</v>
      </c>
      <c r="M469" s="75" t="inlineStr">
        <is>
          <t>data/industry_study/generated_revision/artifact_payload.json</t>
        </is>
      </c>
      <c r="N469" s="75" t="inlineStr">
        <is>
          <t>N/D</t>
        </is>
      </c>
      <c r="O469" s="75" t="inlineStr">
        <is>
          <t>Denominação cortada pela largura da coluna na foto.</t>
        </is>
      </c>
    </row>
    <row r="470" ht="43.5" customHeight="1">
      <c r="A470" s="142" t="n">
        <v>54857414000160</v>
      </c>
      <c r="B470" s="75" t="inlineStr">
        <is>
          <t>54.857.414/0001-60</t>
        </is>
      </c>
      <c r="C470" s="75" t="inlineStr">
        <is>
          <t>cedente</t>
        </is>
      </c>
      <c r="D470" s="75" t="inlineStr">
        <is>
          <t>Emissão direta de produtor rural</t>
        </is>
      </c>
      <c r="E470" s="75" t="inlineStr">
        <is>
          <t>N/D</t>
        </is>
      </c>
      <c r="F470" s="75" t="inlineStr">
        <is>
          <t>planilha_manual</t>
        </is>
      </c>
      <c r="G470" s="75" t="inlineStr">
        <is>
          <t>IMG_8705.JPG</t>
        </is>
      </c>
      <c r="H470" s="75" t="inlineStr">
        <is>
          <t>payload</t>
        </is>
      </c>
      <c r="I470" s="75" t="inlineStr">
        <is>
          <t>2026-06-01</t>
        </is>
      </c>
      <c r="J470" s="75" t="inlineStr">
        <is>
          <t>74</t>
        </is>
      </c>
      <c r="K470" s="75" t="inlineStr">
        <is>
          <t>aceito_payload</t>
        </is>
      </c>
      <c r="L470" s="144" t="n">
        <v>1</v>
      </c>
      <c r="M470" s="75" t="inlineStr">
        <is>
          <t>data/industry_study/generated_revision/artifact_payload.json</t>
        </is>
      </c>
      <c r="N470" s="75" t="inlineStr">
        <is>
          <t>N/D</t>
        </is>
      </c>
      <c r="O470" s="75" t="inlineStr">
        <is>
          <t>Literal preservado da coluna Cedente do Direito Creditório; OBS continua fora da foto. Denominação cortada.</t>
        </is>
      </c>
    </row>
    <row r="471" ht="43.5" customHeight="1">
      <c r="A471" s="142" t="n">
        <v>54857414000160</v>
      </c>
      <c r="B471" s="75" t="inlineStr">
        <is>
          <t>54.857.414/0001-60</t>
        </is>
      </c>
      <c r="C471" s="75" t="inlineStr">
        <is>
          <t>minimo_junior</t>
        </is>
      </c>
      <c r="D471" s="75" t="inlineStr">
        <is>
          <t>15%</t>
        </is>
      </c>
      <c r="E471" s="75" t="inlineStr">
        <is>
          <t>junior_pl</t>
        </is>
      </c>
      <c r="F471" s="75" t="inlineStr">
        <is>
          <t>payload_documental</t>
        </is>
      </c>
      <c r="G471" s="75" t="inlineStr">
        <is>
          <t>1263627</t>
        </is>
      </c>
      <c r="H471" s="75" t="inlineStr">
        <is>
          <t>documento_curado</t>
        </is>
      </c>
      <c r="I471" s="75" t="inlineStr">
        <is>
          <t>2026-06-01</t>
        </is>
      </c>
      <c r="J471" s="75" t="inlineStr">
        <is>
          <t>74</t>
        </is>
      </c>
      <c r="K471" s="75" t="inlineStr">
        <is>
          <t>aceito_payload</t>
        </is>
      </c>
      <c r="L471" s="144" t="n">
        <v>1</v>
      </c>
      <c r="M471" s="75" t="inlineStr">
        <is>
          <t>data/industry_study/generated_revision/artifact_payload.json</t>
        </is>
      </c>
      <c r="N471" s="75" t="inlineStr">
        <is>
          <t>https://fnet.bmfbovespa.com.br/fnet/publico/downloadDocumento?id=1263627</t>
        </is>
      </c>
      <c r="O471" s="75" t="inlineStr">
        <is>
          <t>Índice de Subordinação Mezanino: cotas júnior / PL, mínimo de 15,0%.</t>
        </is>
      </c>
    </row>
    <row r="472" ht="43.5" customHeight="1">
      <c r="A472" s="142" t="n">
        <v>54857414000160</v>
      </c>
      <c r="B472" s="75" t="inlineStr">
        <is>
          <t>54.857.414/0001-60</t>
        </is>
      </c>
      <c r="C472" s="75" t="inlineStr">
        <is>
          <t>natureza_indice</t>
        </is>
      </c>
      <c r="D472" s="75" t="inlineStr">
        <is>
          <t>junior_pl</t>
        </is>
      </c>
      <c r="E472" s="75" t="inlineStr">
        <is>
          <t>junior_pl</t>
        </is>
      </c>
      <c r="F472" s="75" t="inlineStr">
        <is>
          <t>payload_documental</t>
        </is>
      </c>
      <c r="G472" s="75" t="inlineStr">
        <is>
          <t>1263627</t>
        </is>
      </c>
      <c r="H472" s="75" t="inlineStr">
        <is>
          <t>documento_curado</t>
        </is>
      </c>
      <c r="I472" s="75" t="inlineStr">
        <is>
          <t>2026-06-01</t>
        </is>
      </c>
      <c r="J472" s="75" t="inlineStr">
        <is>
          <t>74</t>
        </is>
      </c>
      <c r="K472" s="75" t="inlineStr">
        <is>
          <t>aceito_payload</t>
        </is>
      </c>
      <c r="L472" s="144" t="n">
        <v>1</v>
      </c>
      <c r="M472" s="75" t="inlineStr">
        <is>
          <t>data/industry_study/generated_revision/artifact_payload.json</t>
        </is>
      </c>
      <c r="N472" s="75" t="inlineStr">
        <is>
          <t>https://fnet.bmfbovespa.com.br/fnet/publico/downloadDocumento?id=1263627</t>
        </is>
      </c>
      <c r="O472" s="75" t="inlineStr">
        <is>
          <t>Índice de Subordinação Mezanino: cotas júnior / PL, mínimo de 15,0%.</t>
        </is>
      </c>
    </row>
    <row r="473" ht="43.5" customHeight="1">
      <c r="A473" s="142" t="n">
        <v>54857414000160</v>
      </c>
      <c r="B473" s="75" t="inlineStr">
        <is>
          <t>54.857.414/0001-60</t>
        </is>
      </c>
      <c r="C473" s="75" t="inlineStr">
        <is>
          <t>sacado_devedor</t>
        </is>
      </c>
      <c r="D473"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3" s="75" t="inlineStr">
        <is>
          <t>N/D</t>
        </is>
      </c>
      <c r="F473" s="75" t="inlineStr">
        <is>
          <t>regulamento</t>
        </is>
      </c>
      <c r="G473" s="75" t="inlineStr">
        <is>
          <t>1263627</t>
        </is>
      </c>
      <c r="H473" s="75" t="inlineStr">
        <is>
          <t>Regulamento</t>
        </is>
      </c>
      <c r="I473" s="75" t="inlineStr">
        <is>
          <t>01/06/2026</t>
        </is>
      </c>
      <c r="J473" s="75" t="inlineStr">
        <is>
          <t>66</t>
        </is>
      </c>
      <c r="K473" s="75" t="inlineStr">
        <is>
          <t>encontrado_explicito</t>
        </is>
      </c>
      <c r="L473" s="144" t="n">
        <v>0.95</v>
      </c>
      <c r="M473" s="75" t="inlineStr">
        <is>
          <t>.cache/carteira_101_document_scan/54857414000160/1263627.json.gz</t>
        </is>
      </c>
      <c r="N473" s="75" t="inlineStr">
        <is>
          <t>https://fnet.bmfbovespa.com.br/fnet/publico/downloadDocumento?id=1263627</t>
        </is>
      </c>
      <c r="O473"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4" ht="43.5" customHeight="1">
      <c r="A474" s="142" t="n">
        <v>54857414000160</v>
      </c>
      <c r="B474" s="75" t="inlineStr">
        <is>
          <t>54.857.414/0001-60</t>
        </is>
      </c>
      <c r="C474" s="75" t="inlineStr">
        <is>
          <t>sacado_devedor</t>
        </is>
      </c>
      <c r="D474"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4" s="75" t="inlineStr">
        <is>
          <t>N/D</t>
        </is>
      </c>
      <c r="F474" s="75" t="inlineStr">
        <is>
          <t>regulamento</t>
        </is>
      </c>
      <c r="G474" s="75" t="inlineStr">
        <is>
          <t>975459</t>
        </is>
      </c>
      <c r="H474" s="75" t="inlineStr">
        <is>
          <t>Regulamento</t>
        </is>
      </c>
      <c r="I474" s="75" t="inlineStr">
        <is>
          <t>20/08/2025</t>
        </is>
      </c>
      <c r="J474" s="75" t="inlineStr">
        <is>
          <t>66</t>
        </is>
      </c>
      <c r="K474" s="75" t="inlineStr">
        <is>
          <t>encontrado_explicito</t>
        </is>
      </c>
      <c r="L474" s="144" t="n">
        <v>0.95</v>
      </c>
      <c r="M474" s="75" t="inlineStr">
        <is>
          <t>.cache/carteira_101_document_scan/54857414000160/975459.json.gz</t>
        </is>
      </c>
      <c r="N474" s="75" t="inlineStr">
        <is>
          <t>https://fnet.bmfbovespa.com.br/fnet/publico/downloadDocumento?id=975459</t>
        </is>
      </c>
      <c r="O474"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5" ht="43.5" customHeight="1">
      <c r="A475" s="142" t="n">
        <v>54857414000160</v>
      </c>
      <c r="B475" s="75" t="inlineStr">
        <is>
          <t>54.857.414/0001-60</t>
        </is>
      </c>
      <c r="C475" s="75" t="inlineStr">
        <is>
          <t>sacado_devedor</t>
        </is>
      </c>
      <c r="D47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5" s="75" t="inlineStr">
        <is>
          <t>N/D</t>
        </is>
      </c>
      <c r="F475" s="75" t="inlineStr">
        <is>
          <t>assembleia</t>
        </is>
      </c>
      <c r="G475" s="75" t="inlineStr">
        <is>
          <t>1209771</t>
        </is>
      </c>
      <c r="H475" s="75" t="inlineStr">
        <is>
          <t>Assembleia AGE Ata da Assembleia</t>
        </is>
      </c>
      <c r="I475" s="75" t="inlineStr">
        <is>
          <t>01/06/2026 11:00</t>
        </is>
      </c>
      <c r="J475" s="75" t="inlineStr">
        <is>
          <t>68</t>
        </is>
      </c>
      <c r="K475" s="75" t="inlineStr">
        <is>
          <t>encontrado_explicito</t>
        </is>
      </c>
      <c r="L475" s="144" t="n">
        <v>0.95</v>
      </c>
      <c r="M475" s="75" t="inlineStr">
        <is>
          <t>.cache/carteira_101_document_scan/54857414000160/1209771.json.gz</t>
        </is>
      </c>
      <c r="N475" s="75" t="inlineStr">
        <is>
          <t>https://fnet.bmfbovespa.com.br/fnet/publico/downloadDocumento?id=1209771</t>
        </is>
      </c>
      <c r="O475"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6" ht="43.5" customHeight="1">
      <c r="A476" s="142" t="n">
        <v>54857414000160</v>
      </c>
      <c r="B476" s="75" t="inlineStr">
        <is>
          <t>54.857.414/0001-60</t>
        </is>
      </c>
      <c r="C476" s="75" t="inlineStr">
        <is>
          <t>tipo_recebivel</t>
        </is>
      </c>
      <c r="D476" s="75" t="inlineStr">
        <is>
          <t>risco produtor rural com passagem SIPAL e Fazendão</t>
        </is>
      </c>
      <c r="E476" s="75" t="inlineStr">
        <is>
          <t>N/D</t>
        </is>
      </c>
      <c r="F476" s="75" t="inlineStr">
        <is>
          <t>planilha_manual</t>
        </is>
      </c>
      <c r="G476" s="75" t="inlineStr">
        <is>
          <t>IMG_8705.JPG</t>
        </is>
      </c>
      <c r="H476" s="75" t="inlineStr">
        <is>
          <t>payload</t>
        </is>
      </c>
      <c r="I476" s="75" t="inlineStr">
        <is>
          <t>2026-06-01</t>
        </is>
      </c>
      <c r="J476" s="75" t="inlineStr">
        <is>
          <t>74</t>
        </is>
      </c>
      <c r="K476" s="75" t="inlineStr">
        <is>
          <t>aceito_payload</t>
        </is>
      </c>
      <c r="L476" s="144" t="n">
        <v>1</v>
      </c>
      <c r="M476" s="75" t="inlineStr">
        <is>
          <t>data/industry_study/generated_revision/artifact_payload.json</t>
        </is>
      </c>
      <c r="N476" s="75" t="inlineStr">
        <is>
          <t>N/D</t>
        </is>
      </c>
      <c r="O476" s="75" t="inlineStr">
        <is>
          <t>Literal preservado da coluna Cedente do Direito Creditório; OBS continua fora da foto. Denominação cortada.</t>
        </is>
      </c>
    </row>
    <row r="477" ht="43.5" customHeight="1">
      <c r="A477" s="142" t="n">
        <v>55070804000159</v>
      </c>
      <c r="B477" s="75" t="inlineStr">
        <is>
          <t>55.070.804/0001-59</t>
        </is>
      </c>
      <c r="C477" s="75" t="inlineStr">
        <is>
          <t>cedente</t>
        </is>
      </c>
      <c r="D477"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E477" s="75" t="inlineStr">
        <is>
          <t>N/D</t>
        </is>
      </c>
      <c r="F477" s="75" t="inlineStr">
        <is>
          <t>regulamento</t>
        </is>
      </c>
      <c r="G477" s="75" t="inlineStr">
        <is>
          <t>667195</t>
        </is>
      </c>
      <c r="H477" s="75" t="inlineStr">
        <is>
          <t>regulamento</t>
        </is>
      </c>
      <c r="I477" s="75" t="inlineStr">
        <is>
          <t>2024-05-22</t>
        </is>
      </c>
      <c r="J477" s="75" t="inlineStr">
        <is>
          <t>48</t>
        </is>
      </c>
      <c r="K477" s="75" t="inlineStr">
        <is>
          <t>encontrado_explicito</t>
        </is>
      </c>
      <c r="L477" s="144" t="n">
        <v>0.95</v>
      </c>
      <c r="M477" s="75" t="inlineStr">
        <is>
          <t>data/raw/55070804000159/667195_regulamento_regulamento_667195_2024-05-22.pdf</t>
        </is>
      </c>
      <c r="N477" s="75" t="inlineStr">
        <is>
          <t>https://fnet.bmfbovespa.com.br/fnet/publico/downloadDocumento?id=667195</t>
        </is>
      </c>
      <c r="O477" s="75" t="inlineStr">
        <is>
          <t>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t>
        </is>
      </c>
    </row>
    <row r="478" ht="43.5" customHeight="1">
      <c r="A478" s="142" t="n">
        <v>55070804000159</v>
      </c>
      <c r="B478" s="75" t="inlineStr">
        <is>
          <t>55.070.804/0001-59</t>
        </is>
      </c>
      <c r="C478" s="75" t="inlineStr">
        <is>
          <t>cedente</t>
        </is>
      </c>
      <c r="D478" s="75" t="inlineStr">
        <is>
          <t>Banco IBM</t>
        </is>
      </c>
      <c r="E478" s="75" t="inlineStr">
        <is>
          <t>N/D</t>
        </is>
      </c>
      <c r="F478" s="75" t="inlineStr">
        <is>
          <t>planilha_manual</t>
        </is>
      </c>
      <c r="G478" s="75" t="inlineStr">
        <is>
          <t>IMG_8706.JPG</t>
        </is>
      </c>
      <c r="H478" s="75" t="inlineStr">
        <is>
          <t>payload</t>
        </is>
      </c>
      <c r="I478" s="75" t="inlineStr">
        <is>
          <t>2024-05-22</t>
        </is>
      </c>
      <c r="J478" s="75" t="inlineStr">
        <is>
          <t>57</t>
        </is>
      </c>
      <c r="K478" s="75" t="inlineStr">
        <is>
          <t>aceito_payload</t>
        </is>
      </c>
      <c r="L478" s="144" t="n">
        <v>1</v>
      </c>
      <c r="M478" s="75" t="inlineStr">
        <is>
          <t>data/industry_study/generated_revision/artifact_payload.json</t>
        </is>
      </c>
      <c r="N478" s="75" t="inlineStr">
        <is>
          <t>N/D</t>
        </is>
      </c>
      <c r="O478" s="75" t="inlineStr">
        <is>
          <t>Denominação cortada pela largura da coluna na foto.</t>
        </is>
      </c>
    </row>
    <row r="479" ht="43.5" customHeight="1">
      <c r="A479" s="142" t="n">
        <v>55070804000159</v>
      </c>
      <c r="B479" s="75" t="inlineStr">
        <is>
          <t>55.070.804/0001-59</t>
        </is>
      </c>
      <c r="C479" s="75" t="inlineStr">
        <is>
          <t>cedente</t>
        </is>
      </c>
      <c r="D479" s="75" t="inlineStr">
        <is>
          <t>34.270.520/0001-36</t>
        </is>
      </c>
      <c r="E479" s="75" t="inlineStr">
        <is>
          <t>N/D</t>
        </is>
      </c>
      <c r="F479" s="75" t="inlineStr">
        <is>
          <t>candidate_extraction</t>
        </is>
      </c>
      <c r="G479" s="75" t="inlineStr">
        <is>
          <t>55070804000159</t>
        </is>
      </c>
      <c r="H479" s="75" t="inlineStr">
        <is>
          <t>extração heurística</t>
        </is>
      </c>
      <c r="I479" s="75" t="inlineStr">
        <is>
          <t>N/D</t>
        </is>
      </c>
      <c r="J479" s="75" t="inlineStr">
        <is>
          <t>N/D</t>
        </is>
      </c>
      <c r="K479" s="75" t="inlineStr">
        <is>
          <t>candidato_revisao</t>
        </is>
      </c>
      <c r="L479" s="144" t="n">
        <v>0.95</v>
      </c>
      <c r="M479" s="75" t="inlineStr">
        <is>
          <t>outputs/fidc_director_deep_diagnostic_20260609/pdf_text_cache/55070804000159_667195_regulamento_regulamento_667195_2024-05-22.txt</t>
        </is>
      </c>
      <c r="N479" s="75" t="inlineStr">
        <is>
          <t>https://fnet.bmfbovespa.com.br/fnet/publico/downloadDocumento?id=55070804000159</t>
        </is>
      </c>
      <c r="O479" s="75" t="inlineStr">
        <is>
          <t>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t>
        </is>
      </c>
    </row>
    <row r="480" ht="43.5" customHeight="1">
      <c r="A480" s="142" t="n">
        <v>55070804000159</v>
      </c>
      <c r="B480" s="75" t="inlineStr">
        <is>
          <t>55.070.804/0001-59</t>
        </is>
      </c>
      <c r="C480" s="75" t="inlineStr">
        <is>
          <t>minimo_estrutural_total</t>
        </is>
      </c>
      <c r="D480" s="75" t="inlineStr">
        <is>
          <t>10%</t>
        </is>
      </c>
      <c r="E480" s="75" t="inlineStr">
        <is>
          <t>suporte_total_pl</t>
        </is>
      </c>
      <c r="F480" s="75" t="inlineStr">
        <is>
          <t>payload_documental</t>
        </is>
      </c>
      <c r="G480" s="75" t="inlineStr">
        <is>
          <t>667195</t>
        </is>
      </c>
      <c r="H480" s="75" t="inlineStr">
        <is>
          <t>documento_curado</t>
        </is>
      </c>
      <c r="I480" s="75" t="inlineStr">
        <is>
          <t>2024-05-22</t>
        </is>
      </c>
      <c r="J480" s="75" t="inlineStr">
        <is>
          <t>57</t>
        </is>
      </c>
      <c r="K480" s="75" t="inlineStr">
        <is>
          <t>aceito_payload</t>
        </is>
      </c>
      <c r="L480" s="144" t="n">
        <v>1</v>
      </c>
      <c r="M480" s="75" t="inlineStr">
        <is>
          <t>data/industry_study/generated_revision/artifact_payload.json</t>
        </is>
      </c>
      <c r="N480" s="75" t="inlineStr">
        <is>
          <t>https://fnet.bmfbovespa.com.br/fnet/publico/downloadDocumento?id=667195</t>
        </is>
      </c>
      <c r="O480" s="75" t="inlineStr">
        <is>
          <t>Cotas subordinadas júnior / PL, mínimo de 10,0%; estrutura com cotas seniores e juniores.</t>
        </is>
      </c>
    </row>
    <row r="481" ht="43.5" customHeight="1">
      <c r="A481" s="142" t="n">
        <v>55070804000159</v>
      </c>
      <c r="B481" s="75" t="inlineStr">
        <is>
          <t>55.070.804/0001-59</t>
        </is>
      </c>
      <c r="C481" s="75" t="inlineStr">
        <is>
          <t>minimo_junior</t>
        </is>
      </c>
      <c r="D481" s="75" t="inlineStr">
        <is>
          <t>10%</t>
        </is>
      </c>
      <c r="E481" s="75" t="inlineStr">
        <is>
          <t>junior_pl</t>
        </is>
      </c>
      <c r="F481" s="75" t="inlineStr">
        <is>
          <t>payload_documental</t>
        </is>
      </c>
      <c r="G481" s="75" t="inlineStr">
        <is>
          <t>667195</t>
        </is>
      </c>
      <c r="H481" s="75" t="inlineStr">
        <is>
          <t>documento_curado</t>
        </is>
      </c>
      <c r="I481" s="75" t="inlineStr">
        <is>
          <t>2024-05-22</t>
        </is>
      </c>
      <c r="J481" s="75" t="inlineStr">
        <is>
          <t>57</t>
        </is>
      </c>
      <c r="K481" s="75" t="inlineStr">
        <is>
          <t>aceito_payload</t>
        </is>
      </c>
      <c r="L481" s="144" t="n">
        <v>1</v>
      </c>
      <c r="M481" s="75" t="inlineStr">
        <is>
          <t>data/industry_study/generated_revision/artifact_payload.json</t>
        </is>
      </c>
      <c r="N481" s="75" t="inlineStr">
        <is>
          <t>https://fnet.bmfbovespa.com.br/fnet/publico/downloadDocumento?id=667195</t>
        </is>
      </c>
      <c r="O481" s="75" t="inlineStr">
        <is>
          <t>Cotas subordinadas júnior / PL, mínimo de 10,0%; estrutura com cotas seniores e juniores.</t>
        </is>
      </c>
    </row>
    <row r="482" ht="43.5" customHeight="1">
      <c r="A482" s="142" t="n">
        <v>55070804000159</v>
      </c>
      <c r="B482" s="75" t="inlineStr">
        <is>
          <t>55.070.804/0001-59</t>
        </is>
      </c>
      <c r="C482" s="75" t="inlineStr">
        <is>
          <t>natureza_indice</t>
        </is>
      </c>
      <c r="D482" s="75" t="inlineStr">
        <is>
          <t>junior_pl</t>
        </is>
      </c>
      <c r="E482" s="75" t="inlineStr">
        <is>
          <t>junior_pl</t>
        </is>
      </c>
      <c r="F482" s="75" t="inlineStr">
        <is>
          <t>payload_documental</t>
        </is>
      </c>
      <c r="G482" s="75" t="inlineStr">
        <is>
          <t>667195</t>
        </is>
      </c>
      <c r="H482" s="75" t="inlineStr">
        <is>
          <t>documento_curado</t>
        </is>
      </c>
      <c r="I482" s="75" t="inlineStr">
        <is>
          <t>2024-05-22</t>
        </is>
      </c>
      <c r="J482" s="75" t="inlineStr">
        <is>
          <t>57</t>
        </is>
      </c>
      <c r="K482" s="75" t="inlineStr">
        <is>
          <t>aceito_payload</t>
        </is>
      </c>
      <c r="L482" s="144" t="n">
        <v>1</v>
      </c>
      <c r="M482" s="75" t="inlineStr">
        <is>
          <t>data/industry_study/generated_revision/artifact_payload.json</t>
        </is>
      </c>
      <c r="N482" s="75" t="inlineStr">
        <is>
          <t>https://fnet.bmfbovespa.com.br/fnet/publico/downloadDocumento?id=667195</t>
        </is>
      </c>
      <c r="O482" s="75" t="inlineStr">
        <is>
          <t>Cotas subordinadas júnior / PL, mínimo de 10,0%; estrutura com cotas seniores e juniores.</t>
        </is>
      </c>
    </row>
    <row r="483" ht="43.5" customHeight="1">
      <c r="A483" s="142" t="n">
        <v>55070804000159</v>
      </c>
      <c r="B483" s="75" t="inlineStr">
        <is>
          <t>55.070.804/0001-59</t>
        </is>
      </c>
      <c r="C483" s="75" t="inlineStr">
        <is>
          <t>tipo_recebivel</t>
        </is>
      </c>
      <c r="D483"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E483" s="75" t="inlineStr">
        <is>
          <t>N/D</t>
        </is>
      </c>
      <c r="F483" s="75" t="inlineStr">
        <is>
          <t>regulamento</t>
        </is>
      </c>
      <c r="G483" s="75" t="inlineStr">
        <is>
          <t>667195</t>
        </is>
      </c>
      <c r="H483" s="75" t="inlineStr">
        <is>
          <t>regulamento</t>
        </is>
      </c>
      <c r="I483" s="75" t="inlineStr">
        <is>
          <t>2024-05-22</t>
        </is>
      </c>
      <c r="J483" s="75" t="inlineStr">
        <is>
          <t>52</t>
        </is>
      </c>
      <c r="K483" s="75" t="inlineStr">
        <is>
          <t>encontrado_explicito</t>
        </is>
      </c>
      <c r="L483" s="144" t="n">
        <v>0.92</v>
      </c>
      <c r="M483" s="75" t="inlineStr">
        <is>
          <t>data/raw/55070804000159/667195_regulamento_regulamento_667195_2024-05-22.pdf</t>
        </is>
      </c>
      <c r="N483" s="75" t="inlineStr">
        <is>
          <t>https://fnet.bmfbovespa.com.br/fnet/publico/downloadDocumento?id=667195</t>
        </is>
      </c>
      <c r="O48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84" ht="43.5" customHeight="1">
      <c r="A484" s="142" t="n">
        <v>55374251000128</v>
      </c>
      <c r="B484" s="75" t="inlineStr">
        <is>
          <t>55.374.251/0001-28</t>
        </is>
      </c>
      <c r="C484" s="75" t="inlineStr">
        <is>
          <t>cedente</t>
        </is>
      </c>
      <c r="D484" s="75" t="inlineStr">
        <is>
          <t>Azul</t>
        </is>
      </c>
      <c r="E484" s="75" t="inlineStr">
        <is>
          <t>N/D</t>
        </is>
      </c>
      <c r="F484" s="75" t="inlineStr">
        <is>
          <t>planilha_manual</t>
        </is>
      </c>
      <c r="G484" s="75" t="inlineStr">
        <is>
          <t>IMG_8705.JPG</t>
        </is>
      </c>
      <c r="H484" s="75" t="inlineStr">
        <is>
          <t>payload</t>
        </is>
      </c>
      <c r="I484" s="75" t="inlineStr">
        <is>
          <t>2024-06-25</t>
        </is>
      </c>
      <c r="J484" s="75" t="inlineStr">
        <is>
          <t>61</t>
        </is>
      </c>
      <c r="K484" s="75" t="inlineStr">
        <is>
          <t>aceito_payload</t>
        </is>
      </c>
      <c r="L484" s="144" t="n">
        <v>1</v>
      </c>
      <c r="M484" s="75" t="inlineStr">
        <is>
          <t>data/industry_study/generated_revision/artifact_payload.json</t>
        </is>
      </c>
      <c r="N484" s="75" t="inlineStr">
        <is>
          <t>N/D</t>
        </is>
      </c>
      <c r="O484" s="75" t="inlineStr">
        <is>
          <t>OBS da foto: Book Special Sits; risco de repagamento Azul com 40% de subordinação.</t>
        </is>
      </c>
    </row>
    <row r="485" ht="43.5" customHeight="1">
      <c r="A485" s="142" t="n">
        <v>55374251000128</v>
      </c>
      <c r="B485" s="75" t="inlineStr">
        <is>
          <t>55.374.251/0001-28</t>
        </is>
      </c>
      <c r="C485" s="75" t="inlineStr">
        <is>
          <t>minimo_junior</t>
        </is>
      </c>
      <c r="D485" s="75" t="inlineStr">
        <is>
          <t>5%</t>
        </is>
      </c>
      <c r="E485" s="75" t="inlineStr">
        <is>
          <t>junior_pl</t>
        </is>
      </c>
      <c r="F485" s="75" t="inlineStr">
        <is>
          <t>payload_documental</t>
        </is>
      </c>
      <c r="G485" s="75" t="inlineStr">
        <is>
          <t>686750</t>
        </is>
      </c>
      <c r="H485" s="75" t="inlineStr">
        <is>
          <t>documento_curado</t>
        </is>
      </c>
      <c r="I485" s="75" t="inlineStr">
        <is>
          <t>2024-06-25</t>
        </is>
      </c>
      <c r="J485" s="75" t="inlineStr">
        <is>
          <t>61</t>
        </is>
      </c>
      <c r="K485" s="75" t="inlineStr">
        <is>
          <t>aceito_payload</t>
        </is>
      </c>
      <c r="L485" s="144" t="n">
        <v>1</v>
      </c>
      <c r="M485" s="75" t="inlineStr">
        <is>
          <t>data/industry_study/generated_revision/artifact_payload.json</t>
        </is>
      </c>
      <c r="N485" s="75" t="inlineStr">
        <is>
          <t>https://fnet.bmfbovespa.com.br/fnet/publico/downloadDocumento?id=686750</t>
        </is>
      </c>
      <c r="O485" s="75" t="inlineStr">
        <is>
          <t>Índice de Subordinação Mezanino II: cotas júnior / PL, mínimo de 5,0%.</t>
        </is>
      </c>
    </row>
    <row r="486" ht="43.5" customHeight="1">
      <c r="A486" s="142" t="n">
        <v>55374251000128</v>
      </c>
      <c r="B486" s="75" t="inlineStr">
        <is>
          <t>55.374.251/0001-28</t>
        </is>
      </c>
      <c r="C486" s="75" t="inlineStr">
        <is>
          <t>natureza_indice</t>
        </is>
      </c>
      <c r="D486" s="75" t="inlineStr">
        <is>
          <t>junior_pl</t>
        </is>
      </c>
      <c r="E486" s="75" t="inlineStr">
        <is>
          <t>junior_pl</t>
        </is>
      </c>
      <c r="F486" s="75" t="inlineStr">
        <is>
          <t>payload_documental</t>
        </is>
      </c>
      <c r="G486" s="75" t="inlineStr">
        <is>
          <t>686750</t>
        </is>
      </c>
      <c r="H486" s="75" t="inlineStr">
        <is>
          <t>documento_curado</t>
        </is>
      </c>
      <c r="I486" s="75" t="inlineStr">
        <is>
          <t>2024-06-25</t>
        </is>
      </c>
      <c r="J486" s="75" t="inlineStr">
        <is>
          <t>61</t>
        </is>
      </c>
      <c r="K486" s="75" t="inlineStr">
        <is>
          <t>aceito_payload</t>
        </is>
      </c>
      <c r="L486" s="144" t="n">
        <v>1</v>
      </c>
      <c r="M486" s="75" t="inlineStr">
        <is>
          <t>data/industry_study/generated_revision/artifact_payload.json</t>
        </is>
      </c>
      <c r="N486" s="75" t="inlineStr">
        <is>
          <t>https://fnet.bmfbovespa.com.br/fnet/publico/downloadDocumento?id=686750</t>
        </is>
      </c>
      <c r="O486" s="75" t="inlineStr">
        <is>
          <t>Índice de Subordinação Mezanino II: cotas júnior / PL, mínimo de 5,0%.</t>
        </is>
      </c>
    </row>
    <row r="487" ht="43.5" customHeight="1">
      <c r="A487" s="142" t="n">
        <v>55374251000128</v>
      </c>
      <c r="B487" s="75" t="inlineStr">
        <is>
          <t>55.374.251/0001-28</t>
        </is>
      </c>
      <c r="C487" s="75" t="inlineStr">
        <is>
          <t>tipo_recebivel</t>
        </is>
      </c>
      <c r="D487" s="75" t="inlineStr">
        <is>
          <t>Debênture</t>
        </is>
      </c>
      <c r="E487" s="75" t="inlineStr">
        <is>
          <t>N/D</t>
        </is>
      </c>
      <c r="F487" s="75" t="inlineStr">
        <is>
          <t>planilha_manual</t>
        </is>
      </c>
      <c r="G487" s="75" t="inlineStr">
        <is>
          <t>IMG_8705.JPG</t>
        </is>
      </c>
      <c r="H487" s="75" t="inlineStr">
        <is>
          <t>payload</t>
        </is>
      </c>
      <c r="I487" s="75" t="inlineStr">
        <is>
          <t>2024-06-25</t>
        </is>
      </c>
      <c r="J487" s="75" t="inlineStr">
        <is>
          <t>61</t>
        </is>
      </c>
      <c r="K487" s="75" t="inlineStr">
        <is>
          <t>aceito_payload</t>
        </is>
      </c>
      <c r="L487" s="144" t="n">
        <v>1</v>
      </c>
      <c r="M487" s="75" t="inlineStr">
        <is>
          <t>data/industry_study/generated_revision/artifact_payload.json</t>
        </is>
      </c>
      <c r="N487" s="75" t="inlineStr">
        <is>
          <t>N/D</t>
        </is>
      </c>
      <c r="O487" s="75" t="inlineStr">
        <is>
          <t>OBS da foto: Book Special Sits; risco de repagamento Azul com 40% de subordinação.</t>
        </is>
      </c>
    </row>
    <row r="488" ht="43.5" customHeight="1">
      <c r="A488" s="142" t="n">
        <v>55401645000128</v>
      </c>
      <c r="B488" s="75" t="inlineStr">
        <is>
          <t>55.401.645/0001-28</t>
        </is>
      </c>
      <c r="C488" s="75" t="inlineStr">
        <is>
          <t>cedente</t>
        </is>
      </c>
      <c r="D488" s="75" t="inlineStr">
        <is>
          <t>QI Tech</t>
        </is>
      </c>
      <c r="E488" s="75" t="inlineStr">
        <is>
          <t>N/D</t>
        </is>
      </c>
      <c r="F488" s="75" t="inlineStr">
        <is>
          <t>planilha_manual</t>
        </is>
      </c>
      <c r="G488" s="75" t="inlineStr">
        <is>
          <t>IMG_8705.JPG</t>
        </is>
      </c>
      <c r="H488" s="75" t="inlineStr">
        <is>
          <t>payload</t>
        </is>
      </c>
      <c r="I488" s="75" t="inlineStr">
        <is>
          <t>2025-12-01</t>
        </is>
      </c>
      <c r="J488" s="75" t="inlineStr">
        <is>
          <t>17</t>
        </is>
      </c>
      <c r="K488" s="75" t="inlineStr">
        <is>
          <t>aceito_payload</t>
        </is>
      </c>
      <c r="L488" s="144" t="n">
        <v>1</v>
      </c>
      <c r="M488" s="75" t="inlineStr">
        <is>
          <t>data/industry_study/generated_revision/artifact_payload.json</t>
        </is>
      </c>
      <c r="N488" s="75" t="inlineStr">
        <is>
          <t>N/D</t>
        </is>
      </c>
      <c r="O488" s="75" t="inlineStr">
        <is>
          <t>Denominação cortada pela largura da coluna na foto.</t>
        </is>
      </c>
    </row>
    <row r="489" ht="43.5" customHeight="1">
      <c r="A489" s="142" t="n">
        <v>55401645000128</v>
      </c>
      <c r="B489" s="75" t="inlineStr">
        <is>
          <t>55.401.645/0001-28</t>
        </is>
      </c>
      <c r="C489" s="75" t="inlineStr">
        <is>
          <t>cedente</t>
        </is>
      </c>
      <c r="D489" s="75" t="inlineStr">
        <is>
          <t>SIGNIFICA A SINGULARE CORRETORA DE TÍTULOS E VALORES MOBILIÁRIOS S.A</t>
        </is>
      </c>
      <c r="E489" s="75" t="inlineStr">
        <is>
          <t>N/D</t>
        </is>
      </c>
      <c r="F489" s="75" t="inlineStr">
        <is>
          <t>candidate_extraction</t>
        </is>
      </c>
      <c r="G489" s="75" t="inlineStr">
        <is>
          <t>55401645000128</t>
        </is>
      </c>
      <c r="H489" s="75" t="inlineStr">
        <is>
          <t>extração heurística</t>
        </is>
      </c>
      <c r="I489" s="75" t="inlineStr">
        <is>
          <t>N/D</t>
        </is>
      </c>
      <c r="J489" s="75" t="inlineStr">
        <is>
          <t>N/D</t>
        </is>
      </c>
      <c r="K489" s="75" t="inlineStr">
        <is>
          <t>candidato_revisao</t>
        </is>
      </c>
      <c r="L489" s="144" t="n">
        <v>0.95</v>
      </c>
      <c r="M489" s="75" t="inlineStr">
        <is>
          <t>outputs/fidc_director_deep_diagnostic_20260609/pdf_text_cache/55401645000128_1051890_regulamento_regulamento_1051890_2025-12-01.txt</t>
        </is>
      </c>
      <c r="N489" s="75" t="inlineStr">
        <is>
          <t>https://fnet.bmfbovespa.com.br/fnet/publico/downloadDocumento?id=55401645000128</t>
        </is>
      </c>
      <c r="O489" s="75" t="inlineStr">
        <is>
          <t>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t>
        </is>
      </c>
    </row>
    <row r="490" ht="43.5" customHeight="1">
      <c r="A490" s="142" t="n">
        <v>55401645000128</v>
      </c>
      <c r="B490" s="75" t="inlineStr">
        <is>
          <t>55.401.645/0001-28</t>
        </is>
      </c>
      <c r="C490" s="75" t="inlineStr">
        <is>
          <t>minimo_estrutural_total</t>
        </is>
      </c>
      <c r="D490" s="75" t="inlineStr">
        <is>
          <t>15%</t>
        </is>
      </c>
      <c r="E490" s="75" t="inlineStr">
        <is>
          <t>suporte_total_pl</t>
        </is>
      </c>
      <c r="F490" s="75" t="inlineStr">
        <is>
          <t>assembleia</t>
        </is>
      </c>
      <c r="G490" s="75" t="inlineStr">
        <is>
          <t>823271</t>
        </is>
      </c>
      <c r="H490" s="75" t="inlineStr">
        <is>
          <t>assembleia</t>
        </is>
      </c>
      <c r="I490" s="75" t="inlineStr">
        <is>
          <t>2025-01-20</t>
        </is>
      </c>
      <c r="J490" s="75" t="inlineStr">
        <is>
          <t>2</t>
        </is>
      </c>
      <c r="K490" s="75" t="inlineStr">
        <is>
          <t>encontrado_explicito</t>
        </is>
      </c>
      <c r="L490" s="144" t="n">
        <v>0.95</v>
      </c>
      <c r="M490" s="75" t="inlineStr">
        <is>
          <t>data/raw/55401645000128/823271_assembleia_assembleia_823271_2025-01-20.pdf</t>
        </is>
      </c>
      <c r="N490" s="75" t="inlineStr">
        <is>
          <t>https://fnet.bmfbovespa.com.br/fnet/publico/downloadDocumento?id=823271</t>
        </is>
      </c>
      <c r="O490" s="75" t="inlineStr">
        <is>
          <t>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t>
        </is>
      </c>
    </row>
    <row r="491" ht="43.5" customHeight="1">
      <c r="A491" s="142" t="n">
        <v>55401645000128</v>
      </c>
      <c r="B491" s="75" t="inlineStr">
        <is>
          <t>55.401.645/0001-28</t>
        </is>
      </c>
      <c r="C491" s="75" t="inlineStr">
        <is>
          <t>minimo_junior</t>
        </is>
      </c>
      <c r="D491" s="75" t="inlineStr">
        <is>
          <t>3%</t>
        </is>
      </c>
      <c r="E491" s="75" t="inlineStr">
        <is>
          <t>junior_pl</t>
        </is>
      </c>
      <c r="F491" s="75" t="inlineStr">
        <is>
          <t>payload_documental</t>
        </is>
      </c>
      <c r="G491" s="75" t="inlineStr">
        <is>
          <t>1051890</t>
        </is>
      </c>
      <c r="H491" s="75" t="inlineStr">
        <is>
          <t>documento_curado</t>
        </is>
      </c>
      <c r="I491" s="75" t="inlineStr">
        <is>
          <t>2025-12-01</t>
        </is>
      </c>
      <c r="J491" s="75" t="inlineStr">
        <is>
          <t>17</t>
        </is>
      </c>
      <c r="K491" s="75" t="inlineStr">
        <is>
          <t>aceito_payload</t>
        </is>
      </c>
      <c r="L491" s="144" t="n">
        <v>1</v>
      </c>
      <c r="M491" s="75" t="inlineStr">
        <is>
          <t>data/industry_study/generated_revision/artifact_payload.json</t>
        </is>
      </c>
      <c r="N491" s="75" t="inlineStr">
        <is>
          <t>https://fnet.bmfbovespa.com.br/fnet/publico/downloadDocumento?id=1051890</t>
        </is>
      </c>
      <c r="O491" s="75" t="inlineStr">
        <is>
          <t>Índice de Subordinação Mezanino: cotas júnior / PL, mínimo de 3,0%.</t>
        </is>
      </c>
    </row>
    <row r="492" ht="43.5" customHeight="1">
      <c r="A492" s="142" t="n">
        <v>55401645000128</v>
      </c>
      <c r="B492" s="75" t="inlineStr">
        <is>
          <t>55.401.645/0001-28</t>
        </is>
      </c>
      <c r="C492" s="75" t="inlineStr">
        <is>
          <t>natureza_indice</t>
        </is>
      </c>
      <c r="D492" s="75" t="inlineStr">
        <is>
          <t>junior_pl</t>
        </is>
      </c>
      <c r="E492" s="75" t="inlineStr">
        <is>
          <t>junior_pl</t>
        </is>
      </c>
      <c r="F492" s="75" t="inlineStr">
        <is>
          <t>payload_documental</t>
        </is>
      </c>
      <c r="G492" s="75" t="inlineStr">
        <is>
          <t>1051890</t>
        </is>
      </c>
      <c r="H492" s="75" t="inlineStr">
        <is>
          <t>documento_curado</t>
        </is>
      </c>
      <c r="I492" s="75" t="inlineStr">
        <is>
          <t>2025-12-01</t>
        </is>
      </c>
      <c r="J492" s="75" t="inlineStr">
        <is>
          <t>17</t>
        </is>
      </c>
      <c r="K492" s="75" t="inlineStr">
        <is>
          <t>aceito_payload</t>
        </is>
      </c>
      <c r="L492" s="144" t="n">
        <v>1</v>
      </c>
      <c r="M492" s="75" t="inlineStr">
        <is>
          <t>data/industry_study/generated_revision/artifact_payload.json</t>
        </is>
      </c>
      <c r="N492" s="75" t="inlineStr">
        <is>
          <t>https://fnet.bmfbovespa.com.br/fnet/publico/downloadDocumento?id=1051890</t>
        </is>
      </c>
      <c r="O492" s="75" t="inlineStr">
        <is>
          <t>Índice de Subordinação Mezanino: cotas júnior / PL, mínimo de 3,0%.</t>
        </is>
      </c>
    </row>
    <row r="493" ht="43.5" customHeight="1">
      <c r="A493" s="142" t="n">
        <v>55401645000128</v>
      </c>
      <c r="B493" s="75" t="inlineStr">
        <is>
          <t>55.401.645/0001-28</t>
        </is>
      </c>
      <c r="C493" s="75" t="inlineStr">
        <is>
          <t>originador</t>
        </is>
      </c>
      <c r="D493"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E493" s="75" t="inlineStr">
        <is>
          <t>N/D</t>
        </is>
      </c>
      <c r="F493" s="75" t="inlineStr">
        <is>
          <t>regulamento</t>
        </is>
      </c>
      <c r="G493" s="75" t="inlineStr">
        <is>
          <t>1051890</t>
        </is>
      </c>
      <c r="H493" s="75" t="inlineStr">
        <is>
          <t>regulamento</t>
        </is>
      </c>
      <c r="I493" s="75" t="inlineStr">
        <is>
          <t>2025-12-01</t>
        </is>
      </c>
      <c r="J493" s="75" t="inlineStr">
        <is>
          <t>N/D</t>
        </is>
      </c>
      <c r="K493" s="75" t="inlineStr">
        <is>
          <t>encontrado_explicito</t>
        </is>
      </c>
      <c r="L493" s="144" t="n">
        <v>0.95</v>
      </c>
      <c r="M493" s="75" t="inlineStr">
        <is>
          <t>outputs/fidc_director_deep_diagnostic_20260609/pdf_text_cache/55401645000128_1051890_regulamento_regulamento_1051890_2025-12-01.txt</t>
        </is>
      </c>
      <c r="N493" s="75" t="inlineStr">
        <is>
          <t>https://fnet.bmfbovespa.com.br/fnet/publico/downloadDocumento?id=1051890</t>
        </is>
      </c>
      <c r="O493" s="75" t="inlineStr">
        <is>
          <t>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t>
        </is>
      </c>
    </row>
    <row r="494" ht="43.5" customHeight="1">
      <c r="A494" s="142" t="n">
        <v>55401645000128</v>
      </c>
      <c r="B494" s="75" t="inlineStr">
        <is>
          <t>55.401.645/0001-28</t>
        </is>
      </c>
      <c r="C494" s="75" t="inlineStr">
        <is>
          <t>tipo_recebivel</t>
        </is>
      </c>
      <c r="D494" s="75" t="inlineStr">
        <is>
          <t>Crédito FGTS</t>
        </is>
      </c>
      <c r="E494" s="75" t="inlineStr">
        <is>
          <t>N/D</t>
        </is>
      </c>
      <c r="F494" s="75" t="inlineStr">
        <is>
          <t>planilha_manual</t>
        </is>
      </c>
      <c r="G494" s="75" t="inlineStr">
        <is>
          <t>IMG_8705.JPG</t>
        </is>
      </c>
      <c r="H494" s="75" t="inlineStr">
        <is>
          <t>payload</t>
        </is>
      </c>
      <c r="I494" s="75" t="inlineStr">
        <is>
          <t>2025-12-01</t>
        </is>
      </c>
      <c r="J494" s="75" t="inlineStr">
        <is>
          <t>17</t>
        </is>
      </c>
      <c r="K494" s="75" t="inlineStr">
        <is>
          <t>aceito_payload</t>
        </is>
      </c>
      <c r="L494" s="144" t="n">
        <v>1</v>
      </c>
      <c r="M494" s="75" t="inlineStr">
        <is>
          <t>data/industry_study/generated_revision/artifact_payload.json</t>
        </is>
      </c>
      <c r="N494" s="75" t="inlineStr">
        <is>
          <t>N/D</t>
        </is>
      </c>
      <c r="O494" s="75" t="inlineStr">
        <is>
          <t>Denominação cortada pela largura da coluna na foto.</t>
        </is>
      </c>
    </row>
    <row r="495" ht="43.5" customHeight="1">
      <c r="A495" s="142" t="n">
        <v>55476342000174</v>
      </c>
      <c r="B495" s="75" t="inlineStr">
        <is>
          <t>55.476.342/0001-74</t>
        </is>
      </c>
      <c r="C495" s="75" t="inlineStr">
        <is>
          <t>cedente</t>
        </is>
      </c>
      <c r="D495" s="75" t="inlineStr">
        <is>
          <t>Lavoro</t>
        </is>
      </c>
      <c r="E495" s="75" t="inlineStr">
        <is>
          <t>N/D</t>
        </is>
      </c>
      <c r="F495" s="75" t="inlineStr">
        <is>
          <t>planilha_manual</t>
        </is>
      </c>
      <c r="G495" s="75" t="inlineStr">
        <is>
          <t>IMG_8705.JPG</t>
        </is>
      </c>
      <c r="H495" s="75" t="inlineStr">
        <is>
          <t>payload</t>
        </is>
      </c>
      <c r="I495" s="75" t="inlineStr">
        <is>
          <t>2025-09-30</t>
        </is>
      </c>
      <c r="J495" s="75" t="inlineStr">
        <is>
          <t>107; 122</t>
        </is>
      </c>
      <c r="K495" s="75" t="inlineStr">
        <is>
          <t>aceito_payload</t>
        </is>
      </c>
      <c r="L495" s="144" t="n">
        <v>1</v>
      </c>
      <c r="M495" s="75" t="inlineStr">
        <is>
          <t>data/industry_study/generated_revision/artifact_payload.json</t>
        </is>
      </c>
      <c r="N495" s="75" t="inlineStr">
        <is>
          <t>N/D</t>
        </is>
      </c>
      <c r="O495" s="75" t="inlineStr">
        <is>
          <t>OBS da foto: em discussão para possível migração do FIDC para risco bilateral. Denominação cortada.</t>
        </is>
      </c>
    </row>
    <row r="496" ht="43.5" customHeight="1">
      <c r="A496" s="142" t="n">
        <v>55476342000174</v>
      </c>
      <c r="B496" s="75" t="inlineStr">
        <is>
          <t>55.476.342/0001-74</t>
        </is>
      </c>
      <c r="C496" s="75" t="inlineStr">
        <is>
          <t>minimo_estrutural_total</t>
        </is>
      </c>
      <c r="D496" s="75" t="inlineStr">
        <is>
          <t>20%</t>
        </is>
      </c>
      <c r="E496" s="75" t="inlineStr">
        <is>
          <t>suporte_total_pl</t>
        </is>
      </c>
      <c r="F496" s="75" t="inlineStr">
        <is>
          <t>payload_documental</t>
        </is>
      </c>
      <c r="G496" s="75" t="inlineStr">
        <is>
          <t>1003108</t>
        </is>
      </c>
      <c r="H496" s="75" t="inlineStr">
        <is>
          <t>documento_curado</t>
        </is>
      </c>
      <c r="I496" s="75" t="inlineStr">
        <is>
          <t>2025-09-30</t>
        </is>
      </c>
      <c r="J496" s="75" t="inlineStr">
        <is>
          <t>107; 122</t>
        </is>
      </c>
      <c r="K496" s="75" t="inlineStr">
        <is>
          <t>aceito_payload</t>
        </is>
      </c>
      <c r="L496" s="144" t="n">
        <v>1</v>
      </c>
      <c r="M496" s="75" t="inlineStr">
        <is>
          <t>data/industry_study/generated_revision/artifact_payload.json</t>
        </is>
      </c>
      <c r="N496" s="75" t="inlineStr">
        <is>
          <t>https://fnet.bmfbovespa.com.br/fnet/publico/downloadDocumento?id=1003108</t>
        </is>
      </c>
      <c r="O496" s="75" t="inlineStr">
        <is>
          <t>Cotas subordinadas / PL, mínimo de 20,0%; estrutura com uma única classe residual.</t>
        </is>
      </c>
    </row>
    <row r="497" ht="43.5" customHeight="1">
      <c r="A497" s="142" t="n">
        <v>55476342000174</v>
      </c>
      <c r="B497" s="75" t="inlineStr">
        <is>
          <t>55.476.342/0001-74</t>
        </is>
      </c>
      <c r="C497" s="75" t="inlineStr">
        <is>
          <t>minimo_junior</t>
        </is>
      </c>
      <c r="D497" s="75" t="inlineStr">
        <is>
          <t>20%</t>
        </is>
      </c>
      <c r="E497" s="75" t="inlineStr">
        <is>
          <t>junior_pl</t>
        </is>
      </c>
      <c r="F497" s="75" t="inlineStr">
        <is>
          <t>payload_documental</t>
        </is>
      </c>
      <c r="G497" s="75" t="inlineStr">
        <is>
          <t>1003108</t>
        </is>
      </c>
      <c r="H497" s="75" t="inlineStr">
        <is>
          <t>documento_curado</t>
        </is>
      </c>
      <c r="I497" s="75" t="inlineStr">
        <is>
          <t>2025-09-30</t>
        </is>
      </c>
      <c r="J497" s="75" t="inlineStr">
        <is>
          <t>107; 122</t>
        </is>
      </c>
      <c r="K497" s="75" t="inlineStr">
        <is>
          <t>aceito_payload</t>
        </is>
      </c>
      <c r="L497" s="144" t="n">
        <v>1</v>
      </c>
      <c r="M497" s="75" t="inlineStr">
        <is>
          <t>data/industry_study/generated_revision/artifact_payload.json</t>
        </is>
      </c>
      <c r="N497" s="75" t="inlineStr">
        <is>
          <t>https://fnet.bmfbovespa.com.br/fnet/publico/downloadDocumento?id=1003108</t>
        </is>
      </c>
      <c r="O497" s="75" t="inlineStr">
        <is>
          <t>Cotas subordinadas / PL, mínimo de 20,0%; estrutura com uma única classe residual.</t>
        </is>
      </c>
    </row>
    <row r="498" ht="43.5" customHeight="1">
      <c r="A498" s="142" t="n">
        <v>55476342000174</v>
      </c>
      <c r="B498" s="75" t="inlineStr">
        <is>
          <t>55.476.342/0001-74</t>
        </is>
      </c>
      <c r="C498" s="75" t="inlineStr">
        <is>
          <t>natureza_indice</t>
        </is>
      </c>
      <c r="D498" s="75" t="inlineStr">
        <is>
          <t>junior_pl</t>
        </is>
      </c>
      <c r="E498" s="75" t="inlineStr">
        <is>
          <t>junior_pl</t>
        </is>
      </c>
      <c r="F498" s="75" t="inlineStr">
        <is>
          <t>payload_documental</t>
        </is>
      </c>
      <c r="G498" s="75" t="inlineStr">
        <is>
          <t>1003108</t>
        </is>
      </c>
      <c r="H498" s="75" t="inlineStr">
        <is>
          <t>documento_curado</t>
        </is>
      </c>
      <c r="I498" s="75" t="inlineStr">
        <is>
          <t>2025-09-30</t>
        </is>
      </c>
      <c r="J498" s="75" t="inlineStr">
        <is>
          <t>107; 122</t>
        </is>
      </c>
      <c r="K498" s="75" t="inlineStr">
        <is>
          <t>aceito_payload</t>
        </is>
      </c>
      <c r="L498" s="144" t="n">
        <v>1</v>
      </c>
      <c r="M498" s="75" t="inlineStr">
        <is>
          <t>data/industry_study/generated_revision/artifact_payload.json</t>
        </is>
      </c>
      <c r="N498" s="75" t="inlineStr">
        <is>
          <t>https://fnet.bmfbovespa.com.br/fnet/publico/downloadDocumento?id=1003108</t>
        </is>
      </c>
      <c r="O498" s="75" t="inlineStr">
        <is>
          <t>Cotas subordinadas / PL, mínimo de 20,0%; estrutura com uma única classe residual.</t>
        </is>
      </c>
    </row>
    <row r="499" ht="43.5" customHeight="1">
      <c r="A499" s="142" t="n">
        <v>56936116000191</v>
      </c>
      <c r="B499" s="75" t="inlineStr">
        <is>
          <t>56.936.116/0001-91</t>
        </is>
      </c>
      <c r="C499" s="75" t="inlineStr">
        <is>
          <t>cedente</t>
        </is>
      </c>
      <c r="D499" s="75" t="inlineStr">
        <is>
          <t>um titular de Direitos Creditórios, que realiza transferência do referido Direito Creditório ao Fundo</t>
        </is>
      </c>
      <c r="E499" s="75" t="inlineStr">
        <is>
          <t>N/D</t>
        </is>
      </c>
      <c r="F499" s="75" t="inlineStr">
        <is>
          <t>regulamento</t>
        </is>
      </c>
      <c r="G499" s="75" t="inlineStr">
        <is>
          <t>1023213</t>
        </is>
      </c>
      <c r="H499" s="75" t="inlineStr">
        <is>
          <t>regulamento</t>
        </is>
      </c>
      <c r="I499" s="75" t="inlineStr">
        <is>
          <t>2025-10-27</t>
        </is>
      </c>
      <c r="J499" s="75" t="inlineStr">
        <is>
          <t>4</t>
        </is>
      </c>
      <c r="K499" s="75" t="inlineStr">
        <is>
          <t>encontrado_explicito</t>
        </is>
      </c>
      <c r="L499" s="144" t="n">
        <v>0.95</v>
      </c>
      <c r="M499" s="75" t="inlineStr">
        <is>
          <t>data/raw/56936116000191/1023213_regulamento_regulamento_1023213_2025-10-27_2025-10-27.pdf</t>
        </is>
      </c>
      <c r="N499" s="75" t="inlineStr">
        <is>
          <t>https://fnet.bmfbovespa.com.br/fnet/publico/downloadDocumento?id=1023213</t>
        </is>
      </c>
      <c r="O499"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0" ht="43.5" customHeight="1">
      <c r="A500" s="142" t="n">
        <v>56936116000191</v>
      </c>
      <c r="B500" s="75" t="inlineStr">
        <is>
          <t>56.936.116/0001-91</t>
        </is>
      </c>
      <c r="C500" s="75" t="inlineStr">
        <is>
          <t>cedente</t>
        </is>
      </c>
      <c r="D500" s="75" t="inlineStr">
        <is>
          <t>um titular de Direitos Creditórios , que realiza transferência do referido Direito Creditório ao Fundo</t>
        </is>
      </c>
      <c r="E500" s="75" t="inlineStr">
        <is>
          <t>N/D</t>
        </is>
      </c>
      <c r="F500" s="75" t="inlineStr">
        <is>
          <t>regulamento</t>
        </is>
      </c>
      <c r="G500" s="75" t="inlineStr">
        <is>
          <t>950915</t>
        </is>
      </c>
      <c r="H500" s="75" t="inlineStr">
        <is>
          <t>Regulamento</t>
        </is>
      </c>
      <c r="I500" s="75" t="inlineStr">
        <is>
          <t>22/07/2025</t>
        </is>
      </c>
      <c r="J500" s="75" t="inlineStr">
        <is>
          <t>4</t>
        </is>
      </c>
      <c r="K500" s="75" t="inlineStr">
        <is>
          <t>encontrado_explicito</t>
        </is>
      </c>
      <c r="L500" s="144" t="n">
        <v>0.95</v>
      </c>
      <c r="M500" s="75" t="inlineStr">
        <is>
          <t>.cache/carteira_101_document_scan/56936116000191/950915.json.gz</t>
        </is>
      </c>
      <c r="N500" s="75" t="inlineStr">
        <is>
          <t>https://fnet.bmfbovespa.com.br/fnet/publico/downloadDocumento?id=950915</t>
        </is>
      </c>
      <c r="O500" s="75" t="inlineStr">
        <is>
          <t>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t>
        </is>
      </c>
    </row>
    <row r="501" ht="43.5" customHeight="1">
      <c r="A501" s="142" t="n">
        <v>56936116000191</v>
      </c>
      <c r="B501" s="75" t="inlineStr">
        <is>
          <t>56.936.116/0001-91</t>
        </is>
      </c>
      <c r="C501" s="75" t="inlineStr">
        <is>
          <t>cedente</t>
        </is>
      </c>
      <c r="D501" s="75" t="inlineStr">
        <is>
          <t>um titular de Direitos Creditórios, que realiza transferência do referido Direito Creditório ao Fundo</t>
        </is>
      </c>
      <c r="E501" s="75" t="inlineStr">
        <is>
          <t>N/D</t>
        </is>
      </c>
      <c r="F501" s="75" t="inlineStr">
        <is>
          <t>regulamento</t>
        </is>
      </c>
      <c r="G501" s="75" t="inlineStr">
        <is>
          <t>56936116000191</t>
        </is>
      </c>
      <c r="H501" s="75" t="inlineStr">
        <is>
          <t>regulamento</t>
        </is>
      </c>
      <c r="I501" s="75" t="inlineStr">
        <is>
          <t>N/D</t>
        </is>
      </c>
      <c r="J501" s="75" t="inlineStr">
        <is>
          <t>1</t>
        </is>
      </c>
      <c r="K501" s="75" t="inlineStr">
        <is>
          <t>encontrado_explicito</t>
        </is>
      </c>
      <c r="L501" s="144" t="n">
        <v>0.95</v>
      </c>
      <c r="M501" s="75" t="inlineStr">
        <is>
          <t>outputs/fidc_director_deep_diagnostic_20260609/pdf_text_cache/56936116000191_1023213_regulamento_regulamento_1023213_2025-10-27_2025-10-27.txt</t>
        </is>
      </c>
      <c r="N501" s="75" t="inlineStr">
        <is>
          <t>https://fnet.bmfbovespa.com.br/fnet/publico/downloadDocumento?id=56936116000191</t>
        </is>
      </c>
      <c r="O501"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2" ht="43.5" customHeight="1">
      <c r="A502" s="142" t="n">
        <v>56936116000191</v>
      </c>
      <c r="B502" s="75" t="inlineStr">
        <is>
          <t>56.936.116/0001-91</t>
        </is>
      </c>
      <c r="C502" s="75" t="inlineStr">
        <is>
          <t>cedente</t>
        </is>
      </c>
      <c r="D502" s="75" t="inlineStr">
        <is>
          <t>Multicedente</t>
        </is>
      </c>
      <c r="E502" s="75" t="inlineStr">
        <is>
          <t>N/D</t>
        </is>
      </c>
      <c r="F502" s="75" t="inlineStr">
        <is>
          <t>planilha_manual</t>
        </is>
      </c>
      <c r="G502" s="75" t="inlineStr">
        <is>
          <t>IMG_8704.JPG</t>
        </is>
      </c>
      <c r="H502" s="75" t="inlineStr">
        <is>
          <t>payload</t>
        </is>
      </c>
      <c r="I502" s="75" t="inlineStr">
        <is>
          <t>2025-10-27</t>
        </is>
      </c>
      <c r="J502" s="75" t="inlineStr">
        <is>
          <t>61</t>
        </is>
      </c>
      <c r="K502" s="75" t="inlineStr">
        <is>
          <t>aceito_payload</t>
        </is>
      </c>
      <c r="L502" s="144" t="n">
        <v>1</v>
      </c>
      <c r="M502" s="75" t="inlineStr">
        <is>
          <t>data/industry_study/generated_revision/artifact_payload.json</t>
        </is>
      </c>
      <c r="N502" s="75" t="inlineStr">
        <is>
          <t>N/D</t>
        </is>
      </c>
      <c r="O502" s="75" t="inlineStr">
        <is>
          <t>OBS da foto: conta com seguro de crédito. Denominação cortada.</t>
        </is>
      </c>
    </row>
    <row r="503" ht="43.5" customHeight="1">
      <c r="A503" s="142" t="n">
        <v>56936116000191</v>
      </c>
      <c r="B503" s="75" t="inlineStr">
        <is>
          <t>56.936.116/0001-91</t>
        </is>
      </c>
      <c r="C503" s="75" t="inlineStr">
        <is>
          <t>minimo_junior</t>
        </is>
      </c>
      <c r="D503" s="75" t="inlineStr">
        <is>
          <t>3%</t>
        </is>
      </c>
      <c r="E503" s="75" t="inlineStr">
        <is>
          <t>junior_pl</t>
        </is>
      </c>
      <c r="F503" s="75" t="inlineStr">
        <is>
          <t>payload_documental</t>
        </is>
      </c>
      <c r="G503" s="75" t="inlineStr">
        <is>
          <t>1023213</t>
        </is>
      </c>
      <c r="H503" s="75" t="inlineStr">
        <is>
          <t>documento_curado</t>
        </is>
      </c>
      <c r="I503" s="75" t="inlineStr">
        <is>
          <t>2025-10-27</t>
        </is>
      </c>
      <c r="J503" s="75" t="inlineStr">
        <is>
          <t>61</t>
        </is>
      </c>
      <c r="K503" s="75" t="inlineStr">
        <is>
          <t>aceito_payload</t>
        </is>
      </c>
      <c r="L503" s="144" t="n">
        <v>1</v>
      </c>
      <c r="M503" s="75" t="inlineStr">
        <is>
          <t>data/industry_study/generated_revision/artifact_payload.json</t>
        </is>
      </c>
      <c r="N503" s="75" t="inlineStr">
        <is>
          <t>https://fnet.bmfbovespa.com.br/fnet/publico/downloadDocumento?id=1023213</t>
        </is>
      </c>
      <c r="O503" s="75" t="inlineStr">
        <is>
          <t>Índice de Subordinação Mezanino: cotas júnior / PL, mínimo de 3,0%.</t>
        </is>
      </c>
    </row>
    <row r="504" ht="43.5" customHeight="1">
      <c r="A504" s="142" t="n">
        <v>56936116000191</v>
      </c>
      <c r="B504" s="75" t="inlineStr">
        <is>
          <t>56.936.116/0001-91</t>
        </is>
      </c>
      <c r="C504" s="75" t="inlineStr">
        <is>
          <t>natureza_indice</t>
        </is>
      </c>
      <c r="D504" s="75" t="inlineStr">
        <is>
          <t>junior_pl</t>
        </is>
      </c>
      <c r="E504" s="75" t="inlineStr">
        <is>
          <t>junior_pl</t>
        </is>
      </c>
      <c r="F504" s="75" t="inlineStr">
        <is>
          <t>payload_documental</t>
        </is>
      </c>
      <c r="G504" s="75" t="inlineStr">
        <is>
          <t>1023213</t>
        </is>
      </c>
      <c r="H504" s="75" t="inlineStr">
        <is>
          <t>documento_curado</t>
        </is>
      </c>
      <c r="I504" s="75" t="inlineStr">
        <is>
          <t>2025-10-27</t>
        </is>
      </c>
      <c r="J504" s="75" t="inlineStr">
        <is>
          <t>61</t>
        </is>
      </c>
      <c r="K504" s="75" t="inlineStr">
        <is>
          <t>aceito_payload</t>
        </is>
      </c>
      <c r="L504" s="144" t="n">
        <v>1</v>
      </c>
      <c r="M504" s="75" t="inlineStr">
        <is>
          <t>data/industry_study/generated_revision/artifact_payload.json</t>
        </is>
      </c>
      <c r="N504" s="75" t="inlineStr">
        <is>
          <t>https://fnet.bmfbovespa.com.br/fnet/publico/downloadDocumento?id=1023213</t>
        </is>
      </c>
      <c r="O504" s="75" t="inlineStr">
        <is>
          <t>Índice de Subordinação Mezanino: cotas júnior / PL, mínimo de 3,0%.</t>
        </is>
      </c>
    </row>
    <row r="505" ht="43.5" customHeight="1">
      <c r="A505" s="142" t="n">
        <v>56936116000191</v>
      </c>
      <c r="B505" s="75" t="inlineStr">
        <is>
          <t>56.936.116/0001-91</t>
        </is>
      </c>
      <c r="C505" s="75" t="inlineStr">
        <is>
          <t>sacado_devedor</t>
        </is>
      </c>
      <c r="D505" s="75" t="inlineStr">
        <is>
          <t>os devedores dos Direitos Creditórios</t>
        </is>
      </c>
      <c r="E505" s="75" t="inlineStr">
        <is>
          <t>N/D</t>
        </is>
      </c>
      <c r="F505" s="75" t="inlineStr">
        <is>
          <t>regulamento</t>
        </is>
      </c>
      <c r="G505" s="75" t="inlineStr">
        <is>
          <t>1023213</t>
        </is>
      </c>
      <c r="H505" s="75" t="inlineStr">
        <is>
          <t>regulamento</t>
        </is>
      </c>
      <c r="I505" s="75" t="inlineStr">
        <is>
          <t>2025-10-27</t>
        </is>
      </c>
      <c r="J505" s="75" t="inlineStr">
        <is>
          <t>7</t>
        </is>
      </c>
      <c r="K505" s="75" t="inlineStr">
        <is>
          <t>encontrado_explicito</t>
        </is>
      </c>
      <c r="L505" s="144" t="n">
        <v>0.95</v>
      </c>
      <c r="M505" s="75" t="inlineStr">
        <is>
          <t>data/raw/56936116000191/1023213_regulamento_regulamento_1023213_2025-10-27_2025-10-27.pdf</t>
        </is>
      </c>
      <c r="N505" s="75" t="inlineStr">
        <is>
          <t>https://fnet.bmfbovespa.com.br/fnet/publico/downloadDocumento?id=1023213</t>
        </is>
      </c>
      <c r="O505"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6" ht="43.5" customHeight="1">
      <c r="A506" s="142" t="n">
        <v>56936116000191</v>
      </c>
      <c r="B506" s="75" t="inlineStr">
        <is>
          <t>56.936.116/0001-91</t>
        </is>
      </c>
      <c r="C506" s="75" t="inlineStr">
        <is>
          <t>sacado_devedor</t>
        </is>
      </c>
      <c r="D506" s="75" t="inlineStr">
        <is>
          <t>os devedores dos Direitos Creditórios</t>
        </is>
      </c>
      <c r="E506" s="75" t="inlineStr">
        <is>
          <t>N/D</t>
        </is>
      </c>
      <c r="F506" s="75" t="inlineStr">
        <is>
          <t>regulamento</t>
        </is>
      </c>
      <c r="G506" s="75" t="inlineStr">
        <is>
          <t>950915</t>
        </is>
      </c>
      <c r="H506" s="75" t="inlineStr">
        <is>
          <t>Regulamento</t>
        </is>
      </c>
      <c r="I506" s="75" t="inlineStr">
        <is>
          <t>22/07/2025</t>
        </is>
      </c>
      <c r="J506" s="75" t="inlineStr">
        <is>
          <t>7</t>
        </is>
      </c>
      <c r="K506" s="75" t="inlineStr">
        <is>
          <t>encontrado_explicito</t>
        </is>
      </c>
      <c r="L506" s="144" t="n">
        <v>0.95</v>
      </c>
      <c r="M506" s="75" t="inlineStr">
        <is>
          <t>.cache/carteira_101_document_scan/56936116000191/950915.json.gz</t>
        </is>
      </c>
      <c r="N506" s="75" t="inlineStr">
        <is>
          <t>https://fnet.bmfbovespa.com.br/fnet/publico/downloadDocumento?id=950915</t>
        </is>
      </c>
      <c r="O506"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7" ht="43.5" customHeight="1">
      <c r="A507" s="142" t="n">
        <v>56936116000191</v>
      </c>
      <c r="B507" s="75" t="inlineStr">
        <is>
          <t>56.936.116/0001-91</t>
        </is>
      </c>
      <c r="C507" s="75" t="inlineStr">
        <is>
          <t>sacado_devedor</t>
        </is>
      </c>
      <c r="D507" s="75" t="inlineStr">
        <is>
          <t>os devedores dos Direitos Creditórios</t>
        </is>
      </c>
      <c r="E507" s="75" t="inlineStr">
        <is>
          <t>N/D</t>
        </is>
      </c>
      <c r="F507" s="75" t="inlineStr">
        <is>
          <t>regulamento</t>
        </is>
      </c>
      <c r="G507" s="75" t="inlineStr">
        <is>
          <t>56936116000191</t>
        </is>
      </c>
      <c r="H507" s="75" t="inlineStr">
        <is>
          <t>regulamento</t>
        </is>
      </c>
      <c r="I507" s="75" t="inlineStr">
        <is>
          <t>N/D</t>
        </is>
      </c>
      <c r="J507" s="75" t="inlineStr">
        <is>
          <t>1</t>
        </is>
      </c>
      <c r="K507" s="75" t="inlineStr">
        <is>
          <t>encontrado_explicito</t>
        </is>
      </c>
      <c r="L507" s="144" t="n">
        <v>0.95</v>
      </c>
      <c r="M507" s="75" t="inlineStr">
        <is>
          <t>outputs/fidc_director_deep_diagnostic_20260609/pdf_text_cache/56936116000191_1023213_regulamento_regulamento_1023213_2025-10-27_2025-10-27.txt</t>
        </is>
      </c>
      <c r="N507" s="75" t="inlineStr">
        <is>
          <t>https://fnet.bmfbovespa.com.br/fnet/publico/downloadDocumento?id=56936116000191</t>
        </is>
      </c>
      <c r="O507"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8" ht="43.5" customHeight="1">
      <c r="A508" s="142" t="n">
        <v>57028406000108</v>
      </c>
      <c r="B508" s="75" t="inlineStr">
        <is>
          <t>57.028.406/0001-08</t>
        </is>
      </c>
      <c r="C508" s="75" t="inlineStr">
        <is>
          <t>cedente</t>
        </is>
      </c>
      <c r="D508" s="75" t="inlineStr">
        <is>
          <t>Solfácil SCD</t>
        </is>
      </c>
      <c r="E508" s="75" t="inlineStr">
        <is>
          <t>N/D</t>
        </is>
      </c>
      <c r="F508" s="75" t="inlineStr">
        <is>
          <t>planilha_manual</t>
        </is>
      </c>
      <c r="G508" s="75" t="inlineStr">
        <is>
          <t>IMG_8706.JPG</t>
        </is>
      </c>
      <c r="H508" s="75" t="inlineStr">
        <is>
          <t>payload</t>
        </is>
      </c>
      <c r="I508" s="75" t="inlineStr">
        <is>
          <t>2026-05-21</t>
        </is>
      </c>
      <c r="J508" s="75" t="inlineStr">
        <is>
          <t>112</t>
        </is>
      </c>
      <c r="K508" s="75" t="inlineStr">
        <is>
          <t>aceito_payload</t>
        </is>
      </c>
      <c r="L508" s="144" t="n">
        <v>1</v>
      </c>
      <c r="M508" s="75" t="inlineStr">
        <is>
          <t>data/industry_study/generated_revision/artifact_payload.json</t>
        </is>
      </c>
      <c r="N508" s="75" t="inlineStr">
        <is>
          <t>N/D</t>
        </is>
      </c>
      <c r="O508" s="75" t="inlineStr">
        <is>
          <t>FIDC pulverizado para aquisição dos direitos creditórios descritos.</t>
        </is>
      </c>
    </row>
    <row r="509" ht="43.5" customHeight="1">
      <c r="A509" s="142" t="n">
        <v>57028406000108</v>
      </c>
      <c r="B509" s="75" t="inlineStr">
        <is>
          <t>57.028.406/0001-08</t>
        </is>
      </c>
      <c r="C509" s="75" t="inlineStr">
        <is>
          <t>minimo_junior</t>
        </is>
      </c>
      <c r="D509" s="75" t="inlineStr">
        <is>
          <t>2%</t>
        </is>
      </c>
      <c r="E509" s="75" t="inlineStr">
        <is>
          <t>junior_pl</t>
        </is>
      </c>
      <c r="F509" s="75" t="inlineStr">
        <is>
          <t>payload_documental</t>
        </is>
      </c>
      <c r="G509" s="75" t="inlineStr">
        <is>
          <t>1202319</t>
        </is>
      </c>
      <c r="H509" s="75" t="inlineStr">
        <is>
          <t>documento_curado</t>
        </is>
      </c>
      <c r="I509" s="75" t="inlineStr">
        <is>
          <t>2026-05-21</t>
        </is>
      </c>
      <c r="J509" s="75" t="inlineStr">
        <is>
          <t>112</t>
        </is>
      </c>
      <c r="K509" s="75" t="inlineStr">
        <is>
          <t>aceito_payload</t>
        </is>
      </c>
      <c r="L509" s="144" t="n">
        <v>1</v>
      </c>
      <c r="M509" s="75" t="inlineStr">
        <is>
          <t>data/industry_study/generated_revision/artifact_payload.json</t>
        </is>
      </c>
      <c r="N509" s="75" t="inlineStr">
        <is>
          <t>https://fnet.bmfbovespa.com.br/fnet/publico/downloadDocumento?id=1202319</t>
        </is>
      </c>
      <c r="O509" s="75" t="inlineStr">
        <is>
          <t>Índice de Subordinação das cotas júnior / PL, mínimo de 2,0%.</t>
        </is>
      </c>
    </row>
    <row r="510" ht="43.5" customHeight="1">
      <c r="A510" s="142" t="n">
        <v>57028406000108</v>
      </c>
      <c r="B510" s="75" t="inlineStr">
        <is>
          <t>57.028.406/0001-08</t>
        </is>
      </c>
      <c r="C510" s="75" t="inlineStr">
        <is>
          <t>natureza_indice</t>
        </is>
      </c>
      <c r="D510" s="75" t="inlineStr">
        <is>
          <t>junior_pl</t>
        </is>
      </c>
      <c r="E510" s="75" t="inlineStr">
        <is>
          <t>junior_pl</t>
        </is>
      </c>
      <c r="F510" s="75" t="inlineStr">
        <is>
          <t>payload_documental</t>
        </is>
      </c>
      <c r="G510" s="75" t="inlineStr">
        <is>
          <t>1202319</t>
        </is>
      </c>
      <c r="H510" s="75" t="inlineStr">
        <is>
          <t>documento_curado</t>
        </is>
      </c>
      <c r="I510" s="75" t="inlineStr">
        <is>
          <t>2026-05-21</t>
        </is>
      </c>
      <c r="J510" s="75" t="inlineStr">
        <is>
          <t>112</t>
        </is>
      </c>
      <c r="K510" s="75" t="inlineStr">
        <is>
          <t>aceito_payload</t>
        </is>
      </c>
      <c r="L510" s="144" t="n">
        <v>1</v>
      </c>
      <c r="M510" s="75" t="inlineStr">
        <is>
          <t>data/industry_study/generated_revision/artifact_payload.json</t>
        </is>
      </c>
      <c r="N510" s="75" t="inlineStr">
        <is>
          <t>https://fnet.bmfbovespa.com.br/fnet/publico/downloadDocumento?id=1202319</t>
        </is>
      </c>
      <c r="O510" s="75" t="inlineStr">
        <is>
          <t>Índice de Subordinação das cotas júnior / PL, mínimo de 2,0%.</t>
        </is>
      </c>
    </row>
    <row r="511" ht="43.5" customHeight="1">
      <c r="A511" s="142" t="n">
        <v>57028406000108</v>
      </c>
      <c r="B511" s="75" t="inlineStr">
        <is>
          <t>57.028.406/0001-08</t>
        </is>
      </c>
      <c r="C511" s="75" t="inlineStr">
        <is>
          <t>originador</t>
        </is>
      </c>
      <c r="D511" s="75" t="inlineStr">
        <is>
          <t>Solfácil Energia</t>
        </is>
      </c>
      <c r="E511" s="75" t="inlineStr">
        <is>
          <t>rótulo explícito de participante v2</t>
        </is>
      </c>
      <c r="F511" s="75" t="inlineStr">
        <is>
          <t>rating_report</t>
        </is>
      </c>
      <c r="G511" s="75" t="inlineStr">
        <is>
          <t>1048523</t>
        </is>
      </c>
      <c r="H511" s="75" t="inlineStr">
        <is>
          <t>Relatórios Relatório de Agência de Rating</t>
        </is>
      </c>
      <c r="I511" s="75" t="inlineStr">
        <is>
          <t>25/11/2025</t>
        </is>
      </c>
      <c r="J511" s="75" t="inlineStr">
        <is>
          <t>5</t>
        </is>
      </c>
      <c r="K511" s="75" t="inlineStr">
        <is>
          <t>encontrado_explicito</t>
        </is>
      </c>
      <c r="L511" s="144" t="n">
        <v>0.93</v>
      </c>
      <c r="M511" s="75" t="inlineStr">
        <is>
          <t>.cache/carteira_101_document_scan/57028406000108/1048523.json.gz</t>
        </is>
      </c>
      <c r="N511" s="75" t="inlineStr">
        <is>
          <t>https://fnet.bmfbovespa.com.br/fnet/publico/downloadDocumento?id=1048523</t>
        </is>
      </c>
      <c r="O511" s="75" t="inlineStr">
        <is>
          <t>. Os analistas utilizaram informações provenientes da(s) seguinte(s) fonte(s): Solfácil Energia (Originadora). 7. As informações obtidas pela Austin Rating foram consideradas suficientes p</t>
        </is>
      </c>
    </row>
    <row r="512" ht="43.5" customHeight="1">
      <c r="A512" s="142" t="n">
        <v>57028406000108</v>
      </c>
      <c r="B512" s="75" t="inlineStr">
        <is>
          <t>57.028.406/0001-08</t>
        </is>
      </c>
      <c r="C512" s="75" t="inlineStr">
        <is>
          <t>originador</t>
        </is>
      </c>
      <c r="D512" s="75" t="inlineStr">
        <is>
          <t>Solfácil Energia</t>
        </is>
      </c>
      <c r="E512" s="75" t="inlineStr">
        <is>
          <t>rótulo explícito de participante v2</t>
        </is>
      </c>
      <c r="F512" s="75" t="inlineStr">
        <is>
          <t>rating_report</t>
        </is>
      </c>
      <c r="G512" s="75" t="inlineStr">
        <is>
          <t>1048522</t>
        </is>
      </c>
      <c r="H512" s="75" t="inlineStr">
        <is>
          <t>Relatórios Relatório de Agência de Rating</t>
        </is>
      </c>
      <c r="I512" s="75" t="inlineStr">
        <is>
          <t>29/08/2025</t>
        </is>
      </c>
      <c r="J512" s="75" t="inlineStr">
        <is>
          <t>5</t>
        </is>
      </c>
      <c r="K512" s="75" t="inlineStr">
        <is>
          <t>encontrado_explicito</t>
        </is>
      </c>
      <c r="L512" s="144" t="n">
        <v>0.93</v>
      </c>
      <c r="M512" s="75" t="inlineStr">
        <is>
          <t>.cache/carteira_101_document_scan/57028406000108/1048522.json.gz</t>
        </is>
      </c>
      <c r="N512" s="75" t="inlineStr">
        <is>
          <t>https://fnet.bmfbovespa.com.br/fnet/publico/downloadDocumento?id=1048522</t>
        </is>
      </c>
      <c r="O512" s="75" t="inlineStr">
        <is>
          <t>. Os analistas utilizaram informações provenientes da(s) seguinte(s) fonte(s): Solfácil Energia (Originadora). 7. As informações obtidas pela Austin Rating foram consideradas suficientes p</t>
        </is>
      </c>
    </row>
    <row r="513" ht="43.5" customHeight="1">
      <c r="A513" s="142" t="n">
        <v>57028406000108</v>
      </c>
      <c r="B513" s="75" t="inlineStr">
        <is>
          <t>57.028.406/0001-08</t>
        </is>
      </c>
      <c r="C513" s="75" t="inlineStr">
        <is>
          <t>tipo_recebivel</t>
        </is>
      </c>
      <c r="D513" s="75" t="inlineStr">
        <is>
          <t>Direitos Creditórios performados oriundos de financiamento de instalação de placas solares</t>
        </is>
      </c>
      <c r="E513" s="75" t="inlineStr">
        <is>
          <t>N/D</t>
        </is>
      </c>
      <c r="F513" s="75" t="inlineStr">
        <is>
          <t>planilha_manual</t>
        </is>
      </c>
      <c r="G513" s="75" t="inlineStr">
        <is>
          <t>IMG_8706.JPG</t>
        </is>
      </c>
      <c r="H513" s="75" t="inlineStr">
        <is>
          <t>payload</t>
        </is>
      </c>
      <c r="I513" s="75" t="inlineStr">
        <is>
          <t>2026-05-21</t>
        </is>
      </c>
      <c r="J513" s="75" t="inlineStr">
        <is>
          <t>112</t>
        </is>
      </c>
      <c r="K513" s="75" t="inlineStr">
        <is>
          <t>aceito_payload</t>
        </is>
      </c>
      <c r="L513" s="144" t="n">
        <v>1</v>
      </c>
      <c r="M513" s="75" t="inlineStr">
        <is>
          <t>data/industry_study/generated_revision/artifact_payload.json</t>
        </is>
      </c>
      <c r="N513" s="75" t="inlineStr">
        <is>
          <t>N/D</t>
        </is>
      </c>
      <c r="O513" s="75" t="inlineStr">
        <is>
          <t>FIDC pulverizado para aquisição dos direitos creditórios descritos.</t>
        </is>
      </c>
    </row>
    <row r="514" ht="43.5" customHeight="1">
      <c r="A514" s="142" t="n">
        <v>57131490000182</v>
      </c>
      <c r="B514" s="75" t="inlineStr">
        <is>
          <t>57.131.490/0001-82</t>
        </is>
      </c>
      <c r="C514" s="75" t="inlineStr">
        <is>
          <t>cedente</t>
        </is>
      </c>
      <c r="D514" s="75" t="inlineStr">
        <is>
          <t>a Ponto Rural e as Empresas do Grupo Econômico da Ponto Rural, quando mencionadas em conjunto</t>
        </is>
      </c>
      <c r="E514" s="75" t="inlineStr">
        <is>
          <t>N/D</t>
        </is>
      </c>
      <c r="F514" s="75" t="inlineStr">
        <is>
          <t>regulamento</t>
        </is>
      </c>
      <c r="G514" s="75" t="inlineStr">
        <is>
          <t>995970</t>
        </is>
      </c>
      <c r="H514" s="75" t="inlineStr">
        <is>
          <t>Regulamento</t>
        </is>
      </c>
      <c r="I514" s="75" t="inlineStr">
        <is>
          <t>23/09/2025</t>
        </is>
      </c>
      <c r="J514" s="75" t="inlineStr">
        <is>
          <t>4</t>
        </is>
      </c>
      <c r="K514" s="75" t="inlineStr">
        <is>
          <t>encontrado_explicito</t>
        </is>
      </c>
      <c r="L514" s="144" t="n">
        <v>0.95</v>
      </c>
      <c r="M514" s="75" t="inlineStr">
        <is>
          <t>.cache/carteira_101_document_scan/57131490000182/995970.json.gz</t>
        </is>
      </c>
      <c r="N514" s="75" t="inlineStr">
        <is>
          <t>https://fnet.bmfbovespa.com.br/fnet/publico/downloadDocumento?id=995970</t>
        </is>
      </c>
      <c r="O514" s="75" t="inlineStr">
        <is>
          <t>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t>
        </is>
      </c>
    </row>
    <row r="515" ht="43.5" customHeight="1">
      <c r="A515" s="142" t="n">
        <v>57131490000182</v>
      </c>
      <c r="B515" s="75" t="inlineStr">
        <is>
          <t>57.131.490/0001-82</t>
        </is>
      </c>
      <c r="C515" s="75" t="inlineStr">
        <is>
          <t>cedente</t>
        </is>
      </c>
      <c r="D515" s="75" t="inlineStr">
        <is>
          <t>PONTO RURAL</t>
        </is>
      </c>
      <c r="E515" s="75" t="inlineStr">
        <is>
          <t>N/D</t>
        </is>
      </c>
      <c r="F515" s="75" t="inlineStr">
        <is>
          <t>planilha_manual</t>
        </is>
      </c>
      <c r="G515" s="75" t="inlineStr">
        <is>
          <t>IMG_8704.JPG</t>
        </is>
      </c>
      <c r="H515" s="75" t="inlineStr">
        <is>
          <t>payload</t>
        </is>
      </c>
      <c r="I515" s="75" t="inlineStr">
        <is>
          <t>2025-09-23</t>
        </is>
      </c>
      <c r="J515" s="75" t="inlineStr">
        <is>
          <t>39</t>
        </is>
      </c>
      <c r="K515" s="75" t="inlineStr">
        <is>
          <t>aceito_payload</t>
        </is>
      </c>
      <c r="L515" s="144" t="n">
        <v>1</v>
      </c>
      <c r="M515" s="75" t="inlineStr">
        <is>
          <t>data/industry_study/generated_revision/artifact_payload.json</t>
        </is>
      </c>
      <c r="N515" s="75" t="inlineStr">
        <is>
          <t>N/D</t>
        </is>
      </c>
      <c r="O515" s="75" t="inlineStr">
        <is>
          <t>N/D</t>
        </is>
      </c>
    </row>
    <row r="516" ht="43.5" customHeight="1">
      <c r="A516" s="142" t="n">
        <v>57131490000182</v>
      </c>
      <c r="B516" s="75" t="inlineStr">
        <is>
          <t>57.131.490/0001-82</t>
        </is>
      </c>
      <c r="C516" s="75" t="inlineStr">
        <is>
          <t>minimo_estrutural_total</t>
        </is>
      </c>
      <c r="D516" s="75" t="inlineStr">
        <is>
          <t>50%</t>
        </is>
      </c>
      <c r="E516" s="75" t="inlineStr">
        <is>
          <t>suporte_total_pl</t>
        </is>
      </c>
      <c r="F516" s="75" t="inlineStr">
        <is>
          <t>payload_documental</t>
        </is>
      </c>
      <c r="G516" s="75" t="inlineStr">
        <is>
          <t>995970</t>
        </is>
      </c>
      <c r="H516" s="75" t="inlineStr">
        <is>
          <t>documento_curado</t>
        </is>
      </c>
      <c r="I516" s="75" t="inlineStr">
        <is>
          <t>2025-09-23</t>
        </is>
      </c>
      <c r="J516" s="75" t="inlineStr">
        <is>
          <t>39</t>
        </is>
      </c>
      <c r="K516" s="75" t="inlineStr">
        <is>
          <t>aceito_payload</t>
        </is>
      </c>
      <c r="L516" s="144" t="n">
        <v>1</v>
      </c>
      <c r="M516" s="75" t="inlineStr">
        <is>
          <t>data/industry_study/generated_revision/artifact_payload.json</t>
        </is>
      </c>
      <c r="N516" s="75" t="inlineStr">
        <is>
          <t>https://fnet.bmfbovespa.com.br/fnet/publico/downloadDocumento?id=995970</t>
        </is>
      </c>
      <c r="O516" s="75" t="inlineStr">
        <is>
          <t>N/D</t>
        </is>
      </c>
    </row>
    <row r="517" ht="43.5" customHeight="1">
      <c r="A517" s="142" t="n">
        <v>57131490000182</v>
      </c>
      <c r="B517" s="75" t="inlineStr">
        <is>
          <t>57.131.490/0001-82</t>
        </is>
      </c>
      <c r="C517" s="75" t="inlineStr">
        <is>
          <t>natureza_indice</t>
        </is>
      </c>
      <c r="D517" s="75" t="inlineStr">
        <is>
          <t>suporte_total_pl</t>
        </is>
      </c>
      <c r="E517" s="75" t="inlineStr">
        <is>
          <t>suporte_total_pl</t>
        </is>
      </c>
      <c r="F517" s="75" t="inlineStr">
        <is>
          <t>payload_documental</t>
        </is>
      </c>
      <c r="G517" s="75" t="inlineStr">
        <is>
          <t>995970</t>
        </is>
      </c>
      <c r="H517" s="75" t="inlineStr">
        <is>
          <t>documento_curado</t>
        </is>
      </c>
      <c r="I517" s="75" t="inlineStr">
        <is>
          <t>2025-09-23</t>
        </is>
      </c>
      <c r="J517" s="75" t="inlineStr">
        <is>
          <t>39</t>
        </is>
      </c>
      <c r="K517" s="75" t="inlineStr">
        <is>
          <t>aceito_payload</t>
        </is>
      </c>
      <c r="L517" s="144" t="n">
        <v>1</v>
      </c>
      <c r="M517" s="75" t="inlineStr">
        <is>
          <t>data/industry_study/generated_revision/artifact_payload.json</t>
        </is>
      </c>
      <c r="N517" s="75" t="inlineStr">
        <is>
          <t>https://fnet.bmfbovespa.com.br/fnet/publico/downloadDocumento?id=995970</t>
        </is>
      </c>
      <c r="O517" s="75" t="inlineStr">
        <is>
          <t>N/D</t>
        </is>
      </c>
    </row>
    <row r="518" ht="43.5" customHeight="1">
      <c r="A518" s="142" t="n">
        <v>57131490000182</v>
      </c>
      <c r="B518" s="75" t="inlineStr">
        <is>
          <t>57.131.490/0001-82</t>
        </is>
      </c>
      <c r="C518" s="75" t="inlineStr">
        <is>
          <t>sacado_devedor</t>
        </is>
      </c>
      <c r="D518" s="75" t="inlineStr">
        <is>
          <t>os devedores dos Direitos Creditórios , os quais são clientes de uma das Cedentes</t>
        </is>
      </c>
      <c r="E518" s="75" t="inlineStr">
        <is>
          <t>N/D</t>
        </is>
      </c>
      <c r="F518" s="75" t="inlineStr">
        <is>
          <t>regulamento</t>
        </is>
      </c>
      <c r="G518" s="75" t="inlineStr">
        <is>
          <t>995970</t>
        </is>
      </c>
      <c r="H518" s="75" t="inlineStr">
        <is>
          <t>Regulamento</t>
        </is>
      </c>
      <c r="I518" s="75" t="inlineStr">
        <is>
          <t>23/09/2025</t>
        </is>
      </c>
      <c r="J518" s="75" t="inlineStr">
        <is>
          <t>6</t>
        </is>
      </c>
      <c r="K518" s="75" t="inlineStr">
        <is>
          <t>encontrado_explicito</t>
        </is>
      </c>
      <c r="L518" s="144" t="n">
        <v>0.95</v>
      </c>
      <c r="M518" s="75" t="inlineStr">
        <is>
          <t>.cache/carteira_101_document_scan/57131490000182/995970.json.gz</t>
        </is>
      </c>
      <c r="N518" s="75" t="inlineStr">
        <is>
          <t>https://fnet.bmfbovespa.com.br/fnet/publico/downloadDocumento?id=995970</t>
        </is>
      </c>
      <c r="O518" s="75" t="inlineStr">
        <is>
          <t>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t>
        </is>
      </c>
    </row>
    <row r="519" ht="43.5" customHeight="1">
      <c r="A519" s="142" t="n">
        <v>57131490000182</v>
      </c>
      <c r="B519" s="75" t="inlineStr">
        <is>
          <t>57.131.490/0001-82</t>
        </is>
      </c>
      <c r="C519" s="75" t="inlineStr">
        <is>
          <t>tipo_recebivel</t>
        </is>
      </c>
      <c r="D519" s="75" t="inlineStr">
        <is>
          <t>Insumos Agrícolas - prazo Safra</t>
        </is>
      </c>
      <c r="E519" s="75" t="inlineStr">
        <is>
          <t>N/D</t>
        </is>
      </c>
      <c r="F519" s="75" t="inlineStr">
        <is>
          <t>planilha_manual</t>
        </is>
      </c>
      <c r="G519" s="75" t="inlineStr">
        <is>
          <t>IMG_8704.JPG</t>
        </is>
      </c>
      <c r="H519" s="75" t="inlineStr">
        <is>
          <t>payload</t>
        </is>
      </c>
      <c r="I519" s="75" t="inlineStr">
        <is>
          <t>2025-09-23</t>
        </is>
      </c>
      <c r="J519" s="75" t="inlineStr">
        <is>
          <t>39</t>
        </is>
      </c>
      <c r="K519" s="75" t="inlineStr">
        <is>
          <t>aceito_payload</t>
        </is>
      </c>
      <c r="L519" s="144" t="n">
        <v>1</v>
      </c>
      <c r="M519" s="75" t="inlineStr">
        <is>
          <t>data/industry_study/generated_revision/artifact_payload.json</t>
        </is>
      </c>
      <c r="N519" s="75" t="inlineStr">
        <is>
          <t>N/D</t>
        </is>
      </c>
      <c r="O519" s="75" t="inlineStr">
        <is>
          <t>N/D</t>
        </is>
      </c>
    </row>
    <row r="520" ht="43.5" customHeight="1">
      <c r="A520" s="142" t="n">
        <v>57259989000170</v>
      </c>
      <c r="B520" s="75" t="inlineStr">
        <is>
          <t>57.259.989/0001-70</t>
        </is>
      </c>
      <c r="C520" s="75" t="inlineStr">
        <is>
          <t>cedente</t>
        </is>
      </c>
      <c r="D520" s="75" t="inlineStr">
        <is>
          <t>Tres Tentos</t>
        </is>
      </c>
      <c r="E520" s="75" t="inlineStr">
        <is>
          <t>N/D</t>
        </is>
      </c>
      <c r="F520" s="75" t="inlineStr">
        <is>
          <t>planilha_manual</t>
        </is>
      </c>
      <c r="G520" s="75" t="inlineStr">
        <is>
          <t>IMG_8706.JPG</t>
        </is>
      </c>
      <c r="H520" s="75" t="inlineStr">
        <is>
          <t>payload</t>
        </is>
      </c>
      <c r="I520" s="75" t="inlineStr">
        <is>
          <t>2025-10-16</t>
        </is>
      </c>
      <c r="J520" s="75" t="inlineStr">
        <is>
          <t>104</t>
        </is>
      </c>
      <c r="K520" s="75" t="inlineStr">
        <is>
          <t>aceito_payload</t>
        </is>
      </c>
      <c r="L520" s="144" t="n">
        <v>1</v>
      </c>
      <c r="M520" s="75" t="inlineStr">
        <is>
          <t>data/industry_study/generated_revision/artifact_payload.json</t>
        </is>
      </c>
      <c r="N520" s="75" t="inlineStr">
        <is>
          <t>N/D</t>
        </is>
      </c>
      <c r="O520" s="75" t="inlineStr">
        <is>
          <t>Denominação cortada pela largura da coluna na foto.</t>
        </is>
      </c>
    </row>
    <row r="521" ht="43.5" customHeight="1">
      <c r="A521" s="142" t="n">
        <v>57259989000170</v>
      </c>
      <c r="B521" s="75" t="inlineStr">
        <is>
          <t>57.259.989/0001-70</t>
        </is>
      </c>
      <c r="C521" s="75" t="inlineStr">
        <is>
          <t>minimo_estrutural_total</t>
        </is>
      </c>
      <c r="D521" s="75" t="inlineStr">
        <is>
          <t>20%</t>
        </is>
      </c>
      <c r="E521" s="75" t="inlineStr">
        <is>
          <t>suporte_total_pl</t>
        </is>
      </c>
      <c r="F521" s="75" t="inlineStr">
        <is>
          <t>payload_documental</t>
        </is>
      </c>
      <c r="G521" s="75" t="inlineStr">
        <is>
          <t>1016583</t>
        </is>
      </c>
      <c r="H521" s="75" t="inlineStr">
        <is>
          <t>documento_curado</t>
        </is>
      </c>
      <c r="I521" s="75" t="inlineStr">
        <is>
          <t>2025-10-16</t>
        </is>
      </c>
      <c r="J521" s="75" t="inlineStr">
        <is>
          <t>104</t>
        </is>
      </c>
      <c r="K521" s="75" t="inlineStr">
        <is>
          <t>aceito_payload</t>
        </is>
      </c>
      <c r="L521" s="144" t="n">
        <v>1</v>
      </c>
      <c r="M521" s="75" t="inlineStr">
        <is>
          <t>data/industry_study/generated_revision/artifact_payload.json</t>
        </is>
      </c>
      <c r="N521" s="75" t="inlineStr">
        <is>
          <t>https://fnet.bmfbovespa.com.br/fnet/publico/downloadDocumento?id=1016583</t>
        </is>
      </c>
      <c r="O521" s="75" t="inlineStr">
        <is>
          <t>N/D</t>
        </is>
      </c>
    </row>
    <row r="522" ht="43.5" customHeight="1">
      <c r="A522" s="142" t="n">
        <v>57259989000170</v>
      </c>
      <c r="B522" s="75" t="inlineStr">
        <is>
          <t>57.259.989/0001-70</t>
        </is>
      </c>
      <c r="C522" s="75" t="inlineStr">
        <is>
          <t>natureza_indice</t>
        </is>
      </c>
      <c r="D522" s="75" t="inlineStr">
        <is>
          <t>suporte_total_pl</t>
        </is>
      </c>
      <c r="E522" s="75" t="inlineStr">
        <is>
          <t>suporte_total_pl</t>
        </is>
      </c>
      <c r="F522" s="75" t="inlineStr">
        <is>
          <t>payload_documental</t>
        </is>
      </c>
      <c r="G522" s="75" t="inlineStr">
        <is>
          <t>1016583</t>
        </is>
      </c>
      <c r="H522" s="75" t="inlineStr">
        <is>
          <t>documento_curado</t>
        </is>
      </c>
      <c r="I522" s="75" t="inlineStr">
        <is>
          <t>2025-10-16</t>
        </is>
      </c>
      <c r="J522" s="75" t="inlineStr">
        <is>
          <t>104</t>
        </is>
      </c>
      <c r="K522" s="75" t="inlineStr">
        <is>
          <t>aceito_payload</t>
        </is>
      </c>
      <c r="L522" s="144" t="n">
        <v>1</v>
      </c>
      <c r="M522" s="75" t="inlineStr">
        <is>
          <t>data/industry_study/generated_revision/artifact_payload.json</t>
        </is>
      </c>
      <c r="N522" s="75" t="inlineStr">
        <is>
          <t>https://fnet.bmfbovespa.com.br/fnet/publico/downloadDocumento?id=1016583</t>
        </is>
      </c>
      <c r="O522" s="75" t="inlineStr">
        <is>
          <t>N/D</t>
        </is>
      </c>
    </row>
    <row r="523" ht="43.5" customHeight="1">
      <c r="A523" s="142" t="n">
        <v>57259989000170</v>
      </c>
      <c r="B523" s="75" t="inlineStr">
        <is>
          <t>57.259.989/0001-70</t>
        </is>
      </c>
      <c r="C523" s="75" t="inlineStr">
        <is>
          <t>sacado_devedor</t>
        </is>
      </c>
      <c r="D523" s="75" t="inlineStr">
        <is>
          <t>qualquer cliente das Cedentes, atuantes no segmento</t>
        </is>
      </c>
      <c r="E523" s="75" t="inlineStr">
        <is>
          <t>N/D</t>
        </is>
      </c>
      <c r="F523" s="75" t="inlineStr">
        <is>
          <t>regulamento</t>
        </is>
      </c>
      <c r="G523" s="75" t="inlineStr">
        <is>
          <t>1016583</t>
        </is>
      </c>
      <c r="H523" s="75" t="inlineStr">
        <is>
          <t>regulamento</t>
        </is>
      </c>
      <c r="I523" s="75" t="inlineStr">
        <is>
          <t>2025-10-16</t>
        </is>
      </c>
      <c r="J523" s="75" t="inlineStr">
        <is>
          <t>55</t>
        </is>
      </c>
      <c r="K523" s="75" t="inlineStr">
        <is>
          <t>encontrado_explicito</t>
        </is>
      </c>
      <c r="L523" s="144" t="n">
        <v>0.95</v>
      </c>
      <c r="M523" s="75" t="inlineStr">
        <is>
          <t>data/raw/57259989000170/1016583_regulamento_regulamento_1016583_2025-10-16_2025-10-16.pdf</t>
        </is>
      </c>
      <c r="N523" s="75" t="inlineStr">
        <is>
          <t>https://fnet.bmfbovespa.com.br/fnet/publico/downloadDocumento?id=1016583</t>
        </is>
      </c>
      <c r="O523" s="75" t="inlineStr">
        <is>
          <t>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t>
        </is>
      </c>
    </row>
    <row r="524" ht="43.5" customHeight="1">
      <c r="A524" s="142" t="n">
        <v>57259989000170</v>
      </c>
      <c r="B524" s="75" t="inlineStr">
        <is>
          <t>57.259.989/0001-70</t>
        </is>
      </c>
      <c r="C524" s="75" t="inlineStr">
        <is>
          <t>sacado_devedor</t>
        </is>
      </c>
      <c r="D524" s="75" t="inlineStr">
        <is>
          <t>02.150.453/0001-20</t>
        </is>
      </c>
      <c r="E524" s="75" t="inlineStr">
        <is>
          <t>N/D</t>
        </is>
      </c>
      <c r="F524" s="75" t="inlineStr">
        <is>
          <t>candidate_extraction</t>
        </is>
      </c>
      <c r="G524" s="75" t="inlineStr">
        <is>
          <t>57259989000170</t>
        </is>
      </c>
      <c r="H524" s="75" t="inlineStr">
        <is>
          <t>extração heurística</t>
        </is>
      </c>
      <c r="I524" s="75" t="inlineStr">
        <is>
          <t>N/D</t>
        </is>
      </c>
      <c r="J524" s="75" t="inlineStr">
        <is>
          <t>N/D</t>
        </is>
      </c>
      <c r="K524" s="75" t="inlineStr">
        <is>
          <t>candidato_revisao</t>
        </is>
      </c>
      <c r="L524" s="144" t="n">
        <v>0.95</v>
      </c>
      <c r="M524" s="75" t="inlineStr">
        <is>
          <t>outputs/fidc_director_deep_diagnostic_20260609/pdf_text_cache/57259989000170_1016583_regulamento_regulamento_1016583_2025-10-16_2025-10-16.txt</t>
        </is>
      </c>
      <c r="N524" s="75" t="inlineStr">
        <is>
          <t>https://fnet.bmfbovespa.com.br/fnet/publico/downloadDocumento?id=57259989000170</t>
        </is>
      </c>
      <c r="O524" s="75" t="inlineStr">
        <is>
          <t>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t>
        </is>
      </c>
    </row>
    <row r="525" ht="43.5" customHeight="1">
      <c r="A525" s="142" t="n">
        <v>57259989000170</v>
      </c>
      <c r="B525" s="75" t="inlineStr">
        <is>
          <t>57.259.989/0001-70</t>
        </is>
      </c>
      <c r="C525" s="75" t="inlineStr">
        <is>
          <t>tipo_recebivel</t>
        </is>
      </c>
      <c r="D525" s="75" t="inlineStr">
        <is>
          <t>os direitos creditórios originados pelas Cedentes, representados pelos Documentos Comprobatórios, detidos pelas Cedentes contra os Devedores, os quais incluem os Direitos Creditórios CPR</t>
        </is>
      </c>
      <c r="E525" s="75" t="inlineStr">
        <is>
          <t>N/D</t>
        </is>
      </c>
      <c r="F525" s="75" t="inlineStr">
        <is>
          <t>regulamento</t>
        </is>
      </c>
      <c r="G525" s="75" t="inlineStr">
        <is>
          <t>1016583</t>
        </is>
      </c>
      <c r="H525" s="75" t="inlineStr">
        <is>
          <t>regulamento</t>
        </is>
      </c>
      <c r="I525" s="75" t="inlineStr">
        <is>
          <t>2025-10-16</t>
        </is>
      </c>
      <c r="J525" s="75" t="inlineStr">
        <is>
          <t>56</t>
        </is>
      </c>
      <c r="K525" s="75" t="inlineStr">
        <is>
          <t>encontrado_explicito</t>
        </is>
      </c>
      <c r="L525" s="144" t="n">
        <v>0.92</v>
      </c>
      <c r="M525" s="75" t="inlineStr">
        <is>
          <t>data/raw/57259989000170/1016583_regulamento_regulamento_1016583_2025-10-16_2025-10-16.pdf</t>
        </is>
      </c>
      <c r="N525" s="75" t="inlineStr">
        <is>
          <t>https://fnet.bmfbovespa.com.br/fnet/publico/downloadDocumento?id=1016583</t>
        </is>
      </c>
      <c r="O525" s="75" t="inlineStr">
        <is>
          <t>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t>
        </is>
      </c>
    </row>
    <row r="526" ht="43.5" customHeight="1">
      <c r="A526" s="142" t="n">
        <v>57259989000170</v>
      </c>
      <c r="B526" s="75" t="inlineStr">
        <is>
          <t>57.259.989/0001-70</t>
        </is>
      </c>
      <c r="C526" s="75" t="inlineStr">
        <is>
          <t>tipo_recebivel</t>
        </is>
      </c>
      <c r="D526" s="75" t="inlineStr">
        <is>
          <t>Insumos Agrícolas - prazo Safra</t>
        </is>
      </c>
      <c r="E526" s="75" t="inlineStr">
        <is>
          <t>N/D</t>
        </is>
      </c>
      <c r="F526" s="75" t="inlineStr">
        <is>
          <t>planilha_manual</t>
        </is>
      </c>
      <c r="G526" s="75" t="inlineStr">
        <is>
          <t>IMG_8706.JPG</t>
        </is>
      </c>
      <c r="H526" s="75" t="inlineStr">
        <is>
          <t>payload</t>
        </is>
      </c>
      <c r="I526" s="75" t="inlineStr">
        <is>
          <t>2025-10-16</t>
        </is>
      </c>
      <c r="J526" s="75" t="inlineStr">
        <is>
          <t>104</t>
        </is>
      </c>
      <c r="K526" s="75" t="inlineStr">
        <is>
          <t>aceito_payload</t>
        </is>
      </c>
      <c r="L526" s="144" t="n">
        <v>1</v>
      </c>
      <c r="M526" s="75" t="inlineStr">
        <is>
          <t>data/industry_study/generated_revision/artifact_payload.json</t>
        </is>
      </c>
      <c r="N526" s="75" t="inlineStr">
        <is>
          <t>N/D</t>
        </is>
      </c>
      <c r="O526" s="75" t="inlineStr">
        <is>
          <t>Denominação cortada pela largura da coluna na foto.</t>
        </is>
      </c>
    </row>
    <row r="527" ht="43.5" customHeight="1">
      <c r="A527" s="142" t="n">
        <v>57270666000187</v>
      </c>
      <c r="B527" s="75" t="inlineStr">
        <is>
          <t>57.270.666/0001-87</t>
        </is>
      </c>
      <c r="C527" s="75" t="inlineStr">
        <is>
          <t>minimo_junior</t>
        </is>
      </c>
      <c r="D527" s="75" t="inlineStr">
        <is>
          <t>10%</t>
        </is>
      </c>
      <c r="E527" s="75" t="inlineStr">
        <is>
          <t>junior_pl</t>
        </is>
      </c>
      <c r="F527" s="75" t="inlineStr">
        <is>
          <t>payload_documental</t>
        </is>
      </c>
      <c r="G527" s="75" t="inlineStr">
        <is>
          <t>769277</t>
        </is>
      </c>
      <c r="H527" s="75" t="inlineStr">
        <is>
          <t>documento_curado</t>
        </is>
      </c>
      <c r="I527" s="75" t="inlineStr">
        <is>
          <t>2024-10-31</t>
        </is>
      </c>
      <c r="J527" s="75" t="inlineStr">
        <is>
          <t>49</t>
        </is>
      </c>
      <c r="K527" s="75" t="inlineStr">
        <is>
          <t>aceito_payload</t>
        </is>
      </c>
      <c r="L527" s="144" t="n">
        <v>1</v>
      </c>
      <c r="M527" s="75" t="inlineStr">
        <is>
          <t>data/industry_study/generated_revision/artifact_payload.json</t>
        </is>
      </c>
      <c r="N527" s="75" t="inlineStr">
        <is>
          <t>https://fnet.bmfbovespa.com.br/fnet/publico/downloadDocumento?id=769277</t>
        </is>
      </c>
      <c r="O527" s="75" t="inlineStr">
        <is>
          <t>Cotas subordinadas júnior / PL, mínimo de 10,0%.</t>
        </is>
      </c>
    </row>
    <row r="528" ht="43.5" customHeight="1">
      <c r="A528" s="142" t="n">
        <v>57270666000187</v>
      </c>
      <c r="B528" s="75" t="inlineStr">
        <is>
          <t>57.270.666/0001-87</t>
        </is>
      </c>
      <c r="C528" s="75" t="inlineStr">
        <is>
          <t>natureza_indice</t>
        </is>
      </c>
      <c r="D528" s="75" t="inlineStr">
        <is>
          <t>junior_pl</t>
        </is>
      </c>
      <c r="E528" s="75" t="inlineStr">
        <is>
          <t>junior_pl</t>
        </is>
      </c>
      <c r="F528" s="75" t="inlineStr">
        <is>
          <t>payload_documental</t>
        </is>
      </c>
      <c r="G528" s="75" t="inlineStr">
        <is>
          <t>769277</t>
        </is>
      </c>
      <c r="H528" s="75" t="inlineStr">
        <is>
          <t>documento_curado</t>
        </is>
      </c>
      <c r="I528" s="75" t="inlineStr">
        <is>
          <t>2024-10-31</t>
        </is>
      </c>
      <c r="J528" s="75" t="inlineStr">
        <is>
          <t>49</t>
        </is>
      </c>
      <c r="K528" s="75" t="inlineStr">
        <is>
          <t>aceito_payload</t>
        </is>
      </c>
      <c r="L528" s="144" t="n">
        <v>1</v>
      </c>
      <c r="M528" s="75" t="inlineStr">
        <is>
          <t>data/industry_study/generated_revision/artifact_payload.json</t>
        </is>
      </c>
      <c r="N528" s="75" t="inlineStr">
        <is>
          <t>https://fnet.bmfbovespa.com.br/fnet/publico/downloadDocumento?id=769277</t>
        </is>
      </c>
      <c r="O528" s="75" t="inlineStr">
        <is>
          <t>Cotas subordinadas júnior / PL, mínimo de 10,0%.</t>
        </is>
      </c>
    </row>
    <row r="529" ht="43.5" customHeight="1">
      <c r="A529" s="142" t="n">
        <v>57270666000187</v>
      </c>
      <c r="B529" s="75" t="inlineStr">
        <is>
          <t>57.270.666/0001-87</t>
        </is>
      </c>
      <c r="C529" s="75" t="inlineStr">
        <is>
          <t>tipo_recebivel</t>
        </is>
      </c>
      <c r="D529" s="75" t="inlineStr">
        <is>
          <t>Direitos Creditórios performados; REDE como adquirente</t>
        </is>
      </c>
      <c r="E529" s="75" t="inlineStr">
        <is>
          <t>N/D</t>
        </is>
      </c>
      <c r="F529" s="75" t="inlineStr">
        <is>
          <t>planilha_manual</t>
        </is>
      </c>
      <c r="G529" s="75" t="inlineStr">
        <is>
          <t>IMG_8705.JPG</t>
        </is>
      </c>
      <c r="H529" s="75" t="inlineStr">
        <is>
          <t>payload</t>
        </is>
      </c>
      <c r="I529" s="75" t="inlineStr">
        <is>
          <t>2024-10-31</t>
        </is>
      </c>
      <c r="J529" s="75" t="inlineStr">
        <is>
          <t>49</t>
        </is>
      </c>
      <c r="K529" s="75" t="inlineStr">
        <is>
          <t>aceito_payload</t>
        </is>
      </c>
      <c r="L529" s="144" t="n">
        <v>1</v>
      </c>
      <c r="M529" s="75" t="inlineStr">
        <is>
          <t>data/industry_study/generated_revision/artifact_payload.json</t>
        </is>
      </c>
      <c r="N529" s="75" t="inlineStr">
        <is>
          <t>N/D</t>
        </is>
      </c>
      <c r="O529" s="75" t="inlineStr">
        <is>
          <t>Campo Cedente do Direito Creditório vazio na foto.</t>
        </is>
      </c>
    </row>
    <row r="530" ht="43.5" customHeight="1">
      <c r="A530" s="142" t="n">
        <v>57752597000148</v>
      </c>
      <c r="B530" s="75" t="inlineStr">
        <is>
          <t>57.752.597/0001-48</t>
        </is>
      </c>
      <c r="C530" s="75" t="inlineStr">
        <is>
          <t>cedente</t>
        </is>
      </c>
      <c r="D530" s="75" t="inlineStr">
        <is>
          <t>AGROMERCANTIL</t>
        </is>
      </c>
      <c r="E530" s="75" t="inlineStr">
        <is>
          <t>N/D</t>
        </is>
      </c>
      <c r="F530" s="75" t="inlineStr">
        <is>
          <t>planilha_manual</t>
        </is>
      </c>
      <c r="G530" s="75" t="inlineStr">
        <is>
          <t>IMG_8706.JPG</t>
        </is>
      </c>
      <c r="H530" s="75" t="inlineStr">
        <is>
          <t>payload</t>
        </is>
      </c>
      <c r="I530" s="75" t="inlineStr">
        <is>
          <t>2026-05-21</t>
        </is>
      </c>
      <c r="J530" s="75" t="inlineStr">
        <is>
          <t>44</t>
        </is>
      </c>
      <c r="K530" s="75" t="inlineStr">
        <is>
          <t>aceito_payload</t>
        </is>
      </c>
      <c r="L530" s="144" t="n">
        <v>1</v>
      </c>
      <c r="M530" s="75" t="inlineStr">
        <is>
          <t>data/industry_study/generated_revision/artifact_payload.json</t>
        </is>
      </c>
      <c r="N530" s="75" t="inlineStr">
        <is>
          <t>N/D</t>
        </is>
      </c>
      <c r="O530" s="75" t="inlineStr">
        <is>
          <t>Denominação cortada pela largura da coluna na foto.</t>
        </is>
      </c>
    </row>
    <row r="531" ht="43.5" customHeight="1">
      <c r="A531" s="142" t="n">
        <v>57752597000148</v>
      </c>
      <c r="B531" s="75" t="inlineStr">
        <is>
          <t>57.752.597/0001-48</t>
        </is>
      </c>
      <c r="C531" s="75" t="inlineStr">
        <is>
          <t>minimo_junior</t>
        </is>
      </c>
      <c r="D531" s="75" t="inlineStr">
        <is>
          <t>30%</t>
        </is>
      </c>
      <c r="E531" s="75" t="inlineStr">
        <is>
          <t>junior_pl</t>
        </is>
      </c>
      <c r="F531" s="75" t="inlineStr">
        <is>
          <t>payload_documental</t>
        </is>
      </c>
      <c r="G531" s="75" t="inlineStr">
        <is>
          <t>1200681</t>
        </is>
      </c>
      <c r="H531" s="75" t="inlineStr">
        <is>
          <t>documento_curado</t>
        </is>
      </c>
      <c r="I531" s="75" t="inlineStr">
        <is>
          <t>2026-05-21</t>
        </is>
      </c>
      <c r="J531" s="75" t="inlineStr">
        <is>
          <t>44</t>
        </is>
      </c>
      <c r="K531" s="75" t="inlineStr">
        <is>
          <t>aceito_payload</t>
        </is>
      </c>
      <c r="L531" s="144" t="n">
        <v>1</v>
      </c>
      <c r="M531" s="75" t="inlineStr">
        <is>
          <t>data/industry_study/generated_revision/artifact_payload.json</t>
        </is>
      </c>
      <c r="N531" s="75" t="inlineStr">
        <is>
          <t>https://fnet.bmfbovespa.com.br/fnet/publico/downloadDocumento?id=1200681</t>
        </is>
      </c>
      <c r="O531" s="75" t="inlineStr">
        <is>
          <t>Totalidade das cotas subordinadas júnior / PL, mínimo de 30,0%.</t>
        </is>
      </c>
    </row>
    <row r="532" ht="43.5" customHeight="1">
      <c r="A532" s="142" t="n">
        <v>57752597000148</v>
      </c>
      <c r="B532" s="75" t="inlineStr">
        <is>
          <t>57.752.597/0001-48</t>
        </is>
      </c>
      <c r="C532" s="75" t="inlineStr">
        <is>
          <t>natureza_indice</t>
        </is>
      </c>
      <c r="D532" s="75" t="inlineStr">
        <is>
          <t>junior_pl</t>
        </is>
      </c>
      <c r="E532" s="75" t="inlineStr">
        <is>
          <t>junior_pl</t>
        </is>
      </c>
      <c r="F532" s="75" t="inlineStr">
        <is>
          <t>payload_documental</t>
        </is>
      </c>
      <c r="G532" s="75" t="inlineStr">
        <is>
          <t>1200681</t>
        </is>
      </c>
      <c r="H532" s="75" t="inlineStr">
        <is>
          <t>documento_curado</t>
        </is>
      </c>
      <c r="I532" s="75" t="inlineStr">
        <is>
          <t>2026-05-21</t>
        </is>
      </c>
      <c r="J532" s="75" t="inlineStr">
        <is>
          <t>44</t>
        </is>
      </c>
      <c r="K532" s="75" t="inlineStr">
        <is>
          <t>aceito_payload</t>
        </is>
      </c>
      <c r="L532" s="144" t="n">
        <v>1</v>
      </c>
      <c r="M532" s="75" t="inlineStr">
        <is>
          <t>data/industry_study/generated_revision/artifact_payload.json</t>
        </is>
      </c>
      <c r="N532" s="75" t="inlineStr">
        <is>
          <t>https://fnet.bmfbovespa.com.br/fnet/publico/downloadDocumento?id=1200681</t>
        </is>
      </c>
      <c r="O532" s="75" t="inlineStr">
        <is>
          <t>Totalidade das cotas subordinadas júnior / PL, mínimo de 30,0%.</t>
        </is>
      </c>
    </row>
    <row r="533" ht="43.5" customHeight="1">
      <c r="A533" s="142" t="n">
        <v>57752597000148</v>
      </c>
      <c r="B533" s="75" t="inlineStr">
        <is>
          <t>57.752.597/0001-48</t>
        </is>
      </c>
      <c r="C533" s="75" t="inlineStr">
        <is>
          <t>tipo_recebivel</t>
        </is>
      </c>
      <c r="D533" s="75" t="inlineStr">
        <is>
          <t>Comercializadora de grãos</t>
        </is>
      </c>
      <c r="E533" s="75" t="inlineStr">
        <is>
          <t>N/D</t>
        </is>
      </c>
      <c r="F533" s="75" t="inlineStr">
        <is>
          <t>planilha_manual</t>
        </is>
      </c>
      <c r="G533" s="75" t="inlineStr">
        <is>
          <t>IMG_8706.JPG</t>
        </is>
      </c>
      <c r="H533" s="75" t="inlineStr">
        <is>
          <t>payload</t>
        </is>
      </c>
      <c r="I533" s="75" t="inlineStr">
        <is>
          <t>2026-05-21</t>
        </is>
      </c>
      <c r="J533" s="75" t="inlineStr">
        <is>
          <t>44</t>
        </is>
      </c>
      <c r="K533" s="75" t="inlineStr">
        <is>
          <t>aceito_payload</t>
        </is>
      </c>
      <c r="L533" s="144" t="n">
        <v>1</v>
      </c>
      <c r="M533" s="75" t="inlineStr">
        <is>
          <t>data/industry_study/generated_revision/artifact_payload.json</t>
        </is>
      </c>
      <c r="N533" s="75" t="inlineStr">
        <is>
          <t>N/D</t>
        </is>
      </c>
      <c r="O533" s="75" t="inlineStr">
        <is>
          <t>Denominação cortada pela largura da coluna na foto.</t>
        </is>
      </c>
    </row>
    <row r="534" ht="43.5" customHeight="1">
      <c r="A534" s="142" t="n">
        <v>57816252000100</v>
      </c>
      <c r="B534" s="75" t="inlineStr">
        <is>
          <t>57.816.252/0001-00</t>
        </is>
      </c>
      <c r="C534" s="75" t="inlineStr">
        <is>
          <t>cedente</t>
        </is>
      </c>
      <c r="D534" s="75" t="inlineStr">
        <is>
          <t>Natura &amp;CO Pay Sociedade de Crédito Direto S.A.</t>
        </is>
      </c>
      <c r="E534" s="75" t="inlineStr">
        <is>
          <t>N/D</t>
        </is>
      </c>
      <c r="F534" s="75" t="inlineStr">
        <is>
          <t>planilha_manual</t>
        </is>
      </c>
      <c r="G534" s="75" t="inlineStr">
        <is>
          <t>IMG_8706.JPG</t>
        </is>
      </c>
      <c r="H534" s="75" t="inlineStr">
        <is>
          <t>payload</t>
        </is>
      </c>
      <c r="I534" s="75" t="inlineStr">
        <is>
          <t>2026-05-07</t>
        </is>
      </c>
      <c r="J534" s="75" t="inlineStr">
        <is>
          <t>28; 68</t>
        </is>
      </c>
      <c r="K534" s="75" t="inlineStr">
        <is>
          <t>aceito_payload</t>
        </is>
      </c>
      <c r="L534" s="144" t="n">
        <v>1</v>
      </c>
      <c r="M534" s="75" t="inlineStr">
        <is>
          <t>data/industry_study/generated_revision/artifact_payload.json</t>
        </is>
      </c>
      <c r="N534" s="75" t="inlineStr">
        <is>
          <t>N/D</t>
        </is>
      </c>
      <c r="O534" s="75" t="inlineStr">
        <is>
          <t>Coluna adicional da foto: Duplicatas. Denominação cortada.</t>
        </is>
      </c>
    </row>
    <row r="535" ht="43.5" customHeight="1">
      <c r="A535" s="142" t="n">
        <v>57816252000100</v>
      </c>
      <c r="B535" s="75" t="inlineStr">
        <is>
          <t>57.816.252/0001-00</t>
        </is>
      </c>
      <c r="C535" s="75" t="inlineStr">
        <is>
          <t>minimo_estrutural_total</t>
        </is>
      </c>
      <c r="D535" s="75" t="inlineStr">
        <is>
          <t>25.26%</t>
        </is>
      </c>
      <c r="E535" s="75" t="inlineStr">
        <is>
          <t>suporte_total_pl</t>
        </is>
      </c>
      <c r="F535" s="75" t="inlineStr">
        <is>
          <t>payload_documental</t>
        </is>
      </c>
      <c r="G535" s="75" t="inlineStr">
        <is>
          <t>1182394</t>
        </is>
      </c>
      <c r="H535" s="75" t="inlineStr">
        <is>
          <t>documento_curado</t>
        </is>
      </c>
      <c r="I535" s="75" t="inlineStr">
        <is>
          <t>2026-05-07</t>
        </is>
      </c>
      <c r="J535" s="75" t="inlineStr">
        <is>
          <t>28; 68</t>
        </is>
      </c>
      <c r="K535" s="75" t="inlineStr">
        <is>
          <t>aceito_payload</t>
        </is>
      </c>
      <c r="L535" s="144" t="n">
        <v>1</v>
      </c>
      <c r="M535" s="75" t="inlineStr">
        <is>
          <t>data/industry_study/generated_revision/artifact_payload.json</t>
        </is>
      </c>
      <c r="N535" s="75" t="inlineStr">
        <is>
          <t>https://fnet.bmfbovespa.com.br/fnet/publico/downloadDocumento?id=1182394</t>
        </is>
      </c>
      <c r="O535" s="75" t="inlineStr">
        <is>
          <t>Cotas subordinadas / PL, mínimo de 25,26%; estrutura com uma única classe residual.</t>
        </is>
      </c>
    </row>
    <row r="536" ht="43.5" customHeight="1">
      <c r="A536" s="142" t="n">
        <v>57816252000100</v>
      </c>
      <c r="B536" s="75" t="inlineStr">
        <is>
          <t>57.816.252/0001-00</t>
        </is>
      </c>
      <c r="C536" s="75" t="inlineStr">
        <is>
          <t>minimo_junior</t>
        </is>
      </c>
      <c r="D536" s="75" t="inlineStr">
        <is>
          <t>25.26%</t>
        </is>
      </c>
      <c r="E536" s="75" t="inlineStr">
        <is>
          <t>junior_pl</t>
        </is>
      </c>
      <c r="F536" s="75" t="inlineStr">
        <is>
          <t>payload_documental</t>
        </is>
      </c>
      <c r="G536" s="75" t="inlineStr">
        <is>
          <t>1182394</t>
        </is>
      </c>
      <c r="H536" s="75" t="inlineStr">
        <is>
          <t>documento_curado</t>
        </is>
      </c>
      <c r="I536" s="75" t="inlineStr">
        <is>
          <t>2026-05-07</t>
        </is>
      </c>
      <c r="J536" s="75" t="inlineStr">
        <is>
          <t>28; 68</t>
        </is>
      </c>
      <c r="K536" s="75" t="inlineStr">
        <is>
          <t>aceito_payload</t>
        </is>
      </c>
      <c r="L536" s="144" t="n">
        <v>1</v>
      </c>
      <c r="M536" s="75" t="inlineStr">
        <is>
          <t>data/industry_study/generated_revision/artifact_payload.json</t>
        </is>
      </c>
      <c r="N536" s="75" t="inlineStr">
        <is>
          <t>https://fnet.bmfbovespa.com.br/fnet/publico/downloadDocumento?id=1182394</t>
        </is>
      </c>
      <c r="O536" s="75" t="inlineStr">
        <is>
          <t>Cotas subordinadas / PL, mínimo de 25,26%; estrutura com uma única classe residual.</t>
        </is>
      </c>
    </row>
    <row r="537" ht="43.5" customHeight="1">
      <c r="A537" s="142" t="n">
        <v>57816252000100</v>
      </c>
      <c r="B537" s="75" t="inlineStr">
        <is>
          <t>57.816.252/0001-00</t>
        </is>
      </c>
      <c r="C537" s="75" t="inlineStr">
        <is>
          <t>natureza_indice</t>
        </is>
      </c>
      <c r="D537" s="75" t="inlineStr">
        <is>
          <t>junior_pl</t>
        </is>
      </c>
      <c r="E537" s="75" t="inlineStr">
        <is>
          <t>junior_pl</t>
        </is>
      </c>
      <c r="F537" s="75" t="inlineStr">
        <is>
          <t>payload_documental</t>
        </is>
      </c>
      <c r="G537" s="75" t="inlineStr">
        <is>
          <t>1182394</t>
        </is>
      </c>
      <c r="H537" s="75" t="inlineStr">
        <is>
          <t>documento_curado</t>
        </is>
      </c>
      <c r="I537" s="75" t="inlineStr">
        <is>
          <t>2026-05-07</t>
        </is>
      </c>
      <c r="J537" s="75" t="inlineStr">
        <is>
          <t>28; 68</t>
        </is>
      </c>
      <c r="K537" s="75" t="inlineStr">
        <is>
          <t>aceito_payload</t>
        </is>
      </c>
      <c r="L537" s="144" t="n">
        <v>1</v>
      </c>
      <c r="M537" s="75" t="inlineStr">
        <is>
          <t>data/industry_study/generated_revision/artifact_payload.json</t>
        </is>
      </c>
      <c r="N537" s="75" t="inlineStr">
        <is>
          <t>https://fnet.bmfbovespa.com.br/fnet/publico/downloadDocumento?id=1182394</t>
        </is>
      </c>
      <c r="O537" s="75" t="inlineStr">
        <is>
          <t>Cotas subordinadas / PL, mínimo de 25,26%; estrutura com uma única classe residual.</t>
        </is>
      </c>
    </row>
    <row r="538" ht="43.5" customHeight="1">
      <c r="A538" s="142" t="n">
        <v>57816252000100</v>
      </c>
      <c r="B538" s="75" t="inlineStr">
        <is>
          <t>57.816.252/0001-00</t>
        </is>
      </c>
      <c r="C538" s="75" t="inlineStr">
        <is>
          <t>tipo_recebivel</t>
        </is>
      </c>
      <c r="D538" s="75" t="inlineStr">
        <is>
          <t>os recebíveis alienados pela Endossante à Classe, originados no âmbito de operações de financiamentos concedidos pela Natura SCD às Devedoras, mediante a emissão de CCB em favor da Natura SCD</t>
        </is>
      </c>
      <c r="E538" s="75" t="inlineStr">
        <is>
          <t>N/D</t>
        </is>
      </c>
      <c r="F538" s="75" t="inlineStr">
        <is>
          <t>regulamento</t>
        </is>
      </c>
      <c r="G538" s="75" t="inlineStr">
        <is>
          <t>1182394</t>
        </is>
      </c>
      <c r="H538" s="75" t="inlineStr">
        <is>
          <t>Regulamento</t>
        </is>
      </c>
      <c r="I538" s="75" t="inlineStr">
        <is>
          <t>07/05/2026</t>
        </is>
      </c>
      <c r="J538" s="75" t="inlineStr">
        <is>
          <t>65</t>
        </is>
      </c>
      <c r="K538" s="75" t="inlineStr">
        <is>
          <t>encontrado_explicito</t>
        </is>
      </c>
      <c r="L538" s="144" t="n">
        <v>0.92</v>
      </c>
      <c r="M538" s="75" t="inlineStr">
        <is>
          <t>.cache/carteira_101_document_scan/57816252000100/1182394.json.gz</t>
        </is>
      </c>
      <c r="N538" s="75" t="inlineStr">
        <is>
          <t>https://fnet.bmfbovespa.com.br/fnet/publico/downloadDocumento?id=1182394</t>
        </is>
      </c>
      <c r="O538" s="75" t="inlineStr">
        <is>
          <t>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t>
        </is>
      </c>
    </row>
    <row r="539" ht="43.5" customHeight="1">
      <c r="A539" s="142" t="n">
        <v>57816252000100</v>
      </c>
      <c r="B539" s="75" t="inlineStr">
        <is>
          <t>57.816.252/0001-00</t>
        </is>
      </c>
      <c r="C539" s="75" t="inlineStr">
        <is>
          <t>tipo_recebivel</t>
        </is>
      </c>
      <c r="D539" s="75" t="inlineStr">
        <is>
          <t>os recebíveis alienados pela Endossante à Classe, originados no âmbito de operações de financiamentos concedidos pela Natura SCD às Devedoras, mediante a emissão de CCB em favor da Natura SCD</t>
        </is>
      </c>
      <c r="E539" s="75" t="inlineStr">
        <is>
          <t>N/D</t>
        </is>
      </c>
      <c r="F539" s="75" t="inlineStr">
        <is>
          <t>assembleia</t>
        </is>
      </c>
      <c r="G539" s="75" t="inlineStr">
        <is>
          <t>1150911</t>
        </is>
      </c>
      <c r="H539" s="75" t="inlineStr">
        <is>
          <t>Assembleia AGE Ata da Assembleia</t>
        </is>
      </c>
      <c r="I539" s="75" t="inlineStr">
        <is>
          <t>30/03/2026 18:00</t>
        </is>
      </c>
      <c r="J539" s="75" t="inlineStr">
        <is>
          <t>77</t>
        </is>
      </c>
      <c r="K539" s="75" t="inlineStr">
        <is>
          <t>encontrado_explicito</t>
        </is>
      </c>
      <c r="L539" s="144" t="n">
        <v>0.92</v>
      </c>
      <c r="M539" s="75" t="inlineStr">
        <is>
          <t>.cache/carteira_101_document_scan/57816252000100/1150911.json.gz</t>
        </is>
      </c>
      <c r="N539" s="75" t="inlineStr">
        <is>
          <t>https://fnet.bmfbovespa.com.br/fnet/publico/downloadDocumento?id=1150911</t>
        </is>
      </c>
      <c r="O539" s="75" t="inlineStr">
        <is>
          <t>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t>
        </is>
      </c>
    </row>
    <row r="540" ht="43.5" customHeight="1">
      <c r="A540" s="142" t="n">
        <v>57816252000100</v>
      </c>
      <c r="B540" s="75" t="inlineStr">
        <is>
          <t>57.816.252/0001-00</t>
        </is>
      </c>
      <c r="C540" s="75" t="inlineStr">
        <is>
          <t>tipo_recebivel</t>
        </is>
      </c>
      <c r="D540" s="75" t="inlineStr">
        <is>
          <t>Duplicatas de venda de produtos a prazo para Consultoras Natura; em geral parcelado 3x sem juros</t>
        </is>
      </c>
      <c r="E540" s="75" t="inlineStr">
        <is>
          <t>N/D</t>
        </is>
      </c>
      <c r="F540" s="75" t="inlineStr">
        <is>
          <t>planilha_manual</t>
        </is>
      </c>
      <c r="G540" s="75" t="inlineStr">
        <is>
          <t>IMG_8706.JPG</t>
        </is>
      </c>
      <c r="H540" s="75" t="inlineStr">
        <is>
          <t>payload</t>
        </is>
      </c>
      <c r="I540" s="75" t="inlineStr">
        <is>
          <t>2026-05-07</t>
        </is>
      </c>
      <c r="J540" s="75" t="inlineStr">
        <is>
          <t>28; 68</t>
        </is>
      </c>
      <c r="K540" s="75" t="inlineStr">
        <is>
          <t>aceito_payload</t>
        </is>
      </c>
      <c r="L540" s="144" t="n">
        <v>1</v>
      </c>
      <c r="M540" s="75" t="inlineStr">
        <is>
          <t>data/industry_study/generated_revision/artifact_payload.json</t>
        </is>
      </c>
      <c r="N540" s="75" t="inlineStr">
        <is>
          <t>N/D</t>
        </is>
      </c>
      <c r="O540" s="75" t="inlineStr">
        <is>
          <t>Coluna adicional da foto: Duplicatas. Denominação cortada.</t>
        </is>
      </c>
    </row>
    <row r="541" ht="43.5" customHeight="1">
      <c r="A541" s="142" t="n">
        <v>58152340000118</v>
      </c>
      <c r="B541" s="75" t="inlineStr">
        <is>
          <t>58.152.340/0001-18</t>
        </is>
      </c>
      <c r="C541" s="75" t="inlineStr">
        <is>
          <t>cedente</t>
        </is>
      </c>
      <c r="D541" s="75" t="inlineStr">
        <is>
          <t>SHPP IP</t>
        </is>
      </c>
      <c r="E541" s="75" t="inlineStr">
        <is>
          <t>N/D</t>
        </is>
      </c>
      <c r="F541" s="75" t="inlineStr">
        <is>
          <t>planilha_manual</t>
        </is>
      </c>
      <c r="G541" s="75" t="inlineStr">
        <is>
          <t>IMG_8707.jpg</t>
        </is>
      </c>
      <c r="H541" s="75" t="inlineStr">
        <is>
          <t>payload</t>
        </is>
      </c>
      <c r="I541" s="75" t="inlineStr">
        <is>
          <t>2026-05-14</t>
        </is>
      </c>
      <c r="J541" s="75" t="inlineStr">
        <is>
          <t>105</t>
        </is>
      </c>
      <c r="K541" s="75" t="inlineStr">
        <is>
          <t>aceito_payload</t>
        </is>
      </c>
      <c r="L541" s="144" t="n">
        <v>1</v>
      </c>
      <c r="M541" s="75" t="inlineStr">
        <is>
          <t>data/industry_study/generated_revision/artifact_payload.json</t>
        </is>
      </c>
      <c r="N541" s="75" t="inlineStr">
        <is>
          <t>N/D</t>
        </is>
      </c>
      <c r="O541" s="75" t="inlineStr">
        <is>
          <t>Denominação cortada pela largura da coluna na foto.</t>
        </is>
      </c>
    </row>
    <row r="542" ht="43.5" customHeight="1">
      <c r="A542" s="142" t="n">
        <v>58152340000118</v>
      </c>
      <c r="B542" s="75" t="inlineStr">
        <is>
          <t>58.152.340/0001-18</t>
        </is>
      </c>
      <c r="C542" s="75" t="inlineStr">
        <is>
          <t>minimo_estrutural_total</t>
        </is>
      </c>
      <c r="D542" s="75" t="inlineStr">
        <is>
          <t>30%</t>
        </is>
      </c>
      <c r="E542" s="75" t="inlineStr">
        <is>
          <t>suporte_total_pl</t>
        </is>
      </c>
      <c r="F542" s="75" t="inlineStr">
        <is>
          <t>payload_documental</t>
        </is>
      </c>
      <c r="G542" s="75" t="inlineStr">
        <is>
          <t>1191019</t>
        </is>
      </c>
      <c r="H542" s="75" t="inlineStr">
        <is>
          <t>documento_curado</t>
        </is>
      </c>
      <c r="I542" s="75" t="inlineStr">
        <is>
          <t>2026-05-14</t>
        </is>
      </c>
      <c r="J542" s="75" t="inlineStr">
        <is>
          <t>105</t>
        </is>
      </c>
      <c r="K542" s="75" t="inlineStr">
        <is>
          <t>aceito_payload</t>
        </is>
      </c>
      <c r="L542" s="144" t="n">
        <v>1</v>
      </c>
      <c r="M542" s="75" t="inlineStr">
        <is>
          <t>data/industry_study/generated_revision/artifact_payload.json</t>
        </is>
      </c>
      <c r="N542" s="75" t="inlineStr">
        <is>
          <t>https://fnet.bmfbovespa.com.br/fnet/publico/downloadDocumento?id=1191019</t>
        </is>
      </c>
      <c r="O542" s="75" t="inlineStr">
        <is>
          <t>Cotas subordinadas / PL, mínimo de 30,0%; estrutura com uma única classe residual.</t>
        </is>
      </c>
    </row>
    <row r="543" ht="43.5" customHeight="1">
      <c r="A543" s="142" t="n">
        <v>58152340000118</v>
      </c>
      <c r="B543" s="75" t="inlineStr">
        <is>
          <t>58.152.340/0001-18</t>
        </is>
      </c>
      <c r="C543" s="75" t="inlineStr">
        <is>
          <t>minimo_junior</t>
        </is>
      </c>
      <c r="D543" s="75" t="inlineStr">
        <is>
          <t>30%</t>
        </is>
      </c>
      <c r="E543" s="75" t="inlineStr">
        <is>
          <t>junior_pl</t>
        </is>
      </c>
      <c r="F543" s="75" t="inlineStr">
        <is>
          <t>payload_documental</t>
        </is>
      </c>
      <c r="G543" s="75" t="inlineStr">
        <is>
          <t>1191019</t>
        </is>
      </c>
      <c r="H543" s="75" t="inlineStr">
        <is>
          <t>documento_curado</t>
        </is>
      </c>
      <c r="I543" s="75" t="inlineStr">
        <is>
          <t>2026-05-14</t>
        </is>
      </c>
      <c r="J543" s="75" t="inlineStr">
        <is>
          <t>105</t>
        </is>
      </c>
      <c r="K543" s="75" t="inlineStr">
        <is>
          <t>aceito_payload</t>
        </is>
      </c>
      <c r="L543" s="144" t="n">
        <v>1</v>
      </c>
      <c r="M543" s="75" t="inlineStr">
        <is>
          <t>data/industry_study/generated_revision/artifact_payload.json</t>
        </is>
      </c>
      <c r="N543" s="75" t="inlineStr">
        <is>
          <t>https://fnet.bmfbovespa.com.br/fnet/publico/downloadDocumento?id=1191019</t>
        </is>
      </c>
      <c r="O543" s="75" t="inlineStr">
        <is>
          <t>Cotas subordinadas / PL, mínimo de 30,0%; estrutura com uma única classe residual.</t>
        </is>
      </c>
    </row>
    <row r="544" ht="43.5" customHeight="1">
      <c r="A544" s="142" t="n">
        <v>58152340000118</v>
      </c>
      <c r="B544" s="75" t="inlineStr">
        <is>
          <t>58.152.340/0001-18</t>
        </is>
      </c>
      <c r="C544" s="75" t="inlineStr">
        <is>
          <t>natureza_indice</t>
        </is>
      </c>
      <c r="D544" s="75" t="inlineStr">
        <is>
          <t>junior_pl</t>
        </is>
      </c>
      <c r="E544" s="75" t="inlineStr">
        <is>
          <t>junior_pl</t>
        </is>
      </c>
      <c r="F544" s="75" t="inlineStr">
        <is>
          <t>payload_documental</t>
        </is>
      </c>
      <c r="G544" s="75" t="inlineStr">
        <is>
          <t>1191019</t>
        </is>
      </c>
      <c r="H544" s="75" t="inlineStr">
        <is>
          <t>documento_curado</t>
        </is>
      </c>
      <c r="I544" s="75" t="inlineStr">
        <is>
          <t>2026-05-14</t>
        </is>
      </c>
      <c r="J544" s="75" t="inlineStr">
        <is>
          <t>105</t>
        </is>
      </c>
      <c r="K544" s="75" t="inlineStr">
        <is>
          <t>aceito_payload</t>
        </is>
      </c>
      <c r="L544" s="144" t="n">
        <v>1</v>
      </c>
      <c r="M544" s="75" t="inlineStr">
        <is>
          <t>data/industry_study/generated_revision/artifact_payload.json</t>
        </is>
      </c>
      <c r="N544" s="75" t="inlineStr">
        <is>
          <t>https://fnet.bmfbovespa.com.br/fnet/publico/downloadDocumento?id=1191019</t>
        </is>
      </c>
      <c r="O544" s="75" t="inlineStr">
        <is>
          <t>Cotas subordinadas / PL, mínimo de 30,0%; estrutura com uma única classe residual.</t>
        </is>
      </c>
    </row>
    <row r="545" ht="43.5" customHeight="1">
      <c r="A545" s="142" t="n">
        <v>58171340000165</v>
      </c>
      <c r="B545" s="75" t="inlineStr">
        <is>
          <t>58.171.340/0001-65</t>
        </is>
      </c>
      <c r="C545" s="75" t="inlineStr">
        <is>
          <t>cedente</t>
        </is>
      </c>
      <c r="D545" s="75" t="inlineStr">
        <is>
          <t>a FRIMESA COOPERATIVA CENTRAL, com sede na cidade de Medianeira, Estado do Paraná, na Rua Bahia, nº 159, CEP 85723-006, inscrita no CNPJ sob o nº 77.595.395/0001-47, inclusive por meio de suas filiais</t>
        </is>
      </c>
      <c r="E545" s="75" t="inlineStr">
        <is>
          <t>N/D</t>
        </is>
      </c>
      <c r="F545" s="75" t="inlineStr">
        <is>
          <t>regulamento</t>
        </is>
      </c>
      <c r="G545" s="75" t="inlineStr">
        <is>
          <t>846712</t>
        </is>
      </c>
      <c r="H545" s="75" t="inlineStr">
        <is>
          <t>Regulamento</t>
        </is>
      </c>
      <c r="I545" s="75" t="inlineStr">
        <is>
          <t>19/02/2025</t>
        </is>
      </c>
      <c r="J545" s="75" t="inlineStr">
        <is>
          <t>42</t>
        </is>
      </c>
      <c r="K545" s="75" t="inlineStr">
        <is>
          <t>encontrado_explicito</t>
        </is>
      </c>
      <c r="L545" s="144" t="n">
        <v>0.95</v>
      </c>
      <c r="M545" s="75" t="inlineStr">
        <is>
          <t>.cache/carteira_101_document_scan/58171340000165/846712.json.gz</t>
        </is>
      </c>
      <c r="N545" s="75" t="inlineStr">
        <is>
          <t>https://fnet.bmfbovespa.com.br/fnet/publico/downloadDocumento?id=846712</t>
        </is>
      </c>
      <c r="O545"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6" ht="43.5" customHeight="1">
      <c r="A546" s="142" t="n">
        <v>58171340000165</v>
      </c>
      <c r="B546" s="75" t="inlineStr">
        <is>
          <t>58.171.340/0001-65</t>
        </is>
      </c>
      <c r="C546" s="75" t="inlineStr">
        <is>
          <t>cedente</t>
        </is>
      </c>
      <c r="D546" s="75" t="inlineStr">
        <is>
          <t>a FRIMESA COOPERATIVA CENTRAL, com sede na cidade de Medianeira, Estado do Paraná, na Rua Bahia, nº 159, CEP 85723-006, inscrita no CNPJ sob o nº 77.595.395/0001-47, inclusive por meio de suas filiais</t>
        </is>
      </c>
      <c r="E546" s="75" t="inlineStr">
        <is>
          <t>N/D</t>
        </is>
      </c>
      <c r="F546" s="75" t="inlineStr">
        <is>
          <t>regulamento</t>
        </is>
      </c>
      <c r="G546" s="75" t="inlineStr">
        <is>
          <t>861191</t>
        </is>
      </c>
      <c r="H546" s="75" t="inlineStr">
        <is>
          <t>regulamento</t>
        </is>
      </c>
      <c r="I546" s="75" t="inlineStr">
        <is>
          <t>2025-03-13</t>
        </is>
      </c>
      <c r="J546" s="75" t="inlineStr">
        <is>
          <t>42</t>
        </is>
      </c>
      <c r="K546" s="75" t="inlineStr">
        <is>
          <t>encontrado_explicito</t>
        </is>
      </c>
      <c r="L546" s="144" t="n">
        <v>0.95</v>
      </c>
      <c r="M546" s="75" t="inlineStr">
        <is>
          <t>data/raw/58171340000165/861191_regulamento_regulamento_861191_2025-03-13_2025-03-13.pdf</t>
        </is>
      </c>
      <c r="N546" s="75" t="inlineStr">
        <is>
          <t>https://fnet.bmfbovespa.com.br/fnet/publico/downloadDocumento?id=861191</t>
        </is>
      </c>
      <c r="O546"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7" ht="43.5" customHeight="1">
      <c r="A547" s="142" t="n">
        <v>58171340000165</v>
      </c>
      <c r="B547" s="75" t="inlineStr">
        <is>
          <t>58.171.340/0001-65</t>
        </is>
      </c>
      <c r="C547" s="75" t="inlineStr">
        <is>
          <t>cedente</t>
        </is>
      </c>
      <c r="D547" s="75" t="inlineStr">
        <is>
          <t>Frimesa</t>
        </is>
      </c>
      <c r="E547" s="75" t="inlineStr">
        <is>
          <t>N/D</t>
        </is>
      </c>
      <c r="F547" s="75" t="inlineStr">
        <is>
          <t>planilha_manual</t>
        </is>
      </c>
      <c r="G547" s="75" t="inlineStr">
        <is>
          <t>IMG_8706.JPG</t>
        </is>
      </c>
      <c r="H547" s="75" t="inlineStr">
        <is>
          <t>payload</t>
        </is>
      </c>
      <c r="I547" s="75" t="inlineStr">
        <is>
          <t>2025-03-13</t>
        </is>
      </c>
      <c r="J547" s="75" t="inlineStr">
        <is>
          <t>51</t>
        </is>
      </c>
      <c r="K547" s="75" t="inlineStr">
        <is>
          <t>aceito_payload</t>
        </is>
      </c>
      <c r="L547" s="144" t="n">
        <v>1</v>
      </c>
      <c r="M547" s="75" t="inlineStr">
        <is>
          <t>data/industry_study/generated_revision/artifact_payload.json</t>
        </is>
      </c>
      <c r="N547" s="75" t="inlineStr">
        <is>
          <t>N/D</t>
        </is>
      </c>
      <c r="O547" s="75" t="inlineStr">
        <is>
          <t>Denominação cortada pela largura da coluna na foto.</t>
        </is>
      </c>
    </row>
    <row r="548" ht="43.5" customHeight="1">
      <c r="A548" s="142" t="n">
        <v>58171340000165</v>
      </c>
      <c r="B548" s="75" t="inlineStr">
        <is>
          <t>58.171.340/0001-65</t>
        </is>
      </c>
      <c r="C548" s="75" t="inlineStr">
        <is>
          <t>minimo_junior</t>
        </is>
      </c>
      <c r="D548" s="75" t="inlineStr">
        <is>
          <t>1%</t>
        </is>
      </c>
      <c r="E548" s="75" t="inlineStr">
        <is>
          <t>junior_pl</t>
        </is>
      </c>
      <c r="F548" s="75" t="inlineStr">
        <is>
          <t>payload_documental</t>
        </is>
      </c>
      <c r="G548" s="75" t="inlineStr">
        <is>
          <t>861191</t>
        </is>
      </c>
      <c r="H548" s="75" t="inlineStr">
        <is>
          <t>documento_curado</t>
        </is>
      </c>
      <c r="I548" s="75" t="inlineStr">
        <is>
          <t>2025-03-13</t>
        </is>
      </c>
      <c r="J548" s="75" t="inlineStr">
        <is>
          <t>51</t>
        </is>
      </c>
      <c r="K548" s="75" t="inlineStr">
        <is>
          <t>aceito_payload</t>
        </is>
      </c>
      <c r="L548" s="144" t="n">
        <v>1</v>
      </c>
      <c r="M548" s="75" t="inlineStr">
        <is>
          <t>data/industry_study/generated_revision/artifact_payload.json</t>
        </is>
      </c>
      <c r="N548" s="75" t="inlineStr">
        <is>
          <t>https://fnet.bmfbovespa.com.br/fnet/publico/downloadDocumento?id=861191</t>
        </is>
      </c>
      <c r="O548" s="75" t="inlineStr">
        <is>
          <t>Índice de Subordinação Mezanino: cotas júnior / PL, mínimo de 1,0%.</t>
        </is>
      </c>
    </row>
    <row r="549" ht="43.5" customHeight="1">
      <c r="A549" s="142" t="n">
        <v>58171340000165</v>
      </c>
      <c r="B549" s="75" t="inlineStr">
        <is>
          <t>58.171.340/0001-65</t>
        </is>
      </c>
      <c r="C549" s="75" t="inlineStr">
        <is>
          <t>natureza_indice</t>
        </is>
      </c>
      <c r="D549" s="75" t="inlineStr">
        <is>
          <t>junior_pl</t>
        </is>
      </c>
      <c r="E549" s="75" t="inlineStr">
        <is>
          <t>junior_pl</t>
        </is>
      </c>
      <c r="F549" s="75" t="inlineStr">
        <is>
          <t>payload_documental</t>
        </is>
      </c>
      <c r="G549" s="75" t="inlineStr">
        <is>
          <t>861191</t>
        </is>
      </c>
      <c r="H549" s="75" t="inlineStr">
        <is>
          <t>documento_curado</t>
        </is>
      </c>
      <c r="I549" s="75" t="inlineStr">
        <is>
          <t>2025-03-13</t>
        </is>
      </c>
      <c r="J549" s="75" t="inlineStr">
        <is>
          <t>51</t>
        </is>
      </c>
      <c r="K549" s="75" t="inlineStr">
        <is>
          <t>aceito_payload</t>
        </is>
      </c>
      <c r="L549" s="144" t="n">
        <v>1</v>
      </c>
      <c r="M549" s="75" t="inlineStr">
        <is>
          <t>data/industry_study/generated_revision/artifact_payload.json</t>
        </is>
      </c>
      <c r="N549" s="75" t="inlineStr">
        <is>
          <t>https://fnet.bmfbovespa.com.br/fnet/publico/downloadDocumento?id=861191</t>
        </is>
      </c>
      <c r="O549" s="75" t="inlineStr">
        <is>
          <t>Índice de Subordinação Mezanino: cotas júnior / PL, mínimo de 1,0%.</t>
        </is>
      </c>
    </row>
    <row r="550" ht="43.5" customHeight="1">
      <c r="A550" s="142" t="n">
        <v>58171340000165</v>
      </c>
      <c r="B550" s="75" t="inlineStr">
        <is>
          <t>58.171.340/0001-65</t>
        </is>
      </c>
      <c r="C550" s="75" t="inlineStr">
        <is>
          <t>tipo_recebivel</t>
        </is>
      </c>
      <c r="D550" s="75" t="inlineStr">
        <is>
          <t>recebíveis supermercados</t>
        </is>
      </c>
      <c r="E550" s="75" t="inlineStr">
        <is>
          <t>N/D</t>
        </is>
      </c>
      <c r="F550" s="75" t="inlineStr">
        <is>
          <t>planilha_manual</t>
        </is>
      </c>
      <c r="G550" s="75" t="inlineStr">
        <is>
          <t>IMG_8706.JPG</t>
        </is>
      </c>
      <c r="H550" s="75" t="inlineStr">
        <is>
          <t>payload</t>
        </is>
      </c>
      <c r="I550" s="75" t="inlineStr">
        <is>
          <t>2025-03-13</t>
        </is>
      </c>
      <c r="J550" s="75" t="inlineStr">
        <is>
          <t>51</t>
        </is>
      </c>
      <c r="K550" s="75" t="inlineStr">
        <is>
          <t>aceito_payload</t>
        </is>
      </c>
      <c r="L550" s="144" t="n">
        <v>1</v>
      </c>
      <c r="M550" s="75" t="inlineStr">
        <is>
          <t>data/industry_study/generated_revision/artifact_payload.json</t>
        </is>
      </c>
      <c r="N550" s="75" t="inlineStr">
        <is>
          <t>N/D</t>
        </is>
      </c>
      <c r="O550" s="75" t="inlineStr">
        <is>
          <t>Denominação cortada pela largura da coluna na foto.</t>
        </is>
      </c>
    </row>
    <row r="551" ht="43.5" customHeight="1">
      <c r="A551" s="142" t="n">
        <v>58288437000152</v>
      </c>
      <c r="B551" s="75" t="inlineStr">
        <is>
          <t>58.288.437/0001-52</t>
        </is>
      </c>
      <c r="C551" s="75" t="inlineStr">
        <is>
          <t>cedente</t>
        </is>
      </c>
      <c r="D551" s="75" t="inlineStr">
        <is>
          <t>a ALTOMAX COMÉRCIO DE MEIAS E COBERTORES, IMPORTA ÇÃO E EXPORTAÇÃO LTDA , sociedade limitada, com sede na cidade de Foz do Iguaçu, estado do Paraná, na Av</t>
        </is>
      </c>
      <c r="E551" s="75" t="inlineStr">
        <is>
          <t>N/D</t>
        </is>
      </c>
      <c r="F551" s="75" t="inlineStr">
        <is>
          <t>regulamento</t>
        </is>
      </c>
      <c r="G551" s="75" t="inlineStr">
        <is>
          <t>935844</t>
        </is>
      </c>
      <c r="H551" s="75" t="inlineStr">
        <is>
          <t>regulamento</t>
        </is>
      </c>
      <c r="I551" s="75" t="inlineStr">
        <is>
          <t>2025-06-17</t>
        </is>
      </c>
      <c r="J551" s="75" t="inlineStr">
        <is>
          <t>71</t>
        </is>
      </c>
      <c r="K551" s="75" t="inlineStr">
        <is>
          <t>encontrado_explicito</t>
        </is>
      </c>
      <c r="L551" s="144" t="n">
        <v>0.95</v>
      </c>
      <c r="M551" s="75" t="inlineStr">
        <is>
          <t>data/raw/58288437000152/935844_regulamento_regulamento_935844_2025-06-17.pdf</t>
        </is>
      </c>
      <c r="N551" s="75" t="inlineStr">
        <is>
          <t>https://fnet.bmfbovespa.com.br/fnet/publico/downloadDocumento?id=935844</t>
        </is>
      </c>
      <c r="O551" s="75" t="inlineStr">
        <is>
          <t>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t>
        </is>
      </c>
    </row>
    <row r="552" ht="43.5" customHeight="1">
      <c r="A552" s="142" t="n">
        <v>58288437000152</v>
      </c>
      <c r="B552" s="75" t="inlineStr">
        <is>
          <t>58.288.437/0001-52</t>
        </is>
      </c>
      <c r="C552" s="75" t="inlineStr">
        <is>
          <t>cedente</t>
        </is>
      </c>
      <c r="D552" s="75" t="inlineStr">
        <is>
          <t>a ALTOMAX COMÉRCIO DE MEIAS E COBERTORES, IMPORTAÇÃO E EXPORTAÇÃO LTDA, sociedade limitada, com sede na cidade de Foz do Iguaçu, estado do Paraná, na Av</t>
        </is>
      </c>
      <c r="E552" s="75" t="inlineStr">
        <is>
          <t>N/D</t>
        </is>
      </c>
      <c r="F552" s="75" t="inlineStr">
        <is>
          <t>regulamento</t>
        </is>
      </c>
      <c r="G552" s="75" t="inlineStr">
        <is>
          <t>1090132</t>
        </is>
      </c>
      <c r="H552" s="75" t="inlineStr">
        <is>
          <t>regulamento</t>
        </is>
      </c>
      <c r="I552" s="75" t="inlineStr">
        <is>
          <t>2026-01-15</t>
        </is>
      </c>
      <c r="J552" s="75" t="inlineStr">
        <is>
          <t>83</t>
        </is>
      </c>
      <c r="K552" s="75" t="inlineStr">
        <is>
          <t>encontrado_explicito</t>
        </is>
      </c>
      <c r="L552" s="144" t="n">
        <v>0.95</v>
      </c>
      <c r="M552" s="75" t="inlineStr">
        <is>
          <t>data/raw/58288437000152/1090132_regulamento_regulamento_1090132_2026-01-15.pdf</t>
        </is>
      </c>
      <c r="N552" s="75" t="inlineStr">
        <is>
          <t>https://fnet.bmfbovespa.com.br/fnet/publico/downloadDocumento?id=1090132</t>
        </is>
      </c>
      <c r="O552" s="75" t="inlineStr">
        <is>
          <t>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t>
        </is>
      </c>
    </row>
    <row r="553" ht="43.5" customHeight="1">
      <c r="A553" s="142" t="n">
        <v>58288437000152</v>
      </c>
      <c r="B553" s="75" t="inlineStr">
        <is>
          <t>58.288.437/0001-52</t>
        </is>
      </c>
      <c r="C553" s="75" t="inlineStr">
        <is>
          <t>cedente</t>
        </is>
      </c>
      <c r="D553"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53" s="75" t="inlineStr">
        <is>
          <t>N/D</t>
        </is>
      </c>
      <c r="F553" s="75" t="inlineStr">
        <is>
          <t>regulamento</t>
        </is>
      </c>
      <c r="G553" s="75" t="inlineStr">
        <is>
          <t>1090132</t>
        </is>
      </c>
      <c r="H553" s="75" t="inlineStr">
        <is>
          <t>regulamento</t>
        </is>
      </c>
      <c r="I553" s="75" t="inlineStr">
        <is>
          <t>2026-01-15</t>
        </is>
      </c>
      <c r="J553" s="75" t="inlineStr">
        <is>
          <t>83</t>
        </is>
      </c>
      <c r="K553" s="75" t="inlineStr">
        <is>
          <t>encontrado_explicito</t>
        </is>
      </c>
      <c r="L553" s="144" t="n">
        <v>0.95</v>
      </c>
      <c r="M553" s="75" t="inlineStr">
        <is>
          <t>data/raw/58288437000152/1090132_regulamento_regulamento_1090132_2026-01-15.pdf</t>
        </is>
      </c>
      <c r="N553" s="75" t="inlineStr">
        <is>
          <t>https://fnet.bmfbovespa.com.br/fnet/publico/downloadDocumento?id=1090132</t>
        </is>
      </c>
      <c r="O553" s="75" t="inlineStr">
        <is>
          <t>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t>
        </is>
      </c>
    </row>
    <row r="554" ht="43.5" customHeight="1">
      <c r="A554" s="142" t="n">
        <v>58288437000152</v>
      </c>
      <c r="B554" s="75" t="inlineStr">
        <is>
          <t>58.288.437/0001-52</t>
        </is>
      </c>
      <c r="C554" s="75" t="inlineStr">
        <is>
          <t>cedente</t>
        </is>
      </c>
      <c r="D554" s="75" t="inlineStr">
        <is>
          <t>os titulares dos Direitos Creditórios – Adicionais, conforme aplicável, os quais serão (i) pessoas físicas e jurídicas integrantes do Grupo Econômico da Cedente Altomax</t>
        </is>
      </c>
      <c r="E554" s="75" t="inlineStr">
        <is>
          <t>N/D</t>
        </is>
      </c>
      <c r="F554" s="75" t="inlineStr">
        <is>
          <t>regulamento</t>
        </is>
      </c>
      <c r="G554" s="75" t="inlineStr">
        <is>
          <t>1090132</t>
        </is>
      </c>
      <c r="H554" s="75" t="inlineStr">
        <is>
          <t>regulamento</t>
        </is>
      </c>
      <c r="I554" s="75" t="inlineStr">
        <is>
          <t>2026-01-15</t>
        </is>
      </c>
      <c r="J554" s="75" t="inlineStr">
        <is>
          <t>83</t>
        </is>
      </c>
      <c r="K554" s="75" t="inlineStr">
        <is>
          <t>encontrado_explicito</t>
        </is>
      </c>
      <c r="L554" s="144" t="n">
        <v>0.95</v>
      </c>
      <c r="M554" s="75" t="inlineStr">
        <is>
          <t>data/raw/58288437000152/1090132_regulamento_regulamento_1090132_2026-01-15.pdf</t>
        </is>
      </c>
      <c r="N554" s="75" t="inlineStr">
        <is>
          <t>https://fnet.bmfbovespa.com.br/fnet/publico/downloadDocumento?id=1090132</t>
        </is>
      </c>
      <c r="O554" s="75" t="inlineStr">
        <is>
          <t>;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t>
        </is>
      </c>
    </row>
    <row r="555" ht="43.5" customHeight="1">
      <c r="A555" s="142" t="n">
        <v>58288437000152</v>
      </c>
      <c r="B555" s="75" t="inlineStr">
        <is>
          <t>58.288.437/0001-52</t>
        </is>
      </c>
      <c r="C555" s="75" t="inlineStr">
        <is>
          <t>cedente</t>
        </is>
      </c>
      <c r="D555" s="75" t="inlineStr">
        <is>
          <t>a ALTOMAX COMÉRCIO DE MEIAS E COBERTORES, IMPORTAÇÃO E EXPORTAÇÃO LTDA, sociedade limitada, com sede na cidade de Foz do Iguaçu, estado do Paraná, na Av</t>
        </is>
      </c>
      <c r="E555" s="75" t="inlineStr">
        <is>
          <t>N/D</t>
        </is>
      </c>
      <c r="F555" s="75" t="inlineStr">
        <is>
          <t>regulamento</t>
        </is>
      </c>
      <c r="G555" s="75" t="inlineStr">
        <is>
          <t>1240668</t>
        </is>
      </c>
      <c r="H555" s="75" t="inlineStr">
        <is>
          <t>Regulamento</t>
        </is>
      </c>
      <c r="I555" s="75" t="inlineStr">
        <is>
          <t>24/02/2026</t>
        </is>
      </c>
      <c r="J555" s="75" t="inlineStr">
        <is>
          <t>83</t>
        </is>
      </c>
      <c r="K555" s="75" t="inlineStr">
        <is>
          <t>encontrado_explicito</t>
        </is>
      </c>
      <c r="L555" s="144" t="n">
        <v>0.95</v>
      </c>
      <c r="M555" s="75" t="inlineStr">
        <is>
          <t>.cache/carteira_101_document_scan/58288437000152/1240668.json.gz</t>
        </is>
      </c>
      <c r="N555" s="75" t="inlineStr">
        <is>
          <t>https://fnet.bmfbovespa.com.br/fnet/publico/downloadDocumento?id=1240668</t>
        </is>
      </c>
      <c r="O555" s="75" t="inlineStr">
        <is>
          <t>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t>
        </is>
      </c>
    </row>
    <row r="556" ht="43.5" customHeight="1">
      <c r="A556" s="142" t="n">
        <v>58288437000152</v>
      </c>
      <c r="B556" s="75" t="inlineStr">
        <is>
          <t>58.288.437/0001-52</t>
        </is>
      </c>
      <c r="C556" s="75" t="inlineStr">
        <is>
          <t>cedente</t>
        </is>
      </c>
      <c r="D556" s="75" t="inlineStr">
        <is>
          <t>a AMEIZIN COMÉRCIO, IMPORTADORA E EXPORTADORA LTDA., sociedade limitada, com sede na cidade de Foz do Igaçu, no estado do Paraná, na Av Perimetral Leste, nº 8.119, Distrito Industrial de Foz do Iguaçu – Morumbi, CEP 85858- 760, inscrita no CNPJ/MF 42.144.433/0001-60</t>
        </is>
      </c>
      <c r="E556" s="75" t="inlineStr">
        <is>
          <t>N/D</t>
        </is>
      </c>
      <c r="F556" s="75" t="inlineStr">
        <is>
          <t>regulamento</t>
        </is>
      </c>
      <c r="G556" s="75" t="inlineStr">
        <is>
          <t>1240668</t>
        </is>
      </c>
      <c r="H556" s="75" t="inlineStr">
        <is>
          <t>Regulamento</t>
        </is>
      </c>
      <c r="I556" s="75" t="inlineStr">
        <is>
          <t>24/02/2026</t>
        </is>
      </c>
      <c r="J556" s="75" t="inlineStr">
        <is>
          <t>83</t>
        </is>
      </c>
      <c r="K556" s="75" t="inlineStr">
        <is>
          <t>encontrado_explicito</t>
        </is>
      </c>
      <c r="L556" s="144" t="n">
        <v>0.95</v>
      </c>
      <c r="M556" s="75" t="inlineStr">
        <is>
          <t>.cache/carteira_101_document_scan/58288437000152/1240668.json.gz</t>
        </is>
      </c>
      <c r="N556" s="75" t="inlineStr">
        <is>
          <t>https://fnet.bmfbovespa.com.br/fnet/publico/downloadDocumento?id=1240668</t>
        </is>
      </c>
      <c r="O556" s="75" t="inlineStr">
        <is>
          <t>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t>
        </is>
      </c>
    </row>
    <row r="557" ht="43.5" customHeight="1">
      <c r="A557" s="142" t="n">
        <v>58288437000152</v>
      </c>
      <c r="B557" s="75" t="inlineStr">
        <is>
          <t>58.288.437/0001-52</t>
        </is>
      </c>
      <c r="C557" s="75" t="inlineStr">
        <is>
          <t>cedente</t>
        </is>
      </c>
      <c r="D557" s="75" t="inlineStr">
        <is>
          <t>os titulares dos Direitos Creditórios – Adicionais, conforme aplicável, os quais serão (i) pessoas físicas e jurídicas integrantes do Grupo Econômico da Cedente Altomax</t>
        </is>
      </c>
      <c r="E557" s="75" t="inlineStr">
        <is>
          <t>N/D</t>
        </is>
      </c>
      <c r="F557" s="75" t="inlineStr">
        <is>
          <t>regulamento</t>
        </is>
      </c>
      <c r="G557" s="75" t="inlineStr">
        <is>
          <t>1240668</t>
        </is>
      </c>
      <c r="H557" s="75" t="inlineStr">
        <is>
          <t>Regulamento</t>
        </is>
      </c>
      <c r="I557" s="75" t="inlineStr">
        <is>
          <t>24/02/2026</t>
        </is>
      </c>
      <c r="J557" s="75" t="inlineStr">
        <is>
          <t>83</t>
        </is>
      </c>
      <c r="K557" s="75" t="inlineStr">
        <is>
          <t>encontrado_explicito</t>
        </is>
      </c>
      <c r="L557" s="144" t="n">
        <v>0.95</v>
      </c>
      <c r="M557" s="75" t="inlineStr">
        <is>
          <t>.cache/carteira_101_document_scan/58288437000152/1240668.json.gz</t>
        </is>
      </c>
      <c r="N557" s="75" t="inlineStr">
        <is>
          <t>https://fnet.bmfbovespa.com.br/fnet/publico/downloadDocumento?id=1240668</t>
        </is>
      </c>
      <c r="O557" s="75" t="inlineStr">
        <is>
          <t>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t>
        </is>
      </c>
    </row>
    <row r="558" ht="43.5" customHeight="1">
      <c r="A558" s="142" t="n">
        <v>58288437000152</v>
      </c>
      <c r="B558" s="75" t="inlineStr">
        <is>
          <t>58.288.437/0001-52</t>
        </is>
      </c>
      <c r="C558" s="75" t="inlineStr">
        <is>
          <t>cedente</t>
        </is>
      </c>
      <c r="D558" s="75" t="inlineStr">
        <is>
          <t>o Conselho Monetário Nacional</t>
        </is>
      </c>
      <c r="E558" s="75" t="inlineStr">
        <is>
          <t>N/D</t>
        </is>
      </c>
      <c r="F558" s="75" t="inlineStr">
        <is>
          <t>assembleia</t>
        </is>
      </c>
      <c r="G558" s="75" t="inlineStr">
        <is>
          <t>1090126</t>
        </is>
      </c>
      <c r="H558" s="75" t="inlineStr">
        <is>
          <t>Assembleia AGE Ata da Assembleia</t>
        </is>
      </c>
      <c r="I558" s="75" t="inlineStr">
        <is>
          <t>15/01/2026 15:00</t>
        </is>
      </c>
      <c r="J558" s="75" t="inlineStr">
        <is>
          <t>3</t>
        </is>
      </c>
      <c r="K558" s="75" t="inlineStr">
        <is>
          <t>encontrado_explicito</t>
        </is>
      </c>
      <c r="L558" s="144" t="n">
        <v>0.95</v>
      </c>
      <c r="M558" s="75" t="inlineStr">
        <is>
          <t>.cache/carteira_101_document_scan/58288437000152/1090126.json.gz</t>
        </is>
      </c>
      <c r="N558" s="75" t="inlineStr">
        <is>
          <t>https://fnet.bmfbovespa.com.br/fnet/publico/downloadDocumento?id=1090126</t>
        </is>
      </c>
      <c r="O558" s="75" t="inlineStr">
        <is>
          <t>em valor limitado ao valor do Excesso de Cobertura, nos termos do Artigo 3.1.1; “COMPLEMENTO I – DEFINIÇÕES [...] “Cedentes Adicionais” significa o Conselho Monetário Nacional. “Cedente Ameizin” significam os titulares dos Direitos Creditórios – Adicionais, conforme aplicável, os quais serão</t>
        </is>
      </c>
    </row>
    <row r="559" ht="43.5" customHeight="1">
      <c r="A559" s="142" t="n">
        <v>58288437000152</v>
      </c>
      <c r="B559" s="75" t="inlineStr">
        <is>
          <t>58.288.437/0001-52</t>
        </is>
      </c>
      <c r="C559" s="75" t="inlineStr">
        <is>
          <t>cedente</t>
        </is>
      </c>
      <c r="D559" s="75" t="inlineStr">
        <is>
          <t>os titulares dos Direitos Creditórios – Adicionais, conforme aplicável, os quais serão (i) pessoas físicas e jurídicas integrantes do Grupo Econômico da Cedente Altomax</t>
        </is>
      </c>
      <c r="E559" s="75" t="inlineStr">
        <is>
          <t>N/D</t>
        </is>
      </c>
      <c r="F559" s="75" t="inlineStr">
        <is>
          <t>assembleia</t>
        </is>
      </c>
      <c r="G559" s="75" t="inlineStr">
        <is>
          <t>1090126</t>
        </is>
      </c>
      <c r="H559" s="75" t="inlineStr">
        <is>
          <t>Assembleia AGE Ata da Assembleia</t>
        </is>
      </c>
      <c r="I559" s="75" t="inlineStr">
        <is>
          <t>15/01/2026 15:00</t>
        </is>
      </c>
      <c r="J559" s="75" t="inlineStr">
        <is>
          <t>3</t>
        </is>
      </c>
      <c r="K559" s="75" t="inlineStr">
        <is>
          <t>encontrado_explicito</t>
        </is>
      </c>
      <c r="L559" s="144" t="n">
        <v>0.95</v>
      </c>
      <c r="M559" s="75" t="inlineStr">
        <is>
          <t>.cache/carteira_101_document_scan/58288437000152/1090126.json.gz</t>
        </is>
      </c>
      <c r="N559" s="75" t="inlineStr">
        <is>
          <t>https://fnet.bmfbovespa.com.br/fnet/publico/downloadDocumento?id=1090126</t>
        </is>
      </c>
      <c r="O559" s="75" t="inlineStr">
        <is>
          <t>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t>
        </is>
      </c>
    </row>
    <row r="560" ht="43.5" customHeight="1">
      <c r="A560" s="142" t="n">
        <v>58288437000152</v>
      </c>
      <c r="B560" s="75" t="inlineStr">
        <is>
          <t>58.288.437/0001-52</t>
        </is>
      </c>
      <c r="C560" s="75" t="inlineStr">
        <is>
          <t>cedente</t>
        </is>
      </c>
      <c r="D560"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60" s="75" t="inlineStr">
        <is>
          <t>N/D</t>
        </is>
      </c>
      <c r="F560" s="75" t="inlineStr">
        <is>
          <t>assembleia</t>
        </is>
      </c>
      <c r="G560" s="75" t="inlineStr">
        <is>
          <t>1090126</t>
        </is>
      </c>
      <c r="H560" s="75" t="inlineStr">
        <is>
          <t>Assembleia AGE Ata da Assembleia</t>
        </is>
      </c>
      <c r="I560" s="75" t="inlineStr">
        <is>
          <t>15/01/2026 15:00</t>
        </is>
      </c>
      <c r="J560" s="75" t="inlineStr">
        <is>
          <t>4</t>
        </is>
      </c>
      <c r="K560" s="75" t="inlineStr">
        <is>
          <t>encontrado_explicito</t>
        </is>
      </c>
      <c r="L560" s="144" t="n">
        <v>0.95</v>
      </c>
      <c r="M560" s="75" t="inlineStr">
        <is>
          <t>.cache/carteira_101_document_scan/58288437000152/1090126.json.gz</t>
        </is>
      </c>
      <c r="N560" s="75" t="inlineStr">
        <is>
          <t>https://fnet.bmfbovespa.com.br/fnet/publico/downloadDocumento?id=1090126</t>
        </is>
      </c>
      <c r="O560" s="75" t="inlineStr">
        <is>
          <t>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t>
        </is>
      </c>
    </row>
    <row r="561" ht="43.5" customHeight="1">
      <c r="A561" s="142" t="n">
        <v>58288437000152</v>
      </c>
      <c r="B561" s="75" t="inlineStr">
        <is>
          <t>58.288.437/0001-52</t>
        </is>
      </c>
      <c r="C561" s="75" t="inlineStr">
        <is>
          <t>cedente</t>
        </is>
      </c>
      <c r="D561" s="75" t="inlineStr">
        <is>
          <t>08.307.549/0001-35</t>
        </is>
      </c>
      <c r="E561" s="75" t="inlineStr">
        <is>
          <t>N/D</t>
        </is>
      </c>
      <c r="F561" s="75" t="inlineStr">
        <is>
          <t>candidate_extraction</t>
        </is>
      </c>
      <c r="G561" s="75" t="inlineStr">
        <is>
          <t>58288437000152</t>
        </is>
      </c>
      <c r="H561" s="75" t="inlineStr">
        <is>
          <t>extração heurística</t>
        </is>
      </c>
      <c r="I561" s="75" t="inlineStr">
        <is>
          <t>N/D</t>
        </is>
      </c>
      <c r="J561" s="75" t="inlineStr">
        <is>
          <t>N/D</t>
        </is>
      </c>
      <c r="K561" s="75" t="inlineStr">
        <is>
          <t>candidato_revisao</t>
        </is>
      </c>
      <c r="L561" s="144" t="n">
        <v>0.95</v>
      </c>
      <c r="M561" s="75" t="inlineStr">
        <is>
          <t>outputs/fidc_director_deep_diagnostic_20260609/pdf_text_cache/58288437000152_1090132_regulamento_regulamento_1090132_2026-01-15.txt</t>
        </is>
      </c>
      <c r="N561" s="75" t="inlineStr">
        <is>
          <t>https://fnet.bmfbovespa.com.br/fnet/publico/downloadDocumento?id=58288437000152</t>
        </is>
      </c>
      <c r="O561" s="75" t="inlineStr">
        <is>
          <t>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t>
        </is>
      </c>
    </row>
    <row r="562" ht="43.5" customHeight="1">
      <c r="A562" s="142" t="n">
        <v>58288437000152</v>
      </c>
      <c r="B562" s="75" t="inlineStr">
        <is>
          <t>58.288.437/0001-52</t>
        </is>
      </c>
      <c r="C562" s="75" t="inlineStr">
        <is>
          <t>cedente</t>
        </is>
      </c>
      <c r="D562" s="75" t="inlineStr">
        <is>
          <t>42.144.433/0001-60</t>
        </is>
      </c>
      <c r="E562" s="75" t="inlineStr">
        <is>
          <t>N/D</t>
        </is>
      </c>
      <c r="F562" s="75" t="inlineStr">
        <is>
          <t>candidate_extraction</t>
        </is>
      </c>
      <c r="G562" s="75" t="inlineStr">
        <is>
          <t>58288437000152</t>
        </is>
      </c>
      <c r="H562" s="75" t="inlineStr">
        <is>
          <t>extração heurística</t>
        </is>
      </c>
      <c r="I562" s="75" t="inlineStr">
        <is>
          <t>N/D</t>
        </is>
      </c>
      <c r="J562" s="75" t="inlineStr">
        <is>
          <t>N/D</t>
        </is>
      </c>
      <c r="K562" s="75" t="inlineStr">
        <is>
          <t>candidato_revisao</t>
        </is>
      </c>
      <c r="L562" s="144" t="n">
        <v>0.95</v>
      </c>
      <c r="M562" s="75" t="inlineStr">
        <is>
          <t>outputs/fidc_director_deep_diagnostic_20260609/pdf_text_cache/58288437000152_1090132_regulamento_regulamento_1090132_2026-01-15.txt</t>
        </is>
      </c>
      <c r="N562" s="75" t="inlineStr">
        <is>
          <t>https://fnet.bmfbovespa.com.br/fnet/publico/downloadDocumento?id=58288437000152</t>
        </is>
      </c>
      <c r="O562" s="75" t="inlineStr">
        <is>
          <t>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t>
        </is>
      </c>
    </row>
    <row r="563" ht="43.5" customHeight="1">
      <c r="A563" s="142" t="n">
        <v>58288437000152</v>
      </c>
      <c r="B563" s="75" t="inlineStr">
        <is>
          <t>58.288.437/0001-52</t>
        </is>
      </c>
      <c r="C563" s="75" t="inlineStr">
        <is>
          <t>cedente</t>
        </is>
      </c>
      <c r="D563" s="75" t="inlineStr">
        <is>
          <t>32.321.306/0001-36</t>
        </is>
      </c>
      <c r="E563" s="75" t="inlineStr">
        <is>
          <t>N/D</t>
        </is>
      </c>
      <c r="F563" s="75" t="inlineStr">
        <is>
          <t>candidate_extraction</t>
        </is>
      </c>
      <c r="G563" s="75" t="inlineStr">
        <is>
          <t>58288437000152</t>
        </is>
      </c>
      <c r="H563" s="75" t="inlineStr">
        <is>
          <t>extração heurística</t>
        </is>
      </c>
      <c r="I563" s="75" t="inlineStr">
        <is>
          <t>N/D</t>
        </is>
      </c>
      <c r="J563" s="75" t="inlineStr">
        <is>
          <t>N/D</t>
        </is>
      </c>
      <c r="K563" s="75" t="inlineStr">
        <is>
          <t>candidato_revisao</t>
        </is>
      </c>
      <c r="L563" s="144" t="n">
        <v>0.95</v>
      </c>
      <c r="M563" s="75" t="inlineStr">
        <is>
          <t>outputs/fidc_director_deep_diagnostic_20260609/pdf_text_cache/58288437000152_1090132_regulamento_regulamento_1090132_2026-01-15.txt</t>
        </is>
      </c>
      <c r="N563" s="75" t="inlineStr">
        <is>
          <t>https://fnet.bmfbovespa.com.br/fnet/publico/downloadDocumento?id=58288437000152</t>
        </is>
      </c>
      <c r="O563" s="75" t="inlineStr">
        <is>
          <t>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t>
        </is>
      </c>
    </row>
    <row r="564" ht="43.5" customHeight="1">
      <c r="A564" s="142" t="n">
        <v>58288437000152</v>
      </c>
      <c r="B564" s="75" t="inlineStr">
        <is>
          <t>58.288.437/0001-52</t>
        </is>
      </c>
      <c r="C564" s="75" t="inlineStr">
        <is>
          <t>minimo_junior</t>
        </is>
      </c>
      <c r="D564" s="75" t="inlineStr">
        <is>
          <t>20%</t>
        </is>
      </c>
      <c r="E564" s="75" t="inlineStr">
        <is>
          <t>junior_pl</t>
        </is>
      </c>
      <c r="F564" s="75" t="inlineStr">
        <is>
          <t>payload_documental</t>
        </is>
      </c>
      <c r="G564" s="75" t="inlineStr">
        <is>
          <t>1240668</t>
        </is>
      </c>
      <c r="H564" s="75" t="inlineStr">
        <is>
          <t>documento_curado</t>
        </is>
      </c>
      <c r="I564" s="75" t="inlineStr">
        <is>
          <t>2026-02-24</t>
        </is>
      </c>
      <c r="J564" s="75" t="inlineStr">
        <is>
          <t>94</t>
        </is>
      </c>
      <c r="K564" s="75" t="inlineStr">
        <is>
          <t>aceito_payload</t>
        </is>
      </c>
      <c r="L564" s="144" t="n">
        <v>1</v>
      </c>
      <c r="M564" s="75" t="inlineStr">
        <is>
          <t>data/industry_study/generated_revision/artifact_payload.json</t>
        </is>
      </c>
      <c r="N564" s="75" t="inlineStr">
        <is>
          <t>https://fnet.bmfbovespa.com.br/fnet/publico/downloadDocumento?id=1240668</t>
        </is>
      </c>
      <c r="O564" s="75" t="inlineStr">
        <is>
          <t>Índice de Subordinação Mezanino: cotas júnior / PL, mínimo de 20,0%.</t>
        </is>
      </c>
    </row>
    <row r="565" ht="43.5" customHeight="1">
      <c r="A565" s="142" t="n">
        <v>58288437000152</v>
      </c>
      <c r="B565" s="75" t="inlineStr">
        <is>
          <t>58.288.437/0001-52</t>
        </is>
      </c>
      <c r="C565" s="75" t="inlineStr">
        <is>
          <t>natureza_indice</t>
        </is>
      </c>
      <c r="D565" s="75" t="inlineStr">
        <is>
          <t>junior_pl</t>
        </is>
      </c>
      <c r="E565" s="75" t="inlineStr">
        <is>
          <t>junior_pl</t>
        </is>
      </c>
      <c r="F565" s="75" t="inlineStr">
        <is>
          <t>payload_documental</t>
        </is>
      </c>
      <c r="G565" s="75" t="inlineStr">
        <is>
          <t>1240668</t>
        </is>
      </c>
      <c r="H565" s="75" t="inlineStr">
        <is>
          <t>documento_curado</t>
        </is>
      </c>
      <c r="I565" s="75" t="inlineStr">
        <is>
          <t>2026-02-24</t>
        </is>
      </c>
      <c r="J565" s="75" t="inlineStr">
        <is>
          <t>94</t>
        </is>
      </c>
      <c r="K565" s="75" t="inlineStr">
        <is>
          <t>aceito_payload</t>
        </is>
      </c>
      <c r="L565" s="144" t="n">
        <v>1</v>
      </c>
      <c r="M565" s="75" t="inlineStr">
        <is>
          <t>data/industry_study/generated_revision/artifact_payload.json</t>
        </is>
      </c>
      <c r="N565" s="75" t="inlineStr">
        <is>
          <t>https://fnet.bmfbovespa.com.br/fnet/publico/downloadDocumento?id=1240668</t>
        </is>
      </c>
      <c r="O565" s="75" t="inlineStr">
        <is>
          <t>Índice de Subordinação Mezanino: cotas júnior / PL, mínimo de 20,0%.</t>
        </is>
      </c>
    </row>
    <row r="566" ht="43.5" customHeight="1">
      <c r="A566" s="142" t="n">
        <v>58288437000152</v>
      </c>
      <c r="B566" s="75" t="inlineStr">
        <is>
          <t>58.288.437/0001-52</t>
        </is>
      </c>
      <c r="C566" s="75" t="inlineStr">
        <is>
          <t>sacado_devedor</t>
        </is>
      </c>
      <c r="D566" s="75" t="inlineStr">
        <is>
          <t>os seguintes Devedores - Duplicatas: · EBAZAR.COM.BR</t>
        </is>
      </c>
      <c r="E566" s="75" t="inlineStr">
        <is>
          <t>N/D</t>
        </is>
      </c>
      <c r="F566" s="75" t="inlineStr">
        <is>
          <t>regulamento</t>
        </is>
      </c>
      <c r="G566" s="75" t="inlineStr">
        <is>
          <t>935844</t>
        </is>
      </c>
      <c r="H566" s="75" t="inlineStr">
        <is>
          <t>regulamento</t>
        </is>
      </c>
      <c r="I566" s="75" t="inlineStr">
        <is>
          <t>2025-06-17</t>
        </is>
      </c>
      <c r="J566" s="75" t="inlineStr">
        <is>
          <t>75</t>
        </is>
      </c>
      <c r="K566" s="75" t="inlineStr">
        <is>
          <t>encontrado_explicito</t>
        </is>
      </c>
      <c r="L566" s="144" t="n">
        <v>0.95</v>
      </c>
      <c r="M566" s="75" t="inlineStr">
        <is>
          <t>data/raw/58288437000152/935844_regulamento_regulamento_935844_2025-06-17.pdf</t>
        </is>
      </c>
      <c r="N566" s="75" t="inlineStr">
        <is>
          <t>https://fnet.bmfbovespa.com.br/fnet/publico/downloadDocumento?id=935844</t>
        </is>
      </c>
      <c r="O566" s="75" t="inlineStr">
        <is>
          <t>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t>
        </is>
      </c>
    </row>
    <row r="567" ht="43.5" customHeight="1">
      <c r="A567" s="142" t="n">
        <v>58288437000152</v>
      </c>
      <c r="B567" s="75" t="inlineStr">
        <is>
          <t>58.288.437/0001-52</t>
        </is>
      </c>
      <c r="C567" s="75" t="inlineStr">
        <is>
          <t>sacado_devedor</t>
        </is>
      </c>
      <c r="D567" s="75" t="inlineStr">
        <is>
          <t>os devedores dos Direitos Creditórios – Adicionais, cedidos ao Fundo pelos Cedentes Adicionais ou emitidos diretamente em face do Fundo, conforme aplicável, os quais serão pessoas físicas e jurídicas integrantes do Grupo Econômico da Cedente Altomax</t>
        </is>
      </c>
      <c r="E567" s="75" t="inlineStr">
        <is>
          <t>N/D</t>
        </is>
      </c>
      <c r="F567" s="75" t="inlineStr">
        <is>
          <t>regulamento</t>
        </is>
      </c>
      <c r="G567" s="75" t="inlineStr">
        <is>
          <t>1090132</t>
        </is>
      </c>
      <c r="H567" s="75" t="inlineStr">
        <is>
          <t>regulamento</t>
        </is>
      </c>
      <c r="I567" s="75" t="inlineStr">
        <is>
          <t>2026-01-15</t>
        </is>
      </c>
      <c r="J567" s="75" t="inlineStr">
        <is>
          <t>87</t>
        </is>
      </c>
      <c r="K567" s="75" t="inlineStr">
        <is>
          <t>encontrado_explicito</t>
        </is>
      </c>
      <c r="L567" s="144" t="n">
        <v>0.95</v>
      </c>
      <c r="M567" s="75" t="inlineStr">
        <is>
          <t>data/raw/58288437000152/1090132_regulamento_regulamento_1090132_2026-01-15.pdf</t>
        </is>
      </c>
      <c r="N567" s="75" t="inlineStr">
        <is>
          <t>https://fnet.bmfbovespa.com.br/fnet/publico/downloadDocumento?id=1090132</t>
        </is>
      </c>
      <c r="O567" s="75" t="inlineStr">
        <is>
          <t>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t>
        </is>
      </c>
    </row>
    <row r="568" ht="43.5" customHeight="1">
      <c r="A568" s="142" t="n">
        <v>58288437000152</v>
      </c>
      <c r="B568" s="75" t="inlineStr">
        <is>
          <t>58.288.437/0001-52</t>
        </is>
      </c>
      <c r="C568" s="75" t="inlineStr">
        <is>
          <t>sacado_devedor</t>
        </is>
      </c>
      <c r="D568" s="75" t="inlineStr">
        <is>
          <t>os seguintes Devedores - Duplicatas:</t>
        </is>
      </c>
      <c r="E568" s="75" t="inlineStr">
        <is>
          <t>N/D</t>
        </is>
      </c>
      <c r="F568" s="75" t="inlineStr">
        <is>
          <t>regulamento</t>
        </is>
      </c>
      <c r="G568" s="75" t="inlineStr">
        <is>
          <t>1090132</t>
        </is>
      </c>
      <c r="H568" s="75" t="inlineStr">
        <is>
          <t>regulamento</t>
        </is>
      </c>
      <c r="I568" s="75" t="inlineStr">
        <is>
          <t>2026-01-15</t>
        </is>
      </c>
      <c r="J568" s="75" t="inlineStr">
        <is>
          <t>88</t>
        </is>
      </c>
      <c r="K568" s="75" t="inlineStr">
        <is>
          <t>encontrado_explicito</t>
        </is>
      </c>
      <c r="L568" s="144" t="n">
        <v>0.95</v>
      </c>
      <c r="M568" s="75" t="inlineStr">
        <is>
          <t>data/raw/58288437000152/1090132_regulamento_regulamento_1090132_2026-01-15.pdf</t>
        </is>
      </c>
      <c r="N568" s="75" t="inlineStr">
        <is>
          <t>https://fnet.bmfbovespa.com.br/fnet/publico/downloadDocumento?id=1090132</t>
        </is>
      </c>
      <c r="O568" s="75" t="inlineStr">
        <is>
          <t>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69" ht="43.5" customHeight="1">
      <c r="A569" s="142" t="n">
        <v>58288437000152</v>
      </c>
      <c r="B569" s="75" t="inlineStr">
        <is>
          <t>58.288.437/0001-52</t>
        </is>
      </c>
      <c r="C569" s="75" t="inlineStr">
        <is>
          <t>sacado_devedor</t>
        </is>
      </c>
      <c r="D569"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E569" s="75" t="inlineStr">
        <is>
          <t>N/D</t>
        </is>
      </c>
      <c r="F569" s="75" t="inlineStr">
        <is>
          <t>regulamento</t>
        </is>
      </c>
      <c r="G569" s="75" t="inlineStr">
        <is>
          <t>1240668</t>
        </is>
      </c>
      <c r="H569" s="75" t="inlineStr">
        <is>
          <t>Regulamento</t>
        </is>
      </c>
      <c r="I569" s="75" t="inlineStr">
        <is>
          <t>24/02/2026</t>
        </is>
      </c>
      <c r="J569" s="75" t="inlineStr">
        <is>
          <t>87</t>
        </is>
      </c>
      <c r="K569" s="75" t="inlineStr">
        <is>
          <t>encontrado_explicito</t>
        </is>
      </c>
      <c r="L569" s="144" t="n">
        <v>0.95</v>
      </c>
      <c r="M569" s="75" t="inlineStr">
        <is>
          <t>.cache/carteira_101_document_scan/58288437000152/1240668.json.gz</t>
        </is>
      </c>
      <c r="N569" s="75" t="inlineStr">
        <is>
          <t>https://fnet.bmfbovespa.com.br/fnet/publico/downloadDocumento?id=1240668</t>
        </is>
      </c>
      <c r="O569" s="75" t="inlineStr">
        <is>
          <t>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t>
        </is>
      </c>
    </row>
    <row r="570" ht="43.5" customHeight="1">
      <c r="A570" s="142" t="n">
        <v>58288437000152</v>
      </c>
      <c r="B570" s="75" t="inlineStr">
        <is>
          <t>58.288.437/0001-52</t>
        </is>
      </c>
      <c r="C570" s="75" t="inlineStr">
        <is>
          <t>sacado_devedor</t>
        </is>
      </c>
      <c r="D570" s="75" t="inlineStr">
        <is>
          <t>os seguintes Devedores - Duplicatas:</t>
        </is>
      </c>
      <c r="E570" s="75" t="inlineStr">
        <is>
          <t>N/D</t>
        </is>
      </c>
      <c r="F570" s="75" t="inlineStr">
        <is>
          <t>regulamento</t>
        </is>
      </c>
      <c r="G570" s="75" t="inlineStr">
        <is>
          <t>1240668</t>
        </is>
      </c>
      <c r="H570" s="75" t="inlineStr">
        <is>
          <t>Regulamento</t>
        </is>
      </c>
      <c r="I570" s="75" t="inlineStr">
        <is>
          <t>24/02/2026</t>
        </is>
      </c>
      <c r="J570" s="75" t="inlineStr">
        <is>
          <t>88</t>
        </is>
      </c>
      <c r="K570" s="75" t="inlineStr">
        <is>
          <t>encontrado_explicito</t>
        </is>
      </c>
      <c r="L570" s="144" t="n">
        <v>0.95</v>
      </c>
      <c r="M570" s="75" t="inlineStr">
        <is>
          <t>.cache/carteira_101_document_scan/58288437000152/1240668.json.gz</t>
        </is>
      </c>
      <c r="N570" s="75" t="inlineStr">
        <is>
          <t>https://fnet.bmfbovespa.com.br/fnet/publico/downloadDocumento?id=1240668</t>
        </is>
      </c>
      <c r="O570" s="75" t="inlineStr">
        <is>
          <t>–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71" ht="43.5" customHeight="1">
      <c r="A571" s="142" t="n">
        <v>58288437000152</v>
      </c>
      <c r="B571" s="75" t="inlineStr">
        <is>
          <t>58.288.437/0001-52</t>
        </is>
      </c>
      <c r="C571" s="75" t="inlineStr">
        <is>
          <t>sacado_devedor</t>
        </is>
      </c>
      <c r="D571" s="75" t="inlineStr">
        <is>
          <t>os seguintes Devedores - Duplicatas cedidos ao Fundo: · EBAZAR.COM.BR</t>
        </is>
      </c>
      <c r="E571" s="75" t="inlineStr">
        <is>
          <t>N/D</t>
        </is>
      </c>
      <c r="F571" s="75" t="inlineStr">
        <is>
          <t>assembleia</t>
        </is>
      </c>
      <c r="G571" s="75" t="inlineStr">
        <is>
          <t>845768</t>
        </is>
      </c>
      <c r="H571" s="75" t="inlineStr">
        <is>
          <t>assembleia</t>
        </is>
      </c>
      <c r="I571" s="75" t="inlineStr">
        <is>
          <t>2025-02-18</t>
        </is>
      </c>
      <c r="J571" s="75" t="inlineStr">
        <is>
          <t>8</t>
        </is>
      </c>
      <c r="K571" s="75" t="inlineStr">
        <is>
          <t>encontrado_explicito</t>
        </is>
      </c>
      <c r="L571" s="144" t="n">
        <v>0.95</v>
      </c>
      <c r="M571" s="75" t="inlineStr">
        <is>
          <t>data/raw/58288437000152/845768_assembleia_assembleia_845768_2025-02-18.pdf</t>
        </is>
      </c>
      <c r="N571" s="75" t="inlineStr">
        <is>
          <t>https://fnet.bmfbovespa.com.br/fnet/publico/downloadDocumento?id=845768</t>
        </is>
      </c>
      <c r="O571" s="75" t="inlineStr">
        <is>
          <t>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t>
        </is>
      </c>
    </row>
    <row r="572" ht="43.5" customHeight="1">
      <c r="A572" s="142" t="n">
        <v>58288437000152</v>
      </c>
      <c r="B572" s="75" t="inlineStr">
        <is>
          <t>58.288.437/0001-52</t>
        </is>
      </c>
      <c r="C572" s="75" t="inlineStr">
        <is>
          <t>sacado_devedor</t>
        </is>
      </c>
      <c r="D572" s="75" t="inlineStr">
        <is>
          <t>E PARA O DEVEDOR ESPECIAL EBAZAR.COM.BR. LTDA</t>
        </is>
      </c>
      <c r="E572" s="75" t="inlineStr">
        <is>
          <t>N/D</t>
        </is>
      </c>
      <c r="F572" s="75" t="inlineStr">
        <is>
          <t>candidate_extraction</t>
        </is>
      </c>
      <c r="G572" s="75" t="inlineStr">
        <is>
          <t>58288437000152</t>
        </is>
      </c>
      <c r="H572" s="75" t="inlineStr">
        <is>
          <t>extração heurística</t>
        </is>
      </c>
      <c r="I572" s="75" t="inlineStr">
        <is>
          <t>N/D</t>
        </is>
      </c>
      <c r="J572" s="75" t="inlineStr">
        <is>
          <t>N/D</t>
        </is>
      </c>
      <c r="K572" s="75" t="inlineStr">
        <is>
          <t>candidato_revisao</t>
        </is>
      </c>
      <c r="L572" s="144" t="n">
        <v>0.95</v>
      </c>
      <c r="M572" s="75" t="inlineStr">
        <is>
          <t>outputs/fidc_director_deep_diagnostic_20260609/pdf_text_cache/58288437000152_1090132_regulamento_regulamento_1090132_2026-01-15.txt</t>
        </is>
      </c>
      <c r="N572" s="75" t="inlineStr">
        <is>
          <t>https://fnet.bmfbovespa.com.br/fnet/publico/downloadDocumento?id=58288437000152</t>
        </is>
      </c>
      <c r="O572" s="75" t="inlineStr">
        <is>
          <t>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t>
        </is>
      </c>
    </row>
    <row r="573" ht="43.5" customHeight="1">
      <c r="A573" s="142" t="n">
        <v>58288437000152</v>
      </c>
      <c r="B573" s="75" t="inlineStr">
        <is>
          <t>58.288.437/0001-52</t>
        </is>
      </c>
      <c r="C573" s="75" t="inlineStr">
        <is>
          <t>sacado_devedor</t>
        </is>
      </c>
      <c r="D573" s="75" t="inlineStr">
        <is>
          <t>EBAZAR.COM.BR. LTDA</t>
        </is>
      </c>
      <c r="E573" s="75" t="inlineStr">
        <is>
          <t>N/D</t>
        </is>
      </c>
      <c r="F573" s="75" t="inlineStr">
        <is>
          <t>candidate_extraction</t>
        </is>
      </c>
      <c r="G573" s="75" t="inlineStr">
        <is>
          <t>58288437000152</t>
        </is>
      </c>
      <c r="H573" s="75" t="inlineStr">
        <is>
          <t>extração heurística</t>
        </is>
      </c>
      <c r="I573" s="75" t="inlineStr">
        <is>
          <t>N/D</t>
        </is>
      </c>
      <c r="J573" s="75" t="inlineStr">
        <is>
          <t>N/D</t>
        </is>
      </c>
      <c r="K573" s="75" t="inlineStr">
        <is>
          <t>candidato_revisao</t>
        </is>
      </c>
      <c r="L573" s="144" t="n">
        <v>0.95</v>
      </c>
      <c r="M573" s="75" t="inlineStr">
        <is>
          <t>outputs/fidc_director_deep_diagnostic_20260609/pdf_text_cache/58288437000152_1090132_regulamento_regulamento_1090132_2026-01-15.txt</t>
        </is>
      </c>
      <c r="N573" s="75" t="inlineStr">
        <is>
          <t>https://fnet.bmfbovespa.com.br/fnet/publico/downloadDocumento?id=58288437000152</t>
        </is>
      </c>
      <c r="O573" s="75" t="inlineStr">
        <is>
          <t>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t>
        </is>
      </c>
    </row>
    <row r="574" ht="43.5" customHeight="1">
      <c r="A574" s="142" t="n">
        <v>58288437000152</v>
      </c>
      <c r="B574" s="75" t="inlineStr">
        <is>
          <t>58.288.437/0001-52</t>
        </is>
      </c>
      <c r="C574" s="75" t="inlineStr">
        <is>
          <t>sacado_devedor</t>
        </is>
      </c>
      <c r="D574" s="75" t="inlineStr">
        <is>
          <t>E INDUSTRIA LTDA</t>
        </is>
      </c>
      <c r="E574" s="75" t="inlineStr">
        <is>
          <t>N/D</t>
        </is>
      </c>
      <c r="F574" s="75" t="inlineStr">
        <is>
          <t>candidate_extraction</t>
        </is>
      </c>
      <c r="G574" s="75" t="inlineStr">
        <is>
          <t>58288437000152</t>
        </is>
      </c>
      <c r="H574" s="75" t="inlineStr">
        <is>
          <t>extração heurística</t>
        </is>
      </c>
      <c r="I574" s="75" t="inlineStr">
        <is>
          <t>N/D</t>
        </is>
      </c>
      <c r="J574" s="75" t="inlineStr">
        <is>
          <t>N/D</t>
        </is>
      </c>
      <c r="K574" s="75" t="inlineStr">
        <is>
          <t>candidato_revisao</t>
        </is>
      </c>
      <c r="L574" s="144" t="n">
        <v>0.95</v>
      </c>
      <c r="M574" s="75" t="inlineStr">
        <is>
          <t>outputs/fidc_director_deep_diagnostic_20260609/pdf_text_cache/58288437000152_1090132_regulamento_regulamento_1090132_2026-01-15.txt</t>
        </is>
      </c>
      <c r="N574" s="75" t="inlineStr">
        <is>
          <t>https://fnet.bmfbovespa.com.br/fnet/publico/downloadDocumento?id=58288437000152</t>
        </is>
      </c>
      <c r="O574" s="75" t="inlineStr">
        <is>
          <t>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t>
        </is>
      </c>
    </row>
    <row r="575" ht="43.5" customHeight="1">
      <c r="A575" s="142" t="n">
        <v>58291962000127</v>
      </c>
      <c r="B575" s="75" t="inlineStr">
        <is>
          <t>58.291.962/0001-27</t>
        </is>
      </c>
      <c r="C575" s="75" t="inlineStr">
        <is>
          <t>cedente</t>
        </is>
      </c>
      <c r="D575"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5" s="75" t="inlineStr">
        <is>
          <t>N/D</t>
        </is>
      </c>
      <c r="F575" s="75" t="inlineStr">
        <is>
          <t>regulamento</t>
        </is>
      </c>
      <c r="G575" s="75" t="inlineStr">
        <is>
          <t>949047</t>
        </is>
      </c>
      <c r="H575" s="75" t="inlineStr">
        <is>
          <t>Regulamento</t>
        </is>
      </c>
      <c r="I575" s="75" t="inlineStr">
        <is>
          <t>11/07/2025</t>
        </is>
      </c>
      <c r="J575" s="75" t="inlineStr">
        <is>
          <t>43</t>
        </is>
      </c>
      <c r="K575" s="75" t="inlineStr">
        <is>
          <t>encontrado_explicito</t>
        </is>
      </c>
      <c r="L575" s="144" t="n">
        <v>0.95</v>
      </c>
      <c r="M575" s="75" t="inlineStr">
        <is>
          <t>.cache/carteira_101_document_scan/58291962000127/949047.json.gz</t>
        </is>
      </c>
      <c r="N575" s="75" t="inlineStr">
        <is>
          <t>https://fnet.bmfbovespa.com.br/fnet/publico/downloadDocumento?id=949047</t>
        </is>
      </c>
      <c r="O575"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6" ht="43.5" customHeight="1">
      <c r="A576" s="142" t="n">
        <v>58291962000127</v>
      </c>
      <c r="B576" s="75" t="inlineStr">
        <is>
          <t>58.291.962/0001-27</t>
        </is>
      </c>
      <c r="C576" s="75" t="inlineStr">
        <is>
          <t>cedente</t>
        </is>
      </c>
      <c r="D576" s="75" t="inlineStr">
        <is>
          <t>a HELM DO BRASIL MERCANTIL LTDA. , sociedade empresária de responsabilidade limitada, com sede na</t>
        </is>
      </c>
      <c r="E576" s="75" t="inlineStr">
        <is>
          <t>N/D</t>
        </is>
      </c>
      <c r="F576" s="75" t="inlineStr">
        <is>
          <t>regulamento</t>
        </is>
      </c>
      <c r="G576" s="75" t="inlineStr">
        <is>
          <t>957854</t>
        </is>
      </c>
      <c r="H576" s="75" t="inlineStr">
        <is>
          <t>regulamento</t>
        </is>
      </c>
      <c r="I576" s="75" t="inlineStr">
        <is>
          <t>2025-07-30</t>
        </is>
      </c>
      <c r="J576" s="75" t="inlineStr">
        <is>
          <t>45</t>
        </is>
      </c>
      <c r="K576" s="75" t="inlineStr">
        <is>
          <t>encontrado_explicito</t>
        </is>
      </c>
      <c r="L576" s="144" t="n">
        <v>0.95</v>
      </c>
      <c r="M576" s="75" t="inlineStr">
        <is>
          <t>data/raw/58291962000127/957854_regulamento_regulamento_957854_2025-07-30_2025-07-30.pdf</t>
        </is>
      </c>
      <c r="N576" s="75" t="inlineStr">
        <is>
          <t>https://fnet.bmfbovespa.com.br/fnet/publico/downloadDocumento?id=957854</t>
        </is>
      </c>
      <c r="O576" s="75" t="inlineStr">
        <is>
          <t>,000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t>
        </is>
      </c>
    </row>
    <row r="577" ht="43.5" customHeight="1">
      <c r="A577" s="142" t="n">
        <v>58291962000127</v>
      </c>
      <c r="B577" s="75" t="inlineStr">
        <is>
          <t>58.291.962/0001-27</t>
        </is>
      </c>
      <c r="C577" s="75" t="inlineStr">
        <is>
          <t>cedente</t>
        </is>
      </c>
      <c r="D577"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7" s="75" t="inlineStr">
        <is>
          <t>N/D</t>
        </is>
      </c>
      <c r="F577" s="75" t="inlineStr">
        <is>
          <t>assembleia</t>
        </is>
      </c>
      <c r="G577" s="75" t="inlineStr">
        <is>
          <t>949045</t>
        </is>
      </c>
      <c r="H577" s="75" t="inlineStr">
        <is>
          <t>Assembleia AGE Ata da Assembleia</t>
        </is>
      </c>
      <c r="I577" s="75" t="inlineStr">
        <is>
          <t>11/07/2025 10:00</t>
        </is>
      </c>
      <c r="J577" s="75" t="inlineStr">
        <is>
          <t>50</t>
        </is>
      </c>
      <c r="K577" s="75" t="inlineStr">
        <is>
          <t>encontrado_explicito</t>
        </is>
      </c>
      <c r="L577" s="144" t="n">
        <v>0.95</v>
      </c>
      <c r="M577" s="75" t="inlineStr">
        <is>
          <t>.cache/carteira_101_document_scan/58291962000127/949045.json.gz</t>
        </is>
      </c>
      <c r="N577" s="75" t="inlineStr">
        <is>
          <t>https://fnet.bmfbovespa.com.br/fnet/publico/downloadDocumento?id=949045</t>
        </is>
      </c>
      <c r="O577"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8" ht="43.5" customHeight="1">
      <c r="A578" s="142" t="n">
        <v>58291962000127</v>
      </c>
      <c r="B578" s="75" t="inlineStr">
        <is>
          <t>58.291.962/0001-27</t>
        </is>
      </c>
      <c r="C578" s="75" t="inlineStr">
        <is>
          <t>cedente</t>
        </is>
      </c>
      <c r="D578" s="75" t="inlineStr">
        <is>
          <t>a HELM DO BRASIL MERCANTIL LTDA. , sociedade empresária de responsabilidade limitada, com sede na - 46 - cidade de São Paulo, Estado de São Paulo, na Rua Verbo Divino, nº 2.001, 2º andar, conjunto 21, Chacara Santo Antonio, CEP 04719-002, inscrita no CNPJ sob o nº 47.176.755/0001-05</t>
        </is>
      </c>
      <c r="E578" s="75" t="inlineStr">
        <is>
          <t>N/D</t>
        </is>
      </c>
      <c r="F578" s="75" t="inlineStr">
        <is>
          <t>assembleia</t>
        </is>
      </c>
      <c r="G578" s="75" t="inlineStr">
        <is>
          <t>957853</t>
        </is>
      </c>
      <c r="H578" s="75" t="inlineStr">
        <is>
          <t>Assembleia AGE Ata da Assembleia</t>
        </is>
      </c>
      <c r="I578" s="75" t="inlineStr">
        <is>
          <t>30/07/2025 10:00</t>
        </is>
      </c>
      <c r="J578" s="75" t="inlineStr">
        <is>
          <t>51</t>
        </is>
      </c>
      <c r="K578" s="75" t="inlineStr">
        <is>
          <t>encontrado_explicito</t>
        </is>
      </c>
      <c r="L578" s="144" t="n">
        <v>0.95</v>
      </c>
      <c r="M578" s="75" t="inlineStr">
        <is>
          <t>.cache/carteira_101_document_scan/58291962000127/957853.json.gz</t>
        </is>
      </c>
      <c r="N578" s="75" t="inlineStr">
        <is>
          <t>https://fnet.bmfbovespa.com.br/fnet/publico/downloadDocumento?id=957853</t>
        </is>
      </c>
      <c r="O578" s="75" t="inlineStr">
        <is>
          <t>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t>
        </is>
      </c>
    </row>
    <row r="579" ht="43.5" customHeight="1">
      <c r="A579" s="142" t="n">
        <v>58291962000127</v>
      </c>
      <c r="B579" s="75" t="inlineStr">
        <is>
          <t>58.291.962/0001-27</t>
        </is>
      </c>
      <c r="C579" s="75" t="inlineStr">
        <is>
          <t>cedente</t>
        </is>
      </c>
      <c r="D579" s="75" t="inlineStr">
        <is>
          <t>Helm</t>
        </is>
      </c>
      <c r="E579" s="75" t="inlineStr">
        <is>
          <t>N/D</t>
        </is>
      </c>
      <c r="F579" s="75" t="inlineStr">
        <is>
          <t>planilha_manual</t>
        </is>
      </c>
      <c r="G579" s="75" t="inlineStr">
        <is>
          <t>IMG_8706.JPG</t>
        </is>
      </c>
      <c r="H579" s="75" t="inlineStr">
        <is>
          <t>payload</t>
        </is>
      </c>
      <c r="I579" s="75" t="inlineStr">
        <is>
          <t>2025-07-30</t>
        </is>
      </c>
      <c r="J579" s="75" t="inlineStr">
        <is>
          <t>99–100</t>
        </is>
      </c>
      <c r="K579" s="75" t="inlineStr">
        <is>
          <t>aceito_payload</t>
        </is>
      </c>
      <c r="L579" s="144" t="n">
        <v>1</v>
      </c>
      <c r="M579" s="75" t="inlineStr">
        <is>
          <t>data/industry_study/generated_revision/artifact_payload.json</t>
        </is>
      </c>
      <c r="N579" s="75" t="inlineStr">
        <is>
          <t>N/D</t>
        </is>
      </c>
      <c r="O579" s="75" t="inlineStr">
        <is>
          <t>N/D</t>
        </is>
      </c>
    </row>
    <row r="580" ht="43.5" customHeight="1">
      <c r="A580" s="142" t="n">
        <v>58291962000127</v>
      </c>
      <c r="B580" s="75" t="inlineStr">
        <is>
          <t>58.291.962/0001-27</t>
        </is>
      </c>
      <c r="C580" s="75" t="inlineStr">
        <is>
          <t>minimo_estrutural_total</t>
        </is>
      </c>
      <c r="D580" s="75" t="inlineStr">
        <is>
          <t>20%</t>
        </is>
      </c>
      <c r="E580" s="75" t="inlineStr">
        <is>
          <t>suporte_total_pl</t>
        </is>
      </c>
      <c r="F580" s="75" t="inlineStr">
        <is>
          <t>payload_documental</t>
        </is>
      </c>
      <c r="G580" s="75" t="inlineStr">
        <is>
          <t>957854</t>
        </is>
      </c>
      <c r="H580" s="75" t="inlineStr">
        <is>
          <t>documento_curado</t>
        </is>
      </c>
      <c r="I580" s="75" t="inlineStr">
        <is>
          <t>2025-07-30</t>
        </is>
      </c>
      <c r="J580" s="75" t="inlineStr">
        <is>
          <t>99–100</t>
        </is>
      </c>
      <c r="K580" s="75" t="inlineStr">
        <is>
          <t>aceito_payload</t>
        </is>
      </c>
      <c r="L580" s="144" t="n">
        <v>1</v>
      </c>
      <c r="M580" s="75" t="inlineStr">
        <is>
          <t>data/industry_study/generated_revision/artifact_payload.json</t>
        </is>
      </c>
      <c r="N580" s="75" t="inlineStr">
        <is>
          <t>https://fnet.bmfbovespa.com.br/fnet/publico/downloadDocumento?id=957854</t>
        </is>
      </c>
      <c r="O580" s="75" t="inlineStr">
        <is>
          <t>N/D</t>
        </is>
      </c>
    </row>
    <row r="581" ht="43.5" customHeight="1">
      <c r="A581" s="142" t="n">
        <v>58291962000127</v>
      </c>
      <c r="B581" s="75" t="inlineStr">
        <is>
          <t>58.291.962/0001-27</t>
        </is>
      </c>
      <c r="C581" s="75" t="inlineStr">
        <is>
          <t>natureza_indice</t>
        </is>
      </c>
      <c r="D581" s="75" t="inlineStr">
        <is>
          <t>suporte_total_pl</t>
        </is>
      </c>
      <c r="E581" s="75" t="inlineStr">
        <is>
          <t>suporte_total_pl</t>
        </is>
      </c>
      <c r="F581" s="75" t="inlineStr">
        <is>
          <t>payload_documental</t>
        </is>
      </c>
      <c r="G581" s="75" t="inlineStr">
        <is>
          <t>957854</t>
        </is>
      </c>
      <c r="H581" s="75" t="inlineStr">
        <is>
          <t>documento_curado</t>
        </is>
      </c>
      <c r="I581" s="75" t="inlineStr">
        <is>
          <t>2025-07-30</t>
        </is>
      </c>
      <c r="J581" s="75" t="inlineStr">
        <is>
          <t>99–100</t>
        </is>
      </c>
      <c r="K581" s="75" t="inlineStr">
        <is>
          <t>aceito_payload</t>
        </is>
      </c>
      <c r="L581" s="144" t="n">
        <v>1</v>
      </c>
      <c r="M581" s="75" t="inlineStr">
        <is>
          <t>data/industry_study/generated_revision/artifact_payload.json</t>
        </is>
      </c>
      <c r="N581" s="75" t="inlineStr">
        <is>
          <t>https://fnet.bmfbovespa.com.br/fnet/publico/downloadDocumento?id=957854</t>
        </is>
      </c>
      <c r="O581" s="75" t="inlineStr">
        <is>
          <t>N/D</t>
        </is>
      </c>
    </row>
    <row r="582" ht="43.5" customHeight="1">
      <c r="A582" s="142" t="n">
        <v>58291962000127</v>
      </c>
      <c r="B582" s="75" t="inlineStr">
        <is>
          <t>58.291.962/0001-27</t>
        </is>
      </c>
      <c r="C582" s="75" t="inlineStr">
        <is>
          <t>sacado_devedor</t>
        </is>
      </c>
      <c r="D582" s="75" t="inlineStr">
        <is>
          <t>qualquer cliente da Cedente cujos Direitos Creditórios venham a ser cedidos ao Fundo, observadas as características e condições descritas neste Anexo Descritivo, e que estejam de acordo com a Política de Crédito e Originação</t>
        </is>
      </c>
      <c r="E582" s="75" t="inlineStr">
        <is>
          <t>N/D</t>
        </is>
      </c>
      <c r="F582" s="75" t="inlineStr">
        <is>
          <t>regulamento</t>
        </is>
      </c>
      <c r="G582" s="75" t="inlineStr">
        <is>
          <t>949047</t>
        </is>
      </c>
      <c r="H582" s="75" t="inlineStr">
        <is>
          <t>Regulamento</t>
        </is>
      </c>
      <c r="I582" s="75" t="inlineStr">
        <is>
          <t>11/07/2025</t>
        </is>
      </c>
      <c r="J582" s="75" t="inlineStr">
        <is>
          <t>48</t>
        </is>
      </c>
      <c r="K582" s="75" t="inlineStr">
        <is>
          <t>encontrado_explicito</t>
        </is>
      </c>
      <c r="L582" s="144" t="n">
        <v>0.95</v>
      </c>
      <c r="M582" s="75" t="inlineStr">
        <is>
          <t>.cache/carteira_101_document_scan/58291962000127/949047.json.gz</t>
        </is>
      </c>
      <c r="N582" s="75" t="inlineStr">
        <is>
          <t>https://fnet.bmfbovespa.com.br/fnet/publico/downloadDocumento?id=949047</t>
        </is>
      </c>
      <c r="O582"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3" ht="43.5" customHeight="1">
      <c r="A583" s="142" t="n">
        <v>58291962000127</v>
      </c>
      <c r="B583" s="75" t="inlineStr">
        <is>
          <t>58.291.962/0001-27</t>
        </is>
      </c>
      <c r="C583" s="75" t="inlineStr">
        <is>
          <t>sacado_devedor</t>
        </is>
      </c>
      <c r="D583" s="75" t="inlineStr">
        <is>
          <t>os Devedores cuja concentração poderá ser maior em relação ao Patrimônio Líquido, conforme listados no Acordo Operacional</t>
        </is>
      </c>
      <c r="E583" s="75" t="inlineStr">
        <is>
          <t>N/D</t>
        </is>
      </c>
      <c r="F583" s="75" t="inlineStr">
        <is>
          <t>regulamento</t>
        </is>
      </c>
      <c r="G583" s="75" t="inlineStr">
        <is>
          <t>949047</t>
        </is>
      </c>
      <c r="H583" s="75" t="inlineStr">
        <is>
          <t>Regulamento</t>
        </is>
      </c>
      <c r="I583" s="75" t="inlineStr">
        <is>
          <t>11/07/2025</t>
        </is>
      </c>
      <c r="J583" s="75" t="inlineStr">
        <is>
          <t>48</t>
        </is>
      </c>
      <c r="K583" s="75" t="inlineStr">
        <is>
          <t>encontrado_explicito</t>
        </is>
      </c>
      <c r="L583" s="144" t="n">
        <v>0.95</v>
      </c>
      <c r="M583" s="75" t="inlineStr">
        <is>
          <t>.cache/carteira_101_document_scan/58291962000127/949047.json.gz</t>
        </is>
      </c>
      <c r="N583" s="75" t="inlineStr">
        <is>
          <t>https://fnet.bmfbovespa.com.br/fnet/publico/downloadDocumento?id=949047</t>
        </is>
      </c>
      <c r="O583"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4" ht="43.5" customHeight="1">
      <c r="A584" s="142" t="n">
        <v>58291962000127</v>
      </c>
      <c r="B584" s="75" t="inlineStr">
        <is>
          <t>58.291.962/0001-27</t>
        </is>
      </c>
      <c r="C584" s="75" t="inlineStr">
        <is>
          <t>sacado_devedor</t>
        </is>
      </c>
      <c r="D584" s="75" t="inlineStr">
        <is>
          <t>qualquer cliente da Cedente cujos Direitos Creditórios venham a ser cedidos ao Fundo, observadas as características e condições descritas neste Anexo Descritivo , e que estejam de acordo com a Política de Crédito e Originação</t>
        </is>
      </c>
      <c r="E584" s="75" t="inlineStr">
        <is>
          <t>N/D</t>
        </is>
      </c>
      <c r="F584" s="75" t="inlineStr">
        <is>
          <t>regulamento</t>
        </is>
      </c>
      <c r="G584" s="75" t="inlineStr">
        <is>
          <t>957854</t>
        </is>
      </c>
      <c r="H584" s="75" t="inlineStr">
        <is>
          <t>regulamento</t>
        </is>
      </c>
      <c r="I584" s="75" t="inlineStr">
        <is>
          <t>2025-07-30</t>
        </is>
      </c>
      <c r="J584" s="75" t="inlineStr">
        <is>
          <t>50</t>
        </is>
      </c>
      <c r="K584" s="75" t="inlineStr">
        <is>
          <t>encontrado_explicito</t>
        </is>
      </c>
      <c r="L584" s="144" t="n">
        <v>0.95</v>
      </c>
      <c r="M584" s="75" t="inlineStr">
        <is>
          <t>data/raw/58291962000127/957854_regulamento_regulamento_957854_2025-07-30_2025-07-30.pdf</t>
        </is>
      </c>
      <c r="N584" s="75" t="inlineStr">
        <is>
          <t>https://fnet.bmfbovespa.com.br/fnet/publico/downloadDocumento?id=957854</t>
        </is>
      </c>
      <c r="O584" s="75" t="inlineStr">
        <is>
          <t>,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t>
        </is>
      </c>
    </row>
    <row r="585" ht="43.5" customHeight="1">
      <c r="A585" s="142" t="n">
        <v>58291962000127</v>
      </c>
      <c r="B585" s="75" t="inlineStr">
        <is>
          <t>58.291.962/0001-27</t>
        </is>
      </c>
      <c r="C585" s="75" t="inlineStr">
        <is>
          <t>sacado_devedor</t>
        </is>
      </c>
      <c r="D585" s="75" t="inlineStr">
        <is>
          <t>os Devedores cuja concentração poderá ser maior em relação ao Patrimônio Líquido, conforme listados no Acordo Operacional.</t>
        </is>
      </c>
      <c r="E585" s="75" t="inlineStr">
        <is>
          <t>N/D</t>
        </is>
      </c>
      <c r="F585" s="75" t="inlineStr">
        <is>
          <t>regulamento</t>
        </is>
      </c>
      <c r="G585" s="75" t="inlineStr">
        <is>
          <t>957854</t>
        </is>
      </c>
      <c r="H585" s="75" t="inlineStr">
        <is>
          <t>regulamento</t>
        </is>
      </c>
      <c r="I585" s="75" t="inlineStr">
        <is>
          <t>2025-07-30</t>
        </is>
      </c>
      <c r="J585" s="75" t="inlineStr">
        <is>
          <t>50</t>
        </is>
      </c>
      <c r="K585" s="75" t="inlineStr">
        <is>
          <t>encontrado_explicito</t>
        </is>
      </c>
      <c r="L585" s="144" t="n">
        <v>0.95</v>
      </c>
      <c r="M585" s="75" t="inlineStr">
        <is>
          <t>data/raw/58291962000127/957854_regulamento_regulamento_957854_2025-07-30_2025-07-30.pdf</t>
        </is>
      </c>
      <c r="N585" s="75" t="inlineStr">
        <is>
          <t>https://fnet.bmfbovespa.com.br/fnet/publico/downloadDocumento?id=957854</t>
        </is>
      </c>
      <c r="O585" s="75" t="inlineStr">
        <is>
          <t>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t>
        </is>
      </c>
    </row>
    <row r="586" ht="43.5" customHeight="1">
      <c r="A586" s="142" t="n">
        <v>58291962000127</v>
      </c>
      <c r="B586" s="75" t="inlineStr">
        <is>
          <t>58.291.962/0001-27</t>
        </is>
      </c>
      <c r="C586" s="75" t="inlineStr">
        <is>
          <t>sacado_devedor</t>
        </is>
      </c>
      <c r="D586" s="75" t="inlineStr">
        <is>
          <t>qualquer cliente da Cedente cujos Direitos Creditórios venham a ser cedidos ao Fundo, observadas as características e condições descritas neste Anexo Descritivo, e que estejam de acordo com a Política de Crédito e Originação</t>
        </is>
      </c>
      <c r="E586" s="75" t="inlineStr">
        <is>
          <t>N/D</t>
        </is>
      </c>
      <c r="F586" s="75" t="inlineStr">
        <is>
          <t>assembleia</t>
        </is>
      </c>
      <c r="G586" s="75" t="inlineStr">
        <is>
          <t>949045</t>
        </is>
      </c>
      <c r="H586" s="75" t="inlineStr">
        <is>
          <t>Assembleia AGE Ata da Assembleia</t>
        </is>
      </c>
      <c r="I586" s="75" t="inlineStr">
        <is>
          <t>11/07/2025 10:00</t>
        </is>
      </c>
      <c r="J586" s="75" t="inlineStr">
        <is>
          <t>55</t>
        </is>
      </c>
      <c r="K586" s="75" t="inlineStr">
        <is>
          <t>encontrado_explicito</t>
        </is>
      </c>
      <c r="L586" s="144" t="n">
        <v>0.95</v>
      </c>
      <c r="M586" s="75" t="inlineStr">
        <is>
          <t>.cache/carteira_101_document_scan/58291962000127/949045.json.gz</t>
        </is>
      </c>
      <c r="N586" s="75" t="inlineStr">
        <is>
          <t>https://fnet.bmfbovespa.com.br/fnet/publico/downloadDocumento?id=949045</t>
        </is>
      </c>
      <c r="O586"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7" ht="43.5" customHeight="1">
      <c r="A587" s="142" t="n">
        <v>58291962000127</v>
      </c>
      <c r="B587" s="75" t="inlineStr">
        <is>
          <t>58.291.962/0001-27</t>
        </is>
      </c>
      <c r="C587" s="75" t="inlineStr">
        <is>
          <t>sacado_devedor</t>
        </is>
      </c>
      <c r="D587" s="75" t="inlineStr">
        <is>
          <t>os Devedores cuja concentração poderá ser maior em relação ao Patrimônio Líquido, conforme listados no Acordo Operacional</t>
        </is>
      </c>
      <c r="E587" s="75" t="inlineStr">
        <is>
          <t>N/D</t>
        </is>
      </c>
      <c r="F587" s="75" t="inlineStr">
        <is>
          <t>assembleia</t>
        </is>
      </c>
      <c r="G587" s="75" t="inlineStr">
        <is>
          <t>949045</t>
        </is>
      </c>
      <c r="H587" s="75" t="inlineStr">
        <is>
          <t>Assembleia AGE Ata da Assembleia</t>
        </is>
      </c>
      <c r="I587" s="75" t="inlineStr">
        <is>
          <t>11/07/2025 10:00</t>
        </is>
      </c>
      <c r="J587" s="75" t="inlineStr">
        <is>
          <t>55</t>
        </is>
      </c>
      <c r="K587" s="75" t="inlineStr">
        <is>
          <t>encontrado_explicito</t>
        </is>
      </c>
      <c r="L587" s="144" t="n">
        <v>0.95</v>
      </c>
      <c r="M587" s="75" t="inlineStr">
        <is>
          <t>.cache/carteira_101_document_scan/58291962000127/949045.json.gz</t>
        </is>
      </c>
      <c r="N587" s="75" t="inlineStr">
        <is>
          <t>https://fnet.bmfbovespa.com.br/fnet/publico/downloadDocumento?id=949045</t>
        </is>
      </c>
      <c r="O587"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8" ht="43.5" customHeight="1">
      <c r="A588" s="142" t="n">
        <v>58291962000127</v>
      </c>
      <c r="B588" s="75" t="inlineStr">
        <is>
          <t>58.291.962/0001-27</t>
        </is>
      </c>
      <c r="C588" s="75" t="inlineStr">
        <is>
          <t>sacado_devedor</t>
        </is>
      </c>
      <c r="D588" s="75" t="inlineStr">
        <is>
          <t>qualquer cliente da Cedente cujos Direitos Creditórios venham a ser cedidos ao Fundo, observadas as características e condições descritas neste Anexo Descritivo, e que estejam de acordo com a Política de Crédito e Originação</t>
        </is>
      </c>
      <c r="E588" s="75" t="inlineStr">
        <is>
          <t>N/D</t>
        </is>
      </c>
      <c r="F588" s="75" t="inlineStr">
        <is>
          <t>assembleia</t>
        </is>
      </c>
      <c r="G588" s="75" t="inlineStr">
        <is>
          <t>957853</t>
        </is>
      </c>
      <c r="H588" s="75" t="inlineStr">
        <is>
          <t>Assembleia AGE Ata da Assembleia</t>
        </is>
      </c>
      <c r="I588" s="75" t="inlineStr">
        <is>
          <t>30/07/2025 10:00</t>
        </is>
      </c>
      <c r="J588" s="75" t="inlineStr">
        <is>
          <t>56</t>
        </is>
      </c>
      <c r="K588" s="75" t="inlineStr">
        <is>
          <t>encontrado_explicito</t>
        </is>
      </c>
      <c r="L588" s="144" t="n">
        <v>0.95</v>
      </c>
      <c r="M588" s="75" t="inlineStr">
        <is>
          <t>.cache/carteira_101_document_scan/58291962000127/957853.json.gz</t>
        </is>
      </c>
      <c r="N588" s="75" t="inlineStr">
        <is>
          <t>https://fnet.bmfbovespa.com.br/fnet/publico/downloadDocumento?id=957853</t>
        </is>
      </c>
      <c r="O588"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9" ht="43.5" customHeight="1">
      <c r="A589" s="142" t="n">
        <v>58291962000127</v>
      </c>
      <c r="B589" s="75" t="inlineStr">
        <is>
          <t>58.291.962/0001-27</t>
        </is>
      </c>
      <c r="C589" s="75" t="inlineStr">
        <is>
          <t>sacado_devedor</t>
        </is>
      </c>
      <c r="D589" s="75" t="inlineStr">
        <is>
          <t>os Devedores cuja concentração poderá ser maior em relação ao Patrimônio Líquido, conforme listados no Acordo Operacional</t>
        </is>
      </c>
      <c r="E589" s="75" t="inlineStr">
        <is>
          <t>N/D</t>
        </is>
      </c>
      <c r="F589" s="75" t="inlineStr">
        <is>
          <t>assembleia</t>
        </is>
      </c>
      <c r="G589" s="75" t="inlineStr">
        <is>
          <t>957853</t>
        </is>
      </c>
      <c r="H589" s="75" t="inlineStr">
        <is>
          <t>Assembleia AGE Ata da Assembleia</t>
        </is>
      </c>
      <c r="I589" s="75" t="inlineStr">
        <is>
          <t>30/07/2025 10:00</t>
        </is>
      </c>
      <c r="J589" s="75" t="inlineStr">
        <is>
          <t>56</t>
        </is>
      </c>
      <c r="K589" s="75" t="inlineStr">
        <is>
          <t>encontrado_explicito</t>
        </is>
      </c>
      <c r="L589" s="144" t="n">
        <v>0.95</v>
      </c>
      <c r="M589" s="75" t="inlineStr">
        <is>
          <t>.cache/carteira_101_document_scan/58291962000127/957853.json.gz</t>
        </is>
      </c>
      <c r="N589" s="75" t="inlineStr">
        <is>
          <t>https://fnet.bmfbovespa.com.br/fnet/publico/downloadDocumento?id=957853</t>
        </is>
      </c>
      <c r="O589"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90" ht="43.5" customHeight="1">
      <c r="A590" s="142" t="n">
        <v>58291962000127</v>
      </c>
      <c r="B590" s="75" t="inlineStr">
        <is>
          <t>58.291.962/0001-27</t>
        </is>
      </c>
      <c r="C590" s="75" t="inlineStr">
        <is>
          <t>tipo_recebivel</t>
        </is>
      </c>
      <c r="D590" s="75" t="inlineStr">
        <is>
          <t>os direitos creditórios cedidos pela Cedente, representados pelos Documentos Comprobatórios, detidos pela Cedente contra os Devedores</t>
        </is>
      </c>
      <c r="E590" s="75" t="inlineStr">
        <is>
          <t>N/D</t>
        </is>
      </c>
      <c r="F590" s="75" t="inlineStr">
        <is>
          <t>regulamento</t>
        </is>
      </c>
      <c r="G590" s="75" t="inlineStr">
        <is>
          <t>949047</t>
        </is>
      </c>
      <c r="H590" s="75" t="inlineStr">
        <is>
          <t>Regulamento</t>
        </is>
      </c>
      <c r="I590" s="75" t="inlineStr">
        <is>
          <t>11/07/2025</t>
        </is>
      </c>
      <c r="J590" s="75" t="inlineStr">
        <is>
          <t>48</t>
        </is>
      </c>
      <c r="K590" s="75" t="inlineStr">
        <is>
          <t>encontrado_explicito</t>
        </is>
      </c>
      <c r="L590" s="144" t="n">
        <v>0.92</v>
      </c>
      <c r="M590" s="75" t="inlineStr">
        <is>
          <t>.cache/carteira_101_document_scan/58291962000127/949047.json.gz</t>
        </is>
      </c>
      <c r="N590" s="75" t="inlineStr">
        <is>
          <t>https://fnet.bmfbovespa.com.br/fnet/publico/downloadDocumento?id=949047</t>
        </is>
      </c>
      <c r="O590"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1" ht="43.5" customHeight="1">
      <c r="A591" s="142" t="n">
        <v>58291962000127</v>
      </c>
      <c r="B591" s="75" t="inlineStr">
        <is>
          <t>58.291.962/0001-27</t>
        </is>
      </c>
      <c r="C591" s="75" t="inlineStr">
        <is>
          <t>tipo_recebivel</t>
        </is>
      </c>
      <c r="D591" s="75" t="inlineStr">
        <is>
          <t>os direitos creditórios cedidos pela Cedente , representados pelos Documentos Comprobatórios, detidos pela Cedente contra os Devedores</t>
        </is>
      </c>
      <c r="E591" s="75" t="inlineStr">
        <is>
          <t>N/D</t>
        </is>
      </c>
      <c r="F591" s="75" t="inlineStr">
        <is>
          <t>regulamento</t>
        </is>
      </c>
      <c r="G591" s="75" t="inlineStr">
        <is>
          <t>957854</t>
        </is>
      </c>
      <c r="H591" s="75" t="inlineStr">
        <is>
          <t>regulamento</t>
        </is>
      </c>
      <c r="I591" s="75" t="inlineStr">
        <is>
          <t>2025-07-30</t>
        </is>
      </c>
      <c r="J591" s="75" t="inlineStr">
        <is>
          <t>51</t>
        </is>
      </c>
      <c r="K591" s="75" t="inlineStr">
        <is>
          <t>encontrado_explicito</t>
        </is>
      </c>
      <c r="L591" s="144" t="n">
        <v>0.92</v>
      </c>
      <c r="M591" s="75" t="inlineStr">
        <is>
          <t>data/raw/58291962000127/957854_regulamento_regulamento_957854_2025-07-30_2025-07-30.pdf</t>
        </is>
      </c>
      <c r="N591" s="75" t="inlineStr">
        <is>
          <t>https://fnet.bmfbovespa.com.br/fnet/publico/downloadDocumento?id=957854</t>
        </is>
      </c>
      <c r="O591" s="75" t="inlineStr">
        <is>
          <t>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t>
        </is>
      </c>
    </row>
    <row r="592" ht="43.5" customHeight="1">
      <c r="A592" s="142" t="n">
        <v>58291962000127</v>
      </c>
      <c r="B592" s="75" t="inlineStr">
        <is>
          <t>58.291.962/0001-27</t>
        </is>
      </c>
      <c r="C592" s="75" t="inlineStr">
        <is>
          <t>tipo_recebivel</t>
        </is>
      </c>
      <c r="D592" s="75" t="inlineStr">
        <is>
          <t>os direitos creditórios cedidos pela Cedente, representados pelos Documentos Comprobatórios, detidos pela Cedente contra os Devedores</t>
        </is>
      </c>
      <c r="E592" s="75" t="inlineStr">
        <is>
          <t>N/D</t>
        </is>
      </c>
      <c r="F592" s="75" t="inlineStr">
        <is>
          <t>assembleia</t>
        </is>
      </c>
      <c r="G592" s="75" t="inlineStr">
        <is>
          <t>949045</t>
        </is>
      </c>
      <c r="H592" s="75" t="inlineStr">
        <is>
          <t>Assembleia AGE Ata da Assembleia</t>
        </is>
      </c>
      <c r="I592" s="75" t="inlineStr">
        <is>
          <t>11/07/2025 10:00</t>
        </is>
      </c>
      <c r="J592" s="75" t="inlineStr">
        <is>
          <t>55</t>
        </is>
      </c>
      <c r="K592" s="75" t="inlineStr">
        <is>
          <t>encontrado_explicito</t>
        </is>
      </c>
      <c r="L592" s="144" t="n">
        <v>0.92</v>
      </c>
      <c r="M592" s="75" t="inlineStr">
        <is>
          <t>.cache/carteira_101_document_scan/58291962000127/949045.json.gz</t>
        </is>
      </c>
      <c r="N592" s="75" t="inlineStr">
        <is>
          <t>https://fnet.bmfbovespa.com.br/fnet/publico/downloadDocumento?id=949045</t>
        </is>
      </c>
      <c r="O592"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3" ht="43.5" customHeight="1">
      <c r="A593" s="142" t="n">
        <v>58291962000127</v>
      </c>
      <c r="B593" s="75" t="inlineStr">
        <is>
          <t>58.291.962/0001-27</t>
        </is>
      </c>
      <c r="C593" s="75" t="inlineStr">
        <is>
          <t>tipo_recebivel</t>
        </is>
      </c>
      <c r="D593" s="75" t="inlineStr">
        <is>
          <t>os direitos creditórios cedidos pela Cedente, representados pelos Documentos Comprobatórios, detidos pela Cedente contra os Devedores</t>
        </is>
      </c>
      <c r="E593" s="75" t="inlineStr">
        <is>
          <t>N/D</t>
        </is>
      </c>
      <c r="F593" s="75" t="inlineStr">
        <is>
          <t>assembleia</t>
        </is>
      </c>
      <c r="G593" s="75" t="inlineStr">
        <is>
          <t>957853</t>
        </is>
      </c>
      <c r="H593" s="75" t="inlineStr">
        <is>
          <t>Assembleia AGE Ata da Assembleia</t>
        </is>
      </c>
      <c r="I593" s="75" t="inlineStr">
        <is>
          <t>30/07/2025 10:00</t>
        </is>
      </c>
      <c r="J593" s="75" t="inlineStr">
        <is>
          <t>56</t>
        </is>
      </c>
      <c r="K593" s="75" t="inlineStr">
        <is>
          <t>encontrado_explicito</t>
        </is>
      </c>
      <c r="L593" s="144" t="n">
        <v>0.92</v>
      </c>
      <c r="M593" s="75" t="inlineStr">
        <is>
          <t>.cache/carteira_101_document_scan/58291962000127/957853.json.gz</t>
        </is>
      </c>
      <c r="N593" s="75" t="inlineStr">
        <is>
          <t>https://fnet.bmfbovespa.com.br/fnet/publico/downloadDocumento?id=957853</t>
        </is>
      </c>
      <c r="O593"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t>
        </is>
      </c>
    </row>
    <row r="594" ht="43.5" customHeight="1">
      <c r="A594" s="142" t="n">
        <v>58291962000127</v>
      </c>
      <c r="B594" s="75" t="inlineStr">
        <is>
          <t>58.291.962/0001-27</t>
        </is>
      </c>
      <c r="C594" s="75" t="inlineStr">
        <is>
          <t>tipo_recebivel</t>
        </is>
      </c>
      <c r="D594" s="75" t="inlineStr">
        <is>
          <t>Insumos Agrícolas - prazo Safra</t>
        </is>
      </c>
      <c r="E594" s="75" t="inlineStr">
        <is>
          <t>N/D</t>
        </is>
      </c>
      <c r="F594" s="75" t="inlineStr">
        <is>
          <t>planilha_manual</t>
        </is>
      </c>
      <c r="G594" s="75" t="inlineStr">
        <is>
          <t>IMG_8706.JPG</t>
        </is>
      </c>
      <c r="H594" s="75" t="inlineStr">
        <is>
          <t>payload</t>
        </is>
      </c>
      <c r="I594" s="75" t="inlineStr">
        <is>
          <t>2025-07-30</t>
        </is>
      </c>
      <c r="J594" s="75" t="inlineStr">
        <is>
          <t>99–100</t>
        </is>
      </c>
      <c r="K594" s="75" t="inlineStr">
        <is>
          <t>aceito_payload</t>
        </is>
      </c>
      <c r="L594" s="144" t="n">
        <v>1</v>
      </c>
      <c r="M594" s="75" t="inlineStr">
        <is>
          <t>data/industry_study/generated_revision/artifact_payload.json</t>
        </is>
      </c>
      <c r="N594" s="75" t="inlineStr">
        <is>
          <t>N/D</t>
        </is>
      </c>
      <c r="O594" s="75" t="inlineStr">
        <is>
          <t>N/D</t>
        </is>
      </c>
    </row>
    <row r="595" ht="43.5" customHeight="1">
      <c r="A595" s="142" t="n">
        <v>58349979000198</v>
      </c>
      <c r="B595" s="75" t="inlineStr">
        <is>
          <t>58.349.979/0001-98</t>
        </is>
      </c>
      <c r="C595" s="75" t="inlineStr">
        <is>
          <t>cedente</t>
        </is>
      </c>
      <c r="D595" s="75" t="inlineStr">
        <is>
          <t>a VOLKSWAGEN DO BRASIL INDÚSTRIA DE VEÍCULOS AUTOMOTORES LTDA., sociedade empresária, com sede na cidade de São Bernardo do Campo, Estado de São Paulo, na Estrada Marginal da Via Anchieta, s/n, Km 23,5, CEP 09823-901, inscrita no CNPJ sob</t>
        </is>
      </c>
      <c r="E595" s="75" t="inlineStr">
        <is>
          <t>N/D</t>
        </is>
      </c>
      <c r="F595" s="75" t="inlineStr">
        <is>
          <t>regulamento</t>
        </is>
      </c>
      <c r="G595" s="75" t="inlineStr">
        <is>
          <t>826212</t>
        </is>
      </c>
      <c r="H595" s="75" t="inlineStr">
        <is>
          <t>Atos de Deliberação do Administrador Instrumento Particular de Alteração do Regulamento</t>
        </is>
      </c>
      <c r="I595" s="75" t="inlineStr">
        <is>
          <t>28/01/2025</t>
        </is>
      </c>
      <c r="J595" s="75" t="inlineStr">
        <is>
          <t>88</t>
        </is>
      </c>
      <c r="K595" s="75" t="inlineStr">
        <is>
          <t>encontrado_explicito</t>
        </is>
      </c>
      <c r="L595" s="144" t="n">
        <v>0.95</v>
      </c>
      <c r="M595" s="75" t="inlineStr">
        <is>
          <t>.cache/carteira_101_document_scan/58349979000198/826212.json.gz</t>
        </is>
      </c>
      <c r="N595" s="75" t="inlineStr">
        <is>
          <t>https://fnet.bmfbovespa.com.br/fnet/publico/downloadDocumento?id=826212</t>
        </is>
      </c>
      <c r="O595"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t>
        </is>
      </c>
    </row>
    <row r="596" ht="43.5" customHeight="1">
      <c r="A596" s="142" t="n">
        <v>58349979000198</v>
      </c>
      <c r="B596" s="75" t="inlineStr">
        <is>
          <t>58.349.979/0001-98</t>
        </is>
      </c>
      <c r="C596" s="75" t="inlineStr">
        <is>
          <t>cedente</t>
        </is>
      </c>
      <c r="D596" s="75" t="inlineStr">
        <is>
          <t>a VOLKSWAGEN DO BRASIL INDÚSTRIA DE VEÍCULOS AUTOMOTORES LTDA., sociedade empresária, com sede na cidade de São Bernardo do Campo, Estado de São Paulo, na Estrada Marginal da Via Anchieta, s/n, Km 23,5, CEP 09823-901, inscrita no CNPJ sob</t>
        </is>
      </c>
      <c r="E596" s="75" t="inlineStr">
        <is>
          <t>N/D</t>
        </is>
      </c>
      <c r="F596" s="75" t="inlineStr">
        <is>
          <t>regulamento</t>
        </is>
      </c>
      <c r="G596" s="75" t="inlineStr">
        <is>
          <t>826213</t>
        </is>
      </c>
      <c r="H596" s="75" t="inlineStr">
        <is>
          <t>Regulamento</t>
        </is>
      </c>
      <c r="I596" s="75" t="inlineStr">
        <is>
          <t>28/01/2025</t>
        </is>
      </c>
      <c r="J596" s="75" t="inlineStr">
        <is>
          <t>85</t>
        </is>
      </c>
      <c r="K596" s="75" t="inlineStr">
        <is>
          <t>encontrado_explicito</t>
        </is>
      </c>
      <c r="L596" s="144" t="n">
        <v>0.95</v>
      </c>
      <c r="M596" s="75" t="inlineStr">
        <is>
          <t>.cache/carteira_101_document_scan/58349979000198/826213.json.gz</t>
        </is>
      </c>
      <c r="N596" s="75" t="inlineStr">
        <is>
          <t>https://fnet.bmfbovespa.com.br/fnet/publico/downloadDocumento?id=826213</t>
        </is>
      </c>
      <c r="O596"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t>
        </is>
      </c>
    </row>
    <row r="597" ht="43.5" customHeight="1">
      <c r="A597" s="142" t="n">
        <v>58349979000198</v>
      </c>
      <c r="B597" s="75" t="inlineStr">
        <is>
          <t>58.349.979/0001-98</t>
        </is>
      </c>
      <c r="C597" s="75" t="inlineStr">
        <is>
          <t>cedente</t>
        </is>
      </c>
      <c r="D597" s="75" t="inlineStr">
        <is>
          <t>Volkswagen do Brasil S.A.</t>
        </is>
      </c>
      <c r="E597" s="75" t="inlineStr">
        <is>
          <t>N/D</t>
        </is>
      </c>
      <c r="F597" s="75" t="inlineStr">
        <is>
          <t>planilha_manual</t>
        </is>
      </c>
      <c r="G597" s="75" t="inlineStr">
        <is>
          <t>IMG_8706.JPG</t>
        </is>
      </c>
      <c r="H597" s="75" t="inlineStr">
        <is>
          <t>payload</t>
        </is>
      </c>
      <c r="I597" s="75" t="inlineStr">
        <is>
          <t>2025-01-28</t>
        </is>
      </c>
      <c r="J597" s="75" t="inlineStr">
        <is>
          <t>94</t>
        </is>
      </c>
      <c r="K597" s="75" t="inlineStr">
        <is>
          <t>aceito_payload</t>
        </is>
      </c>
      <c r="L597" s="144" t="n">
        <v>1</v>
      </c>
      <c r="M597" s="75" t="inlineStr">
        <is>
          <t>data/industry_study/generated_revision/artifact_payload.json</t>
        </is>
      </c>
      <c r="N597" s="75" t="inlineStr">
        <is>
          <t>N/D</t>
        </is>
      </c>
      <c r="O597" s="75" t="inlineStr">
        <is>
          <t>OBS da foto: concentração grande com LM e Unidas, ambas com tendência de rating estável. Denominação cortada.</t>
        </is>
      </c>
    </row>
    <row r="598" ht="43.5" customHeight="1">
      <c r="A598" s="142" t="n">
        <v>58349979000198</v>
      </c>
      <c r="B598" s="75" t="inlineStr">
        <is>
          <t>58.349.979/0001-98</t>
        </is>
      </c>
      <c r="C598" s="75" t="inlineStr">
        <is>
          <t>minimo_estrutural_total</t>
        </is>
      </c>
      <c r="D598" s="75" t="inlineStr">
        <is>
          <t>25%</t>
        </is>
      </c>
      <c r="E598" s="75" t="inlineStr">
        <is>
          <t>suporte_total_pl</t>
        </is>
      </c>
      <c r="F598" s="75" t="inlineStr">
        <is>
          <t>payload_documental</t>
        </is>
      </c>
      <c r="G598" s="75" t="inlineStr">
        <is>
          <t>826213</t>
        </is>
      </c>
      <c r="H598" s="75" t="inlineStr">
        <is>
          <t>documento_curado</t>
        </is>
      </c>
      <c r="I598" s="75" t="inlineStr">
        <is>
          <t>2025-01-28</t>
        </is>
      </c>
      <c r="J598" s="75" t="inlineStr">
        <is>
          <t>94</t>
        </is>
      </c>
      <c r="K598" s="75" t="inlineStr">
        <is>
          <t>aceito_payload</t>
        </is>
      </c>
      <c r="L598" s="144" t="n">
        <v>1</v>
      </c>
      <c r="M598" s="75" t="inlineStr">
        <is>
          <t>data/industry_study/generated_revision/artifact_payload.json</t>
        </is>
      </c>
      <c r="N598" s="75" t="inlineStr">
        <is>
          <t>https://fnet.bmfbovespa.com.br/fnet/publico/downloadDocumento?id=826213</t>
        </is>
      </c>
      <c r="O598" s="75" t="inlineStr">
        <is>
          <t>Cotas subordinadas / PL, mínimo de 25,0%; estrutura com uma única classe residual.</t>
        </is>
      </c>
    </row>
    <row r="599" ht="43.5" customHeight="1">
      <c r="A599" s="142" t="n">
        <v>58349979000198</v>
      </c>
      <c r="B599" s="75" t="inlineStr">
        <is>
          <t>58.349.979/0001-98</t>
        </is>
      </c>
      <c r="C599" s="75" t="inlineStr">
        <is>
          <t>minimo_junior</t>
        </is>
      </c>
      <c r="D599" s="75" t="inlineStr">
        <is>
          <t>25%</t>
        </is>
      </c>
      <c r="E599" s="75" t="inlineStr">
        <is>
          <t>junior_pl</t>
        </is>
      </c>
      <c r="F599" s="75" t="inlineStr">
        <is>
          <t>payload_documental</t>
        </is>
      </c>
      <c r="G599" s="75" t="inlineStr">
        <is>
          <t>826213</t>
        </is>
      </c>
      <c r="H599" s="75" t="inlineStr">
        <is>
          <t>documento_curado</t>
        </is>
      </c>
      <c r="I599" s="75" t="inlineStr">
        <is>
          <t>2025-01-28</t>
        </is>
      </c>
      <c r="J599" s="75" t="inlineStr">
        <is>
          <t>94</t>
        </is>
      </c>
      <c r="K599" s="75" t="inlineStr">
        <is>
          <t>aceito_payload</t>
        </is>
      </c>
      <c r="L599" s="144" t="n">
        <v>1</v>
      </c>
      <c r="M599" s="75" t="inlineStr">
        <is>
          <t>data/industry_study/generated_revision/artifact_payload.json</t>
        </is>
      </c>
      <c r="N599" s="75" t="inlineStr">
        <is>
          <t>https://fnet.bmfbovespa.com.br/fnet/publico/downloadDocumento?id=826213</t>
        </is>
      </c>
      <c r="O599" s="75" t="inlineStr">
        <is>
          <t>Cotas subordinadas / PL, mínimo de 25,0%; estrutura com uma única classe residual.</t>
        </is>
      </c>
    </row>
    <row r="600" ht="43.5" customHeight="1">
      <c r="A600" s="142" t="n">
        <v>58349979000198</v>
      </c>
      <c r="B600" s="75" t="inlineStr">
        <is>
          <t>58.349.979/0001-98</t>
        </is>
      </c>
      <c r="C600" s="75" t="inlineStr">
        <is>
          <t>natureza_indice</t>
        </is>
      </c>
      <c r="D600" s="75" t="inlineStr">
        <is>
          <t>junior_pl</t>
        </is>
      </c>
      <c r="E600" s="75" t="inlineStr">
        <is>
          <t>junior_pl</t>
        </is>
      </c>
      <c r="F600" s="75" t="inlineStr">
        <is>
          <t>payload_documental</t>
        </is>
      </c>
      <c r="G600" s="75" t="inlineStr">
        <is>
          <t>826213</t>
        </is>
      </c>
      <c r="H600" s="75" t="inlineStr">
        <is>
          <t>documento_curado</t>
        </is>
      </c>
      <c r="I600" s="75" t="inlineStr">
        <is>
          <t>2025-01-28</t>
        </is>
      </c>
      <c r="J600" s="75" t="inlineStr">
        <is>
          <t>94</t>
        </is>
      </c>
      <c r="K600" s="75" t="inlineStr">
        <is>
          <t>aceito_payload</t>
        </is>
      </c>
      <c r="L600" s="144" t="n">
        <v>1</v>
      </c>
      <c r="M600" s="75" t="inlineStr">
        <is>
          <t>data/industry_study/generated_revision/artifact_payload.json</t>
        </is>
      </c>
      <c r="N600" s="75" t="inlineStr">
        <is>
          <t>https://fnet.bmfbovespa.com.br/fnet/publico/downloadDocumento?id=826213</t>
        </is>
      </c>
      <c r="O600" s="75" t="inlineStr">
        <is>
          <t>Cotas subordinadas / PL, mínimo de 25,0%; estrutura com uma única classe residual.</t>
        </is>
      </c>
    </row>
    <row r="601" ht="43.5" customHeight="1">
      <c r="A601" s="142" t="n">
        <v>58349979000198</v>
      </c>
      <c r="B601" s="75" t="inlineStr">
        <is>
          <t>58.349.979/0001-98</t>
        </is>
      </c>
      <c r="C601" s="75" t="inlineStr">
        <is>
          <t>sacado_devedor</t>
        </is>
      </c>
      <c r="D601" s="75" t="inlineStr">
        <is>
          <t>os clientes da Cedente que tenham adquirido Produtos e sejam devedores dos Direitos Creditórios , compostos por Devedores Concentrados e Devedores Pulverizados</t>
        </is>
      </c>
      <c r="E601" s="75" t="inlineStr">
        <is>
          <t>N/D</t>
        </is>
      </c>
      <c r="F601" s="75" t="inlineStr">
        <is>
          <t>regulamento</t>
        </is>
      </c>
      <c r="G601" s="75" t="inlineStr">
        <is>
          <t>826212</t>
        </is>
      </c>
      <c r="H601" s="75" t="inlineStr">
        <is>
          <t>Atos de Deliberação do Administrador Instrumento Particular de Alteração do Regulamento</t>
        </is>
      </c>
      <c r="I601" s="75" t="inlineStr">
        <is>
          <t>28/01/2025</t>
        </is>
      </c>
      <c r="J601" s="75" t="inlineStr">
        <is>
          <t>91</t>
        </is>
      </c>
      <c r="K601" s="75" t="inlineStr">
        <is>
          <t>encontrado_explicito</t>
        </is>
      </c>
      <c r="L601" s="144" t="n">
        <v>0.95</v>
      </c>
      <c r="M601" s="75" t="inlineStr">
        <is>
          <t>.cache/carteira_101_document_scan/58349979000198/826212.json.gz</t>
        </is>
      </c>
      <c r="N601" s="75" t="inlineStr">
        <is>
          <t>https://fnet.bmfbovespa.com.br/fnet/publico/downloadDocumento?id=826212</t>
        </is>
      </c>
      <c r="O601"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2" ht="43.5" customHeight="1">
      <c r="A602" s="142" t="n">
        <v>58349979000198</v>
      </c>
      <c r="B602" s="75" t="inlineStr">
        <is>
          <t>58.349.979/0001-98</t>
        </is>
      </c>
      <c r="C602" s="75" t="inlineStr">
        <is>
          <t>sacado_devedor</t>
        </is>
      </c>
      <c r="D602" s="75" t="inlineStr">
        <is>
          <t>a Movida, a Unidas e a LM, considerados em conjunto com as demais sociedades dos seus respectivos Grupos Econômicos, conforme lista enviada pela Cedente, nos termos do Contrato de Cessão</t>
        </is>
      </c>
      <c r="E602" s="75" t="inlineStr">
        <is>
          <t>N/D</t>
        </is>
      </c>
      <c r="F602" s="75" t="inlineStr">
        <is>
          <t>regulamento</t>
        </is>
      </c>
      <c r="G602" s="75" t="inlineStr">
        <is>
          <t>826212</t>
        </is>
      </c>
      <c r="H602" s="75" t="inlineStr">
        <is>
          <t>Atos de Deliberação do Administrador Instrumento Particular de Alteração do Regulamento</t>
        </is>
      </c>
      <c r="I602" s="75" t="inlineStr">
        <is>
          <t>28/01/2025</t>
        </is>
      </c>
      <c r="J602" s="75" t="inlineStr">
        <is>
          <t>91</t>
        </is>
      </c>
      <c r="K602" s="75" t="inlineStr">
        <is>
          <t>encontrado_explicito</t>
        </is>
      </c>
      <c r="L602" s="144" t="n">
        <v>0.95</v>
      </c>
      <c r="M602" s="75" t="inlineStr">
        <is>
          <t>.cache/carteira_101_document_scan/58349979000198/826212.json.gz</t>
        </is>
      </c>
      <c r="N602" s="75" t="inlineStr">
        <is>
          <t>https://fnet.bmfbovespa.com.br/fnet/publico/downloadDocumento?id=826212</t>
        </is>
      </c>
      <c r="O602"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3" ht="43.5" customHeight="1">
      <c r="A603" s="142" t="n">
        <v>58349979000198</v>
      </c>
      <c r="B603" s="75" t="inlineStr">
        <is>
          <t>58.349.979/0001-98</t>
        </is>
      </c>
      <c r="C603" s="75" t="inlineStr">
        <is>
          <t>sacado_devedor</t>
        </is>
      </c>
      <c r="D603"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3" s="75" t="inlineStr">
        <is>
          <t>N/D</t>
        </is>
      </c>
      <c r="F603" s="75" t="inlineStr">
        <is>
          <t>regulamento</t>
        </is>
      </c>
      <c r="G603" s="75" t="inlineStr">
        <is>
          <t>826212</t>
        </is>
      </c>
      <c r="H603" s="75" t="inlineStr">
        <is>
          <t>Atos de Deliberação do Administrador Instrumento Particular de Alteração do Regulamento</t>
        </is>
      </c>
      <c r="I603" s="75" t="inlineStr">
        <is>
          <t>28/01/2025</t>
        </is>
      </c>
      <c r="J603" s="75" t="inlineStr">
        <is>
          <t>91</t>
        </is>
      </c>
      <c r="K603" s="75" t="inlineStr">
        <is>
          <t>encontrado_explicito</t>
        </is>
      </c>
      <c r="L603" s="144" t="n">
        <v>0.95</v>
      </c>
      <c r="M603" s="75" t="inlineStr">
        <is>
          <t>.cache/carteira_101_document_scan/58349979000198/826212.json.gz</t>
        </is>
      </c>
      <c r="N603" s="75" t="inlineStr">
        <is>
          <t>https://fnet.bmfbovespa.com.br/fnet/publico/downloadDocumento?id=826212</t>
        </is>
      </c>
      <c r="O603"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4" ht="43.5" customHeight="1">
      <c r="A604" s="142" t="n">
        <v>58349979000198</v>
      </c>
      <c r="B604" s="75" t="inlineStr">
        <is>
          <t>58.349.979/0001-98</t>
        </is>
      </c>
      <c r="C604" s="75" t="inlineStr">
        <is>
          <t>sacado_devedor</t>
        </is>
      </c>
      <c r="D604" s="75" t="inlineStr">
        <is>
          <t>os clientes da Cedente que tenham adquirido Produtos e sejam devedores dos Direitos Creditórios , compostos por Devedores Concentrados e Devedores Pulverizados</t>
        </is>
      </c>
      <c r="E604" s="75" t="inlineStr">
        <is>
          <t>N/D</t>
        </is>
      </c>
      <c r="F604" s="75" t="inlineStr">
        <is>
          <t>regulamento</t>
        </is>
      </c>
      <c r="G604" s="75" t="inlineStr">
        <is>
          <t>826213</t>
        </is>
      </c>
      <c r="H604" s="75" t="inlineStr">
        <is>
          <t>Regulamento</t>
        </is>
      </c>
      <c r="I604" s="75" t="inlineStr">
        <is>
          <t>28/01/2025</t>
        </is>
      </c>
      <c r="J604" s="75" t="inlineStr">
        <is>
          <t>88</t>
        </is>
      </c>
      <c r="K604" s="75" t="inlineStr">
        <is>
          <t>encontrado_explicito</t>
        </is>
      </c>
      <c r="L604" s="144" t="n">
        <v>0.95</v>
      </c>
      <c r="M604" s="75" t="inlineStr">
        <is>
          <t>.cache/carteira_101_document_scan/58349979000198/826213.json.gz</t>
        </is>
      </c>
      <c r="N604" s="75" t="inlineStr">
        <is>
          <t>https://fnet.bmfbovespa.com.br/fnet/publico/downloadDocumento?id=826213</t>
        </is>
      </c>
      <c r="O604"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5" ht="43.5" customHeight="1">
      <c r="A605" s="142" t="n">
        <v>58349979000198</v>
      </c>
      <c r="B605" s="75" t="inlineStr">
        <is>
          <t>58.349.979/0001-98</t>
        </is>
      </c>
      <c r="C605" s="75" t="inlineStr">
        <is>
          <t>sacado_devedor</t>
        </is>
      </c>
      <c r="D605" s="75" t="inlineStr">
        <is>
          <t>a Movida, a Unidas e a LM, considerados em conjunto com as demais sociedades dos seus respectivos Grupos Econômicos, conforme lista enviada pela Cedente, nos termos do Contrato de Cessão</t>
        </is>
      </c>
      <c r="E605" s="75" t="inlineStr">
        <is>
          <t>N/D</t>
        </is>
      </c>
      <c r="F605" s="75" t="inlineStr">
        <is>
          <t>regulamento</t>
        </is>
      </c>
      <c r="G605" s="75" t="inlineStr">
        <is>
          <t>826213</t>
        </is>
      </c>
      <c r="H605" s="75" t="inlineStr">
        <is>
          <t>Regulamento</t>
        </is>
      </c>
      <c r="I605" s="75" t="inlineStr">
        <is>
          <t>28/01/2025</t>
        </is>
      </c>
      <c r="J605" s="75" t="inlineStr">
        <is>
          <t>88</t>
        </is>
      </c>
      <c r="K605" s="75" t="inlineStr">
        <is>
          <t>encontrado_explicito</t>
        </is>
      </c>
      <c r="L605" s="144" t="n">
        <v>0.95</v>
      </c>
      <c r="M605" s="75" t="inlineStr">
        <is>
          <t>.cache/carteira_101_document_scan/58349979000198/826213.json.gz</t>
        </is>
      </c>
      <c r="N605" s="75" t="inlineStr">
        <is>
          <t>https://fnet.bmfbovespa.com.br/fnet/publico/downloadDocumento?id=826213</t>
        </is>
      </c>
      <c r="O605"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6" ht="43.5" customHeight="1">
      <c r="A606" s="142" t="n">
        <v>58349979000198</v>
      </c>
      <c r="B606" s="75" t="inlineStr">
        <is>
          <t>58.349.979/0001-98</t>
        </is>
      </c>
      <c r="C606" s="75" t="inlineStr">
        <is>
          <t>sacado_devedor</t>
        </is>
      </c>
      <c r="D606"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6" s="75" t="inlineStr">
        <is>
          <t>N/D</t>
        </is>
      </c>
      <c r="F606" s="75" t="inlineStr">
        <is>
          <t>regulamento</t>
        </is>
      </c>
      <c r="G606" s="75" t="inlineStr">
        <is>
          <t>826213</t>
        </is>
      </c>
      <c r="H606" s="75" t="inlineStr">
        <is>
          <t>Regulamento</t>
        </is>
      </c>
      <c r="I606" s="75" t="inlineStr">
        <is>
          <t>28/01/2025</t>
        </is>
      </c>
      <c r="J606" s="75" t="inlineStr">
        <is>
          <t>88</t>
        </is>
      </c>
      <c r="K606" s="75" t="inlineStr">
        <is>
          <t>encontrado_explicito</t>
        </is>
      </c>
      <c r="L606" s="144" t="n">
        <v>0.95</v>
      </c>
      <c r="M606" s="75" t="inlineStr">
        <is>
          <t>.cache/carteira_101_document_scan/58349979000198/826213.json.gz</t>
        </is>
      </c>
      <c r="N606" s="75" t="inlineStr">
        <is>
          <t>https://fnet.bmfbovespa.com.br/fnet/publico/downloadDocumento?id=826213</t>
        </is>
      </c>
      <c r="O606"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7" ht="43.5" customHeight="1">
      <c r="A607" s="142" t="n">
        <v>58349979000198</v>
      </c>
      <c r="B607" s="75" t="inlineStr">
        <is>
          <t>58.349.979/0001-98</t>
        </is>
      </c>
      <c r="C607" s="75" t="inlineStr">
        <is>
          <t>tipo_recebivel</t>
        </is>
      </c>
      <c r="D607" s="75" t="inlineStr">
        <is>
          <t>Direitos creditórios</t>
        </is>
      </c>
      <c r="E607" s="75" t="inlineStr">
        <is>
          <t>N/D</t>
        </is>
      </c>
      <c r="F607" s="75" t="inlineStr">
        <is>
          <t>planilha_manual</t>
        </is>
      </c>
      <c r="G607" s="75" t="inlineStr">
        <is>
          <t>IMG_8706.JPG</t>
        </is>
      </c>
      <c r="H607" s="75" t="inlineStr">
        <is>
          <t>payload</t>
        </is>
      </c>
      <c r="I607" s="75" t="inlineStr">
        <is>
          <t>2025-01-28</t>
        </is>
      </c>
      <c r="J607" s="75" t="inlineStr">
        <is>
          <t>94</t>
        </is>
      </c>
      <c r="K607" s="75" t="inlineStr">
        <is>
          <t>aceito_payload</t>
        </is>
      </c>
      <c r="L607" s="144" t="n">
        <v>1</v>
      </c>
      <c r="M607" s="75" t="inlineStr">
        <is>
          <t>data/industry_study/generated_revision/artifact_payload.json</t>
        </is>
      </c>
      <c r="N607" s="75" t="inlineStr">
        <is>
          <t>N/D</t>
        </is>
      </c>
      <c r="O607" s="75" t="inlineStr">
        <is>
          <t>OBS da foto: concentração grande com LM e Unidas, ambas com tendência de rating estável. Denominação cortada.</t>
        </is>
      </c>
    </row>
    <row r="608" ht="43.5" customHeight="1">
      <c r="A608" s="142" t="n">
        <v>58476088000100</v>
      </c>
      <c r="B608" s="75" t="inlineStr">
        <is>
          <t>58.476.088/0001-00</t>
        </is>
      </c>
      <c r="C608" s="75" t="inlineStr">
        <is>
          <t>cedente</t>
        </is>
      </c>
      <c r="D608" s="75" t="inlineStr">
        <is>
          <t>Saga Brasil</t>
        </is>
      </c>
      <c r="E608" s="75" t="inlineStr">
        <is>
          <t>N/D</t>
        </is>
      </c>
      <c r="F608" s="75" t="inlineStr">
        <is>
          <t>planilha_manual</t>
        </is>
      </c>
      <c r="G608" s="75" t="inlineStr">
        <is>
          <t>IMG_8706.JPG</t>
        </is>
      </c>
      <c r="H608" s="75" t="inlineStr">
        <is>
          <t>payload</t>
        </is>
      </c>
      <c r="I608" s="75" t="inlineStr">
        <is>
          <t>2025-02-25</t>
        </is>
      </c>
      <c r="J608" s="75" t="inlineStr">
        <is>
          <t>18</t>
        </is>
      </c>
      <c r="K608" s="75" t="inlineStr">
        <is>
          <t>aceito_payload</t>
        </is>
      </c>
      <c r="L608" s="144" t="n">
        <v>1</v>
      </c>
      <c r="M608" s="75" t="inlineStr">
        <is>
          <t>data/industry_study/generated_revision/artifact_payload.json</t>
        </is>
      </c>
      <c r="N608" s="75" t="inlineStr">
        <is>
          <t>N/D</t>
        </is>
      </c>
      <c r="O608" s="75" t="inlineStr">
        <is>
          <t>OBS continua fora da foto após a descrição legível.</t>
        </is>
      </c>
    </row>
    <row r="609" ht="43.5" customHeight="1">
      <c r="A609" s="142" t="n">
        <v>58476088000100</v>
      </c>
      <c r="B609" s="75" t="inlineStr">
        <is>
          <t>58.476.088/0001-00</t>
        </is>
      </c>
      <c r="C609" s="75" t="inlineStr">
        <is>
          <t>minimo_estrutural_total</t>
        </is>
      </c>
      <c r="D609" s="75" t="inlineStr">
        <is>
          <t>33.33%</t>
        </is>
      </c>
      <c r="E609" s="75" t="inlineStr">
        <is>
          <t>suporte_total_pl</t>
        </is>
      </c>
      <c r="F609" s="75" t="inlineStr">
        <is>
          <t>payload_documental</t>
        </is>
      </c>
      <c r="G609" s="75" t="inlineStr">
        <is>
          <t>852325</t>
        </is>
      </c>
      <c r="H609" s="75" t="inlineStr">
        <is>
          <t>documento_curado</t>
        </is>
      </c>
      <c r="I609" s="75" t="inlineStr">
        <is>
          <t>2025-02-25</t>
        </is>
      </c>
      <c r="J609" s="75" t="inlineStr">
        <is>
          <t>18</t>
        </is>
      </c>
      <c r="K609" s="75" t="inlineStr">
        <is>
          <t>aceito_payload</t>
        </is>
      </c>
      <c r="L609" s="144" t="n">
        <v>1</v>
      </c>
      <c r="M609" s="75" t="inlineStr">
        <is>
          <t>data/industry_study/generated_revision/artifact_payload.json</t>
        </is>
      </c>
      <c r="N609" s="75" t="inlineStr">
        <is>
          <t>https://fnet.bmfbovespa.com.br/fnet/publico/downloadDocumento?id=852325</t>
        </is>
      </c>
      <c r="O609" s="75" t="inlineStr">
        <is>
          <t>Cotas subordinadas / PL, mínimo de 33,33%; estrutura com uma única classe residual.</t>
        </is>
      </c>
    </row>
    <row r="610" ht="43.5" customHeight="1">
      <c r="A610" s="142" t="n">
        <v>58476088000100</v>
      </c>
      <c r="B610" s="75" t="inlineStr">
        <is>
          <t>58.476.088/0001-00</t>
        </is>
      </c>
      <c r="C610" s="75" t="inlineStr">
        <is>
          <t>minimo_junior</t>
        </is>
      </c>
      <c r="D610" s="75" t="inlineStr">
        <is>
          <t>33.33%</t>
        </is>
      </c>
      <c r="E610" s="75" t="inlineStr">
        <is>
          <t>junior_pl</t>
        </is>
      </c>
      <c r="F610" s="75" t="inlineStr">
        <is>
          <t>payload_documental</t>
        </is>
      </c>
      <c r="G610" s="75" t="inlineStr">
        <is>
          <t>852325</t>
        </is>
      </c>
      <c r="H610" s="75" t="inlineStr">
        <is>
          <t>documento_curado</t>
        </is>
      </c>
      <c r="I610" s="75" t="inlineStr">
        <is>
          <t>2025-02-25</t>
        </is>
      </c>
      <c r="J610" s="75" t="inlineStr">
        <is>
          <t>18</t>
        </is>
      </c>
      <c r="K610" s="75" t="inlineStr">
        <is>
          <t>aceito_payload</t>
        </is>
      </c>
      <c r="L610" s="144" t="n">
        <v>1</v>
      </c>
      <c r="M610" s="75" t="inlineStr">
        <is>
          <t>data/industry_study/generated_revision/artifact_payload.json</t>
        </is>
      </c>
      <c r="N610" s="75" t="inlineStr">
        <is>
          <t>https://fnet.bmfbovespa.com.br/fnet/publico/downloadDocumento?id=852325</t>
        </is>
      </c>
      <c r="O610" s="75" t="inlineStr">
        <is>
          <t>Cotas subordinadas / PL, mínimo de 33,33%; estrutura com uma única classe residual.</t>
        </is>
      </c>
    </row>
    <row r="611" ht="43.5" customHeight="1">
      <c r="A611" s="142" t="n">
        <v>58476088000100</v>
      </c>
      <c r="B611" s="75" t="inlineStr">
        <is>
          <t>58.476.088/0001-00</t>
        </is>
      </c>
      <c r="C611" s="75" t="inlineStr">
        <is>
          <t>natureza_indice</t>
        </is>
      </c>
      <c r="D611" s="75" t="inlineStr">
        <is>
          <t>junior_pl</t>
        </is>
      </c>
      <c r="E611" s="75" t="inlineStr">
        <is>
          <t>junior_pl</t>
        </is>
      </c>
      <c r="F611" s="75" t="inlineStr">
        <is>
          <t>payload_documental</t>
        </is>
      </c>
      <c r="G611" s="75" t="inlineStr">
        <is>
          <t>852325</t>
        </is>
      </c>
      <c r="H611" s="75" t="inlineStr">
        <is>
          <t>documento_curado</t>
        </is>
      </c>
      <c r="I611" s="75" t="inlineStr">
        <is>
          <t>2025-02-25</t>
        </is>
      </c>
      <c r="J611" s="75" t="inlineStr">
        <is>
          <t>18</t>
        </is>
      </c>
      <c r="K611" s="75" t="inlineStr">
        <is>
          <t>aceito_payload</t>
        </is>
      </c>
      <c r="L611" s="144" t="n">
        <v>1</v>
      </c>
      <c r="M611" s="75" t="inlineStr">
        <is>
          <t>data/industry_study/generated_revision/artifact_payload.json</t>
        </is>
      </c>
      <c r="N611" s="75" t="inlineStr">
        <is>
          <t>https://fnet.bmfbovespa.com.br/fnet/publico/downloadDocumento?id=852325</t>
        </is>
      </c>
      <c r="O611" s="75" t="inlineStr">
        <is>
          <t>Cotas subordinadas / PL, mínimo de 33,33%; estrutura com uma única classe residual.</t>
        </is>
      </c>
    </row>
    <row r="612" ht="43.5" customHeight="1">
      <c r="A612" s="142" t="n">
        <v>58476088000100</v>
      </c>
      <c r="B612" s="75" t="inlineStr">
        <is>
          <t>58.476.088/0001-00</t>
        </is>
      </c>
      <c r="C612" s="75" t="inlineStr">
        <is>
          <t>tipo_recebivel</t>
        </is>
      </c>
      <c r="D612" s="75" t="inlineStr">
        <is>
          <t>os direitos creditórios originados das Notas Comerciais emitidas pelos Devedores, representados pelos Documentos Comprobatórios, conforme o caso, detidas pela Fundo contra os Devedores</t>
        </is>
      </c>
      <c r="E612" s="75" t="inlineStr">
        <is>
          <t>N/D</t>
        </is>
      </c>
      <c r="F612" s="75" t="inlineStr">
        <is>
          <t>regulamento</t>
        </is>
      </c>
      <c r="G612" s="75" t="inlineStr">
        <is>
          <t>830536</t>
        </is>
      </c>
      <c r="H612" s="75" t="inlineStr">
        <is>
          <t>Regulamento</t>
        </is>
      </c>
      <c r="I612" s="75" t="inlineStr">
        <is>
          <t>03/02/2025</t>
        </is>
      </c>
      <c r="J612" s="75" t="inlineStr">
        <is>
          <t>15</t>
        </is>
      </c>
      <c r="K612" s="75" t="inlineStr">
        <is>
          <t>encontrado_explicito</t>
        </is>
      </c>
      <c r="L612" s="144" t="n">
        <v>0.92</v>
      </c>
      <c r="M612" s="75" t="inlineStr">
        <is>
          <t>.cache/carteira_101_document_scan/58476088000100/830536.json.gz</t>
        </is>
      </c>
      <c r="N612" s="75" t="inlineStr">
        <is>
          <t>https://fnet.bmfbovespa.com.br/fnet/publico/downloadDocumento?id=830536</t>
        </is>
      </c>
      <c r="O612"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3" ht="43.5" customHeight="1">
      <c r="A613" s="142" t="n">
        <v>58476088000100</v>
      </c>
      <c r="B613" s="75" t="inlineStr">
        <is>
          <t>58.476.088/0001-00</t>
        </is>
      </c>
      <c r="C613" s="75" t="inlineStr">
        <is>
          <t>tipo_recebivel</t>
        </is>
      </c>
      <c r="D613" s="75" t="inlineStr">
        <is>
          <t>os direitos creditórios originados das Notas Comerciais emitidas pelos Devedores, representados pelos Documentos Comprobatórios, conforme o caso, detidas pela Fundo contra os Devedores</t>
        </is>
      </c>
      <c r="E613" s="75" t="inlineStr">
        <is>
          <t>N/D</t>
        </is>
      </c>
      <c r="F613" s="75" t="inlineStr">
        <is>
          <t>regulamento</t>
        </is>
      </c>
      <c r="G613" s="75" t="inlineStr">
        <is>
          <t>852325</t>
        </is>
      </c>
      <c r="H613" s="75" t="inlineStr">
        <is>
          <t>Regulamento</t>
        </is>
      </c>
      <c r="I613" s="75" t="inlineStr">
        <is>
          <t>25/02/2025</t>
        </is>
      </c>
      <c r="J613" s="75" t="inlineStr">
        <is>
          <t>15</t>
        </is>
      </c>
      <c r="K613" s="75" t="inlineStr">
        <is>
          <t>encontrado_explicito</t>
        </is>
      </c>
      <c r="L613" s="144" t="n">
        <v>0.92</v>
      </c>
      <c r="M613" s="75" t="inlineStr">
        <is>
          <t>.cache/carteira_101_document_scan/58476088000100/852325.json.gz</t>
        </is>
      </c>
      <c r="N613" s="75" t="inlineStr">
        <is>
          <t>https://fnet.bmfbovespa.com.br/fnet/publico/downloadDocumento?id=852325</t>
        </is>
      </c>
      <c r="O613"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4" ht="43.5" customHeight="1">
      <c r="A614" s="142" t="n">
        <v>58476088000100</v>
      </c>
      <c r="B614" s="75" t="inlineStr">
        <is>
          <t>58.476.088/0001-00</t>
        </is>
      </c>
      <c r="C614" s="75" t="inlineStr">
        <is>
          <t>tipo_recebivel</t>
        </is>
      </c>
      <c r="D614" s="75" t="inlineStr">
        <is>
          <t>notas comerciais para substituição parcial de Floor Plan</t>
        </is>
      </c>
      <c r="E614" s="75" t="inlineStr">
        <is>
          <t>N/D</t>
        </is>
      </c>
      <c r="F614" s="75" t="inlineStr">
        <is>
          <t>planilha_manual</t>
        </is>
      </c>
      <c r="G614" s="75" t="inlineStr">
        <is>
          <t>IMG_8706.JPG</t>
        </is>
      </c>
      <c r="H614" s="75" t="inlineStr">
        <is>
          <t>payload</t>
        </is>
      </c>
      <c r="I614" s="75" t="inlineStr">
        <is>
          <t>2025-02-25</t>
        </is>
      </c>
      <c r="J614" s="75" t="inlineStr">
        <is>
          <t>18</t>
        </is>
      </c>
      <c r="K614" s="75" t="inlineStr">
        <is>
          <t>aceito_payload</t>
        </is>
      </c>
      <c r="L614" s="144" t="n">
        <v>1</v>
      </c>
      <c r="M614" s="75" t="inlineStr">
        <is>
          <t>data/industry_study/generated_revision/artifact_payload.json</t>
        </is>
      </c>
      <c r="N614" s="75" t="inlineStr">
        <is>
          <t>N/D</t>
        </is>
      </c>
      <c r="O614" s="75" t="inlineStr">
        <is>
          <t>OBS continua fora da foto após a descrição legível.</t>
        </is>
      </c>
    </row>
    <row r="615" ht="43.5" customHeight="1">
      <c r="A615" s="142" t="n">
        <v>61288838000117</v>
      </c>
      <c r="B615" s="75" t="inlineStr">
        <is>
          <t>61.288.838/0001-17</t>
        </is>
      </c>
      <c r="C615" s="75" t="inlineStr">
        <is>
          <t>cedente</t>
        </is>
      </c>
      <c r="D615" s="75" t="inlineStr">
        <is>
          <t>a Subcredenciadora</t>
        </is>
      </c>
      <c r="E615" s="75" t="inlineStr">
        <is>
          <t>N/D</t>
        </is>
      </c>
      <c r="F615" s="75" t="inlineStr">
        <is>
          <t>regulamento</t>
        </is>
      </c>
      <c r="G615" s="75" t="inlineStr">
        <is>
          <t>1240846</t>
        </is>
      </c>
      <c r="H615" s="75" t="inlineStr">
        <is>
          <t>Regulamento</t>
        </is>
      </c>
      <c r="I615" s="75" t="inlineStr">
        <is>
          <t>03/07/2026</t>
        </is>
      </c>
      <c r="J615" s="75" t="inlineStr">
        <is>
          <t>100</t>
        </is>
      </c>
      <c r="K615" s="75" t="inlineStr">
        <is>
          <t>encontrado_explicito</t>
        </is>
      </c>
      <c r="L615" s="144" t="n">
        <v>0.95</v>
      </c>
      <c r="M615" s="75" t="inlineStr">
        <is>
          <t>.cache/carteira_101_document_scan/61288838000117/1240846.json.gz</t>
        </is>
      </c>
      <c r="N615" s="75" t="inlineStr">
        <is>
          <t>https://fnet.bmfbovespa.com.br/fnet/publico/downloadDocumento?id=1240846</t>
        </is>
      </c>
      <c r="O615" s="75" t="inlineStr">
        <is>
          <t>Instituição Financeira Parceira, nos termos da Lei nº 10.931, com o objetivo de realizar uma operação de crédito. “Cedente” significa a Subcredenciadora. “Chargeback” significa a contestação de Transação(ões) de Pagamento, seja no todo ou em parte, por parte de clien</t>
        </is>
      </c>
    </row>
    <row r="616" ht="43.5" customHeight="1">
      <c r="A616" s="142" t="n">
        <v>61288838000117</v>
      </c>
      <c r="B616" s="75" t="inlineStr">
        <is>
          <t>61.288.838/0001-17</t>
        </is>
      </c>
      <c r="C616" s="75" t="inlineStr">
        <is>
          <t>cedente</t>
        </is>
      </c>
      <c r="D616" s="75" t="inlineStr">
        <is>
          <t>a Subcredenciadora</t>
        </is>
      </c>
      <c r="E616" s="75" t="inlineStr">
        <is>
          <t>N/D</t>
        </is>
      </c>
      <c r="F616" s="75" t="inlineStr">
        <is>
          <t>regulamento</t>
        </is>
      </c>
      <c r="G616" s="75" t="inlineStr">
        <is>
          <t>1072389</t>
        </is>
      </c>
      <c r="H616" s="75" t="inlineStr">
        <is>
          <t>regulamento</t>
        </is>
      </c>
      <c r="I616" s="75" t="inlineStr">
        <is>
          <t>2025-12-29</t>
        </is>
      </c>
      <c r="J616" s="75" t="inlineStr">
        <is>
          <t>177</t>
        </is>
      </c>
      <c r="K616" s="75" t="inlineStr">
        <is>
          <t>encontrado_explicito</t>
        </is>
      </c>
      <c r="L616" s="144" t="n">
        <v>0.95</v>
      </c>
      <c r="M616" s="75" t="inlineStr">
        <is>
          <t>data/raw/61288838000117/1072389_regulamento_regulamento_1072389_2025-12-29_2025-12-29.pdf</t>
        </is>
      </c>
      <c r="N616" s="75" t="inlineStr">
        <is>
          <t>https://fnet.bmfbovespa.com.br/fnet/publico/downloadDocumento?id=1072389</t>
        </is>
      </c>
      <c r="O616"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7" ht="43.5" customHeight="1">
      <c r="A617" s="142" t="n">
        <v>61288838000117</v>
      </c>
      <c r="B617" s="75" t="inlineStr">
        <is>
          <t>61.288.838/0001-17</t>
        </is>
      </c>
      <c r="C617" s="75" t="inlineStr">
        <is>
          <t>cedente</t>
        </is>
      </c>
      <c r="D617" s="75" t="inlineStr">
        <is>
          <t>a Subcredenciadora</t>
        </is>
      </c>
      <c r="E617" s="75" t="inlineStr">
        <is>
          <t>N/D</t>
        </is>
      </c>
      <c r="F617" s="75" t="inlineStr">
        <is>
          <t>regulamento</t>
        </is>
      </c>
      <c r="G617" s="75" t="inlineStr">
        <is>
          <t>1073756</t>
        </is>
      </c>
      <c r="H617" s="75" t="inlineStr">
        <is>
          <t>Regulamento</t>
        </is>
      </c>
      <c r="I617" s="75" t="inlineStr">
        <is>
          <t>29/12/2025</t>
        </is>
      </c>
      <c r="J617" s="75" t="inlineStr">
        <is>
          <t>107</t>
        </is>
      </c>
      <c r="K617" s="75" t="inlineStr">
        <is>
          <t>encontrado_explicito</t>
        </is>
      </c>
      <c r="L617" s="144" t="n">
        <v>0.95</v>
      </c>
      <c r="M617" s="75" t="inlineStr">
        <is>
          <t>.cache/carteira_101_document_scan/61288838000117/1073756.json.gz</t>
        </is>
      </c>
      <c r="N617" s="75" t="inlineStr">
        <is>
          <t>https://fnet.bmfbovespa.com.br/fnet/publico/downloadDocumento?id=1073756</t>
        </is>
      </c>
      <c r="O617"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8" ht="43.5" customHeight="1">
      <c r="A618" s="142" t="n">
        <v>61288838000117</v>
      </c>
      <c r="B618" s="75" t="inlineStr">
        <is>
          <t>61.288.838/0001-17</t>
        </is>
      </c>
      <c r="C618" s="75" t="inlineStr">
        <is>
          <t>cedente</t>
        </is>
      </c>
      <c r="D618" s="75" t="inlineStr">
        <is>
          <t>MovilePay / iFood</t>
        </is>
      </c>
      <c r="E618" s="75" t="inlineStr">
        <is>
          <t>N/D</t>
        </is>
      </c>
      <c r="F618" s="75" t="inlineStr">
        <is>
          <t>planilha_manual</t>
        </is>
      </c>
      <c r="G618" s="75" t="inlineStr">
        <is>
          <t>IMG_8707.jpg</t>
        </is>
      </c>
      <c r="H618" s="75" t="inlineStr">
        <is>
          <t>payload</t>
        </is>
      </c>
      <c r="I618" s="75" t="inlineStr">
        <is>
          <t>2026-07-03</t>
        </is>
      </c>
      <c r="J618" s="75" t="inlineStr">
        <is>
          <t>114</t>
        </is>
      </c>
      <c r="K618" s="75" t="inlineStr">
        <is>
          <t>aceito_payload</t>
        </is>
      </c>
      <c r="L618" s="144" t="n">
        <v>1</v>
      </c>
      <c r="M618" s="75" t="inlineStr">
        <is>
          <t>data/industry_study/generated_revision/artifact_payload.json</t>
        </is>
      </c>
      <c r="N618" s="75" t="inlineStr">
        <is>
          <t>N/D</t>
        </is>
      </c>
      <c r="O618" s="75" t="inlineStr">
        <is>
          <t>N/D</t>
        </is>
      </c>
    </row>
    <row r="619" ht="43.5" customHeight="1">
      <c r="A619" s="142" t="n">
        <v>61288838000117</v>
      </c>
      <c r="B619" s="75" t="inlineStr">
        <is>
          <t>61.288.838/0001-17</t>
        </is>
      </c>
      <c r="C619" s="75" t="inlineStr">
        <is>
          <t>minimo_estrutural_total</t>
        </is>
      </c>
      <c r="D619" s="75" t="inlineStr">
        <is>
          <t>25%</t>
        </is>
      </c>
      <c r="E619" s="75" t="inlineStr">
        <is>
          <t>suporte_total_pl</t>
        </is>
      </c>
      <c r="F619" s="75" t="inlineStr">
        <is>
          <t>regulamento</t>
        </is>
      </c>
      <c r="G619" s="75" t="inlineStr">
        <is>
          <t>1240846</t>
        </is>
      </c>
      <c r="H619" s="75" t="inlineStr">
        <is>
          <t>Regulamento</t>
        </is>
      </c>
      <c r="I619" s="75" t="inlineStr">
        <is>
          <t>03/07/2026</t>
        </is>
      </c>
      <c r="J619" s="75" t="inlineStr">
        <is>
          <t>66</t>
        </is>
      </c>
      <c r="K619" s="75" t="inlineStr">
        <is>
          <t>encontrado_explicito</t>
        </is>
      </c>
      <c r="L619" s="144" t="n">
        <v>0.95</v>
      </c>
      <c r="M619" s="75" t="inlineStr">
        <is>
          <t>.cache/carteira_101_document_scan/61288838000117/1240846.json.gz</t>
        </is>
      </c>
      <c r="N619" s="75" t="inlineStr">
        <is>
          <t>https://fnet.bmfbovespa.com.br/fnet/publico/downloadDocumento?id=1240846</t>
        </is>
      </c>
      <c r="O619" s="75" t="inlineStr">
        <is>
          <t>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t>
        </is>
      </c>
    </row>
    <row r="620" ht="43.5" customHeight="1">
      <c r="A620" s="142" t="n">
        <v>61288838000117</v>
      </c>
      <c r="B620" s="75" t="inlineStr">
        <is>
          <t>61.288.838/0001-17</t>
        </is>
      </c>
      <c r="C620" s="75" t="inlineStr">
        <is>
          <t>minimo_estrutural_total</t>
        </is>
      </c>
      <c r="D620" s="75" t="inlineStr">
        <is>
          <t>25%</t>
        </is>
      </c>
      <c r="E620" s="75" t="inlineStr">
        <is>
          <t>suporte_total_pl</t>
        </is>
      </c>
      <c r="F620" s="75" t="inlineStr">
        <is>
          <t>assembleia</t>
        </is>
      </c>
      <c r="G620" s="75" t="inlineStr">
        <is>
          <t>1240845</t>
        </is>
      </c>
      <c r="H620" s="75" t="inlineStr">
        <is>
          <t>Assembleia AGE Ata da Assembleia</t>
        </is>
      </c>
      <c r="I620" s="75" t="inlineStr">
        <is>
          <t>03/07/2026 10:00</t>
        </is>
      </c>
      <c r="J620" s="75" t="inlineStr">
        <is>
          <t>2</t>
        </is>
      </c>
      <c r="K620" s="75" t="inlineStr">
        <is>
          <t>encontrado_explicito</t>
        </is>
      </c>
      <c r="L620" s="144" t="n">
        <v>0.95</v>
      </c>
      <c r="M620" s="75" t="inlineStr">
        <is>
          <t>.cache/carteira_101_document_scan/61288838000117/1240845.json.gz</t>
        </is>
      </c>
      <c r="N620" s="75" t="inlineStr">
        <is>
          <t>https://fnet.bmfbovespa.com.br/fnet/publico/downloadDocumento?id=1240845</t>
        </is>
      </c>
      <c r="O620" s="75" t="inlineStr">
        <is>
          <t>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t>
        </is>
      </c>
    </row>
    <row r="621" ht="43.5" customHeight="1">
      <c r="A621" s="142" t="n">
        <v>61288838000117</v>
      </c>
      <c r="B621" s="75" t="inlineStr">
        <is>
          <t>61.288.838/0001-17</t>
        </is>
      </c>
      <c r="C621" s="75" t="inlineStr">
        <is>
          <t>minimo_junior</t>
        </is>
      </c>
      <c r="D621" s="75" t="inlineStr">
        <is>
          <t>15%</t>
        </is>
      </c>
      <c r="E621" s="75" t="inlineStr">
        <is>
          <t>junior_pl</t>
        </is>
      </c>
      <c r="F621" s="75" t="inlineStr">
        <is>
          <t>payload_documental</t>
        </is>
      </c>
      <c r="G621" s="75" t="inlineStr">
        <is>
          <t>1240846</t>
        </is>
      </c>
      <c r="H621" s="75" t="inlineStr">
        <is>
          <t>documento_curado</t>
        </is>
      </c>
      <c r="I621" s="75" t="inlineStr">
        <is>
          <t>2026-07-03</t>
        </is>
      </c>
      <c r="J621" s="75" t="inlineStr">
        <is>
          <t>114</t>
        </is>
      </c>
      <c r="K621" s="75" t="inlineStr">
        <is>
          <t>aceito_payload</t>
        </is>
      </c>
      <c r="L621" s="144" t="n">
        <v>1</v>
      </c>
      <c r="M621" s="75" t="inlineStr">
        <is>
          <t>data/industry_study/generated_revision/artifact_payload.json</t>
        </is>
      </c>
      <c r="N621" s="75" t="inlineStr">
        <is>
          <t>https://fnet.bmfbovespa.com.br/fnet/publico/downloadDocumento?id=1240846</t>
        </is>
      </c>
      <c r="O621" s="75" t="inlineStr">
        <is>
          <t>Índice de Subordinação Mezanino: cotas júnior / PL, mínimo de 15,0%.</t>
        </is>
      </c>
    </row>
    <row r="622" ht="43.5" customHeight="1">
      <c r="A622" s="142" t="n">
        <v>61288838000117</v>
      </c>
      <c r="B622" s="75" t="inlineStr">
        <is>
          <t>61.288.838/0001-17</t>
        </is>
      </c>
      <c r="C622" s="75" t="inlineStr">
        <is>
          <t>natureza_indice</t>
        </is>
      </c>
      <c r="D622" s="75" t="inlineStr">
        <is>
          <t>junior_pl</t>
        </is>
      </c>
      <c r="E622" s="75" t="inlineStr">
        <is>
          <t>junior_pl</t>
        </is>
      </c>
      <c r="F622" s="75" t="inlineStr">
        <is>
          <t>payload_documental</t>
        </is>
      </c>
      <c r="G622" s="75" t="inlineStr">
        <is>
          <t>1240846</t>
        </is>
      </c>
      <c r="H622" s="75" t="inlineStr">
        <is>
          <t>documento_curado</t>
        </is>
      </c>
      <c r="I622" s="75" t="inlineStr">
        <is>
          <t>2026-07-03</t>
        </is>
      </c>
      <c r="J622" s="75" t="inlineStr">
        <is>
          <t>114</t>
        </is>
      </c>
      <c r="K622" s="75" t="inlineStr">
        <is>
          <t>aceito_payload</t>
        </is>
      </c>
      <c r="L622" s="144" t="n">
        <v>1</v>
      </c>
      <c r="M622" s="75" t="inlineStr">
        <is>
          <t>data/industry_study/generated_revision/artifact_payload.json</t>
        </is>
      </c>
      <c r="N622" s="75" t="inlineStr">
        <is>
          <t>https://fnet.bmfbovespa.com.br/fnet/publico/downloadDocumento?id=1240846</t>
        </is>
      </c>
      <c r="O622" s="75" t="inlineStr">
        <is>
          <t>Índice de Subordinação Mezanino: cotas júnior / PL, mínimo de 15,0%.</t>
        </is>
      </c>
    </row>
    <row r="623" ht="43.5" customHeight="1">
      <c r="A623" s="142" t="n">
        <v>61288838000117</v>
      </c>
      <c r="B623" s="75" t="inlineStr">
        <is>
          <t>61.288.838/0001-17</t>
        </is>
      </c>
      <c r="C623" s="75" t="inlineStr">
        <is>
          <t>sacado_devedor</t>
        </is>
      </c>
      <c r="D623" s="75" t="inlineStr">
        <is>
          <t>pessoas físicas ou jurídicas que possuam uma Conta Digital do Devedor CCB e que emitam uma CCB em favor da Instituição Financeira Parceira, conforme aplicável, com o objetivo de realizar uma operação de crédito</t>
        </is>
      </c>
      <c r="E623" s="75" t="inlineStr">
        <is>
          <t>N/D</t>
        </is>
      </c>
      <c r="F623" s="75" t="inlineStr">
        <is>
          <t>regulamento</t>
        </is>
      </c>
      <c r="G623" s="75" t="inlineStr">
        <is>
          <t>1240846</t>
        </is>
      </c>
      <c r="H623" s="75" t="inlineStr">
        <is>
          <t>Regulamento</t>
        </is>
      </c>
      <c r="I623" s="75" t="inlineStr">
        <is>
          <t>03/07/2026</t>
        </is>
      </c>
      <c r="J623" s="75" t="inlineStr">
        <is>
          <t>105</t>
        </is>
      </c>
      <c r="K623" s="75" t="inlineStr">
        <is>
          <t>encontrado_explicito</t>
        </is>
      </c>
      <c r="L623" s="144" t="n">
        <v>0.95</v>
      </c>
      <c r="M623" s="75" t="inlineStr">
        <is>
          <t>.cache/carteira_101_document_scan/61288838000117/1240846.json.gz</t>
        </is>
      </c>
      <c r="N623" s="75" t="inlineStr">
        <is>
          <t>https://fnet.bmfbovespa.com.br/fnet/publico/downloadDocumento?id=1240846</t>
        </is>
      </c>
      <c r="O623" s="75" t="inlineStr">
        <is>
          <t>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t>
        </is>
      </c>
    </row>
    <row r="624" ht="43.5" customHeight="1">
      <c r="A624" s="142" t="n">
        <v>61288838000117</v>
      </c>
      <c r="B624" s="75" t="inlineStr">
        <is>
          <t>61.288.838/0001-17</t>
        </is>
      </c>
      <c r="C624" s="75" t="inlineStr">
        <is>
          <t>sacado_devedor</t>
        </is>
      </c>
      <c r="D624" s="75" t="inlineStr">
        <is>
          <t>a Credenciadora, na qualidade de devedora dos Direitos Creditórios Credenciadora</t>
        </is>
      </c>
      <c r="E624" s="75" t="inlineStr">
        <is>
          <t>N/D</t>
        </is>
      </c>
      <c r="F624" s="75" t="inlineStr">
        <is>
          <t>regulamento</t>
        </is>
      </c>
      <c r="G624" s="75" t="inlineStr">
        <is>
          <t>1240846</t>
        </is>
      </c>
      <c r="H624" s="75" t="inlineStr">
        <is>
          <t>Regulamento</t>
        </is>
      </c>
      <c r="I624" s="75" t="inlineStr">
        <is>
          <t>03/07/2026</t>
        </is>
      </c>
      <c r="J624" s="75" t="inlineStr">
        <is>
          <t>105</t>
        </is>
      </c>
      <c r="K624" s="75" t="inlineStr">
        <is>
          <t>encontrado_explicito</t>
        </is>
      </c>
      <c r="L624" s="144" t="n">
        <v>0.95</v>
      </c>
      <c r="M624" s="75" t="inlineStr">
        <is>
          <t>.cache/carteira_101_document_scan/61288838000117/1240846.json.gz</t>
        </is>
      </c>
      <c r="N624" s="75" t="inlineStr">
        <is>
          <t>https://fnet.bmfbovespa.com.br/fnet/publico/downloadDocumento?id=1240846</t>
        </is>
      </c>
      <c r="O624" s="75" t="inlineStr">
        <is>
          <t>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t>
        </is>
      </c>
    </row>
    <row r="625" ht="43.5" customHeight="1">
      <c r="A625" s="142" t="n">
        <v>61288838000117</v>
      </c>
      <c r="B625" s="75" t="inlineStr">
        <is>
          <t>61.288.838/0001-17</t>
        </is>
      </c>
      <c r="C625" s="75" t="inlineStr">
        <is>
          <t>sacado_devedor</t>
        </is>
      </c>
      <c r="D625"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5" s="75" t="inlineStr">
        <is>
          <t>N/D</t>
        </is>
      </c>
      <c r="F625" s="75" t="inlineStr">
        <is>
          <t>regulamento</t>
        </is>
      </c>
      <c r="G625" s="75" t="inlineStr">
        <is>
          <t>1240846</t>
        </is>
      </c>
      <c r="H625" s="75" t="inlineStr">
        <is>
          <t>Regulamento</t>
        </is>
      </c>
      <c r="I625" s="75" t="inlineStr">
        <is>
          <t>03/07/2026</t>
        </is>
      </c>
      <c r="J625" s="75" t="inlineStr">
        <is>
          <t>105</t>
        </is>
      </c>
      <c r="K625" s="75" t="inlineStr">
        <is>
          <t>encontrado_explicito</t>
        </is>
      </c>
      <c r="L625" s="144" t="n">
        <v>0.95</v>
      </c>
      <c r="M625" s="75" t="inlineStr">
        <is>
          <t>.cache/carteira_101_document_scan/61288838000117/1240846.json.gz</t>
        </is>
      </c>
      <c r="N625" s="75" t="inlineStr">
        <is>
          <t>https://fnet.bmfbovespa.com.br/fnet/publico/downloadDocumento?id=1240846</t>
        </is>
      </c>
      <c r="O625" s="75" t="inlineStr">
        <is>
          <t>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t>
        </is>
      </c>
    </row>
    <row r="626" ht="43.5" customHeight="1">
      <c r="A626" s="142" t="n">
        <v>61288838000117</v>
      </c>
      <c r="B626" s="75" t="inlineStr">
        <is>
          <t>61.288.838/0001-17</t>
        </is>
      </c>
      <c r="C626" s="75" t="inlineStr">
        <is>
          <t>sacado_devedor</t>
        </is>
      </c>
      <c r="D626" s="75" t="inlineStr">
        <is>
          <t>pessoas físicas ou jurídicas que possuam uma Conta Digital do Devedor CCB e que emitam uma CCB em favor da Instituição Financeira Parceira, conforme aplicável, com o objetivo de realizar uma operação de crédito</t>
        </is>
      </c>
      <c r="E626" s="75" t="inlineStr">
        <is>
          <t>N/D</t>
        </is>
      </c>
      <c r="F626" s="75" t="inlineStr">
        <is>
          <t>regulamento</t>
        </is>
      </c>
      <c r="G626" s="75" t="inlineStr">
        <is>
          <t>1072389</t>
        </is>
      </c>
      <c r="H626" s="75" t="inlineStr">
        <is>
          <t>regulamento</t>
        </is>
      </c>
      <c r="I626" s="75" t="inlineStr">
        <is>
          <t>2025-12-29</t>
        </is>
      </c>
      <c r="J626" s="75" t="inlineStr">
        <is>
          <t>182</t>
        </is>
      </c>
      <c r="K626" s="75" t="inlineStr">
        <is>
          <t>encontrado_explicito</t>
        </is>
      </c>
      <c r="L626" s="144" t="n">
        <v>0.95</v>
      </c>
      <c r="M626" s="75" t="inlineStr">
        <is>
          <t>data/raw/61288838000117/1072389_regulamento_regulamento_1072389_2025-12-29_2025-12-29.pdf</t>
        </is>
      </c>
      <c r="N626" s="75" t="inlineStr">
        <is>
          <t>https://fnet.bmfbovespa.com.br/fnet/publico/downloadDocumento?id=1072389</t>
        </is>
      </c>
      <c r="O626"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27" ht="43.5" customHeight="1">
      <c r="A627" s="142" t="n">
        <v>61288838000117</v>
      </c>
      <c r="B627" s="75" t="inlineStr">
        <is>
          <t>61.288.838/0001-17</t>
        </is>
      </c>
      <c r="C627" s="75" t="inlineStr">
        <is>
          <t>sacado_devedor</t>
        </is>
      </c>
      <c r="D627" s="75" t="inlineStr">
        <is>
          <t>a Credenciadora, na qualidade de devedora dos Direitos Creditórios Credenciadora</t>
        </is>
      </c>
      <c r="E627" s="75" t="inlineStr">
        <is>
          <t>N/D</t>
        </is>
      </c>
      <c r="F627" s="75" t="inlineStr">
        <is>
          <t>regulamento</t>
        </is>
      </c>
      <c r="G627" s="75" t="inlineStr">
        <is>
          <t>1072389</t>
        </is>
      </c>
      <c r="H627" s="75" t="inlineStr">
        <is>
          <t>regulamento</t>
        </is>
      </c>
      <c r="I627" s="75" t="inlineStr">
        <is>
          <t>2025-12-29</t>
        </is>
      </c>
      <c r="J627" s="75" t="inlineStr">
        <is>
          <t>182</t>
        </is>
      </c>
      <c r="K627" s="75" t="inlineStr">
        <is>
          <t>encontrado_explicito</t>
        </is>
      </c>
      <c r="L627" s="144" t="n">
        <v>0.95</v>
      </c>
      <c r="M627" s="75" t="inlineStr">
        <is>
          <t>data/raw/61288838000117/1072389_regulamento_regulamento_1072389_2025-12-29_2025-12-29.pdf</t>
        </is>
      </c>
      <c r="N627" s="75" t="inlineStr">
        <is>
          <t>https://fnet.bmfbovespa.com.br/fnet/publico/downloadDocumento?id=1072389</t>
        </is>
      </c>
      <c r="O627"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t>
        </is>
      </c>
    </row>
    <row r="628" ht="43.5" customHeight="1">
      <c r="A628" s="142" t="n">
        <v>61288838000117</v>
      </c>
      <c r="B628" s="75" t="inlineStr">
        <is>
          <t>61.288.838/0001-17</t>
        </is>
      </c>
      <c r="C628" s="75" t="inlineStr">
        <is>
          <t>sacado_devedor</t>
        </is>
      </c>
      <c r="D628" s="75" t="inlineStr">
        <is>
          <t>Devedores CCB que atendam aos seguintes critérios mínimos, observado o disposto na Política de Crédito:</t>
        </is>
      </c>
      <c r="E628" s="75" t="inlineStr">
        <is>
          <t>N/D</t>
        </is>
      </c>
      <c r="F628" s="75" t="inlineStr">
        <is>
          <t>regulamento</t>
        </is>
      </c>
      <c r="G628" s="75" t="inlineStr">
        <is>
          <t>1072389</t>
        </is>
      </c>
      <c r="H628" s="75" t="inlineStr">
        <is>
          <t>regulamento</t>
        </is>
      </c>
      <c r="I628" s="75" t="inlineStr">
        <is>
          <t>2025-12-29</t>
        </is>
      </c>
      <c r="J628" s="75" t="inlineStr">
        <is>
          <t>182</t>
        </is>
      </c>
      <c r="K628" s="75" t="inlineStr">
        <is>
          <t>encontrado_explicito</t>
        </is>
      </c>
      <c r="L628" s="144" t="n">
        <v>0.95</v>
      </c>
      <c r="M628" s="75" t="inlineStr">
        <is>
          <t>data/raw/61288838000117/1072389_regulamento_regulamento_1072389_2025-12-29_2025-12-29.pdf</t>
        </is>
      </c>
      <c r="N628" s="75" t="inlineStr">
        <is>
          <t>https://fnet.bmfbovespa.com.br/fnet/publico/downloadDocumento?id=1072389</t>
        </is>
      </c>
      <c r="O628" s="75" t="inlineStr">
        <is>
          <t>.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t>
        </is>
      </c>
    </row>
    <row r="629" ht="43.5" customHeight="1">
      <c r="A629" s="142" t="n">
        <v>61288838000117</v>
      </c>
      <c r="B629" s="75" t="inlineStr">
        <is>
          <t>61.288.838/0001-17</t>
        </is>
      </c>
      <c r="C629" s="75" t="inlineStr">
        <is>
          <t>sacado_devedor</t>
        </is>
      </c>
      <c r="D629"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9" s="75" t="inlineStr">
        <is>
          <t>N/D</t>
        </is>
      </c>
      <c r="F629" s="75" t="inlineStr">
        <is>
          <t>regulamento</t>
        </is>
      </c>
      <c r="G629" s="75" t="inlineStr">
        <is>
          <t>1072389</t>
        </is>
      </c>
      <c r="H629" s="75" t="inlineStr">
        <is>
          <t>regulamento</t>
        </is>
      </c>
      <c r="I629" s="75" t="inlineStr">
        <is>
          <t>2025-12-29</t>
        </is>
      </c>
      <c r="J629" s="75" t="inlineStr">
        <is>
          <t>182</t>
        </is>
      </c>
      <c r="K629" s="75" t="inlineStr">
        <is>
          <t>encontrado_explicito</t>
        </is>
      </c>
      <c r="L629" s="144" t="n">
        <v>0.95</v>
      </c>
      <c r="M629" s="75" t="inlineStr">
        <is>
          <t>data/raw/61288838000117/1072389_regulamento_regulamento_1072389_2025-12-29_2025-12-29.pdf</t>
        </is>
      </c>
      <c r="N629" s="75" t="inlineStr">
        <is>
          <t>https://fnet.bmfbovespa.com.br/fnet/publico/downloadDocumento?id=1072389</t>
        </is>
      </c>
      <c r="O629"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t>
        </is>
      </c>
    </row>
    <row r="630" ht="43.5" customHeight="1">
      <c r="A630" s="142" t="n">
        <v>61288838000117</v>
      </c>
      <c r="B630" s="75" t="inlineStr">
        <is>
          <t>61.288.838/0001-17</t>
        </is>
      </c>
      <c r="C630" s="75" t="inlineStr">
        <is>
          <t>sacado_devedor</t>
        </is>
      </c>
      <c r="D630" s="75" t="inlineStr">
        <is>
          <t>pessoas físicas ou jurídicas que possuam uma Conta Digital do Devedor CCB e que emitam uma CCB em favor da Instituição Financeira Parceira, conforme aplicável, com o objetivo de realizar uma operação de crédito</t>
        </is>
      </c>
      <c r="E630" s="75" t="inlineStr">
        <is>
          <t>N/D</t>
        </is>
      </c>
      <c r="F630" s="75" t="inlineStr">
        <is>
          <t>regulamento</t>
        </is>
      </c>
      <c r="G630" s="75" t="inlineStr">
        <is>
          <t>1073756</t>
        </is>
      </c>
      <c r="H630" s="75" t="inlineStr">
        <is>
          <t>Regulamento</t>
        </is>
      </c>
      <c r="I630" s="75" t="inlineStr">
        <is>
          <t>29/12/2025</t>
        </is>
      </c>
      <c r="J630" s="75" t="inlineStr">
        <is>
          <t>112</t>
        </is>
      </c>
      <c r="K630" s="75" t="inlineStr">
        <is>
          <t>encontrado_explicito</t>
        </is>
      </c>
      <c r="L630" s="144" t="n">
        <v>0.95</v>
      </c>
      <c r="M630" s="75" t="inlineStr">
        <is>
          <t>.cache/carteira_101_document_scan/61288838000117/1073756.json.gz</t>
        </is>
      </c>
      <c r="N630" s="75" t="inlineStr">
        <is>
          <t>https://fnet.bmfbovespa.com.br/fnet/publico/downloadDocumento?id=1073756</t>
        </is>
      </c>
      <c r="O630"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31" ht="43.5" customHeight="1">
      <c r="A631" s="142" t="n">
        <v>61288838000117</v>
      </c>
      <c r="B631" s="75" t="inlineStr">
        <is>
          <t>61.288.838/0001-17</t>
        </is>
      </c>
      <c r="C631" s="75" t="inlineStr">
        <is>
          <t>sacado_devedor</t>
        </is>
      </c>
      <c r="D631" s="75" t="inlineStr">
        <is>
          <t>a Credenciadora, na qualidade de devedora dos Direitos Creditórios Credenciadora</t>
        </is>
      </c>
      <c r="E631" s="75" t="inlineStr">
        <is>
          <t>N/D</t>
        </is>
      </c>
      <c r="F631" s="75" t="inlineStr">
        <is>
          <t>regulamento</t>
        </is>
      </c>
      <c r="G631" s="75" t="inlineStr">
        <is>
          <t>1073756</t>
        </is>
      </c>
      <c r="H631" s="75" t="inlineStr">
        <is>
          <t>Regulamento</t>
        </is>
      </c>
      <c r="I631" s="75" t="inlineStr">
        <is>
          <t>29/12/2025</t>
        </is>
      </c>
      <c r="J631" s="75" t="inlineStr">
        <is>
          <t>112</t>
        </is>
      </c>
      <c r="K631" s="75" t="inlineStr">
        <is>
          <t>encontrado_explicito</t>
        </is>
      </c>
      <c r="L631" s="144" t="n">
        <v>0.95</v>
      </c>
      <c r="M631" s="75" t="inlineStr">
        <is>
          <t>.cache/carteira_101_document_scan/61288838000117/1073756.json.gz</t>
        </is>
      </c>
      <c r="N631" s="75" t="inlineStr">
        <is>
          <t>https://fnet.bmfbovespa.com.br/fnet/publico/downloadDocumento?id=1073756</t>
        </is>
      </c>
      <c r="O631"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
        </is>
      </c>
    </row>
    <row r="632" ht="43.5" customHeight="1">
      <c r="A632" s="142" t="n">
        <v>61288838000117</v>
      </c>
      <c r="B632" s="75" t="inlineStr">
        <is>
          <t>61.288.838/0001-17</t>
        </is>
      </c>
      <c r="C632" s="75" t="inlineStr">
        <is>
          <t>sacado_devedor</t>
        </is>
      </c>
      <c r="D632" s="75" t="inlineStr">
        <is>
          <t>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t>
        </is>
      </c>
      <c r="E632" s="75" t="inlineStr">
        <is>
          <t>N/D</t>
        </is>
      </c>
      <c r="F632" s="75" t="inlineStr">
        <is>
          <t>regulamento</t>
        </is>
      </c>
      <c r="G632" s="75" t="inlineStr">
        <is>
          <t>1073756</t>
        </is>
      </c>
      <c r="H632" s="75" t="inlineStr">
        <is>
          <t>Regulamento</t>
        </is>
      </c>
      <c r="I632" s="75" t="inlineStr">
        <is>
          <t>29/12/2025</t>
        </is>
      </c>
      <c r="J632" s="75" t="inlineStr">
        <is>
          <t>112</t>
        </is>
      </c>
      <c r="K632" s="75" t="inlineStr">
        <is>
          <t>encontrado_explicito</t>
        </is>
      </c>
      <c r="L632" s="144" t="n">
        <v>0.95</v>
      </c>
      <c r="M632" s="75" t="inlineStr">
        <is>
          <t>.cache/carteira_101_document_scan/61288838000117/1073756.json.gz</t>
        </is>
      </c>
      <c r="N632" s="75" t="inlineStr">
        <is>
          <t>https://fnet.bmfbovespa.com.br/fnet/publico/downloadDocumento?id=1073756</t>
        </is>
      </c>
      <c r="O632"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t>
        </is>
      </c>
    </row>
    <row r="633" ht="43.5" customHeight="1">
      <c r="A633" s="142" t="n">
        <v>61288838000117</v>
      </c>
      <c r="B633" s="75" t="inlineStr">
        <is>
          <t>61.288.838/0001-17</t>
        </is>
      </c>
      <c r="C633" s="75" t="inlineStr">
        <is>
          <t>tipo_recebivel</t>
        </is>
      </c>
      <c r="D633" s="75" t="inlineStr">
        <is>
          <t>os Direitos Creditórios CCB e os Direitos Creditórios Credenciadora, quando referidos em conjunto ou indistintamente</t>
        </is>
      </c>
      <c r="E633" s="75" t="inlineStr">
        <is>
          <t>N/D</t>
        </is>
      </c>
      <c r="F633" s="75" t="inlineStr">
        <is>
          <t>regulamento</t>
        </is>
      </c>
      <c r="G633" s="75" t="inlineStr">
        <is>
          <t>1240846</t>
        </is>
      </c>
      <c r="H633" s="75" t="inlineStr">
        <is>
          <t>Regulamento</t>
        </is>
      </c>
      <c r="I633" s="75" t="inlineStr">
        <is>
          <t>03/07/2026</t>
        </is>
      </c>
      <c r="J633" s="75" t="inlineStr">
        <is>
          <t>106</t>
        </is>
      </c>
      <c r="K633" s="75" t="inlineStr">
        <is>
          <t>encontrado_explicito</t>
        </is>
      </c>
      <c r="L633" s="144" t="n">
        <v>0.92</v>
      </c>
      <c r="M633" s="75" t="inlineStr">
        <is>
          <t>.cache/carteira_101_document_scan/61288838000117/1240846.json.gz</t>
        </is>
      </c>
      <c r="N633" s="75" t="inlineStr">
        <is>
          <t>https://fnet.bmfbovespa.com.br/fnet/publico/downloadDocumento?id=1240846</t>
        </is>
      </c>
      <c r="O633" s="75" t="inlineStr">
        <is>
          <t>,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t>
        </is>
      </c>
    </row>
    <row r="634" ht="43.5" customHeight="1">
      <c r="A634" s="142" t="n">
        <v>61288838000117</v>
      </c>
      <c r="B634" s="75" t="inlineStr">
        <is>
          <t>61.288.838/0001-17</t>
        </is>
      </c>
      <c r="C634" s="75" t="inlineStr">
        <is>
          <t>tipo_recebivel</t>
        </is>
      </c>
      <c r="D634" s="75" t="inlineStr">
        <is>
          <t>os Direitos Creditórios CCB e os Direitos Creditórios Credenciadoras, quando referidos em conjunto ou indistintamente</t>
        </is>
      </c>
      <c r="E634" s="75" t="inlineStr">
        <is>
          <t>N/D</t>
        </is>
      </c>
      <c r="F634" s="75" t="inlineStr">
        <is>
          <t>regulamento</t>
        </is>
      </c>
      <c r="G634" s="75" t="inlineStr">
        <is>
          <t>1072389</t>
        </is>
      </c>
      <c r="H634" s="75" t="inlineStr">
        <is>
          <t>regulamento</t>
        </is>
      </c>
      <c r="I634" s="75" t="inlineStr">
        <is>
          <t>2025-12-29</t>
        </is>
      </c>
      <c r="J634" s="75" t="inlineStr">
        <is>
          <t>183</t>
        </is>
      </c>
      <c r="K634" s="75" t="inlineStr">
        <is>
          <t>encontrado_explicito</t>
        </is>
      </c>
      <c r="L634" s="144" t="n">
        <v>0.92</v>
      </c>
      <c r="M634" s="75" t="inlineStr">
        <is>
          <t>data/raw/61288838000117/1072389_regulamento_regulamento_1072389_2025-12-29_2025-12-29.pdf</t>
        </is>
      </c>
      <c r="N634" s="75" t="inlineStr">
        <is>
          <t>https://fnet.bmfbovespa.com.br/fnet/publico/downloadDocumento?id=1072389</t>
        </is>
      </c>
      <c r="O634"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5" ht="43.5" customHeight="1">
      <c r="A635" s="142" t="n">
        <v>61288838000117</v>
      </c>
      <c r="B635" s="75" t="inlineStr">
        <is>
          <t>61.288.838/0001-17</t>
        </is>
      </c>
      <c r="C635" s="75" t="inlineStr">
        <is>
          <t>tipo_recebivel</t>
        </is>
      </c>
      <c r="D635" s="75" t="inlineStr">
        <is>
          <t>os Direitos Creditórios CCB e os Direitos Creditórios Credenciadoras, quando referidos em conjunto ou indistintamente</t>
        </is>
      </c>
      <c r="E635" s="75" t="inlineStr">
        <is>
          <t>N/D</t>
        </is>
      </c>
      <c r="F635" s="75" t="inlineStr">
        <is>
          <t>regulamento</t>
        </is>
      </c>
      <c r="G635" s="75" t="inlineStr">
        <is>
          <t>1073756</t>
        </is>
      </c>
      <c r="H635" s="75" t="inlineStr">
        <is>
          <t>Regulamento</t>
        </is>
      </c>
      <c r="I635" s="75" t="inlineStr">
        <is>
          <t>29/12/2025</t>
        </is>
      </c>
      <c r="J635" s="75" t="inlineStr">
        <is>
          <t>113</t>
        </is>
      </c>
      <c r="K635" s="75" t="inlineStr">
        <is>
          <t>encontrado_explicito</t>
        </is>
      </c>
      <c r="L635" s="144" t="n">
        <v>0.92</v>
      </c>
      <c r="M635" s="75" t="inlineStr">
        <is>
          <t>.cache/carteira_101_document_scan/61288838000117/1073756.json.gz</t>
        </is>
      </c>
      <c r="N635" s="75" t="inlineStr">
        <is>
          <t>https://fnet.bmfbovespa.com.br/fnet/publico/downloadDocumento?id=1073756</t>
        </is>
      </c>
      <c r="O635"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6" ht="43.5" customHeight="1">
      <c r="A636" s="142" t="n">
        <v>61288838000117</v>
      </c>
      <c r="B636" s="75" t="inlineStr">
        <is>
          <t>61.288.838/0001-17</t>
        </is>
      </c>
      <c r="C636" s="75" t="inlineStr">
        <is>
          <t>tipo_recebivel</t>
        </is>
      </c>
      <c r="D636" s="75" t="inlineStr">
        <is>
          <t>CCB PJ - ecossistema iFood; Crédito PME</t>
        </is>
      </c>
      <c r="E636" s="75" t="inlineStr">
        <is>
          <t>N/D</t>
        </is>
      </c>
      <c r="F636" s="75" t="inlineStr">
        <is>
          <t>planilha_manual</t>
        </is>
      </c>
      <c r="G636" s="75" t="inlineStr">
        <is>
          <t>IMG_8707.jpg</t>
        </is>
      </c>
      <c r="H636" s="75" t="inlineStr">
        <is>
          <t>payload</t>
        </is>
      </c>
      <c r="I636" s="75" t="inlineStr">
        <is>
          <t>2026-07-03</t>
        </is>
      </c>
      <c r="J636" s="75" t="inlineStr">
        <is>
          <t>114</t>
        </is>
      </c>
      <c r="K636" s="75" t="inlineStr">
        <is>
          <t>aceito_payload</t>
        </is>
      </c>
      <c r="L636" s="144" t="n">
        <v>1</v>
      </c>
      <c r="M636" s="75" t="inlineStr">
        <is>
          <t>data/industry_study/generated_revision/artifact_payload.json</t>
        </is>
      </c>
      <c r="N636" s="75" t="inlineStr">
        <is>
          <t>N/D</t>
        </is>
      </c>
      <c r="O636" s="75" t="inlineStr">
        <is>
          <t>N/D</t>
        </is>
      </c>
    </row>
    <row r="637" ht="43.5" customHeight="1">
      <c r="A637" s="142" t="n">
        <v>62393829000159</v>
      </c>
      <c r="B637" s="75" t="inlineStr">
        <is>
          <t>62.393.829/0001-59</t>
        </is>
      </c>
      <c r="C637" s="75" t="inlineStr">
        <is>
          <t>cedente</t>
        </is>
      </c>
      <c r="D637" s="75" t="inlineStr">
        <is>
          <t>Multicedente</t>
        </is>
      </c>
      <c r="E637" s="75" t="inlineStr">
        <is>
          <t>N/D</t>
        </is>
      </c>
      <c r="F637" s="75" t="inlineStr">
        <is>
          <t>planilha_manual</t>
        </is>
      </c>
      <c r="G637" s="75" t="inlineStr">
        <is>
          <t>IMG_8706.JPG</t>
        </is>
      </c>
      <c r="H637" s="75" t="inlineStr">
        <is>
          <t>payload</t>
        </is>
      </c>
      <c r="I637" s="75" t="inlineStr">
        <is>
          <t>2026-07-08</t>
        </is>
      </c>
      <c r="J637" s="75" t="inlineStr">
        <is>
          <t>40–41</t>
        </is>
      </c>
      <c r="K637" s="75" t="inlineStr">
        <is>
          <t>aceito_payload</t>
        </is>
      </c>
      <c r="L637" s="144" t="n">
        <v>1</v>
      </c>
      <c r="M637" s="75" t="inlineStr">
        <is>
          <t>data/industry_study/generated_revision/artifact_payload.json</t>
        </is>
      </c>
      <c r="N637" s="75" t="inlineStr">
        <is>
          <t>N/D</t>
        </is>
      </c>
      <c r="O637" s="75" t="inlineStr">
        <is>
          <t>BRF foi desmembrado somente porque a fonte escreve literalmente Risco Sacado BRF.</t>
        </is>
      </c>
    </row>
    <row r="638" ht="43.5" customHeight="1">
      <c r="A638" s="142" t="n">
        <v>62393829000159</v>
      </c>
      <c r="B638" s="75" t="inlineStr">
        <is>
          <t>62.393.829/0001-59</t>
        </is>
      </c>
      <c r="C638" s="75" t="inlineStr">
        <is>
          <t>minimo_estrutural_total</t>
        </is>
      </c>
      <c r="D638" s="75" t="inlineStr">
        <is>
          <t>5%</t>
        </is>
      </c>
      <c r="E638" s="75" t="inlineStr">
        <is>
          <t>suporte_total_pl</t>
        </is>
      </c>
      <c r="F638" s="75" t="inlineStr">
        <is>
          <t>payload_documental</t>
        </is>
      </c>
      <c r="G638" s="75" t="inlineStr">
        <is>
          <t>1242436</t>
        </is>
      </c>
      <c r="H638" s="75" t="inlineStr">
        <is>
          <t>documento_curado</t>
        </is>
      </c>
      <c r="I638" s="75" t="inlineStr">
        <is>
          <t>2026-07-08</t>
        </is>
      </c>
      <c r="J638" s="75" t="inlineStr">
        <is>
          <t>40–41</t>
        </is>
      </c>
      <c r="K638" s="75" t="inlineStr">
        <is>
          <t>aceito_payload</t>
        </is>
      </c>
      <c r="L638" s="144" t="n">
        <v>1</v>
      </c>
      <c r="M638" s="75" t="inlineStr">
        <is>
          <t>data/industry_study/generated_revision/artifact_payload.json</t>
        </is>
      </c>
      <c r="N638" s="75" t="inlineStr">
        <is>
          <t>https://fnet.bmfbovespa.com.br/fnet/publico/downloadDocumento?id=1242436</t>
        </is>
      </c>
      <c r="O638" s="75" t="inlineStr">
        <is>
          <t>Cotas subordinadas júnior / PL, mínimo regular de 5,0%; transição temporária de 3,0% encerrada.</t>
        </is>
      </c>
    </row>
    <row r="639" ht="43.5" customHeight="1">
      <c r="A639" s="142" t="n">
        <v>62393829000159</v>
      </c>
      <c r="B639" s="75" t="inlineStr">
        <is>
          <t>62.393.829/0001-59</t>
        </is>
      </c>
      <c r="C639" s="75" t="inlineStr">
        <is>
          <t>minimo_junior</t>
        </is>
      </c>
      <c r="D639" s="75" t="inlineStr">
        <is>
          <t>5%</t>
        </is>
      </c>
      <c r="E639" s="75" t="inlineStr">
        <is>
          <t>junior_pl</t>
        </is>
      </c>
      <c r="F639" s="75" t="inlineStr">
        <is>
          <t>payload_documental</t>
        </is>
      </c>
      <c r="G639" s="75" t="inlineStr">
        <is>
          <t>1242436</t>
        </is>
      </c>
      <c r="H639" s="75" t="inlineStr">
        <is>
          <t>documento_curado</t>
        </is>
      </c>
      <c r="I639" s="75" t="inlineStr">
        <is>
          <t>2026-07-08</t>
        </is>
      </c>
      <c r="J639" s="75" t="inlineStr">
        <is>
          <t>40–41</t>
        </is>
      </c>
      <c r="K639" s="75" t="inlineStr">
        <is>
          <t>aceito_payload</t>
        </is>
      </c>
      <c r="L639" s="144" t="n">
        <v>1</v>
      </c>
      <c r="M639" s="75" t="inlineStr">
        <is>
          <t>data/industry_study/generated_revision/artifact_payload.json</t>
        </is>
      </c>
      <c r="N639" s="75" t="inlineStr">
        <is>
          <t>https://fnet.bmfbovespa.com.br/fnet/publico/downloadDocumento?id=1242436</t>
        </is>
      </c>
      <c r="O639" s="75" t="inlineStr">
        <is>
          <t>Cotas subordinadas júnior / PL, mínimo regular de 5,0%; transição temporária de 3,0% encerrada.</t>
        </is>
      </c>
    </row>
    <row r="640" ht="43.5" customHeight="1">
      <c r="A640" s="142" t="n">
        <v>62393829000159</v>
      </c>
      <c r="B640" s="75" t="inlineStr">
        <is>
          <t>62.393.829/0001-59</t>
        </is>
      </c>
      <c r="C640" s="75" t="inlineStr">
        <is>
          <t>natureza_indice</t>
        </is>
      </c>
      <c r="D640" s="75" t="inlineStr">
        <is>
          <t>junior_pl</t>
        </is>
      </c>
      <c r="E640" s="75" t="inlineStr">
        <is>
          <t>junior_pl</t>
        </is>
      </c>
      <c r="F640" s="75" t="inlineStr">
        <is>
          <t>payload_documental</t>
        </is>
      </c>
      <c r="G640" s="75" t="inlineStr">
        <is>
          <t>1242436</t>
        </is>
      </c>
      <c r="H640" s="75" t="inlineStr">
        <is>
          <t>documento_curado</t>
        </is>
      </c>
      <c r="I640" s="75" t="inlineStr">
        <is>
          <t>2026-07-08</t>
        </is>
      </c>
      <c r="J640" s="75" t="inlineStr">
        <is>
          <t>40–41</t>
        </is>
      </c>
      <c r="K640" s="75" t="inlineStr">
        <is>
          <t>aceito_payload</t>
        </is>
      </c>
      <c r="L640" s="144" t="n">
        <v>1</v>
      </c>
      <c r="M640" s="75" t="inlineStr">
        <is>
          <t>data/industry_study/generated_revision/artifact_payload.json</t>
        </is>
      </c>
      <c r="N640" s="75" t="inlineStr">
        <is>
          <t>https://fnet.bmfbovespa.com.br/fnet/publico/downloadDocumento?id=1242436</t>
        </is>
      </c>
      <c r="O640" s="75" t="inlineStr">
        <is>
          <t>Cotas subordinadas júnior / PL, mínimo regular de 5,0%; transição temporária de 3,0% encerrada.</t>
        </is>
      </c>
    </row>
    <row r="641" ht="43.5" customHeight="1">
      <c r="A641" s="142" t="n">
        <v>62393829000159</v>
      </c>
      <c r="B641" s="75" t="inlineStr">
        <is>
          <t>62.393.829/0001-59</t>
        </is>
      </c>
      <c r="C641" s="75" t="inlineStr">
        <is>
          <t>sacado_devedor</t>
        </is>
      </c>
      <c r="D641" s="75" t="inlineStr">
        <is>
          <t>BRF</t>
        </is>
      </c>
      <c r="E641" s="75" t="inlineStr">
        <is>
          <t>N/D</t>
        </is>
      </c>
      <c r="F641" s="75" t="inlineStr">
        <is>
          <t>planilha_manual</t>
        </is>
      </c>
      <c r="G641" s="75" t="inlineStr">
        <is>
          <t>IMG_8706.JPG</t>
        </is>
      </c>
      <c r="H641" s="75" t="inlineStr">
        <is>
          <t>payload</t>
        </is>
      </c>
      <c r="I641" s="75" t="inlineStr">
        <is>
          <t>2026-07-08</t>
        </is>
      </c>
      <c r="J641" s="75" t="inlineStr">
        <is>
          <t>40–41</t>
        </is>
      </c>
      <c r="K641" s="75" t="inlineStr">
        <is>
          <t>aceito_payload</t>
        </is>
      </c>
      <c r="L641" s="144" t="n">
        <v>1</v>
      </c>
      <c r="M641" s="75" t="inlineStr">
        <is>
          <t>data/industry_study/generated_revision/artifact_payload.json</t>
        </is>
      </c>
      <c r="N641" s="75" t="inlineStr">
        <is>
          <t>N/D</t>
        </is>
      </c>
      <c r="O641" s="75" t="inlineStr">
        <is>
          <t>BRF foi desmembrado somente porque a fonte escreve literalmente Risco Sacado BRF.</t>
        </is>
      </c>
    </row>
    <row r="642" ht="43.5" customHeight="1">
      <c r="A642" s="142" t="n">
        <v>62393829000159</v>
      </c>
      <c r="B642" s="75" t="inlineStr">
        <is>
          <t>62.393.829/0001-59</t>
        </is>
      </c>
      <c r="C642" s="75" t="inlineStr">
        <is>
          <t>tipo_recebivel</t>
        </is>
      </c>
      <c r="D642" s="75" t="inlineStr">
        <is>
          <t>Risco Sacado BRF</t>
        </is>
      </c>
      <c r="E642" s="75" t="inlineStr">
        <is>
          <t>N/D</t>
        </is>
      </c>
      <c r="F642" s="75" t="inlineStr">
        <is>
          <t>planilha_manual</t>
        </is>
      </c>
      <c r="G642" s="75" t="inlineStr">
        <is>
          <t>IMG_8706.JPG</t>
        </is>
      </c>
      <c r="H642" s="75" t="inlineStr">
        <is>
          <t>payload</t>
        </is>
      </c>
      <c r="I642" s="75" t="inlineStr">
        <is>
          <t>2026-07-08</t>
        </is>
      </c>
      <c r="J642" s="75" t="inlineStr">
        <is>
          <t>40–41</t>
        </is>
      </c>
      <c r="K642" s="75" t="inlineStr">
        <is>
          <t>aceito_payload</t>
        </is>
      </c>
      <c r="L642" s="144" t="n">
        <v>1</v>
      </c>
      <c r="M642" s="75" t="inlineStr">
        <is>
          <t>data/industry_study/generated_revision/artifact_payload.json</t>
        </is>
      </c>
      <c r="N642" s="75" t="inlineStr">
        <is>
          <t>N/D</t>
        </is>
      </c>
      <c r="O642" s="75" t="inlineStr">
        <is>
          <t>BRF foi desmembrado somente porque a fonte escreve literalmente Risco Sacado BRF.</t>
        </is>
      </c>
    </row>
    <row r="643" ht="43.5" customHeight="1">
      <c r="A643" s="142" t="n">
        <v>62588266000154</v>
      </c>
      <c r="B643" s="75" t="inlineStr">
        <is>
          <t>62.588.266/0001-54</t>
        </is>
      </c>
      <c r="C643" s="75" t="inlineStr">
        <is>
          <t>cedente</t>
        </is>
      </c>
      <c r="D643" s="75" t="inlineStr">
        <is>
          <t>Facta</t>
        </is>
      </c>
      <c r="E643" s="75" t="inlineStr">
        <is>
          <t>N/D</t>
        </is>
      </c>
      <c r="F643" s="75" t="inlineStr">
        <is>
          <t>planilha_manual</t>
        </is>
      </c>
      <c r="G643" s="75" t="inlineStr">
        <is>
          <t>IMG_8706.JPG</t>
        </is>
      </c>
      <c r="H643" s="75" t="inlineStr">
        <is>
          <t>payload</t>
        </is>
      </c>
      <c r="I643" s="75" t="inlineStr">
        <is>
          <t>2025-09-29</t>
        </is>
      </c>
      <c r="J643" s="75" t="inlineStr">
        <is>
          <t>35</t>
        </is>
      </c>
      <c r="K643" s="75" t="inlineStr">
        <is>
          <t>aceito_payload</t>
        </is>
      </c>
      <c r="L643" s="144" t="n">
        <v>1</v>
      </c>
      <c r="M643" s="75" t="inlineStr">
        <is>
          <t>data/industry_study/generated_revision/artifact_payload.json</t>
        </is>
      </c>
      <c r="N643" s="75" t="inlineStr">
        <is>
          <t>N/D</t>
        </is>
      </c>
      <c r="O643" s="75" t="inlineStr">
        <is>
          <t>N/D</t>
        </is>
      </c>
    </row>
    <row r="644" ht="43.5" customHeight="1">
      <c r="A644" s="142" t="n">
        <v>62588266000154</v>
      </c>
      <c r="B644" s="75" t="inlineStr">
        <is>
          <t>62.588.266/0001-54</t>
        </is>
      </c>
      <c r="C644" s="75" t="inlineStr">
        <is>
          <t>minimo_estrutural_total</t>
        </is>
      </c>
      <c r="D644" s="75" t="inlineStr">
        <is>
          <t>15%</t>
        </is>
      </c>
      <c r="E644" s="75" t="inlineStr">
        <is>
          <t>suporte_total_pl</t>
        </is>
      </c>
      <c r="F644" s="75" t="inlineStr">
        <is>
          <t>regulamento</t>
        </is>
      </c>
      <c r="G644" s="75" t="inlineStr">
        <is>
          <t>995150</t>
        </is>
      </c>
      <c r="H644" s="75" t="inlineStr">
        <is>
          <t>regulamento</t>
        </is>
      </c>
      <c r="I644" s="75" t="inlineStr">
        <is>
          <t>2025-09-18</t>
        </is>
      </c>
      <c r="J644" s="75" t="inlineStr">
        <is>
          <t>28</t>
        </is>
      </c>
      <c r="K644" s="75" t="inlineStr">
        <is>
          <t>encontrado_explicito</t>
        </is>
      </c>
      <c r="L644" s="144" t="n">
        <v>0.95</v>
      </c>
      <c r="M644" s="75" t="inlineStr">
        <is>
          <t>data/raw/62588266000154/995150_regulamento_regulamento_995150_2025-09-18.pdf</t>
        </is>
      </c>
      <c r="N644" s="75" t="inlineStr">
        <is>
          <t>https://fnet.bmfbovespa.com.br/fnet/publico/downloadDocumento?id=995150</t>
        </is>
      </c>
      <c r="O644"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5" ht="43.5" customHeight="1">
      <c r="A645" s="142" t="n">
        <v>62588266000154</v>
      </c>
      <c r="B645" s="75" t="inlineStr">
        <is>
          <t>62.588.266/0001-54</t>
        </is>
      </c>
      <c r="C645" s="75" t="inlineStr">
        <is>
          <t>minimo_estrutural_total</t>
        </is>
      </c>
      <c r="D645" s="75" t="inlineStr">
        <is>
          <t>15%</t>
        </is>
      </c>
      <c r="E645" s="75" t="inlineStr">
        <is>
          <t>suporte_total_pl</t>
        </is>
      </c>
      <c r="F645" s="75" t="inlineStr">
        <is>
          <t>regulamento</t>
        </is>
      </c>
      <c r="G645" s="75" t="inlineStr">
        <is>
          <t>1002580</t>
        </is>
      </c>
      <c r="H645" s="75" t="inlineStr">
        <is>
          <t>regulamento</t>
        </is>
      </c>
      <c r="I645" s="75" t="inlineStr">
        <is>
          <t>2025-09-29</t>
        </is>
      </c>
      <c r="J645" s="75" t="inlineStr">
        <is>
          <t>26</t>
        </is>
      </c>
      <c r="K645" s="75" t="inlineStr">
        <is>
          <t>encontrado_explicito</t>
        </is>
      </c>
      <c r="L645" s="144" t="n">
        <v>0.95</v>
      </c>
      <c r="M645" s="75" t="inlineStr">
        <is>
          <t>data/raw/62588266000154/1002580_regulamento_regulamento_1002580_2025-09-29.pdf</t>
        </is>
      </c>
      <c r="N645" s="75" t="inlineStr">
        <is>
          <t>https://fnet.bmfbovespa.com.br/fnet/publico/downloadDocumento?id=1002580</t>
        </is>
      </c>
      <c r="O645"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6" ht="43.5" customHeight="1">
      <c r="A646" s="142" t="n">
        <v>62588266000154</v>
      </c>
      <c r="B646" s="75" t="inlineStr">
        <is>
          <t>62.588.266/0001-54</t>
        </is>
      </c>
      <c r="C646" s="75" t="inlineStr">
        <is>
          <t>minimo_junior</t>
        </is>
      </c>
      <c r="D646" s="75" t="inlineStr">
        <is>
          <t>5%</t>
        </is>
      </c>
      <c r="E646" s="75" t="inlineStr">
        <is>
          <t>junior_pl</t>
        </is>
      </c>
      <c r="F646" s="75" t="inlineStr">
        <is>
          <t>payload_documental</t>
        </is>
      </c>
      <c r="G646" s="75" t="inlineStr">
        <is>
          <t>1002580</t>
        </is>
      </c>
      <c r="H646" s="75" t="inlineStr">
        <is>
          <t>documento_curado</t>
        </is>
      </c>
      <c r="I646" s="75" t="inlineStr">
        <is>
          <t>2025-09-29</t>
        </is>
      </c>
      <c r="J646" s="75" t="inlineStr">
        <is>
          <t>35</t>
        </is>
      </c>
      <c r="K646" s="75" t="inlineStr">
        <is>
          <t>aceito_payload</t>
        </is>
      </c>
      <c r="L646" s="144" t="n">
        <v>1</v>
      </c>
      <c r="M646" s="75" t="inlineStr">
        <is>
          <t>data/industry_study/generated_revision/artifact_payload.json</t>
        </is>
      </c>
      <c r="N646" s="75" t="inlineStr">
        <is>
          <t>https://fnet.bmfbovespa.com.br/fnet/publico/downloadDocumento?id=1002580</t>
        </is>
      </c>
      <c r="O646" s="75" t="inlineStr">
        <is>
          <t>Índice de Subordinação Mezanino: cotas júnior / PL, mínimo de 5,0%.</t>
        </is>
      </c>
    </row>
    <row r="647" ht="43.5" customHeight="1">
      <c r="A647" s="142" t="n">
        <v>62588266000154</v>
      </c>
      <c r="B647" s="75" t="inlineStr">
        <is>
          <t>62.588.266/0001-54</t>
        </is>
      </c>
      <c r="C647" s="75" t="inlineStr">
        <is>
          <t>natureza_indice</t>
        </is>
      </c>
      <c r="D647" s="75" t="inlineStr">
        <is>
          <t>junior_pl</t>
        </is>
      </c>
      <c r="E647" s="75" t="inlineStr">
        <is>
          <t>junior_pl</t>
        </is>
      </c>
      <c r="F647" s="75" t="inlineStr">
        <is>
          <t>payload_documental</t>
        </is>
      </c>
      <c r="G647" s="75" t="inlineStr">
        <is>
          <t>1002580</t>
        </is>
      </c>
      <c r="H647" s="75" t="inlineStr">
        <is>
          <t>documento_curado</t>
        </is>
      </c>
      <c r="I647" s="75" t="inlineStr">
        <is>
          <t>2025-09-29</t>
        </is>
      </c>
      <c r="J647" s="75" t="inlineStr">
        <is>
          <t>35</t>
        </is>
      </c>
      <c r="K647" s="75" t="inlineStr">
        <is>
          <t>aceito_payload</t>
        </is>
      </c>
      <c r="L647" s="144" t="n">
        <v>1</v>
      </c>
      <c r="M647" s="75" t="inlineStr">
        <is>
          <t>data/industry_study/generated_revision/artifact_payload.json</t>
        </is>
      </c>
      <c r="N647" s="75" t="inlineStr">
        <is>
          <t>https://fnet.bmfbovespa.com.br/fnet/publico/downloadDocumento?id=1002580</t>
        </is>
      </c>
      <c r="O647" s="75" t="inlineStr">
        <is>
          <t>Índice de Subordinação Mezanino: cotas júnior / PL, mínimo de 5,0%.</t>
        </is>
      </c>
    </row>
    <row r="648" ht="43.5" customHeight="1">
      <c r="A648" s="142" t="n">
        <v>62588266000154</v>
      </c>
      <c r="B648" s="75" t="inlineStr">
        <is>
          <t>62.588.266/0001-54</t>
        </is>
      </c>
      <c r="C648" s="75" t="inlineStr">
        <is>
          <t>sacado_devedor</t>
        </is>
      </c>
      <c r="D648" s="75" t="inlineStr">
        <is>
          <t>29.513.541/0001-03</t>
        </is>
      </c>
      <c r="E648" s="75" t="inlineStr">
        <is>
          <t>N/D</t>
        </is>
      </c>
      <c r="F648" s="75" t="inlineStr">
        <is>
          <t>candidate_extraction</t>
        </is>
      </c>
      <c r="G648" s="75" t="inlineStr">
        <is>
          <t>62588266000154</t>
        </is>
      </c>
      <c r="H648" s="75" t="inlineStr">
        <is>
          <t>extração heurística</t>
        </is>
      </c>
      <c r="I648" s="75" t="inlineStr">
        <is>
          <t>N/D</t>
        </is>
      </c>
      <c r="J648" s="75" t="inlineStr">
        <is>
          <t>N/D</t>
        </is>
      </c>
      <c r="K648" s="75" t="inlineStr">
        <is>
          <t>candidato_revisao</t>
        </is>
      </c>
      <c r="L648" s="144" t="n">
        <v>0.95</v>
      </c>
      <c r="M648" s="75" t="inlineStr">
        <is>
          <t>outputs/fidc_director_deep_diagnostic_20260609/pdf_text_cache/62588266000154_1002580_regulamento_regulamento_1002580_2025-09-29.txt</t>
        </is>
      </c>
      <c r="N648" s="75" t="inlineStr">
        <is>
          <t>https://fnet.bmfbovespa.com.br/fnet/publico/downloadDocumento?id=62588266000154</t>
        </is>
      </c>
      <c r="O648" s="75" t="inlineStr">
        <is>
          <t>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t>
        </is>
      </c>
    </row>
    <row r="649" ht="43.5" customHeight="1">
      <c r="A649" s="142" t="n">
        <v>62588266000154</v>
      </c>
      <c r="B649" s="75" t="inlineStr">
        <is>
          <t>62.588.266/0001-54</t>
        </is>
      </c>
      <c r="C649" s="75" t="inlineStr">
        <is>
          <t>tipo_recebivel</t>
        </is>
      </c>
      <c r="D649" s="75" t="inlineStr">
        <is>
          <t>Crédito INSS</t>
        </is>
      </c>
      <c r="E649" s="75" t="inlineStr">
        <is>
          <t>N/D</t>
        </is>
      </c>
      <c r="F649" s="75" t="inlineStr">
        <is>
          <t>planilha_manual</t>
        </is>
      </c>
      <c r="G649" s="75" t="inlineStr">
        <is>
          <t>IMG_8706.JPG</t>
        </is>
      </c>
      <c r="H649" s="75" t="inlineStr">
        <is>
          <t>payload</t>
        </is>
      </c>
      <c r="I649" s="75" t="inlineStr">
        <is>
          <t>2025-09-29</t>
        </is>
      </c>
      <c r="J649" s="75" t="inlineStr">
        <is>
          <t>35</t>
        </is>
      </c>
      <c r="K649" s="75" t="inlineStr">
        <is>
          <t>aceito_payload</t>
        </is>
      </c>
      <c r="L649" s="144" t="n">
        <v>1</v>
      </c>
      <c r="M649" s="75" t="inlineStr">
        <is>
          <t>data/industry_study/generated_revision/artifact_payload.json</t>
        </is>
      </c>
      <c r="N649" s="75" t="inlineStr">
        <is>
          <t>N/D</t>
        </is>
      </c>
      <c r="O649" s="75" t="inlineStr">
        <is>
          <t>N/D</t>
        </is>
      </c>
    </row>
    <row r="650" ht="43.5" customHeight="1">
      <c r="A650" s="142" t="n">
        <v>62626887000185</v>
      </c>
      <c r="B650" s="75" t="inlineStr">
        <is>
          <t>62.626.887/0001-85</t>
        </is>
      </c>
      <c r="C650" s="75" t="inlineStr">
        <is>
          <t>cedente</t>
        </is>
      </c>
      <c r="D650" s="75" t="inlineStr">
        <is>
          <t>a SUMUP INSTITUIÇÃO DE PAGAMENTO BRASIL LTDA., sociedade limitada com sede na Cidade e Estado de São Paulo, na Rua Gilberto Sabino, nº 215, 10º andar, Pinheiros, CEP: 05425-020, inscrita no CNPJ/MF sob o nº 16.668.076/0001-20</t>
        </is>
      </c>
      <c r="E650" s="75" t="inlineStr">
        <is>
          <t>N/D</t>
        </is>
      </c>
      <c r="F650" s="75" t="inlineStr">
        <is>
          <t>regulamento</t>
        </is>
      </c>
      <c r="G650" s="75" t="inlineStr">
        <is>
          <t>1104099</t>
        </is>
      </c>
      <c r="H650" s="75" t="inlineStr">
        <is>
          <t>Regulamento</t>
        </is>
      </c>
      <c r="I650" s="75" t="inlineStr">
        <is>
          <t>06/02/2026</t>
        </is>
      </c>
      <c r="J650" s="75" t="inlineStr">
        <is>
          <t>83</t>
        </is>
      </c>
      <c r="K650" s="75" t="inlineStr">
        <is>
          <t>encontrado_explicito</t>
        </is>
      </c>
      <c r="L650" s="144" t="n">
        <v>0.95</v>
      </c>
      <c r="M650" s="75" t="inlineStr">
        <is>
          <t>.cache/carteira_101_document_scan/62626887000185/1104099.json.gz</t>
        </is>
      </c>
      <c r="N650" s="75" t="inlineStr">
        <is>
          <t>https://fnet.bmfbovespa.com.br/fnet/publico/downloadDocumento?id=1104099</t>
        </is>
      </c>
      <c r="O650"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1" ht="43.5" customHeight="1">
      <c r="A651" s="142" t="n">
        <v>62626887000185</v>
      </c>
      <c r="B651" s="75" t="inlineStr">
        <is>
          <t>62.626.887/0001-85</t>
        </is>
      </c>
      <c r="C651" s="75" t="inlineStr">
        <is>
          <t>cedente</t>
        </is>
      </c>
      <c r="D651" s="75" t="inlineStr">
        <is>
          <t>a SUMUP INSTITUIÇÃO DE PAGAMENTO BRASIL LTDA., sociedade limitada com sede na Cidade e Estado de São Paulo, na Rua Gilberto Sabino, nº 215, 10º andar, Pinheiros, CEP: 05425-020, inscrita no CNPJ/MF sob o nº 16.668.076/0001-20</t>
        </is>
      </c>
      <c r="E651" s="75" t="inlineStr">
        <is>
          <t>N/D</t>
        </is>
      </c>
      <c r="F651" s="75" t="inlineStr">
        <is>
          <t>regulamento</t>
        </is>
      </c>
      <c r="G651" s="75" t="inlineStr">
        <is>
          <t>1037253</t>
        </is>
      </c>
      <c r="H651" s="75" t="inlineStr">
        <is>
          <t>regulamento</t>
        </is>
      </c>
      <c r="I651" s="75" t="inlineStr">
        <is>
          <t>2025-11-13</t>
        </is>
      </c>
      <c r="J651" s="75" t="inlineStr">
        <is>
          <t>83</t>
        </is>
      </c>
      <c r="K651" s="75" t="inlineStr">
        <is>
          <t>encontrado_explicito</t>
        </is>
      </c>
      <c r="L651" s="144" t="n">
        <v>0.95</v>
      </c>
      <c r="M651" s="75" t="inlineStr">
        <is>
          <t>data/raw/62626887000185/1037253_regulamento_regulamento_1037253_2025-11-13.pdf</t>
        </is>
      </c>
      <c r="N651" s="75" t="inlineStr">
        <is>
          <t>https://fnet.bmfbovespa.com.br/fnet/publico/downloadDocumento?id=1037253</t>
        </is>
      </c>
      <c r="O651"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2" ht="43.5" customHeight="1">
      <c r="A652" s="142" t="n">
        <v>62626887000185</v>
      </c>
      <c r="B652" s="75" t="inlineStr">
        <is>
          <t>62.626.887/0001-85</t>
        </is>
      </c>
      <c r="C652" s="75" t="inlineStr">
        <is>
          <t>cedente</t>
        </is>
      </c>
      <c r="D652" s="75" t="inlineStr">
        <is>
          <t>a SUMUP INSTITUIÇÃO DE PAGAMENTO BRASIL LTDA., sociedade limitada com sede na Cidade e Estado de São Paulo, na Rua Gilberto Sabino, nº 215, 10º andar, Pinheiros, CEP: 05425-020, inscrita no CNPJ/MF sob o nº 16.668.076/0001-20</t>
        </is>
      </c>
      <c r="E652" s="75" t="inlineStr">
        <is>
          <t>N/D</t>
        </is>
      </c>
      <c r="F652" s="75" t="inlineStr">
        <is>
          <t>regulamento</t>
        </is>
      </c>
      <c r="G652" s="75" t="inlineStr">
        <is>
          <t>1152823</t>
        </is>
      </c>
      <c r="H652" s="75" t="inlineStr">
        <is>
          <t>regulamento</t>
        </is>
      </c>
      <c r="I652" s="75" t="inlineStr">
        <is>
          <t>2026-03-31</t>
        </is>
      </c>
      <c r="J652" s="75" t="inlineStr">
        <is>
          <t>89</t>
        </is>
      </c>
      <c r="K652" s="75" t="inlineStr">
        <is>
          <t>encontrado_explicito</t>
        </is>
      </c>
      <c r="L652" s="144" t="n">
        <v>0.95</v>
      </c>
      <c r="M652" s="75" t="inlineStr">
        <is>
          <t>data/raw/62626887000185/1152823_regulamento_regulamento_1152823_2026-03-31.pdf</t>
        </is>
      </c>
      <c r="N652" s="75" t="inlineStr">
        <is>
          <t>https://fnet.bmfbovespa.com.br/fnet/publico/downloadDocumento?id=1152823</t>
        </is>
      </c>
      <c r="O652" s="75" t="inlineStr">
        <is>
          <t>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3" ht="43.5" customHeight="1">
      <c r="A653" s="142" t="n">
        <v>62626887000185</v>
      </c>
      <c r="B653" s="75" t="inlineStr">
        <is>
          <t>62.626.887/0001-85</t>
        </is>
      </c>
      <c r="C653" s="75" t="inlineStr">
        <is>
          <t>cedente</t>
        </is>
      </c>
      <c r="D653" s="75" t="inlineStr">
        <is>
          <t>a SUMUP INSTITUIÇÃO DE PAGAMENTO BRASIL LTDA., sociedade limitada com sede na Cidade e Estado de São Paulo, na Rua Gilberto Sabino, nº 215, 10º andar, Pinheiros, CEP: 05425-020, inscrita no CNPJ/MF sob o nº 16.668.076/0001-20</t>
        </is>
      </c>
      <c r="E653" s="75" t="inlineStr">
        <is>
          <t>N/D</t>
        </is>
      </c>
      <c r="F653" s="75" t="inlineStr">
        <is>
          <t>assembleia</t>
        </is>
      </c>
      <c r="G653" s="75" t="inlineStr">
        <is>
          <t>1140788</t>
        </is>
      </c>
      <c r="H653" s="75" t="inlineStr">
        <is>
          <t>assembleia</t>
        </is>
      </c>
      <c r="I653" s="75" t="inlineStr">
        <is>
          <t>2026-03-30</t>
        </is>
      </c>
      <c r="J653" s="75" t="inlineStr">
        <is>
          <t>94</t>
        </is>
      </c>
      <c r="K653" s="75" t="inlineStr">
        <is>
          <t>encontrado_explicito</t>
        </is>
      </c>
      <c r="L653" s="144" t="n">
        <v>0.95</v>
      </c>
      <c r="M653" s="75" t="inlineStr">
        <is>
          <t>data/raw/62626887000185/1140788_assembleia_assembleia_1140788_2026-03-30.pdf</t>
        </is>
      </c>
      <c r="N653" s="75" t="inlineStr">
        <is>
          <t>https://fnet.bmfbovespa.com.br/fnet/publico/downloadDocumento?id=1140788</t>
        </is>
      </c>
      <c r="O653" s="75" t="inlineStr">
        <is>
          <t>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4" ht="43.5" customHeight="1">
      <c r="A654" s="142" t="n">
        <v>62626887000185</v>
      </c>
      <c r="B654" s="75" t="inlineStr">
        <is>
          <t>62.626.887/0001-85</t>
        </is>
      </c>
      <c r="C654" s="75" t="inlineStr">
        <is>
          <t>cedente</t>
        </is>
      </c>
      <c r="D654" s="75" t="inlineStr">
        <is>
          <t>Sumup IP</t>
        </is>
      </c>
      <c r="E654" s="75" t="inlineStr">
        <is>
          <t>N/D</t>
        </is>
      </c>
      <c r="F654" s="75" t="inlineStr">
        <is>
          <t>planilha_manual</t>
        </is>
      </c>
      <c r="G654" s="75" t="inlineStr">
        <is>
          <t>IMG_8704.JPG</t>
        </is>
      </c>
      <c r="H654" s="75" t="inlineStr">
        <is>
          <t>payload</t>
        </is>
      </c>
      <c r="I654" s="75" t="inlineStr">
        <is>
          <t>2026-03-31</t>
        </is>
      </c>
      <c r="J654" s="75" t="inlineStr">
        <is>
          <t>96</t>
        </is>
      </c>
      <c r="K654" s="75" t="inlineStr">
        <is>
          <t>aceito_payload</t>
        </is>
      </c>
      <c r="L654" s="144" t="n">
        <v>1</v>
      </c>
      <c r="M654" s="75" t="inlineStr">
        <is>
          <t>data/industry_study/generated_revision/artifact_payload.json</t>
        </is>
      </c>
      <c r="N654" s="75" t="inlineStr">
        <is>
          <t>N/D</t>
        </is>
      </c>
      <c r="O654" s="75" t="inlineStr">
        <is>
          <t>OBS da foto: Risco Banco Emissor Itaú.</t>
        </is>
      </c>
    </row>
    <row r="655" ht="43.5" customHeight="1">
      <c r="A655" s="142" t="n">
        <v>62626887000185</v>
      </c>
      <c r="B655" s="75" t="inlineStr">
        <is>
          <t>62.626.887/0001-85</t>
        </is>
      </c>
      <c r="C655" s="75" t="inlineStr">
        <is>
          <t>cedente</t>
        </is>
      </c>
      <c r="D655" s="75" t="inlineStr">
        <is>
          <t>62.626.887/0001-85</t>
        </is>
      </c>
      <c r="E655" s="75" t="inlineStr">
        <is>
          <t>N/D</t>
        </is>
      </c>
      <c r="F655" s="75" t="inlineStr">
        <is>
          <t>candidate_extraction</t>
        </is>
      </c>
      <c r="G655" s="75" t="inlineStr">
        <is>
          <t>62626887000185</t>
        </is>
      </c>
      <c r="H655" s="75" t="inlineStr">
        <is>
          <t>extração heurística</t>
        </is>
      </c>
      <c r="I655" s="75" t="inlineStr">
        <is>
          <t>N/D</t>
        </is>
      </c>
      <c r="J655" s="75" t="inlineStr">
        <is>
          <t>N/D</t>
        </is>
      </c>
      <c r="K655" s="75" t="inlineStr">
        <is>
          <t>candidato_revisao</t>
        </is>
      </c>
      <c r="L655" s="144" t="n">
        <v>0.95</v>
      </c>
      <c r="M655" s="75" t="inlineStr">
        <is>
          <t>outputs/fidc_director_deep_diagnostic_20260609/pdf_text_cache/62626887000185_1152823_regulamento_regulamento_1152823_2026-03-31.txt</t>
        </is>
      </c>
      <c r="N655" s="75" t="inlineStr">
        <is>
          <t>https://fnet.bmfbovespa.com.br/fnet/publico/downloadDocumento?id=62626887000185</t>
        </is>
      </c>
      <c r="O655" s="75" t="inlineStr">
        <is>
          <t>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t>
        </is>
      </c>
    </row>
    <row r="656" ht="43.5" customHeight="1">
      <c r="A656" s="142" t="n">
        <v>62626887000185</v>
      </c>
      <c r="B656" s="75" t="inlineStr">
        <is>
          <t>62.626.887/0001-85</t>
        </is>
      </c>
      <c r="C656" s="75" t="inlineStr">
        <is>
          <t>minimo_junior</t>
        </is>
      </c>
      <c r="D656" s="75" t="inlineStr">
        <is>
          <t>2.9%</t>
        </is>
      </c>
      <c r="E656" s="75" t="inlineStr">
        <is>
          <t>junior_pl</t>
        </is>
      </c>
      <c r="F656" s="75" t="inlineStr">
        <is>
          <t>payload_documental</t>
        </is>
      </c>
      <c r="G656" s="75" t="inlineStr">
        <is>
          <t>1152823</t>
        </is>
      </c>
      <c r="H656" s="75" t="inlineStr">
        <is>
          <t>documento_curado</t>
        </is>
      </c>
      <c r="I656" s="75" t="inlineStr">
        <is>
          <t>2026-03-31</t>
        </is>
      </c>
      <c r="J656" s="75" t="inlineStr">
        <is>
          <t>96</t>
        </is>
      </c>
      <c r="K656" s="75" t="inlineStr">
        <is>
          <t>aceito_payload</t>
        </is>
      </c>
      <c r="L656" s="144" t="n">
        <v>1</v>
      </c>
      <c r="M656" s="75" t="inlineStr">
        <is>
          <t>data/industry_study/generated_revision/artifact_payload.json</t>
        </is>
      </c>
      <c r="N656" s="75" t="inlineStr">
        <is>
          <t>https://fnet.bmfbovespa.com.br/fnet/publico/downloadDocumento?id=1152823</t>
        </is>
      </c>
      <c r="O656" s="75" t="inlineStr">
        <is>
          <t>Cotas subordinadas júnior / PL, mínimo de 2,90%.</t>
        </is>
      </c>
    </row>
    <row r="657" ht="43.5" customHeight="1">
      <c r="A657" s="142" t="n">
        <v>62626887000185</v>
      </c>
      <c r="B657" s="75" t="inlineStr">
        <is>
          <t>62.626.887/0001-85</t>
        </is>
      </c>
      <c r="C657" s="75" t="inlineStr">
        <is>
          <t>natureza_indice</t>
        </is>
      </c>
      <c r="D657" s="75" t="inlineStr">
        <is>
          <t>junior_pl</t>
        </is>
      </c>
      <c r="E657" s="75" t="inlineStr">
        <is>
          <t>junior_pl</t>
        </is>
      </c>
      <c r="F657" s="75" t="inlineStr">
        <is>
          <t>payload_documental</t>
        </is>
      </c>
      <c r="G657" s="75" t="inlineStr">
        <is>
          <t>1152823</t>
        </is>
      </c>
      <c r="H657" s="75" t="inlineStr">
        <is>
          <t>documento_curado</t>
        </is>
      </c>
      <c r="I657" s="75" t="inlineStr">
        <is>
          <t>2026-03-31</t>
        </is>
      </c>
      <c r="J657" s="75" t="inlineStr">
        <is>
          <t>96</t>
        </is>
      </c>
      <c r="K657" s="75" t="inlineStr">
        <is>
          <t>aceito_payload</t>
        </is>
      </c>
      <c r="L657" s="144" t="n">
        <v>1</v>
      </c>
      <c r="M657" s="75" t="inlineStr">
        <is>
          <t>data/industry_study/generated_revision/artifact_payload.json</t>
        </is>
      </c>
      <c r="N657" s="75" t="inlineStr">
        <is>
          <t>https://fnet.bmfbovespa.com.br/fnet/publico/downloadDocumento?id=1152823</t>
        </is>
      </c>
      <c r="O657" s="75" t="inlineStr">
        <is>
          <t>Cotas subordinadas júnior / PL, mínimo de 2,90%.</t>
        </is>
      </c>
    </row>
    <row r="658" ht="43.5" customHeight="1">
      <c r="A658" s="142" t="n">
        <v>62626887000185</v>
      </c>
      <c r="B658" s="75" t="inlineStr">
        <is>
          <t>62.626.887/0001-85</t>
        </is>
      </c>
      <c r="C658" s="75" t="inlineStr">
        <is>
          <t>sacado_devedor</t>
        </is>
      </c>
      <c r="D658" s="75" t="inlineStr">
        <is>
          <t>os Emissores</t>
        </is>
      </c>
      <c r="E658" s="75" t="inlineStr">
        <is>
          <t>N/D</t>
        </is>
      </c>
      <c r="F658" s="75" t="inlineStr">
        <is>
          <t>regulamento</t>
        </is>
      </c>
      <c r="G658" s="75" t="inlineStr">
        <is>
          <t>1104099</t>
        </is>
      </c>
      <c r="H658" s="75" t="inlineStr">
        <is>
          <t>Regulamento</t>
        </is>
      </c>
      <c r="I658" s="75" t="inlineStr">
        <is>
          <t>06/02/2026</t>
        </is>
      </c>
      <c r="J658" s="75" t="inlineStr">
        <is>
          <t>87</t>
        </is>
      </c>
      <c r="K658" s="75" t="inlineStr">
        <is>
          <t>encontrado_explicito</t>
        </is>
      </c>
      <c r="L658" s="144" t="n">
        <v>0.95</v>
      </c>
      <c r="M658" s="75" t="inlineStr">
        <is>
          <t>.cache/carteira_101_document_scan/62626887000185/1104099.json.gz</t>
        </is>
      </c>
      <c r="N658" s="75" t="inlineStr">
        <is>
          <t>https://fnet.bmfbovespa.com.br/fnet/publico/downloadDocumento?id=1104099</t>
        </is>
      </c>
      <c r="O658"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59" ht="43.5" customHeight="1">
      <c r="A659" s="142" t="n">
        <v>62626887000185</v>
      </c>
      <c r="B659" s="75" t="inlineStr">
        <is>
          <t>62.626.887/0001-85</t>
        </is>
      </c>
      <c r="C659" s="75" t="inlineStr">
        <is>
          <t>sacado_devedor</t>
        </is>
      </c>
      <c r="D659" s="75" t="inlineStr">
        <is>
          <t>os Emissores</t>
        </is>
      </c>
      <c r="E659" s="75" t="inlineStr">
        <is>
          <t>N/D</t>
        </is>
      </c>
      <c r="F659" s="75" t="inlineStr">
        <is>
          <t>regulamento</t>
        </is>
      </c>
      <c r="G659" s="75" t="inlineStr">
        <is>
          <t>1037253</t>
        </is>
      </c>
      <c r="H659" s="75" t="inlineStr">
        <is>
          <t>regulamento</t>
        </is>
      </c>
      <c r="I659" s="75" t="inlineStr">
        <is>
          <t>2025-11-13</t>
        </is>
      </c>
      <c r="J659" s="75" t="inlineStr">
        <is>
          <t>87</t>
        </is>
      </c>
      <c r="K659" s="75" t="inlineStr">
        <is>
          <t>encontrado_explicito</t>
        </is>
      </c>
      <c r="L659" s="144" t="n">
        <v>0.95</v>
      </c>
      <c r="M659" s="75" t="inlineStr">
        <is>
          <t>data/raw/62626887000185/1037253_regulamento_regulamento_1037253_2025-11-13.pdf</t>
        </is>
      </c>
      <c r="N659" s="75" t="inlineStr">
        <is>
          <t>https://fnet.bmfbovespa.com.br/fnet/publico/downloadDocumento?id=1037253</t>
        </is>
      </c>
      <c r="O659"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60" ht="43.5" customHeight="1">
      <c r="A660" s="142" t="n">
        <v>62626887000185</v>
      </c>
      <c r="B660" s="75" t="inlineStr">
        <is>
          <t>62.626.887/0001-85</t>
        </is>
      </c>
      <c r="C660" s="75" t="inlineStr">
        <is>
          <t>sacado_devedor</t>
        </is>
      </c>
      <c r="D660" s="75" t="inlineStr">
        <is>
          <t>os Emissores</t>
        </is>
      </c>
      <c r="E660" s="75" t="inlineStr">
        <is>
          <t>N/D</t>
        </is>
      </c>
      <c r="F660" s="75" t="inlineStr">
        <is>
          <t>regulamento</t>
        </is>
      </c>
      <c r="G660" s="75" t="inlineStr">
        <is>
          <t>1152823</t>
        </is>
      </c>
      <c r="H660" s="75" t="inlineStr">
        <is>
          <t>regulamento</t>
        </is>
      </c>
      <c r="I660" s="75" t="inlineStr">
        <is>
          <t>2026-03-31</t>
        </is>
      </c>
      <c r="J660" s="75" t="inlineStr">
        <is>
          <t>92</t>
        </is>
      </c>
      <c r="K660" s="75" t="inlineStr">
        <is>
          <t>encontrado_explicito</t>
        </is>
      </c>
      <c r="L660" s="144" t="n">
        <v>0.95</v>
      </c>
      <c r="M660" s="75" t="inlineStr">
        <is>
          <t>data/raw/62626887000185/1152823_regulamento_regulamento_1152823_2026-03-31.pdf</t>
        </is>
      </c>
      <c r="N660" s="75" t="inlineStr">
        <is>
          <t>https://fnet.bmfbovespa.com.br/fnet/publico/downloadDocumento?id=1152823</t>
        </is>
      </c>
      <c r="O660" s="75" t="inlineStr">
        <is>
          <t>Banco Depositário, o Fundo receba os Direitos Creditórios sem a dedução de quaisquer Cancelamentos e Chargebacks. “Devedores” significam os Emissores. COMPLEMENTO I DO REGULAMENTO DO SUMUP SMART IV FIDC SEGMENTO MEIOS DE PAGAMENTO DE RESPONSABILIDADE LIMITADA, CNP</t>
        </is>
      </c>
    </row>
    <row r="661" ht="43.5" customHeight="1">
      <c r="A661" s="142" t="n">
        <v>62626887000185</v>
      </c>
      <c r="B661" s="75" t="inlineStr">
        <is>
          <t>62.626.887/0001-85</t>
        </is>
      </c>
      <c r="C661" s="75" t="inlineStr">
        <is>
          <t>sacado_devedor</t>
        </is>
      </c>
      <c r="D661" s="75" t="inlineStr">
        <is>
          <t>os Emissores</t>
        </is>
      </c>
      <c r="E661" s="75" t="inlineStr">
        <is>
          <t>N/D</t>
        </is>
      </c>
      <c r="F661" s="75" t="inlineStr">
        <is>
          <t>assembleia</t>
        </is>
      </c>
      <c r="G661" s="75" t="inlineStr">
        <is>
          <t>1140788</t>
        </is>
      </c>
      <c r="H661" s="75" t="inlineStr">
        <is>
          <t>assembleia</t>
        </is>
      </c>
      <c r="I661" s="75" t="inlineStr">
        <is>
          <t>2026-03-30</t>
        </is>
      </c>
      <c r="J661" s="75" t="inlineStr">
        <is>
          <t>98</t>
        </is>
      </c>
      <c r="K661" s="75" t="inlineStr">
        <is>
          <t>encontrado_explicito</t>
        </is>
      </c>
      <c r="L661" s="144" t="n">
        <v>0.95</v>
      </c>
      <c r="M661" s="75" t="inlineStr">
        <is>
          <t>data/raw/62626887000185/1140788_assembleia_assembleia_1140788_2026-03-30.pdf</t>
        </is>
      </c>
      <c r="N661" s="75" t="inlineStr">
        <is>
          <t>https://fnet.bmfbovespa.com.br/fnet/publico/downloadDocumento?id=1140788</t>
        </is>
      </c>
      <c r="O661" s="75" t="inlineStr">
        <is>
          <t>MEIOS DE PAGAMENTO DE RESPONSABILIDADE LIMITADA, CNPJ/MF 62.626.887/0001-85- DATADO DE XX DE XX DE 2026 98 “Devedores” significam os Emissores. “Dia Útil” ou “Dias Úteis” significam qualquer dia em que haja expediente comercial ou bancário na cidade de São P</t>
        </is>
      </c>
    </row>
    <row r="662" ht="43.5" customHeight="1">
      <c r="A662" s="142" t="n">
        <v>62626887000185</v>
      </c>
      <c r="B662" s="75" t="inlineStr">
        <is>
          <t>62.626.887/0001-85</t>
        </is>
      </c>
      <c r="C662" s="75" t="inlineStr">
        <is>
          <t>sacado_devedor</t>
        </is>
      </c>
      <c r="D662" s="75" t="inlineStr">
        <is>
          <t>62.626.887/0001-85</t>
        </is>
      </c>
      <c r="E662" s="75" t="inlineStr">
        <is>
          <t>N/D</t>
        </is>
      </c>
      <c r="F662" s="75" t="inlineStr">
        <is>
          <t>candidate_extraction</t>
        </is>
      </c>
      <c r="G662" s="75" t="inlineStr">
        <is>
          <t>62626887000185</t>
        </is>
      </c>
      <c r="H662" s="75" t="inlineStr">
        <is>
          <t>extração heurística</t>
        </is>
      </c>
      <c r="I662" s="75" t="inlineStr">
        <is>
          <t>N/D</t>
        </is>
      </c>
      <c r="J662" s="75" t="inlineStr">
        <is>
          <t>N/D</t>
        </is>
      </c>
      <c r="K662" s="75" t="inlineStr">
        <is>
          <t>candidato_revisao</t>
        </is>
      </c>
      <c r="L662" s="144" t="n">
        <v>0.95</v>
      </c>
      <c r="M662" s="75" t="inlineStr">
        <is>
          <t>outputs/fidc_director_deep_diagnostic_20260609/pdf_text_cache/62626887000185_1152823_regulamento_regulamento_1152823_2026-03-31.txt</t>
        </is>
      </c>
      <c r="N662" s="75" t="inlineStr">
        <is>
          <t>https://fnet.bmfbovespa.com.br/fnet/publico/downloadDocumento?id=62626887000185</t>
        </is>
      </c>
      <c r="O662" s="75" t="inlineStr">
        <is>
          <t>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t>
        </is>
      </c>
    </row>
    <row r="663" ht="43.5" customHeight="1">
      <c r="A663" s="142" t="n">
        <v>62626887000185</v>
      </c>
      <c r="B663" s="75" t="inlineStr">
        <is>
          <t>62.626.887/0001-85</t>
        </is>
      </c>
      <c r="C663" s="75" t="inlineStr">
        <is>
          <t>tipo_recebivel</t>
        </is>
      </c>
      <c r="D663"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3" s="75" t="inlineStr">
        <is>
          <t>N/D</t>
        </is>
      </c>
      <c r="F663" s="75" t="inlineStr">
        <is>
          <t>regulamento</t>
        </is>
      </c>
      <c r="G663" s="75" t="inlineStr">
        <is>
          <t>1104099</t>
        </is>
      </c>
      <c r="H663" s="75" t="inlineStr">
        <is>
          <t>Regulamento</t>
        </is>
      </c>
      <c r="I663" s="75" t="inlineStr">
        <is>
          <t>06/02/2026</t>
        </is>
      </c>
      <c r="J663" s="75" t="inlineStr">
        <is>
          <t>87</t>
        </is>
      </c>
      <c r="K663" s="75" t="inlineStr">
        <is>
          <t>encontrado_explicito</t>
        </is>
      </c>
      <c r="L663" s="144" t="n">
        <v>0.92</v>
      </c>
      <c r="M663" s="75" t="inlineStr">
        <is>
          <t>.cache/carteira_101_document_scan/62626887000185/1104099.json.gz</t>
        </is>
      </c>
      <c r="N663" s="75" t="inlineStr">
        <is>
          <t>https://fnet.bmfbovespa.com.br/fnet/publico/downloadDocumento?id=1104099</t>
        </is>
      </c>
      <c r="O663"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4" ht="43.5" customHeight="1">
      <c r="A664" s="142" t="n">
        <v>62626887000185</v>
      </c>
      <c r="B664" s="75" t="inlineStr">
        <is>
          <t>62.626.887/0001-85</t>
        </is>
      </c>
      <c r="C664" s="75" t="inlineStr">
        <is>
          <t>tipo_recebivel</t>
        </is>
      </c>
      <c r="D664"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4" s="75" t="inlineStr">
        <is>
          <t>N/D</t>
        </is>
      </c>
      <c r="F664" s="75" t="inlineStr">
        <is>
          <t>regulamento</t>
        </is>
      </c>
      <c r="G664" s="75" t="inlineStr">
        <is>
          <t>1037253</t>
        </is>
      </c>
      <c r="H664" s="75" t="inlineStr">
        <is>
          <t>regulamento</t>
        </is>
      </c>
      <c r="I664" s="75" t="inlineStr">
        <is>
          <t>2025-11-13</t>
        </is>
      </c>
      <c r="J664" s="75" t="inlineStr">
        <is>
          <t>87</t>
        </is>
      </c>
      <c r="K664" s="75" t="inlineStr">
        <is>
          <t>encontrado_explicito</t>
        </is>
      </c>
      <c r="L664" s="144" t="n">
        <v>0.92</v>
      </c>
      <c r="M664" s="75" t="inlineStr">
        <is>
          <t>data/raw/62626887000185/1037253_regulamento_regulamento_1037253_2025-11-13.pdf</t>
        </is>
      </c>
      <c r="N664" s="75" t="inlineStr">
        <is>
          <t>https://fnet.bmfbovespa.com.br/fnet/publico/downloadDocumento?id=1037253</t>
        </is>
      </c>
      <c r="O664"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5" ht="43.5" customHeight="1">
      <c r="A665" s="142" t="n">
        <v>62626887000185</v>
      </c>
      <c r="B665" s="75" t="inlineStr">
        <is>
          <t>62.626.887/0001-85</t>
        </is>
      </c>
      <c r="C665" s="75" t="inlineStr">
        <is>
          <t>tipo_recebivel</t>
        </is>
      </c>
      <c r="D66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5" s="75" t="inlineStr">
        <is>
          <t>N/D</t>
        </is>
      </c>
      <c r="F665" s="75" t="inlineStr">
        <is>
          <t>regulamento</t>
        </is>
      </c>
      <c r="G665" s="75" t="inlineStr">
        <is>
          <t>1152823</t>
        </is>
      </c>
      <c r="H665" s="75" t="inlineStr">
        <is>
          <t>regulamento</t>
        </is>
      </c>
      <c r="I665" s="75" t="inlineStr">
        <is>
          <t>2026-03-31</t>
        </is>
      </c>
      <c r="J665" s="75" t="inlineStr">
        <is>
          <t>93</t>
        </is>
      </c>
      <c r="K665" s="75" t="inlineStr">
        <is>
          <t>encontrado_explicito</t>
        </is>
      </c>
      <c r="L665" s="144" t="n">
        <v>0.92</v>
      </c>
      <c r="M665" s="75" t="inlineStr">
        <is>
          <t>data/raw/62626887000185/1152823_regulamento_regulamento_1152823_2026-03-31.pdf</t>
        </is>
      </c>
      <c r="N665" s="75" t="inlineStr">
        <is>
          <t>https://fnet.bmfbovespa.com.br/fnet/publico/downloadDocumento?id=1152823</t>
        </is>
      </c>
      <c r="O66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6" ht="43.5" customHeight="1">
      <c r="A666" s="142" t="n">
        <v>62626887000185</v>
      </c>
      <c r="B666" s="75" t="inlineStr">
        <is>
          <t>62.626.887/0001-85</t>
        </is>
      </c>
      <c r="C666" s="75" t="inlineStr">
        <is>
          <t>tipo_recebivel</t>
        </is>
      </c>
      <c r="D66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6" s="75" t="inlineStr">
        <is>
          <t>N/D</t>
        </is>
      </c>
      <c r="F666" s="75" t="inlineStr">
        <is>
          <t>assembleia</t>
        </is>
      </c>
      <c r="G666" s="75" t="inlineStr">
        <is>
          <t>1140788</t>
        </is>
      </c>
      <c r="H666" s="75" t="inlineStr">
        <is>
          <t>assembleia</t>
        </is>
      </c>
      <c r="I666" s="75" t="inlineStr">
        <is>
          <t>2026-03-30</t>
        </is>
      </c>
      <c r="J666" s="75" t="inlineStr">
        <is>
          <t>98</t>
        </is>
      </c>
      <c r="K666" s="75" t="inlineStr">
        <is>
          <t>encontrado_explicito</t>
        </is>
      </c>
      <c r="L666" s="144" t="n">
        <v>0.92</v>
      </c>
      <c r="M666" s="75" t="inlineStr">
        <is>
          <t>data/raw/62626887000185/1140788_assembleia_assembleia_1140788_2026-03-30.pdf</t>
        </is>
      </c>
      <c r="N666" s="75" t="inlineStr">
        <is>
          <t>https://fnet.bmfbovespa.com.br/fnet/publico/downloadDocumento?id=1140788</t>
        </is>
      </c>
      <c r="O66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7" ht="43.5" customHeight="1">
      <c r="A667" s="142" t="n">
        <v>62838025000116</v>
      </c>
      <c r="B667" s="75" t="inlineStr">
        <is>
          <t>62.838.025/0001-16</t>
        </is>
      </c>
      <c r="C667" s="75" t="inlineStr">
        <is>
          <t>cedente</t>
        </is>
      </c>
      <c r="D667" s="75" t="inlineStr">
        <is>
          <t>Pague Veloz / Serasa</t>
        </is>
      </c>
      <c r="E667" s="75" t="inlineStr">
        <is>
          <t>N/D</t>
        </is>
      </c>
      <c r="F667" s="75" t="inlineStr">
        <is>
          <t>planilha_manual</t>
        </is>
      </c>
      <c r="G667" s="75" t="inlineStr">
        <is>
          <t>IMG_8705.JPG</t>
        </is>
      </c>
      <c r="H667" s="75" t="inlineStr">
        <is>
          <t>payload</t>
        </is>
      </c>
      <c r="I667" s="75" t="inlineStr">
        <is>
          <t>2025-12-10</t>
        </is>
      </c>
      <c r="J667" s="75" t="inlineStr">
        <is>
          <t>39</t>
        </is>
      </c>
      <c r="K667" s="75" t="inlineStr">
        <is>
          <t>aceito_payload</t>
        </is>
      </c>
      <c r="L667" s="144" t="n">
        <v>1</v>
      </c>
      <c r="M667" s="75" t="inlineStr">
        <is>
          <t>data/industry_study/generated_revision/artifact_payload.json</t>
        </is>
      </c>
      <c r="N667" s="75" t="inlineStr">
        <is>
          <t>N/D</t>
        </is>
      </c>
      <c r="O667" s="75" t="inlineStr">
        <is>
          <t>N/D</t>
        </is>
      </c>
    </row>
    <row r="668" ht="43.5" customHeight="1">
      <c r="A668" s="142" t="n">
        <v>62838025000116</v>
      </c>
      <c r="B668" s="75" t="inlineStr">
        <is>
          <t>62.838.025/0001-16</t>
        </is>
      </c>
      <c r="C668" s="75" t="inlineStr">
        <is>
          <t>cedente</t>
        </is>
      </c>
      <c r="D668" s="75" t="inlineStr">
        <is>
          <t>PAGUEVELOZ INSTITUIÇÃO DE PAGAMENTO LTDA</t>
        </is>
      </c>
      <c r="E668" s="75" t="inlineStr">
        <is>
          <t>N/D</t>
        </is>
      </c>
      <c r="F668" s="75" t="inlineStr">
        <is>
          <t>candidate_extraction</t>
        </is>
      </c>
      <c r="G668" s="75" t="inlineStr">
        <is>
          <t>62838025000116</t>
        </is>
      </c>
      <c r="H668" s="75" t="inlineStr">
        <is>
          <t>extração heurística</t>
        </is>
      </c>
      <c r="I668" s="75" t="inlineStr">
        <is>
          <t>N/D</t>
        </is>
      </c>
      <c r="J668" s="75" t="inlineStr">
        <is>
          <t>N/D</t>
        </is>
      </c>
      <c r="K668" s="75" t="inlineStr">
        <is>
          <t>candidato_revisao</t>
        </is>
      </c>
      <c r="L668" s="144" t="n">
        <v>0.95</v>
      </c>
      <c r="M668" s="75" t="inlineStr">
        <is>
          <t>outputs/fidc_director_deep_diagnostic_20260609/pdf_text_cache/62838025000116_1058234_regulamento_regulamento_1058234_2025-12-10.txt</t>
        </is>
      </c>
      <c r="N668" s="75" t="inlineStr">
        <is>
          <t>https://fnet.bmfbovespa.com.br/fnet/publico/downloadDocumento?id=62838025000116</t>
        </is>
      </c>
      <c r="O668" s="75" t="inlineStr">
        <is>
          <t>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t>
        </is>
      </c>
    </row>
    <row r="669" ht="43.5" customHeight="1">
      <c r="A669" s="142" t="n">
        <v>62838025000116</v>
      </c>
      <c r="B669" s="75" t="inlineStr">
        <is>
          <t>62.838.025/0001-16</t>
        </is>
      </c>
      <c r="C669" s="75" t="inlineStr">
        <is>
          <t>minimo_junior</t>
        </is>
      </c>
      <c r="D669" s="75" t="inlineStr">
        <is>
          <t>10%</t>
        </is>
      </c>
      <c r="E669" s="75" t="inlineStr">
        <is>
          <t>junior_pl</t>
        </is>
      </c>
      <c r="F669" s="75" t="inlineStr">
        <is>
          <t>payload_documental</t>
        </is>
      </c>
      <c r="G669" s="75" t="inlineStr">
        <is>
          <t>1058234</t>
        </is>
      </c>
      <c r="H669" s="75" t="inlineStr">
        <is>
          <t>documento_curado</t>
        </is>
      </c>
      <c r="I669" s="75" t="inlineStr">
        <is>
          <t>2025-12-10</t>
        </is>
      </c>
      <c r="J669" s="75" t="inlineStr">
        <is>
          <t>39</t>
        </is>
      </c>
      <c r="K669" s="75" t="inlineStr">
        <is>
          <t>aceito_payload</t>
        </is>
      </c>
      <c r="L669" s="144" t="n">
        <v>1</v>
      </c>
      <c r="M669" s="75" t="inlineStr">
        <is>
          <t>data/industry_study/generated_revision/artifact_payload.json</t>
        </is>
      </c>
      <c r="N669" s="75" t="inlineStr">
        <is>
          <t>https://fnet.bmfbovespa.com.br/fnet/publico/downloadDocumento?id=1058234</t>
        </is>
      </c>
      <c r="O669" s="75" t="inlineStr">
        <is>
          <t>Cotas júnior / PL: 9,0% nos primeiros 30 dias; 10,0% como patamar regular.</t>
        </is>
      </c>
    </row>
    <row r="670" ht="43.5" customHeight="1">
      <c r="A670" s="142" t="n">
        <v>62838025000116</v>
      </c>
      <c r="B670" s="75" t="inlineStr">
        <is>
          <t>62.838.025/0001-16</t>
        </is>
      </c>
      <c r="C670" s="75" t="inlineStr">
        <is>
          <t>natureza_indice</t>
        </is>
      </c>
      <c r="D670" s="75" t="inlineStr">
        <is>
          <t>junior_pl</t>
        </is>
      </c>
      <c r="E670" s="75" t="inlineStr">
        <is>
          <t>junior_pl</t>
        </is>
      </c>
      <c r="F670" s="75" t="inlineStr">
        <is>
          <t>payload_documental</t>
        </is>
      </c>
      <c r="G670" s="75" t="inlineStr">
        <is>
          <t>1058234</t>
        </is>
      </c>
      <c r="H670" s="75" t="inlineStr">
        <is>
          <t>documento_curado</t>
        </is>
      </c>
      <c r="I670" s="75" t="inlineStr">
        <is>
          <t>2025-12-10</t>
        </is>
      </c>
      <c r="J670" s="75" t="inlineStr">
        <is>
          <t>39</t>
        </is>
      </c>
      <c r="K670" s="75" t="inlineStr">
        <is>
          <t>aceito_payload</t>
        </is>
      </c>
      <c r="L670" s="144" t="n">
        <v>1</v>
      </c>
      <c r="M670" s="75" t="inlineStr">
        <is>
          <t>data/industry_study/generated_revision/artifact_payload.json</t>
        </is>
      </c>
      <c r="N670" s="75" t="inlineStr">
        <is>
          <t>https://fnet.bmfbovespa.com.br/fnet/publico/downloadDocumento?id=1058234</t>
        </is>
      </c>
      <c r="O670" s="75" t="inlineStr">
        <is>
          <t>Cotas júnior / PL: 9,0% nos primeiros 30 dias; 10,0% como patamar regular.</t>
        </is>
      </c>
    </row>
    <row r="671" ht="43.5" customHeight="1">
      <c r="A671" s="142" t="n">
        <v>62838025000116</v>
      </c>
      <c r="B671" s="75" t="inlineStr">
        <is>
          <t>62.838.025/0001-16</t>
        </is>
      </c>
      <c r="C671" s="75" t="inlineStr">
        <is>
          <t>sacado_devedor</t>
        </is>
      </c>
      <c r="D671" s="75" t="inlineStr">
        <is>
          <t>os emissores, devedores e/ou garantidores dos Direitos Creditórios, conforme o caso</t>
        </is>
      </c>
      <c r="E671" s="75" t="inlineStr">
        <is>
          <t>N/D</t>
        </is>
      </c>
      <c r="F671" s="75" t="inlineStr">
        <is>
          <t>regulamento</t>
        </is>
      </c>
      <c r="G671" s="75" t="inlineStr">
        <is>
          <t>1058234</t>
        </is>
      </c>
      <c r="H671" s="75" t="inlineStr">
        <is>
          <t>regulamento</t>
        </is>
      </c>
      <c r="I671" s="75" t="inlineStr">
        <is>
          <t>2025-12-10</t>
        </is>
      </c>
      <c r="J671" s="75" t="inlineStr">
        <is>
          <t>5</t>
        </is>
      </c>
      <c r="K671" s="75" t="inlineStr">
        <is>
          <t>encontrado_explicito</t>
        </is>
      </c>
      <c r="L671" s="144" t="n">
        <v>0.95</v>
      </c>
      <c r="M671" s="75" t="inlineStr">
        <is>
          <t>data/raw/62838025000116/1058234_regulamento_regulamento_1058234_2025-12-10.pdf</t>
        </is>
      </c>
      <c r="N671" s="75" t="inlineStr">
        <is>
          <t>https://fnet.bmfbovespa.com.br/fnet/publico/downloadDocumento?id=1058234</t>
        </is>
      </c>
      <c r="O671" s="75" t="inlineStr">
        <is>
          <t>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t>
        </is>
      </c>
    </row>
    <row r="672" ht="43.5" customHeight="1">
      <c r="A672" s="142" t="n">
        <v>62838025000116</v>
      </c>
      <c r="B672" s="75" t="inlineStr">
        <is>
          <t>62.838.025/0001-16</t>
        </is>
      </c>
      <c r="C672" s="75" t="inlineStr">
        <is>
          <t>sacado_devedor</t>
        </is>
      </c>
      <c r="D672" s="75" t="inlineStr">
        <is>
          <t>NSTITUIÇÃO DE PAGAMENTO S.A</t>
        </is>
      </c>
      <c r="E672" s="75" t="inlineStr">
        <is>
          <t>N/D</t>
        </is>
      </c>
      <c r="F672" s="75" t="inlineStr">
        <is>
          <t>candidate_extraction</t>
        </is>
      </c>
      <c r="G672" s="75" t="inlineStr">
        <is>
          <t>62838025000116</t>
        </is>
      </c>
      <c r="H672" s="75" t="inlineStr">
        <is>
          <t>extração heurística</t>
        </is>
      </c>
      <c r="I672" s="75" t="inlineStr">
        <is>
          <t>N/D</t>
        </is>
      </c>
      <c r="J672" s="75" t="inlineStr">
        <is>
          <t>N/D</t>
        </is>
      </c>
      <c r="K672" s="75" t="inlineStr">
        <is>
          <t>candidato_revisao</t>
        </is>
      </c>
      <c r="L672" s="144" t="n">
        <v>0.95</v>
      </c>
      <c r="M672" s="75" t="inlineStr">
        <is>
          <t>outputs/fidc_director_deep_diagnostic_20260609/pdf_text_cache/62838025000116_1058234_regulamento_regulamento_1058234_2025-12-10.txt</t>
        </is>
      </c>
      <c r="N672" s="75" t="inlineStr">
        <is>
          <t>https://fnet.bmfbovespa.com.br/fnet/publico/downloadDocumento?id=62838025000116</t>
        </is>
      </c>
      <c r="O672" s="75" t="inlineStr">
        <is>
          <t>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t>
        </is>
      </c>
    </row>
    <row r="673" ht="43.5" customHeight="1">
      <c r="A673" s="142" t="n">
        <v>62838025000116</v>
      </c>
      <c r="B673" s="75" t="inlineStr">
        <is>
          <t>62.838.025/0001-16</t>
        </is>
      </c>
      <c r="C673" s="75" t="inlineStr">
        <is>
          <t>tipo_recebivel</t>
        </is>
      </c>
      <c r="D673" s="75" t="inlineStr">
        <is>
          <t>recebíveis de Rede, GetNet, Cielo e Pag</t>
        </is>
      </c>
      <c r="E673" s="75" t="inlineStr">
        <is>
          <t>N/D</t>
        </is>
      </c>
      <c r="F673" s="75" t="inlineStr">
        <is>
          <t>planilha_manual</t>
        </is>
      </c>
      <c r="G673" s="75" t="inlineStr">
        <is>
          <t>IMG_8705.JPG</t>
        </is>
      </c>
      <c r="H673" s="75" t="inlineStr">
        <is>
          <t>payload</t>
        </is>
      </c>
      <c r="I673" s="75" t="inlineStr">
        <is>
          <t>2025-12-10</t>
        </is>
      </c>
      <c r="J673" s="75" t="inlineStr">
        <is>
          <t>39</t>
        </is>
      </c>
      <c r="K673" s="75" t="inlineStr">
        <is>
          <t>aceito_payload</t>
        </is>
      </c>
      <c r="L673" s="144" t="n">
        <v>1</v>
      </c>
      <c r="M673" s="75" t="inlineStr">
        <is>
          <t>data/industry_study/generated_revision/artifact_payload.json</t>
        </is>
      </c>
      <c r="N673" s="75" t="inlineStr">
        <is>
          <t>N/D</t>
        </is>
      </c>
      <c r="O673" s="75" t="inlineStr">
        <is>
          <t>N/D</t>
        </is>
      </c>
    </row>
    <row r="674" ht="43.5" customHeight="1">
      <c r="A674" s="142" t="n">
        <v>63066147000102</v>
      </c>
      <c r="B674" s="75" t="inlineStr">
        <is>
          <t>63.066.147/0001-02</t>
        </is>
      </c>
      <c r="C674" s="75" t="inlineStr">
        <is>
          <t>cedente</t>
        </is>
      </c>
      <c r="D674" s="75" t="inlineStr">
        <is>
          <t>Supersim</t>
        </is>
      </c>
      <c r="E674" s="75" t="inlineStr">
        <is>
          <t>N/D</t>
        </is>
      </c>
      <c r="F674" s="75" t="inlineStr">
        <is>
          <t>planilha_manual</t>
        </is>
      </c>
      <c r="G674" s="75" t="inlineStr">
        <is>
          <t>IMG_8707.jpg</t>
        </is>
      </c>
      <c r="H674" s="75" t="inlineStr">
        <is>
          <t>payload</t>
        </is>
      </c>
      <c r="I674" s="75" t="inlineStr">
        <is>
          <t>2026-01-15</t>
        </is>
      </c>
      <c r="J674" s="75" t="inlineStr">
        <is>
          <t>12</t>
        </is>
      </c>
      <c r="K674" s="75" t="inlineStr">
        <is>
          <t>aceito_payload</t>
        </is>
      </c>
      <c r="L674" s="144" t="n">
        <v>1</v>
      </c>
      <c r="M674" s="75" t="inlineStr">
        <is>
          <t>data/industry_study/generated_revision/artifact_payload.json</t>
        </is>
      </c>
      <c r="N674" s="75" t="inlineStr">
        <is>
          <t>N/D</t>
        </is>
      </c>
      <c r="O674" s="75" t="inlineStr">
        <is>
          <t>Denominação cortada pela largura da coluna na foto.</t>
        </is>
      </c>
    </row>
    <row r="675" ht="43.5" customHeight="1">
      <c r="A675" s="142" t="n">
        <v>63066147000102</v>
      </c>
      <c r="B675" s="75" t="inlineStr">
        <is>
          <t>63.066.147/0001-02</t>
        </is>
      </c>
      <c r="C675" s="75" t="inlineStr">
        <is>
          <t>minimo_junior</t>
        </is>
      </c>
      <c r="D675" s="75" t="inlineStr">
        <is>
          <t>12.5%</t>
        </is>
      </c>
      <c r="E675" s="75" t="inlineStr">
        <is>
          <t>junior_pl</t>
        </is>
      </c>
      <c r="F675" s="75" t="inlineStr">
        <is>
          <t>payload_documental</t>
        </is>
      </c>
      <c r="G675" s="75" t="inlineStr">
        <is>
          <t>1085946</t>
        </is>
      </c>
      <c r="H675" s="75" t="inlineStr">
        <is>
          <t>documento_curado</t>
        </is>
      </c>
      <c r="I675" s="75" t="inlineStr">
        <is>
          <t>2026-01-15</t>
        </is>
      </c>
      <c r="J675" s="75" t="inlineStr">
        <is>
          <t>12</t>
        </is>
      </c>
      <c r="K675" s="75" t="inlineStr">
        <is>
          <t>aceito_payload</t>
        </is>
      </c>
      <c r="L675" s="144" t="n">
        <v>1</v>
      </c>
      <c r="M675" s="75" t="inlineStr">
        <is>
          <t>data/industry_study/generated_revision/artifact_payload.json</t>
        </is>
      </c>
      <c r="N675" s="75" t="inlineStr">
        <is>
          <t>https://fnet.bmfbovespa.com.br/fnet/publico/downloadDocumento?id=1085946</t>
        </is>
      </c>
      <c r="O675" s="75" t="inlineStr">
        <is>
          <t>Cotas júnior / PL, mínimo de 12,5%; 17,5% enquanto houver rebaixamento contratualmente definido.</t>
        </is>
      </c>
    </row>
    <row r="676" ht="43.5" customHeight="1">
      <c r="A676" s="142" t="n">
        <v>63066147000102</v>
      </c>
      <c r="B676" s="75" t="inlineStr">
        <is>
          <t>63.066.147/0001-02</t>
        </is>
      </c>
      <c r="C676" s="75" t="inlineStr">
        <is>
          <t>natureza_indice</t>
        </is>
      </c>
      <c r="D676" s="75" t="inlineStr">
        <is>
          <t>junior_pl</t>
        </is>
      </c>
      <c r="E676" s="75" t="inlineStr">
        <is>
          <t>junior_pl</t>
        </is>
      </c>
      <c r="F676" s="75" t="inlineStr">
        <is>
          <t>payload_documental</t>
        </is>
      </c>
      <c r="G676" s="75" t="inlineStr">
        <is>
          <t>1085946</t>
        </is>
      </c>
      <c r="H676" s="75" t="inlineStr">
        <is>
          <t>documento_curado</t>
        </is>
      </c>
      <c r="I676" s="75" t="inlineStr">
        <is>
          <t>2026-01-15</t>
        </is>
      </c>
      <c r="J676" s="75" t="inlineStr">
        <is>
          <t>12</t>
        </is>
      </c>
      <c r="K676" s="75" t="inlineStr">
        <is>
          <t>aceito_payload</t>
        </is>
      </c>
      <c r="L676" s="144" t="n">
        <v>1</v>
      </c>
      <c r="M676" s="75" t="inlineStr">
        <is>
          <t>data/industry_study/generated_revision/artifact_payload.json</t>
        </is>
      </c>
      <c r="N676" s="75" t="inlineStr">
        <is>
          <t>https://fnet.bmfbovespa.com.br/fnet/publico/downloadDocumento?id=1085946</t>
        </is>
      </c>
      <c r="O676" s="75" t="inlineStr">
        <is>
          <t>Cotas júnior / PL, mínimo de 12,5%; 17,5% enquanto houver rebaixamento contratualmente definido.</t>
        </is>
      </c>
    </row>
    <row r="677" ht="43.5" customHeight="1">
      <c r="A677" s="142" t="n">
        <v>63066147000102</v>
      </c>
      <c r="B677" s="75" t="inlineStr">
        <is>
          <t>63.066.147/0001-02</t>
        </is>
      </c>
      <c r="C677" s="75" t="inlineStr">
        <is>
          <t>tipo_recebivel</t>
        </is>
      </c>
      <c r="D677" s="75" t="inlineStr">
        <is>
          <t>todos os direitos de crédito vincendos adquiridos ou a serem adquiridos pela Classe Única, representados por CCBs decorrentes da concessão de Crédito ��������������������������������������������������������������������������������������������������������������������</t>
        </is>
      </c>
      <c r="E677" s="75" t="inlineStr">
        <is>
          <t>N/D</t>
        </is>
      </c>
      <c r="F677" s="75" t="inlineStr">
        <is>
          <t>regulamento</t>
        </is>
      </c>
      <c r="G677" s="75" t="inlineStr">
        <is>
          <t>1085946</t>
        </is>
      </c>
      <c r="H677" s="75" t="inlineStr">
        <is>
          <t>Regulamento</t>
        </is>
      </c>
      <c r="I677" s="75" t="inlineStr">
        <is>
          <t>15/01/2026</t>
        </is>
      </c>
      <c r="J677" s="75" t="inlineStr">
        <is>
          <t>8</t>
        </is>
      </c>
      <c r="K677" s="75" t="inlineStr">
        <is>
          <t>encontrado_explicito</t>
        </is>
      </c>
      <c r="L677" s="144" t="n">
        <v>0.92</v>
      </c>
      <c r="M677" s="75" t="inlineStr">
        <is>
          <t>.cache/carteira_101_document_scan/63066147000102/1085946.json.gz</t>
        </is>
      </c>
      <c r="N677" s="75" t="inlineStr">
        <is>
          <t>https://fnet.bmfbovespa.com.br/fnet/publico/downloadDocumento?id=1085946</t>
        </is>
      </c>
      <c r="O677"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 Corporativo | Interno Parcelado pelas Instituições Financeiras Parceiras aos Devedore</t>
        </is>
      </c>
    </row>
    <row r="678" ht="43.5" customHeight="1">
      <c r="A678" s="142" t="n">
        <v>63066147000102</v>
      </c>
      <c r="B678" s="75" t="inlineStr">
        <is>
          <t>63.066.147/0001-02</t>
        </is>
      </c>
      <c r="C678" s="75" t="inlineStr">
        <is>
          <t>tipo_recebivel</t>
        </is>
      </c>
      <c r="D678" s="75" t="inlineStr">
        <is>
          <t>todos os direitos de crédito vincendos adquiridos ou a serem adquiridos pela Classe Única, representados por CCBs decorrentes da concessão de Crédito Docusign Envelope ID: 9DE35450-3BDE-4638-A712-3F4C7F8F1EF5</t>
        </is>
      </c>
      <c r="E678" s="75" t="inlineStr">
        <is>
          <t>N/D</t>
        </is>
      </c>
      <c r="F678" s="75" t="inlineStr">
        <is>
          <t>regulamento</t>
        </is>
      </c>
      <c r="G678" s="75" t="inlineStr">
        <is>
          <t>1085943</t>
        </is>
      </c>
      <c r="H678" s="75" t="inlineStr">
        <is>
          <t>regulamento</t>
        </is>
      </c>
      <c r="I678" s="75" t="inlineStr">
        <is>
          <t>2026-01-15</t>
        </is>
      </c>
      <c r="J678" s="75" t="inlineStr">
        <is>
          <t>14</t>
        </is>
      </c>
      <c r="K678" s="75" t="inlineStr">
        <is>
          <t>encontrado_explicito</t>
        </is>
      </c>
      <c r="L678" s="144" t="n">
        <v>0.92</v>
      </c>
      <c r="M678" s="75" t="inlineStr">
        <is>
          <t>data/raw/63066147000102/1085943_regulamento_regulamento_1085943_2026-01-15_2026-01-15.pdf</t>
        </is>
      </c>
      <c r="N678" s="75" t="inlineStr">
        <is>
          <t>https://fnet.bmfbovespa.com.br/fnet/publico/downloadDocumento?id=1085943</t>
        </is>
      </c>
      <c r="O678"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79" ht="43.5" customHeight="1">
      <c r="A679" s="142" t="n">
        <v>63066147000102</v>
      </c>
      <c r="B679" s="75" t="inlineStr">
        <is>
          <t>63.066.147/0001-02</t>
        </is>
      </c>
      <c r="C679" s="75" t="inlineStr">
        <is>
          <t>tipo_recebivel</t>
        </is>
      </c>
      <c r="D679" s="75" t="inlineStr">
        <is>
          <t>todos os direitos de crédito vincendos adquiridos ou a serem adquiridos pela Classe Única, representados por CCBs decorrentes da concessão de Crédito Docusign Envelope ID: 9DE35450-3BDE-4638-A712-3F4C7F8F1EF5</t>
        </is>
      </c>
      <c r="E679" s="75" t="inlineStr">
        <is>
          <t>N/D</t>
        </is>
      </c>
      <c r="F679" s="75" t="inlineStr">
        <is>
          <t>regulamento</t>
        </is>
      </c>
      <c r="G679" s="75" t="inlineStr">
        <is>
          <t>63066147000102</t>
        </is>
      </c>
      <c r="H679" s="75" t="inlineStr">
        <is>
          <t>regulamento</t>
        </is>
      </c>
      <c r="I679" s="75" t="inlineStr">
        <is>
          <t>N/D</t>
        </is>
      </c>
      <c r="J679" s="75" t="inlineStr">
        <is>
          <t>1</t>
        </is>
      </c>
      <c r="K679" s="75" t="inlineStr">
        <is>
          <t>encontrado_explicito</t>
        </is>
      </c>
      <c r="L679" s="144" t="n">
        <v>0.92</v>
      </c>
      <c r="M679" s="75" t="inlineStr">
        <is>
          <t>outputs/fidc_director_deep_diagnostic_20260609/pdf_text_cache/63066147000102_1085943_regulamento_regulamento_1085943_2026-01-15_2026-01-15.txt</t>
        </is>
      </c>
      <c r="N679" s="75" t="inlineStr">
        <is>
          <t>https://fnet.bmfbovespa.com.br/fnet/publico/downloadDocumento?id=63066147000102</t>
        </is>
      </c>
      <c r="O679"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80" ht="43.5" customHeight="1">
      <c r="A680" s="142" t="n">
        <v>63066147000102</v>
      </c>
      <c r="B680" s="75" t="inlineStr">
        <is>
          <t>63.066.147/0001-02</t>
        </is>
      </c>
      <c r="C680" s="75" t="inlineStr">
        <is>
          <t>tipo_recebivel</t>
        </is>
      </c>
      <c r="D680"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0" s="75" t="inlineStr">
        <is>
          <t>N/D</t>
        </is>
      </c>
      <c r="F680" s="75" t="inlineStr">
        <is>
          <t>assembleia</t>
        </is>
      </c>
      <c r="G680" s="75" t="inlineStr">
        <is>
          <t>1180702</t>
        </is>
      </c>
      <c r="H680" s="75" t="inlineStr">
        <is>
          <t>Assembleia AGE Carta Consulta</t>
        </is>
      </c>
      <c r="I680" s="75" t="inlineStr">
        <is>
          <t>05/05/2026 18:00</t>
        </is>
      </c>
      <c r="J680" s="75" t="inlineStr">
        <is>
          <t>25</t>
        </is>
      </c>
      <c r="K680" s="75" t="inlineStr">
        <is>
          <t>encontrado_explicito</t>
        </is>
      </c>
      <c r="L680" s="144" t="n">
        <v>0.92</v>
      </c>
      <c r="M680" s="75" t="inlineStr">
        <is>
          <t>.cache/carteira_101_document_scan/63066147000102/1180702.json.gz</t>
        </is>
      </c>
      <c r="N680" s="75" t="inlineStr">
        <is>
          <t>https://fnet.bmfbovespa.com.br/fnet/publico/downloadDocumento?id=1180702</t>
        </is>
      </c>
      <c r="O680"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1" ht="43.5" customHeight="1">
      <c r="A681" s="142" t="n">
        <v>63066147000102</v>
      </c>
      <c r="B681" s="75" t="inlineStr">
        <is>
          <t>63.066.147/0001-02</t>
        </is>
      </c>
      <c r="C681" s="75" t="inlineStr">
        <is>
          <t>tipo_recebivel</t>
        </is>
      </c>
      <c r="D681"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1" s="75" t="inlineStr">
        <is>
          <t>N/D</t>
        </is>
      </c>
      <c r="F681" s="75" t="inlineStr">
        <is>
          <t>assembleia</t>
        </is>
      </c>
      <c r="G681" s="75" t="inlineStr">
        <is>
          <t>1198394</t>
        </is>
      </c>
      <c r="H681" s="75" t="inlineStr">
        <is>
          <t>Assembleia AGE Ata da Assembleia</t>
        </is>
      </c>
      <c r="I681" s="75" t="inlineStr">
        <is>
          <t>18/05/2026 13:00</t>
        </is>
      </c>
      <c r="J681" s="75" t="inlineStr">
        <is>
          <t>18</t>
        </is>
      </c>
      <c r="K681" s="75" t="inlineStr">
        <is>
          <t>encontrado_explicito</t>
        </is>
      </c>
      <c r="L681" s="144" t="n">
        <v>0.92</v>
      </c>
      <c r="M681" s="75" t="inlineStr">
        <is>
          <t>.cache/carteira_101_document_scan/63066147000102/1198394.json.gz</t>
        </is>
      </c>
      <c r="N681" s="75" t="inlineStr">
        <is>
          <t>https://fnet.bmfbovespa.com.br/fnet/publico/downloadDocumento?id=1198394</t>
        </is>
      </c>
      <c r="O681"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2" ht="43.5" customHeight="1">
      <c r="A682" s="142" t="n">
        <v>63546406000194</v>
      </c>
      <c r="B682" s="75" t="inlineStr">
        <is>
          <t>63.546.406/0001-94</t>
        </is>
      </c>
      <c r="C682" s="75" t="inlineStr">
        <is>
          <t>cedente</t>
        </is>
      </c>
      <c r="D682" s="75" t="inlineStr">
        <is>
          <t>o Banco Pine, conforme o caso;</t>
        </is>
      </c>
      <c r="E682" s="75" t="inlineStr">
        <is>
          <t>N/D</t>
        </is>
      </c>
      <c r="F682" s="75" t="inlineStr">
        <is>
          <t>regulamento</t>
        </is>
      </c>
      <c r="G682" s="75" t="inlineStr">
        <is>
          <t>1130481</t>
        </is>
      </c>
      <c r="H682" s="75" t="inlineStr">
        <is>
          <t>regulamento</t>
        </is>
      </c>
      <c r="I682" s="75" t="inlineStr">
        <is>
          <t>2026-03-05</t>
        </is>
      </c>
      <c r="J682" s="75" t="inlineStr">
        <is>
          <t>152</t>
        </is>
      </c>
      <c r="K682" s="75" t="inlineStr">
        <is>
          <t>encontrado_explicito</t>
        </is>
      </c>
      <c r="L682" s="144" t="n">
        <v>0.95</v>
      </c>
      <c r="M682" s="75" t="inlineStr">
        <is>
          <t>data/raw/63546406000194/1130481_regulamento_regulamento_1130481_2026-03-05.pdf</t>
        </is>
      </c>
      <c r="N682" s="75" t="inlineStr">
        <is>
          <t>https://fnet.bmfbovespa.com.br/fnet/publico/downloadDocumento?id=1130481</t>
        </is>
      </c>
      <c r="O682" s="75" t="inlineStr">
        <is>
          <t>C; (x) "BCP" significa o benefício de prestação continuada de que trata o art. 20 da Lei nº 8.742, de 1993; (xi) "Cedente" significa o Banco Pine, conforme o caso; (xii) "Códigos INSS Elegíveis" significam os códigos de benefícios do INSS indicados como elegíveis no Anexo X IIIXI</t>
        </is>
      </c>
    </row>
    <row r="683" ht="43.5" customHeight="1">
      <c r="A683" s="142" t="n">
        <v>63546406000194</v>
      </c>
      <c r="B683" s="75" t="inlineStr">
        <is>
          <t>63.546.406/0001-94</t>
        </is>
      </c>
      <c r="C683" s="75" t="inlineStr">
        <is>
          <t>cedente</t>
        </is>
      </c>
      <c r="D683" s="75" t="inlineStr">
        <is>
          <t>o Banco Pine S.A.</t>
        </is>
      </c>
      <c r="E683" s="75" t="inlineStr">
        <is>
          <t>N/D</t>
        </is>
      </c>
      <c r="F683" s="75" t="inlineStr">
        <is>
          <t>regulamento</t>
        </is>
      </c>
      <c r="G683" s="75" t="inlineStr">
        <is>
          <t>1130481</t>
        </is>
      </c>
      <c r="H683" s="75" t="inlineStr">
        <is>
          <t>regulamento</t>
        </is>
      </c>
      <c r="I683" s="75" t="inlineStr">
        <is>
          <t>2026-03-05</t>
        </is>
      </c>
      <c r="J683" s="75" t="inlineStr">
        <is>
          <t>153</t>
        </is>
      </c>
      <c r="K683" s="75" t="inlineStr">
        <is>
          <t>encontrado_explicito</t>
        </is>
      </c>
      <c r="L683" s="144" t="n">
        <v>0.95</v>
      </c>
      <c r="M683" s="75" t="inlineStr">
        <is>
          <t>data/raw/63546406000194/1130481_regulamento_regulamento_1130481_2026-03-05.pdf</t>
        </is>
      </c>
      <c r="N683" s="75" t="inlineStr">
        <is>
          <t>https://fnet.bmfbovespa.com.br/fnet/publico/downloadDocumento?id=1130481</t>
        </is>
      </c>
      <c r="O683" s="75" t="inlineStr">
        <is>
          <t>a Proponente" tem o significado que lhe é atribuído no item 9.5 deste Anexo Definições Específicas da Classe; (xxv) "Cedente" significa o Banco Pine S.A. (xxvi) "Critérios de Elegibilidade " significa, em conjunto, os Critérios de Elegibilidade – Debêntures e os Critéri</t>
        </is>
      </c>
    </row>
    <row r="684" ht="43.5" customHeight="1">
      <c r="A684" s="142" t="n">
        <v>63546406000194</v>
      </c>
      <c r="B684" s="75" t="inlineStr">
        <is>
          <t>63.546.406/0001-94</t>
        </is>
      </c>
      <c r="C684" s="75" t="inlineStr">
        <is>
          <t>minimo_junior</t>
        </is>
      </c>
      <c r="D684" s="75" t="inlineStr">
        <is>
          <t>1.5%</t>
        </is>
      </c>
      <c r="E684" s="75" t="inlineStr">
        <is>
          <t>junior_pl</t>
        </is>
      </c>
      <c r="F684" s="75" t="inlineStr">
        <is>
          <t>payload_documental</t>
        </is>
      </c>
      <c r="G684" s="75" t="inlineStr">
        <is>
          <t>1130481</t>
        </is>
      </c>
      <c r="H684" s="75" t="inlineStr">
        <is>
          <t>documento_curado</t>
        </is>
      </c>
      <c r="I684" s="75" t="inlineStr">
        <is>
          <t>2026-03-05</t>
        </is>
      </c>
      <c r="J684" s="75" t="inlineStr">
        <is>
          <t>142</t>
        </is>
      </c>
      <c r="K684" s="75" t="inlineStr">
        <is>
          <t>aceito_payload</t>
        </is>
      </c>
      <c r="L684" s="144" t="n">
        <v>1</v>
      </c>
      <c r="M684" s="75" t="inlineStr">
        <is>
          <t>data/industry_study/generated_revision/artifact_payload.json</t>
        </is>
      </c>
      <c r="N684" s="75" t="inlineStr">
        <is>
          <t>https://fnet.bmfbovespa.com.br/fnet/publico/downloadDocumento?id=1130481</t>
        </is>
      </c>
      <c r="O684" s="75" t="inlineStr">
        <is>
          <t>Cotas júnior / PL sem efeito de derivativos: mínimo inicial de 1,5%; meta de 2,5%.</t>
        </is>
      </c>
    </row>
    <row r="685" ht="43.5" customHeight="1">
      <c r="A685" s="142" t="n">
        <v>63546406000194</v>
      </c>
      <c r="B685" s="75" t="inlineStr">
        <is>
          <t>63.546.406/0001-94</t>
        </is>
      </c>
      <c r="C685" s="75" t="inlineStr">
        <is>
          <t>natureza_indice</t>
        </is>
      </c>
      <c r="D685" s="75" t="inlineStr">
        <is>
          <t>junior_pl</t>
        </is>
      </c>
      <c r="E685" s="75" t="inlineStr">
        <is>
          <t>junior_pl</t>
        </is>
      </c>
      <c r="F685" s="75" t="inlineStr">
        <is>
          <t>payload_documental</t>
        </is>
      </c>
      <c r="G685" s="75" t="inlineStr">
        <is>
          <t>1130481</t>
        </is>
      </c>
      <c r="H685" s="75" t="inlineStr">
        <is>
          <t>documento_curado</t>
        </is>
      </c>
      <c r="I685" s="75" t="inlineStr">
        <is>
          <t>2026-03-05</t>
        </is>
      </c>
      <c r="J685" s="75" t="inlineStr">
        <is>
          <t>142</t>
        </is>
      </c>
      <c r="K685" s="75" t="inlineStr">
        <is>
          <t>aceito_payload</t>
        </is>
      </c>
      <c r="L685" s="144" t="n">
        <v>1</v>
      </c>
      <c r="M685" s="75" t="inlineStr">
        <is>
          <t>data/industry_study/generated_revision/artifact_payload.json</t>
        </is>
      </c>
      <c r="N685" s="75" t="inlineStr">
        <is>
          <t>https://fnet.bmfbovespa.com.br/fnet/publico/downloadDocumento?id=1130481</t>
        </is>
      </c>
      <c r="O685" s="75" t="inlineStr">
        <is>
          <t>Cotas júnior / PL sem efeito de derivativos: mínimo inicial de 1,5%; meta de 2,5%.</t>
        </is>
      </c>
    </row>
    <row r="686" ht="43.5" customHeight="1">
      <c r="A686" s="142" t="n">
        <v>63546406000194</v>
      </c>
      <c r="B686" s="75" t="inlineStr">
        <is>
          <t>63.546.406/0001-94</t>
        </is>
      </c>
      <c r="C686" s="75" t="inlineStr">
        <is>
          <t>sacado_devedor</t>
        </is>
      </c>
      <c r="D686" s="75" t="inlineStr">
        <is>
          <t>os devedores das CCBs relativas aos Direitos Creditórios;</t>
        </is>
      </c>
      <c r="E686" s="75" t="inlineStr">
        <is>
          <t>N/D</t>
        </is>
      </c>
      <c r="F686" s="75" t="inlineStr">
        <is>
          <t>regulamento</t>
        </is>
      </c>
      <c r="G686" s="75" t="inlineStr">
        <is>
          <t>1130481</t>
        </is>
      </c>
      <c r="H686" s="75" t="inlineStr">
        <is>
          <t>regulamento</t>
        </is>
      </c>
      <c r="I686" s="75" t="inlineStr">
        <is>
          <t>2026-03-05</t>
        </is>
      </c>
      <c r="J686" s="75" t="inlineStr">
        <is>
          <t>154</t>
        </is>
      </c>
      <c r="K686" s="75" t="inlineStr">
        <is>
          <t>encontrado_explicito</t>
        </is>
      </c>
      <c r="L686" s="144" t="n">
        <v>0.95</v>
      </c>
      <c r="M686" s="75" t="inlineStr">
        <is>
          <t>data/raw/63546406000194/1130481_regulamento_regulamento_1130481_2026-03-05.pdf</t>
        </is>
      </c>
      <c r="N686" s="75" t="inlineStr">
        <is>
          <t>https://fnet.bmfbovespa.com.br/fnet/publico/downloadDocumento?id=1130481</t>
        </is>
      </c>
      <c r="O686" s="75" t="inlineStr">
        <is>
          <t>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t>
        </is>
      </c>
    </row>
    <row r="687" ht="43.5" customHeight="1">
      <c r="A687" s="142" t="n">
        <v>63622842000103</v>
      </c>
      <c r="B687" s="75" t="inlineStr">
        <is>
          <t>63.622.842/0001-03</t>
        </is>
      </c>
      <c r="C687" s="75" t="inlineStr">
        <is>
          <t>cedente</t>
        </is>
      </c>
      <c r="D687" s="75" t="inlineStr">
        <is>
          <t>Empresas grupo Dass</t>
        </is>
      </c>
      <c r="E687" s="75" t="inlineStr">
        <is>
          <t>N/D</t>
        </is>
      </c>
      <c r="F687" s="75" t="inlineStr">
        <is>
          <t>planilha_manual</t>
        </is>
      </c>
      <c r="G687" s="75" t="inlineStr">
        <is>
          <t>IMG_8705.JPG</t>
        </is>
      </c>
      <c r="H687" s="75" t="inlineStr">
        <is>
          <t>payload</t>
        </is>
      </c>
      <c r="I687" s="75" t="inlineStr">
        <is>
          <t>2025-12-01</t>
        </is>
      </c>
      <c r="J687" s="75" t="inlineStr">
        <is>
          <t>69</t>
        </is>
      </c>
      <c r="K687" s="75" t="inlineStr">
        <is>
          <t>aceito_payload</t>
        </is>
      </c>
      <c r="L687" s="144" t="n">
        <v>1</v>
      </c>
      <c r="M687" s="75" t="inlineStr">
        <is>
          <t>data/industry_study/generated_revision/artifact_payload.json</t>
        </is>
      </c>
      <c r="N687" s="75" t="inlineStr">
        <is>
          <t>N/D</t>
        </is>
      </c>
      <c r="O687" s="75" t="inlineStr">
        <is>
          <t>OBS da foto: FIDC 12431, risco Dass (não são recebíveis de clientes).</t>
        </is>
      </c>
    </row>
    <row r="688" ht="43.5" customHeight="1">
      <c r="A688" s="142" t="n">
        <v>63622842000103</v>
      </c>
      <c r="B688" s="75" t="inlineStr">
        <is>
          <t>63.622.842/0001-03</t>
        </is>
      </c>
      <c r="C688" s="75" t="inlineStr">
        <is>
          <t>minimo_estrutural_total</t>
        </is>
      </c>
      <c r="D688" s="75" t="inlineStr">
        <is>
          <t>50%</t>
        </is>
      </c>
      <c r="E688" s="75" t="inlineStr">
        <is>
          <t>suporte_total_pl</t>
        </is>
      </c>
      <c r="F688" s="75" t="inlineStr">
        <is>
          <t>payload_documental</t>
        </is>
      </c>
      <c r="G688" s="75" t="inlineStr">
        <is>
          <t>1051646</t>
        </is>
      </c>
      <c r="H688" s="75" t="inlineStr">
        <is>
          <t>documento_curado</t>
        </is>
      </c>
      <c r="I688" s="75" t="inlineStr">
        <is>
          <t>2025-12-01</t>
        </is>
      </c>
      <c r="J688" s="75" t="inlineStr">
        <is>
          <t>69</t>
        </is>
      </c>
      <c r="K688" s="75" t="inlineStr">
        <is>
          <t>aceito_payload</t>
        </is>
      </c>
      <c r="L688" s="144" t="n">
        <v>1</v>
      </c>
      <c r="M688" s="75" t="inlineStr">
        <is>
          <t>data/industry_study/generated_revision/artifact_payload.json</t>
        </is>
      </c>
      <c r="N688" s="75" t="inlineStr">
        <is>
          <t>https://fnet.bmfbovespa.com.br/fnet/publico/downloadDocumento?id=1051646</t>
        </is>
      </c>
      <c r="O688" s="75" t="inlineStr">
        <is>
          <t>Cotas subordinadas / PL, mínimo de 50,0%; estrutura com uma única classe residual.</t>
        </is>
      </c>
    </row>
    <row r="689" ht="43.5" customHeight="1">
      <c r="A689" s="142" t="n">
        <v>63622842000103</v>
      </c>
      <c r="B689" s="75" t="inlineStr">
        <is>
          <t>63.622.842/0001-03</t>
        </is>
      </c>
      <c r="C689" s="75" t="inlineStr">
        <is>
          <t>minimo_junior</t>
        </is>
      </c>
      <c r="D689" s="75" t="inlineStr">
        <is>
          <t>50%</t>
        </is>
      </c>
      <c r="E689" s="75" t="inlineStr">
        <is>
          <t>junior_pl</t>
        </is>
      </c>
      <c r="F689" s="75" t="inlineStr">
        <is>
          <t>payload_documental</t>
        </is>
      </c>
      <c r="G689" s="75" t="inlineStr">
        <is>
          <t>1051646</t>
        </is>
      </c>
      <c r="H689" s="75" t="inlineStr">
        <is>
          <t>documento_curado</t>
        </is>
      </c>
      <c r="I689" s="75" t="inlineStr">
        <is>
          <t>2025-12-01</t>
        </is>
      </c>
      <c r="J689" s="75" t="inlineStr">
        <is>
          <t>69</t>
        </is>
      </c>
      <c r="K689" s="75" t="inlineStr">
        <is>
          <t>aceito_payload</t>
        </is>
      </c>
      <c r="L689" s="144" t="n">
        <v>1</v>
      </c>
      <c r="M689" s="75" t="inlineStr">
        <is>
          <t>data/industry_study/generated_revision/artifact_payload.json</t>
        </is>
      </c>
      <c r="N689" s="75" t="inlineStr">
        <is>
          <t>https://fnet.bmfbovespa.com.br/fnet/publico/downloadDocumento?id=1051646</t>
        </is>
      </c>
      <c r="O689" s="75" t="inlineStr">
        <is>
          <t>Cotas subordinadas / PL, mínimo de 50,0%; estrutura com uma única classe residual.</t>
        </is>
      </c>
    </row>
    <row r="690" ht="43.5" customHeight="1">
      <c r="A690" s="142" t="n">
        <v>63622842000103</v>
      </c>
      <c r="B690" s="75" t="inlineStr">
        <is>
          <t>63.622.842/0001-03</t>
        </is>
      </c>
      <c r="C690" s="75" t="inlineStr">
        <is>
          <t>natureza_indice</t>
        </is>
      </c>
      <c r="D690" s="75" t="inlineStr">
        <is>
          <t>junior_pl</t>
        </is>
      </c>
      <c r="E690" s="75" t="inlineStr">
        <is>
          <t>junior_pl</t>
        </is>
      </c>
      <c r="F690" s="75" t="inlineStr">
        <is>
          <t>payload_documental</t>
        </is>
      </c>
      <c r="G690" s="75" t="inlineStr">
        <is>
          <t>1051646</t>
        </is>
      </c>
      <c r="H690" s="75" t="inlineStr">
        <is>
          <t>documento_curado</t>
        </is>
      </c>
      <c r="I690" s="75" t="inlineStr">
        <is>
          <t>2025-12-01</t>
        </is>
      </c>
      <c r="J690" s="75" t="inlineStr">
        <is>
          <t>69</t>
        </is>
      </c>
      <c r="K690" s="75" t="inlineStr">
        <is>
          <t>aceito_payload</t>
        </is>
      </c>
      <c r="L690" s="144" t="n">
        <v>1</v>
      </c>
      <c r="M690" s="75" t="inlineStr">
        <is>
          <t>data/industry_study/generated_revision/artifact_payload.json</t>
        </is>
      </c>
      <c r="N690" s="75" t="inlineStr">
        <is>
          <t>https://fnet.bmfbovespa.com.br/fnet/publico/downloadDocumento?id=1051646</t>
        </is>
      </c>
      <c r="O690" s="75" t="inlineStr">
        <is>
          <t>Cotas subordinadas / PL, mínimo de 50,0%; estrutura com uma única classe residual.</t>
        </is>
      </c>
    </row>
    <row r="691" ht="43.5" customHeight="1">
      <c r="A691" s="142" t="n">
        <v>63657457000193</v>
      </c>
      <c r="B691" s="75" t="inlineStr">
        <is>
          <t>63.657.457/0001-93</t>
        </is>
      </c>
      <c r="C691" s="75" t="inlineStr">
        <is>
          <t>cedente</t>
        </is>
      </c>
      <c r="D691" s="75" t="inlineStr">
        <is>
          <t>Originadores</t>
        </is>
      </c>
      <c r="E691" s="75" t="inlineStr">
        <is>
          <t>rótulo explícito de participante v2</t>
        </is>
      </c>
      <c r="F691" s="75" t="inlineStr">
        <is>
          <t>rating_report</t>
        </is>
      </c>
      <c r="G691" s="75" t="inlineStr">
        <is>
          <t>1118693</t>
        </is>
      </c>
      <c r="H691" s="75" t="inlineStr">
        <is>
          <t>Relatórios Relatório de Agência de Rating</t>
        </is>
      </c>
      <c r="I691" s="75" t="inlineStr">
        <is>
          <t>30/12/2025</t>
        </is>
      </c>
      <c r="J691" s="75" t="inlineStr">
        <is>
          <t>1</t>
        </is>
      </c>
      <c r="K691" s="75" t="inlineStr">
        <is>
          <t>encontrado_explicito</t>
        </is>
      </c>
      <c r="L691" s="144" t="n">
        <v>0.93</v>
      </c>
      <c r="M691" s="75" t="inlineStr">
        <is>
          <t>.cache/carteira_101_document_scan/63657457000193/1118693.json.gz</t>
        </is>
      </c>
      <c r="N691" s="75" t="inlineStr">
        <is>
          <t>https://fnet.bmfbovespa.com.br/fnet/publico/downloadDocumento?id=1118693</t>
        </is>
      </c>
      <c r="O691" s="75" t="inlineStr">
        <is>
          <t>I Logística S.A., LSI Administração e Serviços S.A. e Manserv Facilities Ltda. (Originadores / Cedentes), enquanto a cobrança extraordinária ficará sob responsabilidade da Manserv Inv</t>
        </is>
      </c>
    </row>
    <row r="692" ht="43.5" customHeight="1">
      <c r="A692" s="142" t="n">
        <v>63657457000193</v>
      </c>
      <c r="B692" s="75" t="inlineStr">
        <is>
          <t>63.657.457/0001-93</t>
        </is>
      </c>
      <c r="C692" s="75" t="inlineStr">
        <is>
          <t>minimo_junior</t>
        </is>
      </c>
      <c r="D692" s="75" t="inlineStr">
        <is>
          <t>25%</t>
        </is>
      </c>
      <c r="E692" s="75" t="inlineStr">
        <is>
          <t>junior_pl</t>
        </is>
      </c>
      <c r="F692" s="75" t="inlineStr">
        <is>
          <t>payload_documental</t>
        </is>
      </c>
      <c r="G692" s="75" t="inlineStr">
        <is>
          <t>1205333</t>
        </is>
      </c>
      <c r="H692" s="75" t="inlineStr">
        <is>
          <t>documento_curado</t>
        </is>
      </c>
      <c r="I692" s="75" t="inlineStr">
        <is>
          <t>2026-05-27</t>
        </is>
      </c>
      <c r="J692" s="75" t="inlineStr">
        <is>
          <t>28</t>
        </is>
      </c>
      <c r="K692" s="75" t="inlineStr">
        <is>
          <t>aceito_payload</t>
        </is>
      </c>
      <c r="L692" s="144" t="n">
        <v>1</v>
      </c>
      <c r="M692" s="75" t="inlineStr">
        <is>
          <t>data/industry_study/generated_revision/artifact_payload.json</t>
        </is>
      </c>
      <c r="N692" s="75" t="inlineStr">
        <is>
          <t>https://fnet.bmfbovespa.com.br/fnet/publico/downloadDocumento?id=1205333</t>
        </is>
      </c>
      <c r="O692" s="75" t="inlineStr">
        <is>
          <t>Cotas subordinadas júnior / PL, mínimo de 25,0%.</t>
        </is>
      </c>
    </row>
    <row r="693" ht="43.5" customHeight="1">
      <c r="A693" s="142" t="n">
        <v>63657457000193</v>
      </c>
      <c r="B693" s="75" t="inlineStr">
        <is>
          <t>63.657.457/0001-93</t>
        </is>
      </c>
      <c r="C693" s="75" t="inlineStr">
        <is>
          <t>natureza_indice</t>
        </is>
      </c>
      <c r="D693" s="75" t="inlineStr">
        <is>
          <t>junior_pl</t>
        </is>
      </c>
      <c r="E693" s="75" t="inlineStr">
        <is>
          <t>junior_pl</t>
        </is>
      </c>
      <c r="F693" s="75" t="inlineStr">
        <is>
          <t>payload_documental</t>
        </is>
      </c>
      <c r="G693" s="75" t="inlineStr">
        <is>
          <t>1205333</t>
        </is>
      </c>
      <c r="H693" s="75" t="inlineStr">
        <is>
          <t>documento_curado</t>
        </is>
      </c>
      <c r="I693" s="75" t="inlineStr">
        <is>
          <t>2026-05-27</t>
        </is>
      </c>
      <c r="J693" s="75" t="inlineStr">
        <is>
          <t>28</t>
        </is>
      </c>
      <c r="K693" s="75" t="inlineStr">
        <is>
          <t>aceito_payload</t>
        </is>
      </c>
      <c r="L693" s="144" t="n">
        <v>1</v>
      </c>
      <c r="M693" s="75" t="inlineStr">
        <is>
          <t>data/industry_study/generated_revision/artifact_payload.json</t>
        </is>
      </c>
      <c r="N693" s="75" t="inlineStr">
        <is>
          <t>https://fnet.bmfbovespa.com.br/fnet/publico/downloadDocumento?id=1205333</t>
        </is>
      </c>
      <c r="O693" s="75" t="inlineStr">
        <is>
          <t>Cotas subordinadas júnior / PL, mínimo de 25,0%.</t>
        </is>
      </c>
    </row>
    <row r="694" ht="43.5" customHeight="1">
      <c r="A694" s="142" t="n">
        <v>63657457000193</v>
      </c>
      <c r="B694" s="75" t="inlineStr">
        <is>
          <t>63.657.457/0001-93</t>
        </is>
      </c>
      <c r="C694" s="75" t="inlineStr">
        <is>
          <t>sacado_devedor</t>
        </is>
      </c>
      <c r="D694" s="75" t="inlineStr">
        <is>
          <t>não tenham relação com qualquer comercialização de tabaco ou qualquer espécie de fumo ou com distribuição de combustíveis (exceto, nesse último caso, se forem companhias abertas), conforme informado pela respectiva</t>
        </is>
      </c>
      <c r="E694" s="75" t="inlineStr">
        <is>
          <t>rótulo explícito de participante v2</t>
        </is>
      </c>
      <c r="F694" s="75" t="inlineStr">
        <is>
          <t>rating_report</t>
        </is>
      </c>
      <c r="G694" s="75" t="inlineStr">
        <is>
          <t>1118693</t>
        </is>
      </c>
      <c r="H694" s="75" t="inlineStr">
        <is>
          <t>Relatórios Relatório de Agência de Rating</t>
        </is>
      </c>
      <c r="I694" s="75" t="inlineStr">
        <is>
          <t>30/12/2025</t>
        </is>
      </c>
      <c r="J694" s="75" t="inlineStr">
        <is>
          <t>6</t>
        </is>
      </c>
      <c r="K694" s="75" t="inlineStr">
        <is>
          <t>encontrado_explicito</t>
        </is>
      </c>
      <c r="L694" s="144" t="n">
        <v>0.93</v>
      </c>
      <c r="M694" s="75" t="inlineStr">
        <is>
          <t>.cache/carteira_101_document_scan/63657457000193/1118693.json.gz</t>
        </is>
      </c>
      <c r="N694" s="75" t="inlineStr">
        <is>
          <t>https://fnet.bmfbovespa.com.br/fnet/publico/downloadDocumento?id=1118693</t>
        </is>
      </c>
      <c r="O694" s="75" t="inlineStr">
        <is>
          <t>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t>
        </is>
      </c>
    </row>
    <row r="695" ht="43.5" customHeight="1">
      <c r="A695" s="142" t="n">
        <v>63679792000192</v>
      </c>
      <c r="B695" s="75" t="inlineStr">
        <is>
          <t>63.679.792/0001-92</t>
        </is>
      </c>
      <c r="C695" s="75" t="inlineStr">
        <is>
          <t>cedente</t>
        </is>
      </c>
      <c r="D69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5" s="75" t="inlineStr">
        <is>
          <t>N/D</t>
        </is>
      </c>
      <c r="F695" s="75" t="inlineStr">
        <is>
          <t>regulamento</t>
        </is>
      </c>
      <c r="G695" s="75" t="inlineStr">
        <is>
          <t>1069087</t>
        </is>
      </c>
      <c r="H695" s="75" t="inlineStr">
        <is>
          <t>Regulamento</t>
        </is>
      </c>
      <c r="I695" s="75" t="inlineStr">
        <is>
          <t>19/12/2025</t>
        </is>
      </c>
      <c r="J695" s="75" t="inlineStr">
        <is>
          <t>88</t>
        </is>
      </c>
      <c r="K695" s="75" t="inlineStr">
        <is>
          <t>encontrado_explicito</t>
        </is>
      </c>
      <c r="L695" s="144" t="n">
        <v>0.95</v>
      </c>
      <c r="M695" s="75" t="inlineStr">
        <is>
          <t>.cache/carteira_101_document_scan/63679792000192/1069087.json.gz</t>
        </is>
      </c>
      <c r="N695" s="75" t="inlineStr">
        <is>
          <t>https://fnet.bmfbovespa.com.br/fnet/publico/downloadDocumento?id=1069087</t>
        </is>
      </c>
      <c r="O695"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t>
        </is>
      </c>
    </row>
    <row r="696" ht="43.5" customHeight="1">
      <c r="A696" s="142" t="n">
        <v>63679792000192</v>
      </c>
      <c r="B696" s="75" t="inlineStr">
        <is>
          <t>63.679.792/0001-92</t>
        </is>
      </c>
      <c r="C696" s="75" t="inlineStr">
        <is>
          <t>cedente</t>
        </is>
      </c>
      <c r="D696"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6" s="75" t="inlineStr">
        <is>
          <t>N/D</t>
        </is>
      </c>
      <c r="F696" s="75" t="inlineStr">
        <is>
          <t>regulamento</t>
        </is>
      </c>
      <c r="G696" s="75" t="inlineStr">
        <is>
          <t>1101558</t>
        </is>
      </c>
      <c r="H696" s="75" t="inlineStr">
        <is>
          <t>Regulamento</t>
        </is>
      </c>
      <c r="I696" s="75" t="inlineStr">
        <is>
          <t>26/01/2026</t>
        </is>
      </c>
      <c r="J696" s="75" t="inlineStr">
        <is>
          <t>85</t>
        </is>
      </c>
      <c r="K696" s="75" t="inlineStr">
        <is>
          <t>encontrado_explicito</t>
        </is>
      </c>
      <c r="L696" s="144" t="n">
        <v>0.95</v>
      </c>
      <c r="M696" s="75" t="inlineStr">
        <is>
          <t>.cache/carteira_101_document_scan/63679792000192/1101558.json.gz</t>
        </is>
      </c>
      <c r="N696" s="75" t="inlineStr">
        <is>
          <t>https://fnet.bmfbovespa.com.br/fnet/publico/downloadDocumento?id=1101558</t>
        </is>
      </c>
      <c r="O696"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t>
        </is>
      </c>
    </row>
    <row r="697" ht="43.5" customHeight="1">
      <c r="A697" s="142" t="n">
        <v>63679792000192</v>
      </c>
      <c r="B697" s="75" t="inlineStr">
        <is>
          <t>63.679.792/0001-92</t>
        </is>
      </c>
      <c r="C697" s="75" t="inlineStr">
        <is>
          <t>cedente</t>
        </is>
      </c>
      <c r="D697" s="75" t="inlineStr">
        <is>
          <t>a (i) Ultra-Som Equipamentos Médicos Ltda., sociedade limitada com sede na Cidade de Ribeirão Preto, Estado de São Paulo, na Rua Paschoal Bardaro, nº 2.005, 1º andar, Jardim Botânico, CEP 14.021-655, inscrita no CNPJ/MF sob o nº 07.149.505/0001-61, com</t>
        </is>
      </c>
      <c r="E697" s="75" t="inlineStr">
        <is>
          <t>N/D</t>
        </is>
      </c>
      <c r="F697" s="75" t="inlineStr">
        <is>
          <t>assembleia</t>
        </is>
      </c>
      <c r="G697" s="75" t="inlineStr">
        <is>
          <t>1060919</t>
        </is>
      </c>
      <c r="H697" s="75" t="inlineStr">
        <is>
          <t>Atos de Deliberação do Administrador Instrumento Particular de Constituição/Encerramento do Fundo</t>
        </is>
      </c>
      <c r="I697" s="75" t="inlineStr">
        <is>
          <t>14/11/2025</t>
        </is>
      </c>
      <c r="J697" s="75" t="inlineStr">
        <is>
          <t>88</t>
        </is>
      </c>
      <c r="K697" s="75" t="inlineStr">
        <is>
          <t>encontrado_explicito</t>
        </is>
      </c>
      <c r="L697" s="144" t="n">
        <v>0.95</v>
      </c>
      <c r="M697" s="75" t="inlineStr">
        <is>
          <t>.cache/carteira_101_document_scan/63679792000192/1060919.json.gz</t>
        </is>
      </c>
      <c r="N697" s="75" t="inlineStr">
        <is>
          <t>https://fnet.bmfbovespa.com.br/fnet/publico/downloadDocumento?id=1060919</t>
        </is>
      </c>
      <c r="O697"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t>
        </is>
      </c>
    </row>
    <row r="698" ht="43.5" customHeight="1">
      <c r="A698" s="142" t="n">
        <v>63679792000192</v>
      </c>
      <c r="B698" s="75" t="inlineStr">
        <is>
          <t>63.679.792/0001-92</t>
        </is>
      </c>
      <c r="C698" s="75" t="inlineStr">
        <is>
          <t>cedente</t>
        </is>
      </c>
      <c r="D698" s="75" t="inlineStr">
        <is>
          <t>Empresas do Conglomerado Blue Health</t>
        </is>
      </c>
      <c r="E698" s="75" t="inlineStr">
        <is>
          <t>N/D</t>
        </is>
      </c>
      <c r="F698" s="75" t="inlineStr">
        <is>
          <t>planilha_manual</t>
        </is>
      </c>
      <c r="G698" s="75" t="inlineStr">
        <is>
          <t>IMG_8705.JPG</t>
        </is>
      </c>
      <c r="H698" s="75" t="inlineStr">
        <is>
          <t>payload</t>
        </is>
      </c>
      <c r="I698" s="75" t="inlineStr">
        <is>
          <t>2026-01-26</t>
        </is>
      </c>
      <c r="J698" s="75" t="inlineStr">
        <is>
          <t>92</t>
        </is>
      </c>
      <c r="K698" s="75" t="inlineStr">
        <is>
          <t>aceito_payload</t>
        </is>
      </c>
      <c r="L698" s="144" t="n">
        <v>1</v>
      </c>
      <c r="M698" s="75" t="inlineStr">
        <is>
          <t>data/industry_study/generated_revision/artifact_payload.json</t>
        </is>
      </c>
      <c r="N698" s="75" t="inlineStr">
        <is>
          <t>N/D</t>
        </is>
      </c>
      <c r="O698" s="75" t="inlineStr">
        <is>
          <t>OBS continua fora da foto depois da descrição legível.</t>
        </is>
      </c>
    </row>
    <row r="699" ht="43.5" customHeight="1">
      <c r="A699" s="142" t="n">
        <v>63679792000192</v>
      </c>
      <c r="B699" s="75" t="inlineStr">
        <is>
          <t>63.679.792/0001-92</t>
        </is>
      </c>
      <c r="C699" s="75" t="inlineStr">
        <is>
          <t>minimo_junior</t>
        </is>
      </c>
      <c r="D699" s="75" t="inlineStr">
        <is>
          <t>20%</t>
        </is>
      </c>
      <c r="E699" s="75" t="inlineStr">
        <is>
          <t>junior_pl</t>
        </is>
      </c>
      <c r="F699" s="75" t="inlineStr">
        <is>
          <t>payload_documental</t>
        </is>
      </c>
      <c r="G699" s="75" t="inlineStr">
        <is>
          <t>1101558</t>
        </is>
      </c>
      <c r="H699" s="75" t="inlineStr">
        <is>
          <t>documento_curado</t>
        </is>
      </c>
      <c r="I699" s="75" t="inlineStr">
        <is>
          <t>2026-01-26</t>
        </is>
      </c>
      <c r="J699" s="75" t="inlineStr">
        <is>
          <t>92</t>
        </is>
      </c>
      <c r="K699" s="75" t="inlineStr">
        <is>
          <t>aceito_payload</t>
        </is>
      </c>
      <c r="L699" s="144" t="n">
        <v>1</v>
      </c>
      <c r="M699" s="75" t="inlineStr">
        <is>
          <t>data/industry_study/generated_revision/artifact_payload.json</t>
        </is>
      </c>
      <c r="N699" s="75" t="inlineStr">
        <is>
          <t>https://fnet.bmfbovespa.com.br/fnet/publico/downloadDocumento?id=1101558</t>
        </is>
      </c>
      <c r="O699" s="75" t="inlineStr">
        <is>
          <t>Cotas júnior / PL, mínimo de 20,0%; 21,0% para amortização por excesso de cobertura.</t>
        </is>
      </c>
    </row>
    <row r="700" ht="43.5" customHeight="1">
      <c r="A700" s="142" t="n">
        <v>63679792000192</v>
      </c>
      <c r="B700" s="75" t="inlineStr">
        <is>
          <t>63.679.792/0001-92</t>
        </is>
      </c>
      <c r="C700" s="75" t="inlineStr">
        <is>
          <t>natureza_indice</t>
        </is>
      </c>
      <c r="D700" s="75" t="inlineStr">
        <is>
          <t>junior_pl</t>
        </is>
      </c>
      <c r="E700" s="75" t="inlineStr">
        <is>
          <t>junior_pl</t>
        </is>
      </c>
      <c r="F700" s="75" t="inlineStr">
        <is>
          <t>payload_documental</t>
        </is>
      </c>
      <c r="G700" s="75" t="inlineStr">
        <is>
          <t>1101558</t>
        </is>
      </c>
      <c r="H700" s="75" t="inlineStr">
        <is>
          <t>documento_curado</t>
        </is>
      </c>
      <c r="I700" s="75" t="inlineStr">
        <is>
          <t>2026-01-26</t>
        </is>
      </c>
      <c r="J700" s="75" t="inlineStr">
        <is>
          <t>92</t>
        </is>
      </c>
      <c r="K700" s="75" t="inlineStr">
        <is>
          <t>aceito_payload</t>
        </is>
      </c>
      <c r="L700" s="144" t="n">
        <v>1</v>
      </c>
      <c r="M700" s="75" t="inlineStr">
        <is>
          <t>data/industry_study/generated_revision/artifact_payload.json</t>
        </is>
      </c>
      <c r="N700" s="75" t="inlineStr">
        <is>
          <t>https://fnet.bmfbovespa.com.br/fnet/publico/downloadDocumento?id=1101558</t>
        </is>
      </c>
      <c r="O700" s="75" t="inlineStr">
        <is>
          <t>Cotas júnior / PL, mínimo de 20,0%; 21,0% para amortização por excesso de cobertura.</t>
        </is>
      </c>
    </row>
    <row r="701" ht="43.5" customHeight="1">
      <c r="A701" s="142" t="n">
        <v>63679792000192</v>
      </c>
      <c r="B701" s="75" t="inlineStr">
        <is>
          <t>63.679.792/0001-92</t>
        </is>
      </c>
      <c r="C701" s="75" t="inlineStr">
        <is>
          <t>tipo_recebivel</t>
        </is>
      </c>
      <c r="D701"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1" s="75" t="inlineStr">
        <is>
          <t>N/D</t>
        </is>
      </c>
      <c r="F701" s="75" t="inlineStr">
        <is>
          <t>regulamento</t>
        </is>
      </c>
      <c r="G701" s="75" t="inlineStr">
        <is>
          <t>1069087</t>
        </is>
      </c>
      <c r="H701" s="75" t="inlineStr">
        <is>
          <t>Regulamento</t>
        </is>
      </c>
      <c r="I701" s="75" t="inlineStr">
        <is>
          <t>19/12/2025</t>
        </is>
      </c>
      <c r="J701" s="75" t="inlineStr">
        <is>
          <t>91</t>
        </is>
      </c>
      <c r="K701" s="75" t="inlineStr">
        <is>
          <t>encontrado_explicito</t>
        </is>
      </c>
      <c r="L701" s="144" t="n">
        <v>0.92</v>
      </c>
      <c r="M701" s="75" t="inlineStr">
        <is>
          <t>.cache/carteira_101_document_scan/63679792000192/1069087.json.gz</t>
        </is>
      </c>
      <c r="N701" s="75" t="inlineStr">
        <is>
          <t>https://fnet.bmfbovespa.com.br/fnet/publico/downloadDocumento?id=1069087</t>
        </is>
      </c>
      <c r="O701"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2" ht="43.5" customHeight="1">
      <c r="A702" s="142" t="n">
        <v>63679792000192</v>
      </c>
      <c r="B702" s="75" t="inlineStr">
        <is>
          <t>63.679.792/0001-92</t>
        </is>
      </c>
      <c r="C702" s="75" t="inlineStr">
        <is>
          <t>tipo_recebivel</t>
        </is>
      </c>
      <c r="D702"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2" s="75" t="inlineStr">
        <is>
          <t>N/D</t>
        </is>
      </c>
      <c r="F702" s="75" t="inlineStr">
        <is>
          <t>regulamento</t>
        </is>
      </c>
      <c r="G702" s="75" t="inlineStr">
        <is>
          <t>1101558</t>
        </is>
      </c>
      <c r="H702" s="75" t="inlineStr">
        <is>
          <t>Regulamento</t>
        </is>
      </c>
      <c r="I702" s="75" t="inlineStr">
        <is>
          <t>26/01/2026</t>
        </is>
      </c>
      <c r="J702" s="75" t="inlineStr">
        <is>
          <t>88</t>
        </is>
      </c>
      <c r="K702" s="75" t="inlineStr">
        <is>
          <t>encontrado_explicito</t>
        </is>
      </c>
      <c r="L702" s="144" t="n">
        <v>0.92</v>
      </c>
      <c r="M702" s="75" t="inlineStr">
        <is>
          <t>.cache/carteira_101_document_scan/63679792000192/1101558.json.gz</t>
        </is>
      </c>
      <c r="N702" s="75" t="inlineStr">
        <is>
          <t>https://fnet.bmfbovespa.com.br/fnet/publico/downloadDocumento?id=1101558</t>
        </is>
      </c>
      <c r="O702"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3" ht="43.5" customHeight="1">
      <c r="A703" s="142" t="n">
        <v>63679792000192</v>
      </c>
      <c r="B703" s="75" t="inlineStr">
        <is>
          <t>63.679.792/0001-92</t>
        </is>
      </c>
      <c r="C703" s="75" t="inlineStr">
        <is>
          <t>tipo_recebivel</t>
        </is>
      </c>
      <c r="D703" s="75" t="inlineStr">
        <is>
          <t>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t>
        </is>
      </c>
      <c r="E703" s="75" t="inlineStr">
        <is>
          <t>N/D</t>
        </is>
      </c>
      <c r="F703" s="75" t="inlineStr">
        <is>
          <t>assembleia</t>
        </is>
      </c>
      <c r="G703" s="75" t="inlineStr">
        <is>
          <t>1060919</t>
        </is>
      </c>
      <c r="H703" s="75" t="inlineStr">
        <is>
          <t>Atos de Deliberação do Administrador Instrumento Particular de Constituição/Encerramento do Fundo</t>
        </is>
      </c>
      <c r="I703" s="75" t="inlineStr">
        <is>
          <t>14/11/2025</t>
        </is>
      </c>
      <c r="J703" s="75" t="inlineStr">
        <is>
          <t>92</t>
        </is>
      </c>
      <c r="K703" s="75" t="inlineStr">
        <is>
          <t>encontrado_explicito</t>
        </is>
      </c>
      <c r="L703" s="144" t="n">
        <v>0.92</v>
      </c>
      <c r="M703" s="75" t="inlineStr">
        <is>
          <t>.cache/carteira_101_document_scan/63679792000192/1060919.json.gz</t>
        </is>
      </c>
      <c r="N703" s="75" t="inlineStr">
        <is>
          <t>https://fnet.bmfbovespa.com.br/fnet/publico/downloadDocumento?id=1060919</t>
        </is>
      </c>
      <c r="O703" s="75" t="inlineStr">
        <is>
          <t>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t>
        </is>
      </c>
    </row>
    <row r="704" ht="43.5" customHeight="1">
      <c r="A704" s="142" t="n">
        <v>63679792000192</v>
      </c>
      <c r="B704" s="75" t="inlineStr">
        <is>
          <t>63.679.792/0001-92</t>
        </is>
      </c>
      <c r="C704" s="75" t="inlineStr">
        <is>
          <t>tipo_recebivel</t>
        </is>
      </c>
      <c r="D704" s="75" t="inlineStr">
        <is>
          <t>recebíveis de contrato de locação de equipamentos hospitalares</t>
        </is>
      </c>
      <c r="E704" s="75" t="inlineStr">
        <is>
          <t>N/D</t>
        </is>
      </c>
      <c r="F704" s="75" t="inlineStr">
        <is>
          <t>planilha_manual</t>
        </is>
      </c>
      <c r="G704" s="75" t="inlineStr">
        <is>
          <t>IMG_8705.JPG</t>
        </is>
      </c>
      <c r="H704" s="75" t="inlineStr">
        <is>
          <t>payload</t>
        </is>
      </c>
      <c r="I704" s="75" t="inlineStr">
        <is>
          <t>2026-01-26</t>
        </is>
      </c>
      <c r="J704" s="75" t="inlineStr">
        <is>
          <t>92</t>
        </is>
      </c>
      <c r="K704" s="75" t="inlineStr">
        <is>
          <t>aceito_payload</t>
        </is>
      </c>
      <c r="L704" s="144" t="n">
        <v>1</v>
      </c>
      <c r="M704" s="75" t="inlineStr">
        <is>
          <t>data/industry_study/generated_revision/artifact_payload.json</t>
        </is>
      </c>
      <c r="N704" s="75" t="inlineStr">
        <is>
          <t>N/D</t>
        </is>
      </c>
      <c r="O704" s="75" t="inlineStr">
        <is>
          <t>OBS continua fora da foto depois da descrição legível.</t>
        </is>
      </c>
    </row>
    <row r="705" ht="43.5" customHeight="1">
      <c r="A705" s="142" t="n">
        <v>65347578000164</v>
      </c>
      <c r="B705" s="75" t="inlineStr">
        <is>
          <t>65.347.578/0001-64</t>
        </is>
      </c>
      <c r="C705" s="75" t="inlineStr">
        <is>
          <t>minimo_junior</t>
        </is>
      </c>
      <c r="D705" s="75" t="inlineStr">
        <is>
          <t>2.5%</t>
        </is>
      </c>
      <c r="E705" s="75" t="inlineStr">
        <is>
          <t>junior_pl</t>
        </is>
      </c>
      <c r="F705" s="75" t="inlineStr">
        <is>
          <t>payload_documental</t>
        </is>
      </c>
      <c r="G705" s="75" t="inlineStr">
        <is>
          <t>1211821</t>
        </is>
      </c>
      <c r="H705" s="75" t="inlineStr">
        <is>
          <t>documento_curado</t>
        </is>
      </c>
      <c r="I705" s="75" t="inlineStr">
        <is>
          <t>2026-05-25</t>
        </is>
      </c>
      <c r="J705" s="75" t="inlineStr">
        <is>
          <t>186</t>
        </is>
      </c>
      <c r="K705" s="75" t="inlineStr">
        <is>
          <t>aceito_payload</t>
        </is>
      </c>
      <c r="L705" s="144" t="n">
        <v>1</v>
      </c>
      <c r="M705" s="75" t="inlineStr">
        <is>
          <t>data/industry_study/generated_revision/artifact_payload.json</t>
        </is>
      </c>
      <c r="N705" s="75" t="inlineStr">
        <is>
          <t>https://fnet.bmfbovespa.com.br/fnet/publico/downloadDocumento?id=1211821</t>
        </is>
      </c>
      <c r="O705" s="75" t="inlineStr">
        <is>
          <t>Cotas júnior / PL: mínimo inicial de 2,5%; 4,0% após o índice atingir esse patamar.</t>
        </is>
      </c>
    </row>
    <row r="706" ht="43.5" customHeight="1">
      <c r="A706" s="142" t="n">
        <v>65347578000164</v>
      </c>
      <c r="B706" s="75" t="inlineStr">
        <is>
          <t>65.347.578/0001-64</t>
        </is>
      </c>
      <c r="C706" s="75" t="inlineStr">
        <is>
          <t>natureza_indice</t>
        </is>
      </c>
      <c r="D706" s="75" t="inlineStr">
        <is>
          <t>junior_pl</t>
        </is>
      </c>
      <c r="E706" s="75" t="inlineStr">
        <is>
          <t>junior_pl</t>
        </is>
      </c>
      <c r="F706" s="75" t="inlineStr">
        <is>
          <t>payload_documental</t>
        </is>
      </c>
      <c r="G706" s="75" t="inlineStr">
        <is>
          <t>1211821</t>
        </is>
      </c>
      <c r="H706" s="75" t="inlineStr">
        <is>
          <t>documento_curado</t>
        </is>
      </c>
      <c r="I706" s="75" t="inlineStr">
        <is>
          <t>2026-05-25</t>
        </is>
      </c>
      <c r="J706" s="75" t="inlineStr">
        <is>
          <t>186</t>
        </is>
      </c>
      <c r="K706" s="75" t="inlineStr">
        <is>
          <t>aceito_payload</t>
        </is>
      </c>
      <c r="L706" s="144" t="n">
        <v>1</v>
      </c>
      <c r="M706" s="75" t="inlineStr">
        <is>
          <t>data/industry_study/generated_revision/artifact_payload.json</t>
        </is>
      </c>
      <c r="N706" s="75" t="inlineStr">
        <is>
          <t>https://fnet.bmfbovespa.com.br/fnet/publico/downloadDocumento?id=1211821</t>
        </is>
      </c>
      <c r="O706" s="75" t="inlineStr">
        <is>
          <t>Cotas júnior / PL: mínimo inicial de 2,5%; 4,0% após o índice atingir esse patamar.</t>
        </is>
      </c>
    </row>
    <row r="707" ht="43.5" customHeight="1">
      <c r="A707" s="142" t="n">
        <v>65836995000170</v>
      </c>
      <c r="B707" s="75" t="inlineStr">
        <is>
          <t>65.836.995/0001-70</t>
        </is>
      </c>
      <c r="C707" s="75" t="inlineStr">
        <is>
          <t>cedente</t>
        </is>
      </c>
      <c r="D707" s="75" t="inlineStr">
        <is>
          <t>Cantu Store</t>
        </is>
      </c>
      <c r="E707" s="75" t="inlineStr">
        <is>
          <t>N/D</t>
        </is>
      </c>
      <c r="F707" s="75" t="inlineStr">
        <is>
          <t>planilha_manual</t>
        </is>
      </c>
      <c r="G707" s="75" t="inlineStr">
        <is>
          <t>IMG_8707.jpg</t>
        </is>
      </c>
      <c r="H707" s="75" t="inlineStr">
        <is>
          <t>payload</t>
        </is>
      </c>
      <c r="I707" s="75" t="inlineStr">
        <is>
          <t>2026-05-11</t>
        </is>
      </c>
      <c r="J707" s="75" t="inlineStr">
        <is>
          <t>49–50</t>
        </is>
      </c>
      <c r="K707" s="75" t="inlineStr">
        <is>
          <t>aceito_payload</t>
        </is>
      </c>
      <c r="L707" s="144" t="n">
        <v>1</v>
      </c>
      <c r="M707" s="75" t="inlineStr">
        <is>
          <t>data/industry_study/generated_revision/artifact_payload.json</t>
        </is>
      </c>
      <c r="N707" s="75" t="inlineStr">
        <is>
          <t>N/D</t>
        </is>
      </c>
      <c r="O707" s="75" t="inlineStr">
        <is>
          <t>N/D</t>
        </is>
      </c>
    </row>
    <row r="708" ht="43.5" customHeight="1">
      <c r="A708" s="142" t="n">
        <v>65836995000170</v>
      </c>
      <c r="B708" s="75" t="inlineStr">
        <is>
          <t>65.836.995/0001-70</t>
        </is>
      </c>
      <c r="C708" s="75" t="inlineStr">
        <is>
          <t>minimo_estrutural_total</t>
        </is>
      </c>
      <c r="D708" s="75" t="inlineStr">
        <is>
          <t>20%</t>
        </is>
      </c>
      <c r="E708" s="75" t="inlineStr">
        <is>
          <t>suporte_total_pl</t>
        </is>
      </c>
      <c r="F708" s="75" t="inlineStr">
        <is>
          <t>payload_documental</t>
        </is>
      </c>
      <c r="G708" s="75" t="inlineStr">
        <is>
          <t>1184847</t>
        </is>
      </c>
      <c r="H708" s="75" t="inlineStr">
        <is>
          <t>documento_curado</t>
        </is>
      </c>
      <c r="I708" s="75" t="inlineStr">
        <is>
          <t>2026-05-11</t>
        </is>
      </c>
      <c r="J708" s="75" t="inlineStr">
        <is>
          <t>49–50</t>
        </is>
      </c>
      <c r="K708" s="75" t="inlineStr">
        <is>
          <t>aceito_payload</t>
        </is>
      </c>
      <c r="L708" s="144" t="n">
        <v>1</v>
      </c>
      <c r="M708" s="75" t="inlineStr">
        <is>
          <t>data/industry_study/generated_revision/artifact_payload.json</t>
        </is>
      </c>
      <c r="N708" s="75" t="inlineStr">
        <is>
          <t>https://fnet.bmfbovespa.com.br/fnet/publico/downloadDocumento?id=1184847</t>
        </is>
      </c>
      <c r="O708" s="75" t="inlineStr">
        <is>
          <t>N/D</t>
        </is>
      </c>
    </row>
    <row r="709" ht="43.5" customHeight="1">
      <c r="A709" s="142" t="n">
        <v>65836995000170</v>
      </c>
      <c r="B709" s="75" t="inlineStr">
        <is>
          <t>65.836.995/0001-70</t>
        </is>
      </c>
      <c r="C709" s="75" t="inlineStr">
        <is>
          <t>natureza_indice</t>
        </is>
      </c>
      <c r="D709" s="75" t="inlineStr">
        <is>
          <t>suporte_total_pl</t>
        </is>
      </c>
      <c r="E709" s="75" t="inlineStr">
        <is>
          <t>suporte_total_pl</t>
        </is>
      </c>
      <c r="F709" s="75" t="inlineStr">
        <is>
          <t>payload_documental</t>
        </is>
      </c>
      <c r="G709" s="75" t="inlineStr">
        <is>
          <t>1184847</t>
        </is>
      </c>
      <c r="H709" s="75" t="inlineStr">
        <is>
          <t>documento_curado</t>
        </is>
      </c>
      <c r="I709" s="75" t="inlineStr">
        <is>
          <t>2026-05-11</t>
        </is>
      </c>
      <c r="J709" s="75" t="inlineStr">
        <is>
          <t>49–50</t>
        </is>
      </c>
      <c r="K709" s="75" t="inlineStr">
        <is>
          <t>aceito_payload</t>
        </is>
      </c>
      <c r="L709" s="144" t="n">
        <v>1</v>
      </c>
      <c r="M709" s="75" t="inlineStr">
        <is>
          <t>data/industry_study/generated_revision/artifact_payload.json</t>
        </is>
      </c>
      <c r="N709" s="75" t="inlineStr">
        <is>
          <t>https://fnet.bmfbovespa.com.br/fnet/publico/downloadDocumento?id=1184847</t>
        </is>
      </c>
      <c r="O709" s="75" t="inlineStr">
        <is>
          <t>N/D</t>
        </is>
      </c>
    </row>
    <row r="710" ht="43.5" customHeight="1">
      <c r="A710" s="142" t="n">
        <v>65836995000170</v>
      </c>
      <c r="B710" s="75" t="inlineStr">
        <is>
          <t>65.836.995/0001-70</t>
        </is>
      </c>
      <c r="C710" s="75" t="inlineStr">
        <is>
          <t>sacado_devedor</t>
        </is>
      </c>
      <c r="D710" s="75" t="inlineStr">
        <is>
          <t>os devedores (sacados), pessoas físicas ou jurídicas, que tenham estabelecido relação de consumo dos Direitos Creditórios com as Cedentes</t>
        </is>
      </c>
      <c r="E710" s="75" t="inlineStr">
        <is>
          <t>N/D</t>
        </is>
      </c>
      <c r="F710" s="75" t="inlineStr">
        <is>
          <t>regulamento</t>
        </is>
      </c>
      <c r="G710" s="75" t="inlineStr">
        <is>
          <t>1184844</t>
        </is>
      </c>
      <c r="H710" s="75" t="inlineStr">
        <is>
          <t>Atos de Deliberação do Administrador Instrumento Particular de Alteração do Regulamento</t>
        </is>
      </c>
      <c r="I710" s="75" t="inlineStr">
        <is>
          <t>07/05/2026</t>
        </is>
      </c>
      <c r="J710" s="75" t="inlineStr">
        <is>
          <t>18</t>
        </is>
      </c>
      <c r="K710" s="75" t="inlineStr">
        <is>
          <t>encontrado_explicito</t>
        </is>
      </c>
      <c r="L710" s="144" t="n">
        <v>0.95</v>
      </c>
      <c r="M710" s="75" t="inlineStr">
        <is>
          <t>.cache/carteira_101_document_scan/65836995000170/1184844.json.gz</t>
        </is>
      </c>
      <c r="N710" s="75" t="inlineStr">
        <is>
          <t>https://fnet.bmfbovespa.com.br/fnet/publico/downloadDocumento?id=1184844</t>
        </is>
      </c>
      <c r="O710" s="75" t="inlineStr">
        <is>
          <t>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
        </is>
      </c>
    </row>
    <row r="711" ht="43.5" customHeight="1">
      <c r="A711" s="142" t="n">
        <v>65836995000170</v>
      </c>
      <c r="B711" s="75" t="inlineStr">
        <is>
          <t>65.836.995/0001-70</t>
        </is>
      </c>
      <c r="C711" s="75" t="inlineStr">
        <is>
          <t>tipo_recebivel</t>
        </is>
      </c>
      <c r="D71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E711" s="75" t="inlineStr">
        <is>
          <t>N/D</t>
        </is>
      </c>
      <c r="F711" s="75" t="inlineStr">
        <is>
          <t>regulamento</t>
        </is>
      </c>
      <c r="G711" s="75" t="inlineStr">
        <is>
          <t>1184844</t>
        </is>
      </c>
      <c r="H711" s="75" t="inlineStr">
        <is>
          <t>Atos de Deliberação do Administrador Instrumento Particular de Alteração do Regulamento</t>
        </is>
      </c>
      <c r="I711" s="75" t="inlineStr">
        <is>
          <t>07/05/2026</t>
        </is>
      </c>
      <c r="J711" s="75" t="inlineStr">
        <is>
          <t>19</t>
        </is>
      </c>
      <c r="K711" s="75" t="inlineStr">
        <is>
          <t>encontrado_explicito</t>
        </is>
      </c>
      <c r="L711" s="144" t="n">
        <v>0.92</v>
      </c>
      <c r="M711" s="75" t="inlineStr">
        <is>
          <t>.cache/carteira_101_document_scan/65836995000170/1184844.json.gz</t>
        </is>
      </c>
      <c r="N711" s="75" t="inlineStr">
        <is>
          <t>https://fnet.bmfbovespa.com.br/fnet/publico/downloadDocumento?id=1184844</t>
        </is>
      </c>
      <c r="O711" s="75" t="inlineStr">
        <is>
          <t>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t>
        </is>
      </c>
    </row>
    <row r="712" ht="43.5" customHeight="1">
      <c r="A712" s="142" t="n">
        <v>65873297000145</v>
      </c>
      <c r="B712" s="75" t="inlineStr">
        <is>
          <t>65.873.297/0001-45</t>
        </is>
      </c>
      <c r="C712" s="75" t="inlineStr">
        <is>
          <t>cedente</t>
        </is>
      </c>
      <c r="D712" s="75" t="inlineStr">
        <is>
          <t>os Fornecedores que cedem Direitos Creditórios à Classe</t>
        </is>
      </c>
      <c r="E712" s="75" t="inlineStr">
        <is>
          <t>N/D</t>
        </is>
      </c>
      <c r="F712" s="75" t="inlineStr">
        <is>
          <t>regulamento</t>
        </is>
      </c>
      <c r="G712" s="75" t="inlineStr">
        <is>
          <t>1226438</t>
        </is>
      </c>
      <c r="H712" s="75" t="inlineStr">
        <is>
          <t>Regulamento</t>
        </is>
      </c>
      <c r="I712" s="75" t="inlineStr">
        <is>
          <t>20/05/2026</t>
        </is>
      </c>
      <c r="J712" s="75" t="inlineStr">
        <is>
          <t>4</t>
        </is>
      </c>
      <c r="K712" s="75" t="inlineStr">
        <is>
          <t>encontrado_explicito</t>
        </is>
      </c>
      <c r="L712" s="144" t="n">
        <v>0.95</v>
      </c>
      <c r="M712" s="75" t="inlineStr">
        <is>
          <t>.cache/carteira_101_document_scan/65873297000145/1226438.json.gz</t>
        </is>
      </c>
      <c r="N712" s="75" t="inlineStr">
        <is>
          <t>https://fnet.bmfbovespa.com.br/fnet/publico/downloadDocumento?id=1226438</t>
        </is>
      </c>
      <c r="O712" s="75" t="inlineStr">
        <is>
          <t>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t>
        </is>
      </c>
    </row>
    <row r="713" ht="43.5" customHeight="1">
      <c r="A713" s="142" t="n">
        <v>65873297000145</v>
      </c>
      <c r="B713" s="75" t="inlineStr">
        <is>
          <t>65.873.297/0001-45</t>
        </is>
      </c>
      <c r="C713" s="75" t="inlineStr">
        <is>
          <t>minimo_estrutural_total</t>
        </is>
      </c>
      <c r="D713" s="75" t="inlineStr">
        <is>
          <t>12%</t>
        </is>
      </c>
      <c r="E713" s="75" t="inlineStr">
        <is>
          <t>suporte_total_pl</t>
        </is>
      </c>
      <c r="F713" s="75" t="inlineStr">
        <is>
          <t>payload_documental</t>
        </is>
      </c>
      <c r="G713" s="75" t="inlineStr">
        <is>
          <t>1226438</t>
        </is>
      </c>
      <c r="H713" s="75" t="inlineStr">
        <is>
          <t>documento_curado</t>
        </is>
      </c>
      <c r="I713" s="75" t="inlineStr">
        <is>
          <t>2026-05-20</t>
        </is>
      </c>
      <c r="J713" s="75" t="inlineStr">
        <is>
          <t>34</t>
        </is>
      </c>
      <c r="K713" s="75" t="inlineStr">
        <is>
          <t>aceito_payload</t>
        </is>
      </c>
      <c r="L713" s="144" t="n">
        <v>1</v>
      </c>
      <c r="M713" s="75" t="inlineStr">
        <is>
          <t>data/industry_study/generated_revision/artifact_payload.json</t>
        </is>
      </c>
      <c r="N713" s="75" t="inlineStr">
        <is>
          <t>https://fnet.bmfbovespa.com.br/fnet/publico/downloadDocumento?id=1226438</t>
        </is>
      </c>
      <c r="O713" s="75" t="inlineStr">
        <is>
          <t>Cotas subordinadas / PL, mínimo de 12,0%; estrutura com uma única classe residual.</t>
        </is>
      </c>
    </row>
    <row r="714" ht="43.5" customHeight="1">
      <c r="A714" s="142" t="n">
        <v>65873297000145</v>
      </c>
      <c r="B714" s="75" t="inlineStr">
        <is>
          <t>65.873.297/0001-45</t>
        </is>
      </c>
      <c r="C714" s="75" t="inlineStr">
        <is>
          <t>minimo_junior</t>
        </is>
      </c>
      <c r="D714" s="75" t="inlineStr">
        <is>
          <t>12%</t>
        </is>
      </c>
      <c r="E714" s="75" t="inlineStr">
        <is>
          <t>junior_pl</t>
        </is>
      </c>
      <c r="F714" s="75" t="inlineStr">
        <is>
          <t>payload_documental</t>
        </is>
      </c>
      <c r="G714" s="75" t="inlineStr">
        <is>
          <t>1226438</t>
        </is>
      </c>
      <c r="H714" s="75" t="inlineStr">
        <is>
          <t>documento_curado</t>
        </is>
      </c>
      <c r="I714" s="75" t="inlineStr">
        <is>
          <t>2026-05-20</t>
        </is>
      </c>
      <c r="J714" s="75" t="inlineStr">
        <is>
          <t>34</t>
        </is>
      </c>
      <c r="K714" s="75" t="inlineStr">
        <is>
          <t>aceito_payload</t>
        </is>
      </c>
      <c r="L714" s="144" t="n">
        <v>1</v>
      </c>
      <c r="M714" s="75" t="inlineStr">
        <is>
          <t>data/industry_study/generated_revision/artifact_payload.json</t>
        </is>
      </c>
      <c r="N714" s="75" t="inlineStr">
        <is>
          <t>https://fnet.bmfbovespa.com.br/fnet/publico/downloadDocumento?id=1226438</t>
        </is>
      </c>
      <c r="O714" s="75" t="inlineStr">
        <is>
          <t>Cotas subordinadas / PL, mínimo de 12,0%; estrutura com uma única classe residual.</t>
        </is>
      </c>
    </row>
    <row r="715" ht="43.5" customHeight="1">
      <c r="A715" s="142" t="n">
        <v>65873297000145</v>
      </c>
      <c r="B715" s="75" t="inlineStr">
        <is>
          <t>65.873.297/0001-45</t>
        </is>
      </c>
      <c r="C715" s="75" t="inlineStr">
        <is>
          <t>natureza_indice</t>
        </is>
      </c>
      <c r="D715" s="75" t="inlineStr">
        <is>
          <t>junior_pl</t>
        </is>
      </c>
      <c r="E715" s="75" t="inlineStr">
        <is>
          <t>junior_pl</t>
        </is>
      </c>
      <c r="F715" s="75" t="inlineStr">
        <is>
          <t>payload_documental</t>
        </is>
      </c>
      <c r="G715" s="75" t="inlineStr">
        <is>
          <t>1226438</t>
        </is>
      </c>
      <c r="H715" s="75" t="inlineStr">
        <is>
          <t>documento_curado</t>
        </is>
      </c>
      <c r="I715" s="75" t="inlineStr">
        <is>
          <t>2026-05-20</t>
        </is>
      </c>
      <c r="J715" s="75" t="inlineStr">
        <is>
          <t>34</t>
        </is>
      </c>
      <c r="K715" s="75" t="inlineStr">
        <is>
          <t>aceito_payload</t>
        </is>
      </c>
      <c r="L715" s="144" t="n">
        <v>1</v>
      </c>
      <c r="M715" s="75" t="inlineStr">
        <is>
          <t>data/industry_study/generated_revision/artifact_payload.json</t>
        </is>
      </c>
      <c r="N715" s="75" t="inlineStr">
        <is>
          <t>https://fnet.bmfbovespa.com.br/fnet/publico/downloadDocumento?id=1226438</t>
        </is>
      </c>
      <c r="O715" s="75" t="inlineStr">
        <is>
          <t>Cotas subordinadas / PL, mínimo de 12,0%; estrutura com uma única classe residual.</t>
        </is>
      </c>
    </row>
    <row r="716" ht="43.5" customHeight="1">
      <c r="A716" s="142" t="n">
        <v>65873297000145</v>
      </c>
      <c r="B716" s="75" t="inlineStr">
        <is>
          <t>65.873.297/0001-45</t>
        </is>
      </c>
      <c r="C716" s="75" t="inlineStr">
        <is>
          <t>tipo_recebivel</t>
        </is>
      </c>
      <c r="D716" s="75"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E716" s="75" t="inlineStr">
        <is>
          <t>N/D</t>
        </is>
      </c>
      <c r="F716" s="75" t="inlineStr">
        <is>
          <t>regulamento</t>
        </is>
      </c>
      <c r="G716" s="75" t="inlineStr">
        <is>
          <t>1226438</t>
        </is>
      </c>
      <c r="H716" s="75" t="inlineStr">
        <is>
          <t>Regulamento</t>
        </is>
      </c>
      <c r="I716" s="75" t="inlineStr">
        <is>
          <t>20/05/2026</t>
        </is>
      </c>
      <c r="J716" s="75" t="inlineStr">
        <is>
          <t>5</t>
        </is>
      </c>
      <c r="K716" s="75" t="inlineStr">
        <is>
          <t>encontrado_explicito</t>
        </is>
      </c>
      <c r="L716" s="144" t="n">
        <v>0.92</v>
      </c>
      <c r="M716" s="75" t="inlineStr">
        <is>
          <t>.cache/carteira_101_document_scan/65873297000145/1226438.json.gz</t>
        </is>
      </c>
      <c r="N716" s="75" t="inlineStr">
        <is>
          <t>https://fnet.bmfbovespa.com.br/fnet/publico/downloadDocumento?id=1226438</t>
        </is>
      </c>
      <c r="O716" s="75" t="inlineStr">
        <is>
          <t>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t>
        </is>
      </c>
    </row>
    <row r="717" ht="43.5" customHeight="1">
      <c r="A717" s="142" t="n">
        <v>65976848000104</v>
      </c>
      <c r="B717" s="75" t="inlineStr">
        <is>
          <t>65.976.848/0001-04</t>
        </is>
      </c>
      <c r="C717" s="75" t="inlineStr">
        <is>
          <t>minimo_junior</t>
        </is>
      </c>
      <c r="D717" s="75" t="inlineStr">
        <is>
          <t>5%</t>
        </is>
      </c>
      <c r="E717" s="75" t="inlineStr">
        <is>
          <t>junior_pl</t>
        </is>
      </c>
      <c r="F717" s="75" t="inlineStr">
        <is>
          <t>payload_documental</t>
        </is>
      </c>
      <c r="G717" s="75" t="inlineStr">
        <is>
          <t>1239452</t>
        </is>
      </c>
      <c r="H717" s="75" t="inlineStr">
        <is>
          <t>documento_curado</t>
        </is>
      </c>
      <c r="I717" s="75" t="inlineStr">
        <is>
          <t>2026-06-22</t>
        </is>
      </c>
      <c r="J717" s="75" t="inlineStr">
        <is>
          <t>35</t>
        </is>
      </c>
      <c r="K717" s="75" t="inlineStr">
        <is>
          <t>aceito_payload</t>
        </is>
      </c>
      <c r="L717" s="144" t="n">
        <v>1</v>
      </c>
      <c r="M717" s="75" t="inlineStr">
        <is>
          <t>data/industry_study/generated_revision/artifact_payload.json</t>
        </is>
      </c>
      <c r="N717" s="75" t="inlineStr">
        <is>
          <t>https://fnet.bmfbovespa.com.br/fnet/publico/downloadDocumento?id=1239452</t>
        </is>
      </c>
      <c r="O717" s="75" t="inlineStr">
        <is>
          <t>Índice de Subordinação Mezanino: cotas júnior / PL, mínimo de 5,0%.</t>
        </is>
      </c>
    </row>
    <row r="718" ht="43.5" customHeight="1">
      <c r="A718" s="142" t="n">
        <v>65976848000104</v>
      </c>
      <c r="B718" s="75" t="inlineStr">
        <is>
          <t>65.976.848/0001-04</t>
        </is>
      </c>
      <c r="C718" s="75" t="inlineStr">
        <is>
          <t>natureza_indice</t>
        </is>
      </c>
      <c r="D718" s="75" t="inlineStr">
        <is>
          <t>junior_pl</t>
        </is>
      </c>
      <c r="E718" s="75" t="inlineStr">
        <is>
          <t>junior_pl</t>
        </is>
      </c>
      <c r="F718" s="75" t="inlineStr">
        <is>
          <t>payload_documental</t>
        </is>
      </c>
      <c r="G718" s="75" t="inlineStr">
        <is>
          <t>1239452</t>
        </is>
      </c>
      <c r="H718" s="75" t="inlineStr">
        <is>
          <t>documento_curado</t>
        </is>
      </c>
      <c r="I718" s="75" t="inlineStr">
        <is>
          <t>2026-06-22</t>
        </is>
      </c>
      <c r="J718" s="75" t="inlineStr">
        <is>
          <t>35</t>
        </is>
      </c>
      <c r="K718" s="75" t="inlineStr">
        <is>
          <t>aceito_payload</t>
        </is>
      </c>
      <c r="L718" s="144" t="n">
        <v>1</v>
      </c>
      <c r="M718" s="75" t="inlineStr">
        <is>
          <t>data/industry_study/generated_revision/artifact_payload.json</t>
        </is>
      </c>
      <c r="N718" s="75" t="inlineStr">
        <is>
          <t>https://fnet.bmfbovespa.com.br/fnet/publico/downloadDocumento?id=1239452</t>
        </is>
      </c>
      <c r="O718" s="75" t="inlineStr">
        <is>
          <t>Índice de Subordinação Mezanino: cotas júnior / PL, mínimo de 5,0%.</t>
        </is>
      </c>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116"/>
  <sheetViews>
    <sheetView showGridLines="0" workbookViewId="0">
      <selection activeCell="A1" sqref="A1"/>
    </sheetView>
  </sheetViews>
  <sheetFormatPr baseColWidth="8" defaultRowHeight="15"/>
  <cols>
    <col width="27.5" customWidth="1" min="1" max="1"/>
    <col width="18.1299991607666" customWidth="1" min="2" max="2"/>
    <col width="48.75" customWidth="1" min="3" max="3"/>
    <col width="16.25" customWidth="1" min="4" max="4"/>
    <col width="15" customWidth="1" min="5" max="5"/>
    <col width="16.25" customWidth="1" min="6" max="6"/>
    <col width="15.63000011444092" customWidth="1" min="7" max="7"/>
    <col width="16.25" customWidth="1" min="8" max="8"/>
    <col width="15" customWidth="1" min="9" max="9"/>
    <col width="21.25" customWidth="1" min="10" max="10"/>
    <col width="52.5" customWidth="1" min="11" max="11"/>
    <col width="27.5" customWidth="1" min="12" max="12"/>
  </cols>
  <sheetData>
    <row r="1" ht="25.5" customHeight="1">
      <c r="A1" s="25" t="inlineStr">
        <is>
          <t>Cobertura da varredura documental · antes, depois e checkpoint</t>
        </is>
      </c>
    </row>
    <row r="2" ht="22.5" customHeight="1">
      <c r="A2" s="3" t="inlineStr">
        <is>
          <t>Denominadores explícitos por campo e uma linha de checkpoint para cada CNPJ. Ausência permanece N/D; consulta sem achado continua registrada.</t>
        </is>
      </c>
    </row>
    <row r="4">
      <c r="A4" s="119" t="inlineStr">
        <is>
          <t>COBERTURA POR CAMPO</t>
        </is>
      </c>
    </row>
    <row r="5">
      <c r="A5" s="120" t="inlineStr">
        <is>
          <t>Campo</t>
        </is>
      </c>
      <c r="B5" s="120" t="inlineStr">
        <is>
          <t>CNPJ total</t>
        </is>
      </c>
      <c r="C5" s="120" t="inlineStr">
        <is>
          <t>Antes · com dado</t>
        </is>
      </c>
      <c r="D5" s="120" t="inlineStr">
        <is>
          <t>Antes · cobertura</t>
        </is>
      </c>
      <c r="E5" s="120" t="inlineStr">
        <is>
          <t>Depois · com dado</t>
        </is>
      </c>
      <c r="F5" s="120" t="inlineStr">
        <is>
          <t>Depois · cobertura</t>
        </is>
      </c>
      <c r="G5" s="120" t="inlineStr">
        <is>
          <t>Ganho · linhas</t>
        </is>
      </c>
    </row>
    <row r="6">
      <c r="A6" s="100" t="inlineStr">
        <is>
          <t>originador</t>
        </is>
      </c>
      <c r="B6" s="162" t="n">
        <v>101</v>
      </c>
      <c r="C6" s="162" t="n">
        <v>1</v>
      </c>
      <c r="D6" s="163" t="n">
        <v>0.009900990099009899</v>
      </c>
      <c r="E6" s="162" t="n">
        <v>12</v>
      </c>
      <c r="F6" s="163" t="n">
        <v>0.1188118811881188</v>
      </c>
      <c r="G6" s="162" t="n">
        <v>11</v>
      </c>
    </row>
    <row r="7">
      <c r="A7" s="100" t="inlineStr">
        <is>
          <t>cedente</t>
        </is>
      </c>
      <c r="B7" s="162" t="n">
        <v>101</v>
      </c>
      <c r="C7" s="162" t="n">
        <v>85</v>
      </c>
      <c r="D7" s="163" t="n">
        <v>0.8415841584158416</v>
      </c>
      <c r="E7" s="162" t="n">
        <v>93</v>
      </c>
      <c r="F7" s="163" t="n">
        <v>0.9207920792079208</v>
      </c>
      <c r="G7" s="162" t="n">
        <v>8</v>
      </c>
    </row>
    <row r="8">
      <c r="A8" s="100" t="inlineStr">
        <is>
          <t>sacado_devedor</t>
        </is>
      </c>
      <c r="B8" s="162" t="n">
        <v>101</v>
      </c>
      <c r="C8" s="162" t="n">
        <v>2</v>
      </c>
      <c r="D8" s="163" t="n">
        <v>0.0198019801980198</v>
      </c>
      <c r="E8" s="162" t="n">
        <v>37</v>
      </c>
      <c r="F8" s="163" t="n">
        <v>0.3663366336633663</v>
      </c>
      <c r="G8" s="162" t="n">
        <v>35</v>
      </c>
    </row>
    <row r="9">
      <c r="A9" s="100" t="inlineStr">
        <is>
          <t>tipo_recebivel</t>
        </is>
      </c>
      <c r="B9" s="162" t="n">
        <v>101</v>
      </c>
      <c r="C9" s="162" t="n">
        <v>52</v>
      </c>
      <c r="D9" s="163" t="n">
        <v>0.5148514851485149</v>
      </c>
      <c r="E9" s="162" t="n">
        <v>67</v>
      </c>
      <c r="F9" s="163" t="n">
        <v>0.6633663366336634</v>
      </c>
      <c r="G9" s="162" t="n">
        <v>15</v>
      </c>
    </row>
    <row r="10">
      <c r="A10" s="100" t="inlineStr">
        <is>
          <t>minimo_junior</t>
        </is>
      </c>
      <c r="B10" s="162" t="n">
        <v>101</v>
      </c>
      <c r="C10" s="162" t="n">
        <v>83</v>
      </c>
      <c r="D10" s="163" t="n">
        <v>0.8217821782178217</v>
      </c>
      <c r="E10" s="162" t="n">
        <v>83</v>
      </c>
      <c r="F10" s="163" t="n">
        <v>0.8217821782178217</v>
      </c>
      <c r="G10" s="162" t="n">
        <v>0</v>
      </c>
    </row>
    <row r="11">
      <c r="A11" s="100" t="inlineStr">
        <is>
          <t>minimo_estrutural_total</t>
        </is>
      </c>
      <c r="B11" s="162" t="n">
        <v>101</v>
      </c>
      <c r="C11" s="162" t="n">
        <v>45</v>
      </c>
      <c r="D11" s="163" t="n">
        <v>0.4455445544554455</v>
      </c>
      <c r="E11" s="162" t="n">
        <v>52</v>
      </c>
      <c r="F11" s="163" t="n">
        <v>0.5148514851485149</v>
      </c>
      <c r="G11" s="162" t="n">
        <v>7</v>
      </c>
    </row>
    <row r="12">
      <c r="A12" s="100" t="inlineStr">
        <is>
          <t>natureza_indice</t>
        </is>
      </c>
      <c r="B12" s="162" t="n">
        <v>101</v>
      </c>
      <c r="C12" s="162" t="n">
        <v>101</v>
      </c>
      <c r="D12" s="163" t="n">
        <v>1</v>
      </c>
      <c r="E12" s="162" t="n">
        <v>101</v>
      </c>
      <c r="F12" s="163" t="n">
        <v>1</v>
      </c>
      <c r="G12" s="162" t="n">
        <v>0</v>
      </c>
    </row>
    <row r="14">
      <c r="A14" s="119" t="inlineStr">
        <is>
          <t>CHECKPOINT POR CNPJ</t>
        </is>
      </c>
    </row>
    <row r="15">
      <c r="A15" s="120" t="inlineStr">
        <is>
          <t>CNPJ</t>
        </is>
      </c>
      <c r="B15" s="120" t="inlineStr">
        <is>
          <t>CNPJ formatado</t>
        </is>
      </c>
      <c r="C15" s="120" t="inlineStr">
        <is>
          <t>Nome do fundo</t>
        </is>
      </c>
      <c r="D15" s="120" t="inlineStr">
        <is>
          <t>Status</t>
        </is>
      </c>
      <c r="E15" s="120" t="inlineStr">
        <is>
          <t>Fontes consultadas</t>
        </is>
      </c>
      <c r="F15" s="120" t="inlineStr">
        <is>
          <t>Fontes locais</t>
        </is>
      </c>
      <c r="G15" s="120" t="inlineStr">
        <is>
          <t>Fontes no cache Director</t>
        </is>
      </c>
      <c r="H15" s="120" t="inlineStr">
        <is>
          <t>Status online</t>
        </is>
      </c>
      <c r="I15" s="120" t="inlineStr">
        <is>
          <t>Documentos online</t>
        </is>
      </c>
      <c r="J15" s="120" t="inlineStr">
        <is>
          <t>Concluído em UTC</t>
        </is>
      </c>
      <c r="K15" s="120" t="inlineStr">
        <is>
          <t>Erros</t>
        </is>
      </c>
      <c r="L15" s="120" t="inlineStr">
        <is>
          <t>Schema</t>
        </is>
      </c>
    </row>
    <row r="16" ht="34.5" customHeight="1">
      <c r="A16" s="164" t="n">
        <v>11468186000124</v>
      </c>
      <c r="B16" s="121" t="inlineStr">
        <is>
          <t>11.468.186/0001-24</t>
        </is>
      </c>
      <c r="C16" s="121" t="inlineStr">
        <is>
          <t>ATLANTA FUNDO DE INVESTIMENTO EM DIREITOS CREDITÓRIOS DE RESPONSABILIDADE LIMITADA</t>
        </is>
      </c>
      <c r="D16" s="121" t="inlineStr">
        <is>
          <t>concluído</t>
        </is>
      </c>
      <c r="E16" s="165" t="n">
        <v>8</v>
      </c>
      <c r="F16" s="165" t="n">
        <v>1</v>
      </c>
      <c r="G16" s="165" t="n">
        <v>1</v>
      </c>
      <c r="H16" s="121" t="inlineStr">
        <is>
          <t>consultado</t>
        </is>
      </c>
      <c r="I16" s="165" t="n">
        <v>184</v>
      </c>
      <c r="J16" s="121" t="n">
        <v>46235.85155092592</v>
      </c>
      <c r="K16" s="121" t="inlineStr">
        <is>
          <t>N/D</t>
        </is>
      </c>
      <c r="L16" s="121" t="inlineStr">
        <is>
          <t>carteira-101-document-audit/v2</t>
        </is>
      </c>
    </row>
    <row r="17" ht="34.5" customHeight="1">
      <c r="A17" s="164" t="n">
        <v>17468142000180</v>
      </c>
      <c r="B17" s="121" t="inlineStr">
        <is>
          <t>17.468.142/0001-80</t>
        </is>
      </c>
      <c r="C17" s="121" t="inlineStr">
        <is>
          <t>VALOREM FUNDO DE INVESTIMENTO EM DIREITOS CREDITÓRIOS MULTISETORIAL RESPONSABILIDADE LIMITADA</t>
        </is>
      </c>
      <c r="D17" s="121" t="inlineStr">
        <is>
          <t>concluído</t>
        </is>
      </c>
      <c r="E17" s="165" t="n">
        <v>12</v>
      </c>
      <c r="F17" s="165" t="n">
        <v>6</v>
      </c>
      <c r="G17" s="165" t="n">
        <v>1</v>
      </c>
      <c r="H17" s="121" t="inlineStr">
        <is>
          <t>consultado</t>
        </is>
      </c>
      <c r="I17" s="165" t="n">
        <v>266</v>
      </c>
      <c r="J17" s="121" t="n">
        <v>46235.85141203704</v>
      </c>
      <c r="K17" s="121" t="inlineStr">
        <is>
          <t>N/D</t>
        </is>
      </c>
      <c r="L17" s="121" t="inlineStr">
        <is>
          <t>carteira-101-document-audit/v2</t>
        </is>
      </c>
    </row>
    <row r="18" ht="34.5" customHeight="1">
      <c r="A18" s="164" t="n">
        <v>18185812000114</v>
      </c>
      <c r="B18" s="121" t="inlineStr">
        <is>
          <t>18.185.812/0001-14</t>
        </is>
      </c>
      <c r="C18" s="121" t="inlineStr">
        <is>
          <t>GAVEA SUL FUNDO DE INVESTIMENTO EM DIREITOS CREDITÓRIOS MULTISSETORIAL LP</t>
        </is>
      </c>
      <c r="D18" s="121" t="inlineStr">
        <is>
          <t>concluído</t>
        </is>
      </c>
      <c r="E18" s="165" t="n">
        <v>12</v>
      </c>
      <c r="F18" s="165" t="n">
        <v>6</v>
      </c>
      <c r="G18" s="165" t="n">
        <v>1</v>
      </c>
      <c r="H18" s="121" t="inlineStr">
        <is>
          <t>consultado</t>
        </is>
      </c>
      <c r="I18" s="165" t="n">
        <v>184</v>
      </c>
      <c r="J18" s="121" t="n">
        <v>46235.85177083333</v>
      </c>
      <c r="K18" s="121" t="inlineStr">
        <is>
          <t>N/D</t>
        </is>
      </c>
      <c r="L18" s="121" t="inlineStr">
        <is>
          <t>carteira-101-document-audit/v2</t>
        </is>
      </c>
    </row>
    <row r="19" ht="34.5" customHeight="1">
      <c r="A19" s="164" t="n">
        <v>26749095000134</v>
      </c>
      <c r="B19" s="121" t="inlineStr">
        <is>
          <t>26.749.095/0001-34</t>
        </is>
      </c>
      <c r="C19" s="121" t="inlineStr">
        <is>
          <t>PRAVALER CRÉDITO UNIVERSITÁRIO II FUNDO DE INVESTIMENTO EM DIREITOS CREDITÓRIOS - RESP LIMITADAL</t>
        </is>
      </c>
      <c r="D19" s="121" t="inlineStr">
        <is>
          <t>concluído</t>
        </is>
      </c>
      <c r="E19" s="165" t="n">
        <v>13</v>
      </c>
      <c r="F19" s="165" t="n">
        <v>6</v>
      </c>
      <c r="G19" s="165" t="n">
        <v>1</v>
      </c>
      <c r="H19" s="121" t="inlineStr">
        <is>
          <t>consultado</t>
        </is>
      </c>
      <c r="I19" s="165" t="n">
        <v>176</v>
      </c>
      <c r="J19" s="121" t="n">
        <v>46235.85146990741</v>
      </c>
      <c r="K19" s="121" t="inlineStr">
        <is>
          <t>N/D</t>
        </is>
      </c>
      <c r="L19" s="121" t="inlineStr">
        <is>
          <t>carteira-101-document-audit/v2</t>
        </is>
      </c>
    </row>
    <row r="20" ht="34.5" customHeight="1">
      <c r="A20" s="164" t="n">
        <v>28169275000172</v>
      </c>
      <c r="B20" s="121" t="inlineStr">
        <is>
          <t>28.169.275/0001-72</t>
        </is>
      </c>
      <c r="C20" s="121" t="inlineStr">
        <is>
          <t>FUNDO DE INVESTIMENTO EM DIREITOS CREDITÓRIOS PAGSEGURO I</t>
        </is>
      </c>
      <c r="D20" s="121" t="inlineStr">
        <is>
          <t>concluído</t>
        </is>
      </c>
      <c r="E20" s="165" t="n">
        <v>8</v>
      </c>
      <c r="F20" s="165" t="n">
        <v>6</v>
      </c>
      <c r="G20" s="165" t="n">
        <v>1</v>
      </c>
      <c r="H20" s="121" t="inlineStr">
        <is>
          <t>consultado</t>
        </is>
      </c>
      <c r="I20" s="165" t="n">
        <v>199</v>
      </c>
      <c r="J20" s="121" t="n">
        <v>46235.85065972222</v>
      </c>
      <c r="K20" s="121" t="inlineStr">
        <is>
          <t>N/D</t>
        </is>
      </c>
      <c r="L20" s="121" t="inlineStr">
        <is>
          <t>carteira-101-document-audit/v2</t>
        </is>
      </c>
    </row>
    <row r="21" ht="34.5" customHeight="1">
      <c r="A21" s="164" t="n">
        <v>29226654000110</v>
      </c>
      <c r="B21" s="121" t="inlineStr">
        <is>
          <t>29.226.654/0001-10</t>
        </is>
      </c>
      <c r="C21" s="121" t="inlineStr">
        <is>
          <t>INVESTCRED FUNDO DE INVESTIMENTO EM DIREITOS CREDITÓRIOS</t>
        </is>
      </c>
      <c r="D21" s="121" t="inlineStr">
        <is>
          <t>concluído</t>
        </is>
      </c>
      <c r="E21" s="165" t="n">
        <v>8</v>
      </c>
      <c r="F21" s="165" t="n">
        <v>6</v>
      </c>
      <c r="G21" s="165" t="n">
        <v>2</v>
      </c>
      <c r="H21" s="121" t="inlineStr">
        <is>
          <t>consultado</t>
        </is>
      </c>
      <c r="I21" s="165" t="n">
        <v>139</v>
      </c>
      <c r="J21" s="121" t="n">
        <v>46235.85070601852</v>
      </c>
      <c r="K21" s="121" t="inlineStr">
        <is>
          <t>N/D</t>
        </is>
      </c>
      <c r="L21" s="121" t="inlineStr">
        <is>
          <t>carteira-101-document-audit/v2</t>
        </is>
      </c>
    </row>
    <row r="22" ht="34.5" customHeight="1">
      <c r="A22" s="164" t="n">
        <v>29492605000129</v>
      </c>
      <c r="B22" s="121" t="inlineStr">
        <is>
          <t>29.492.605/0001-29</t>
        </is>
      </c>
      <c r="C22" s="121" t="inlineStr">
        <is>
          <t>GAZIN FUNDO DE INVESTIMENTO EM DIREITOS CREDITÓRIOS MULTISSEGMENTOS - RESPONSABILIDADE LIMITADA</t>
        </is>
      </c>
      <c r="D22" s="121" t="inlineStr">
        <is>
          <t>concluído</t>
        </is>
      </c>
      <c r="E22" s="165" t="n">
        <v>6</v>
      </c>
      <c r="F22" s="165" t="n">
        <v>0</v>
      </c>
      <c r="G22" s="165" t="n">
        <v>0</v>
      </c>
      <c r="H22" s="121" t="inlineStr">
        <is>
          <t>consultado</t>
        </is>
      </c>
      <c r="I22" s="165" t="n">
        <v>173</v>
      </c>
      <c r="J22" s="121" t="n">
        <v>46235.85142361111</v>
      </c>
      <c r="K22" s="121" t="inlineStr">
        <is>
          <t>N/D</t>
        </is>
      </c>
      <c r="L22" s="121" t="inlineStr">
        <is>
          <t>carteira-101-document-audit/v2</t>
        </is>
      </c>
    </row>
    <row r="23" ht="34.5" customHeight="1">
      <c r="A23" s="164" t="n">
        <v>30035329000159</v>
      </c>
      <c r="B23" s="121" t="inlineStr">
        <is>
          <t>30.035.329/0001-59</t>
        </is>
      </c>
      <c r="C23" s="121" t="inlineStr">
        <is>
          <t>VIA INVEST II FUNDO DE INVESTIMENTO EM DIREITOS CREDITÓRIOS RESPONSABILIDADE LIMITADA</t>
        </is>
      </c>
      <c r="D23" s="121" t="inlineStr">
        <is>
          <t>concluído</t>
        </is>
      </c>
      <c r="E23" s="165" t="n">
        <v>8</v>
      </c>
      <c r="F23" s="165" t="n">
        <v>0</v>
      </c>
      <c r="G23" s="165" t="n">
        <v>0</v>
      </c>
      <c r="H23" s="121" t="inlineStr">
        <is>
          <t>consultado</t>
        </is>
      </c>
      <c r="I23" s="165" t="n">
        <v>149</v>
      </c>
      <c r="J23" s="121" t="n">
        <v>46235.85168981482</v>
      </c>
      <c r="K23" s="121" t="inlineStr">
        <is>
          <t>N/D</t>
        </is>
      </c>
      <c r="L23" s="121" t="inlineStr">
        <is>
          <t>carteira-101-document-audit/v2</t>
        </is>
      </c>
    </row>
    <row r="24" ht="34.5" customHeight="1">
      <c r="A24" s="164" t="n">
        <v>31570767000180</v>
      </c>
      <c r="B24" s="121" t="inlineStr">
        <is>
          <t>31.570.767/0001-80</t>
        </is>
      </c>
      <c r="C24" s="121" t="inlineStr">
        <is>
          <t>FUNDO DE INVESTIMENTO EM DIREITOS CREDITÓRIOS TRADEPAY VAREJO I - RESPONSABILIDADE LIMITADA</t>
        </is>
      </c>
      <c r="D24" s="121" t="inlineStr">
        <is>
          <t>concluído</t>
        </is>
      </c>
      <c r="E24" s="165" t="n">
        <v>9</v>
      </c>
      <c r="F24" s="165" t="n">
        <v>2</v>
      </c>
      <c r="G24" s="165" t="n">
        <v>1</v>
      </c>
      <c r="H24" s="121" t="inlineStr">
        <is>
          <t>consultado</t>
        </is>
      </c>
      <c r="I24" s="165" t="n">
        <v>272</v>
      </c>
      <c r="J24" s="121" t="n">
        <v>46235.85152777778</v>
      </c>
      <c r="K24" s="121" t="inlineStr">
        <is>
          <t>N/D</t>
        </is>
      </c>
      <c r="L24" s="121" t="inlineStr">
        <is>
          <t>carteira-101-document-audit/v2</t>
        </is>
      </c>
    </row>
    <row r="25" ht="34.5" customHeight="1">
      <c r="A25" s="164" t="n">
        <v>31739396000117</v>
      </c>
      <c r="B25" s="121" t="inlineStr">
        <is>
          <t>31.739.396/0001-17</t>
        </is>
      </c>
      <c r="C25" s="121" t="inlineStr">
        <is>
          <t>LF III FUNDO DE INVESTIMENTO EM DIREITOS CREDITÓRIOS DE RESPONSABILIDADE LIMITADA</t>
        </is>
      </c>
      <c r="D25" s="121" t="inlineStr">
        <is>
          <t>concluído</t>
        </is>
      </c>
      <c r="E25" s="165" t="n">
        <v>8</v>
      </c>
      <c r="F25" s="165" t="n">
        <v>0</v>
      </c>
      <c r="G25" s="165" t="n">
        <v>0</v>
      </c>
      <c r="H25" s="121" t="inlineStr">
        <is>
          <t>consultado</t>
        </is>
      </c>
      <c r="I25" s="165" t="n">
        <v>165</v>
      </c>
      <c r="J25" s="121" t="n">
        <v>46235.85143518518</v>
      </c>
      <c r="K25" s="121" t="inlineStr">
        <is>
          <t>N/D</t>
        </is>
      </c>
      <c r="L25" s="121" t="inlineStr">
        <is>
          <t>carteira-101-document-audit/v2</t>
        </is>
      </c>
    </row>
    <row r="26" ht="34.5" customHeight="1">
      <c r="A26" s="164" t="n">
        <v>32526025000110</v>
      </c>
      <c r="B26" s="121" t="inlineStr">
        <is>
          <t>32.526.025/0001-10</t>
        </is>
      </c>
      <c r="C26" s="121" t="inlineStr">
        <is>
          <t>COBUCCIO FUNDO DE INVESTIMENTO EM DIREITOS CREDITÓRIOS DE CLASSE ÚNICA FECHADA DE RESPONS LIMITADA</t>
        </is>
      </c>
      <c r="D26" s="121" t="inlineStr">
        <is>
          <t>concluído</t>
        </is>
      </c>
      <c r="E26" s="165" t="n">
        <v>6</v>
      </c>
      <c r="F26" s="165" t="n">
        <v>0</v>
      </c>
      <c r="G26" s="165" t="n">
        <v>0</v>
      </c>
      <c r="H26" s="121" t="inlineStr">
        <is>
          <t>consultado</t>
        </is>
      </c>
      <c r="I26" s="165" t="n">
        <v>169</v>
      </c>
      <c r="J26" s="121" t="n">
        <v>46235.84546296296</v>
      </c>
      <c r="K26" s="121" t="inlineStr">
        <is>
          <t>N/D</t>
        </is>
      </c>
      <c r="L26" s="121" t="inlineStr">
        <is>
          <t>carteira-101-document-audit/v2</t>
        </is>
      </c>
    </row>
    <row r="27" ht="34.5" customHeight="1">
      <c r="A27" s="164" t="n">
        <v>33076242000118</v>
      </c>
      <c r="B27" s="121" t="inlineStr">
        <is>
          <t>33.076.242/0001-18</t>
        </is>
      </c>
      <c r="C27" s="121" t="inlineStr">
        <is>
          <t>WORKCAP AGRO FUNDO DE INVESTIMENTO EM DIREITOS CREDITORIOS RESPONSABILIDADE LIMITADA</t>
        </is>
      </c>
      <c r="D27" s="121" t="inlineStr">
        <is>
          <t>concluído</t>
        </is>
      </c>
      <c r="E27" s="165" t="n">
        <v>8</v>
      </c>
      <c r="F27" s="165" t="n">
        <v>0</v>
      </c>
      <c r="G27" s="165" t="n">
        <v>0</v>
      </c>
      <c r="H27" s="121" t="inlineStr">
        <is>
          <t>consultado</t>
        </is>
      </c>
      <c r="I27" s="165" t="n">
        <v>184</v>
      </c>
      <c r="J27" s="121" t="n">
        <v>46235.84537037037</v>
      </c>
      <c r="K27" s="121" t="inlineStr">
        <is>
          <t>N/D</t>
        </is>
      </c>
      <c r="L27" s="121" t="inlineStr">
        <is>
          <t>carteira-101-document-audit/v2</t>
        </is>
      </c>
    </row>
    <row r="28" ht="34.5" customHeight="1">
      <c r="A28" s="164" t="n">
        <v>35868110000154</v>
      </c>
      <c r="B28" s="121" t="inlineStr">
        <is>
          <t>35.868.110/0001-54</t>
        </is>
      </c>
      <c r="C28" s="121" t="inlineStr">
        <is>
          <t>FUNDO DE INVESTIMENTO EM DIREITOS CREDITÓRIOS BV - CRÉDITO DE VEÍCULOS RESPONSABILIDADE LIMITADA</t>
        </is>
      </c>
      <c r="D28" s="121" t="inlineStr">
        <is>
          <t>concluído</t>
        </is>
      </c>
      <c r="E28" s="165" t="n">
        <v>9</v>
      </c>
      <c r="F28" s="165" t="n">
        <v>5</v>
      </c>
      <c r="G28" s="165" t="n">
        <v>1</v>
      </c>
      <c r="H28" s="121" t="inlineStr">
        <is>
          <t>consultado</t>
        </is>
      </c>
      <c r="I28" s="165" t="n">
        <v>107</v>
      </c>
      <c r="J28" s="121" t="n">
        <v>46235.85097222222</v>
      </c>
      <c r="K28" s="121" t="inlineStr">
        <is>
          <t>N/D</t>
        </is>
      </c>
      <c r="L28" s="121" t="inlineStr">
        <is>
          <t>carteira-101-document-audit/v2</t>
        </is>
      </c>
    </row>
    <row r="29" ht="34.5" customHeight="1">
      <c r="A29" s="164" t="n">
        <v>37035970000132</v>
      </c>
      <c r="B29" s="121" t="inlineStr">
        <is>
          <t>37.035.970/0001-32</t>
        </is>
      </c>
      <c r="C29" s="121" t="inlineStr">
        <is>
          <t>CD CASH FUNDO DE INVESTIMENTO EM DIREITOS CREDITÓRIOS RESPONSABILIDADE LIMITADA</t>
        </is>
      </c>
      <c r="D29" s="121" t="inlineStr">
        <is>
          <t>concluído</t>
        </is>
      </c>
      <c r="E29" s="165" t="n">
        <v>9</v>
      </c>
      <c r="F29" s="165" t="n">
        <v>2</v>
      </c>
      <c r="G29" s="165" t="n">
        <v>1</v>
      </c>
      <c r="H29" s="121" t="inlineStr">
        <is>
          <t>consultado</t>
        </is>
      </c>
      <c r="I29" s="165" t="n">
        <v>120</v>
      </c>
      <c r="J29" s="121" t="n">
        <v>46235.85138888889</v>
      </c>
      <c r="K29" s="121" t="inlineStr">
        <is>
          <t>N/D</t>
        </is>
      </c>
      <c r="L29" s="121" t="inlineStr">
        <is>
          <t>carteira-101-document-audit/v2</t>
        </is>
      </c>
    </row>
    <row r="30" ht="34.5" customHeight="1">
      <c r="A30" s="164" t="n">
        <v>37294759000134</v>
      </c>
      <c r="B30" s="121" t="inlineStr">
        <is>
          <t>37.294.759/0001-34</t>
        </is>
      </c>
      <c r="C30" s="121" t="inlineStr">
        <is>
          <t>GALLERIA HOME EQUITY FIDC</t>
        </is>
      </c>
      <c r="D30" s="121" t="inlineStr">
        <is>
          <t>concluído</t>
        </is>
      </c>
      <c r="E30" s="165" t="n">
        <v>8</v>
      </c>
      <c r="F30" s="165" t="n">
        <v>0</v>
      </c>
      <c r="G30" s="165" t="n">
        <v>0</v>
      </c>
      <c r="H30" s="121" t="inlineStr">
        <is>
          <t>consultado</t>
        </is>
      </c>
      <c r="I30" s="165" t="n">
        <v>207</v>
      </c>
      <c r="J30" s="121" t="n">
        <v>46235.85162037037</v>
      </c>
      <c r="K30" s="121" t="inlineStr">
        <is>
          <t>N/D</t>
        </is>
      </c>
      <c r="L30" s="121" t="inlineStr">
        <is>
          <t>carteira-101-document-audit/v2</t>
        </is>
      </c>
    </row>
    <row r="31" ht="34.5" customHeight="1">
      <c r="A31" s="164" t="n">
        <v>37645417000111</v>
      </c>
      <c r="B31" s="121" t="inlineStr">
        <is>
          <t>37.645.417/0001-11</t>
        </is>
      </c>
      <c r="C31" s="121" t="inlineStr">
        <is>
          <t>UBYFOL AGRO III FUNDO DE INVESTIMENTO NAS CADEIAS PRODUTIVAS DO AGRONEGÓCIO - RESP LIMITADA</t>
        </is>
      </c>
      <c r="D31" s="121" t="inlineStr">
        <is>
          <t>concluído</t>
        </is>
      </c>
      <c r="E31" s="165" t="n">
        <v>6</v>
      </c>
      <c r="F31" s="165" t="n">
        <v>0</v>
      </c>
      <c r="G31" s="165" t="n">
        <v>0</v>
      </c>
      <c r="H31" s="121" t="inlineStr">
        <is>
          <t>consultado</t>
        </is>
      </c>
      <c r="I31" s="165" t="n">
        <v>132</v>
      </c>
      <c r="J31" s="121" t="n">
        <v>46235.84509259259</v>
      </c>
      <c r="K31" s="121" t="inlineStr">
        <is>
          <t>N/D</t>
        </is>
      </c>
      <c r="L31" s="121" t="inlineStr">
        <is>
          <t>carteira-101-document-audit/v2</t>
        </is>
      </c>
    </row>
    <row r="32" ht="34.5" customHeight="1">
      <c r="A32" s="164" t="n">
        <v>38376526000143</v>
      </c>
      <c r="B32" s="121" t="inlineStr">
        <is>
          <t>38.376.526/0001-43</t>
        </is>
      </c>
      <c r="C32" s="121" t="inlineStr">
        <is>
          <t>HOTFUND FUNDO DE INVESTIMENTO EM DIREITOS CREDITÓRIOS SEGMENTO MEIOS DE PAGAMENTO DE RESPONSABILIDAD</t>
        </is>
      </c>
      <c r="D32" s="121" t="inlineStr">
        <is>
          <t>concluído</t>
        </is>
      </c>
      <c r="E32" s="165" t="n">
        <v>8</v>
      </c>
      <c r="F32" s="165" t="n">
        <v>0</v>
      </c>
      <c r="G32" s="165" t="n">
        <v>0</v>
      </c>
      <c r="H32" s="121" t="inlineStr">
        <is>
          <t>consultado</t>
        </is>
      </c>
      <c r="I32" s="165" t="n">
        <v>126</v>
      </c>
      <c r="J32" s="121" t="n">
        <v>46235.8475</v>
      </c>
      <c r="K32" s="121" t="inlineStr">
        <is>
          <t>N/D</t>
        </is>
      </c>
      <c r="L32" s="121" t="inlineStr">
        <is>
          <t>carteira-101-document-audit/v2</t>
        </is>
      </c>
    </row>
    <row r="33" ht="34.5" customHeight="1">
      <c r="A33" s="164" t="n">
        <v>38385876000176</v>
      </c>
      <c r="B33" s="121" t="inlineStr">
        <is>
          <t>38.385.876/0001-76</t>
        </is>
      </c>
      <c r="C33" s="121" t="inlineStr">
        <is>
          <t>ESTRATÉGIA EDUCACIONAL FUNDO DE INVESTIMENTO EM DIREITOS CREDITÓRIOS</t>
        </is>
      </c>
      <c r="D33" s="121" t="inlineStr">
        <is>
          <t>concluído</t>
        </is>
      </c>
      <c r="E33" s="165" t="n">
        <v>7</v>
      </c>
      <c r="F33" s="165" t="n">
        <v>0</v>
      </c>
      <c r="G33" s="165" t="n">
        <v>0</v>
      </c>
      <c r="H33" s="121" t="inlineStr">
        <is>
          <t>consultado</t>
        </is>
      </c>
      <c r="I33" s="165" t="n">
        <v>105</v>
      </c>
      <c r="J33" s="121" t="n">
        <v>46235.85060185185</v>
      </c>
      <c r="K33" s="121" t="inlineStr">
        <is>
          <t>N/D</t>
        </is>
      </c>
      <c r="L33" s="121" t="inlineStr">
        <is>
          <t>carteira-101-document-audit/v2</t>
        </is>
      </c>
    </row>
    <row r="34" ht="34.5" customHeight="1">
      <c r="A34" s="164" t="n">
        <v>38658727000133</v>
      </c>
      <c r="B34" s="121" t="inlineStr">
        <is>
          <t>38.658.727/0001-33</t>
        </is>
      </c>
      <c r="C34" s="121" t="inlineStr">
        <is>
          <t>FUNDO DE INVESTIMENTO EM DIREITOS CREDITÓRIOS FORNECEDORES MADEIRA MADEIRA I</t>
        </is>
      </c>
      <c r="D34" s="121" t="inlineStr">
        <is>
          <t>concluído</t>
        </is>
      </c>
      <c r="E34" s="165" t="n">
        <v>13</v>
      </c>
      <c r="F34" s="165" t="n">
        <v>6</v>
      </c>
      <c r="G34" s="165" t="n">
        <v>1</v>
      </c>
      <c r="H34" s="121" t="inlineStr">
        <is>
          <t>consultado</t>
        </is>
      </c>
      <c r="I34" s="165" t="n">
        <v>143</v>
      </c>
      <c r="J34" s="121" t="n">
        <v>46235.8506712963</v>
      </c>
      <c r="K34" s="121" t="inlineStr">
        <is>
          <t>N/D</t>
        </is>
      </c>
      <c r="L34" s="121" t="inlineStr">
        <is>
          <t>carteira-101-document-audit/v2</t>
        </is>
      </c>
    </row>
    <row r="35" ht="34.5" customHeight="1">
      <c r="A35" s="164" t="n">
        <v>40919667000107</v>
      </c>
      <c r="B35" s="121" t="inlineStr">
        <is>
          <t>40.919.667/0001-07</t>
        </is>
      </c>
      <c r="C35" s="121" t="inlineStr">
        <is>
          <t>RECARGAPAY I FUNDO DE INVESTIMENTO EM DIREITOS CREDITÓRIOS</t>
        </is>
      </c>
      <c r="D35" s="121" t="inlineStr">
        <is>
          <t>concluído</t>
        </is>
      </c>
      <c r="E35" s="165" t="n">
        <v>8</v>
      </c>
      <c r="F35" s="165" t="n">
        <v>0</v>
      </c>
      <c r="G35" s="165" t="n">
        <v>0</v>
      </c>
      <c r="H35" s="121" t="inlineStr">
        <is>
          <t>consultado</t>
        </is>
      </c>
      <c r="I35" s="165" t="n">
        <v>92</v>
      </c>
      <c r="J35" s="121" t="n">
        <v>46235.85061342592</v>
      </c>
      <c r="K35" s="121" t="inlineStr">
        <is>
          <t>N/D</t>
        </is>
      </c>
      <c r="L35" s="121" t="inlineStr">
        <is>
          <t>carteira-101-document-audit/v2</t>
        </is>
      </c>
    </row>
    <row r="36" ht="34.5" customHeight="1">
      <c r="A36" s="164" t="n">
        <v>41197066000109</v>
      </c>
      <c r="B36" s="121" t="inlineStr">
        <is>
          <t>41.197.066/0001-09</t>
        </is>
      </c>
      <c r="C36" s="121" t="inlineStr">
        <is>
          <t>IFOOD PAGO CRÉDITO I FUNDO DE INVESTIMENTO EM DIREITOS CREDITÓRIOS FINANCEIRO DE RESP LIMITADA</t>
        </is>
      </c>
      <c r="D36" s="121" t="inlineStr">
        <is>
          <t>concluído</t>
        </is>
      </c>
      <c r="E36" s="165" t="n">
        <v>9</v>
      </c>
      <c r="F36" s="165" t="n">
        <v>2</v>
      </c>
      <c r="G36" s="165" t="n">
        <v>1</v>
      </c>
      <c r="H36" s="121" t="inlineStr">
        <is>
          <t>consultado</t>
        </is>
      </c>
      <c r="I36" s="165" t="n">
        <v>156</v>
      </c>
      <c r="J36" s="121" t="n">
        <v>46235.84755787037</v>
      </c>
      <c r="K36" s="121" t="inlineStr">
        <is>
          <t>N/D</t>
        </is>
      </c>
      <c r="L36" s="121" t="inlineStr">
        <is>
          <t>carteira-101-document-audit/v2</t>
        </is>
      </c>
    </row>
    <row r="37" ht="34.5" customHeight="1">
      <c r="A37" s="164" t="n">
        <v>42085816000105</v>
      </c>
      <c r="B37" s="121" t="inlineStr">
        <is>
          <t>42.085.816/0001-05</t>
        </is>
      </c>
      <c r="C37" s="121" t="inlineStr">
        <is>
          <t>CLOUDWALK KICK ASS I FUNDO DE INVESTIMENTO EM DIREITOS CREDITÓRIOS SEGMENTO MEIOS DE PAGAMENTO</t>
        </is>
      </c>
      <c r="D37" s="121" t="inlineStr">
        <is>
          <t>concluído</t>
        </is>
      </c>
      <c r="E37" s="165" t="n">
        <v>9</v>
      </c>
      <c r="F37" s="165" t="n">
        <v>4</v>
      </c>
      <c r="G37" s="165" t="n">
        <v>1</v>
      </c>
      <c r="H37" s="121" t="inlineStr">
        <is>
          <t>consultado</t>
        </is>
      </c>
      <c r="I37" s="165" t="n">
        <v>109</v>
      </c>
      <c r="J37" s="121" t="n">
        <v>46235.85059027778</v>
      </c>
      <c r="K37" s="121" t="inlineStr">
        <is>
          <t>N/D</t>
        </is>
      </c>
      <c r="L37" s="121" t="inlineStr">
        <is>
          <t>carteira-101-document-audit/v2</t>
        </is>
      </c>
    </row>
    <row r="38" ht="34.5" customHeight="1">
      <c r="A38" s="164" t="n">
        <v>42085830000109</v>
      </c>
      <c r="B38" s="121" t="inlineStr">
        <is>
          <t>42.085.830/0001-09</t>
        </is>
      </c>
      <c r="C38" s="121" t="inlineStr">
        <is>
          <t>CLOUDWALK AKIRA I FUNDO DE INVESTIMENTO EM DIREITOS CREDITÓRIOS SEGMENTO MEIOS DE PAGAMENTO</t>
        </is>
      </c>
      <c r="D38" s="121" t="inlineStr">
        <is>
          <t>concluído</t>
        </is>
      </c>
      <c r="E38" s="165" t="n">
        <v>8</v>
      </c>
      <c r="F38" s="165" t="n">
        <v>4</v>
      </c>
      <c r="G38" s="165" t="n">
        <v>1</v>
      </c>
      <c r="H38" s="121" t="inlineStr">
        <is>
          <t>consultado</t>
        </is>
      </c>
      <c r="I38" s="165" t="n">
        <v>99</v>
      </c>
      <c r="J38" s="121" t="n">
        <v>46235.85163194445</v>
      </c>
      <c r="K38" s="121" t="inlineStr">
        <is>
          <t>N/D</t>
        </is>
      </c>
      <c r="L38" s="121" t="inlineStr">
        <is>
          <t>carteira-101-document-audit/v2</t>
        </is>
      </c>
    </row>
    <row r="39" ht="34.5" customHeight="1">
      <c r="A39" s="164" t="n">
        <v>42102603000144</v>
      </c>
      <c r="B39" s="121" t="inlineStr">
        <is>
          <t>42.102.603/0001-44</t>
        </is>
      </c>
      <c r="C39" s="121" t="inlineStr">
        <is>
          <t>CLOUDWALK KICK ASS II FUNDO DE INVESTIMENTO EM DIREITOS CREDITÓRIOS SEGMENTO MEIOS DE PAGAMENTO</t>
        </is>
      </c>
      <c r="D39" s="121" t="inlineStr">
        <is>
          <t>concluído</t>
        </is>
      </c>
      <c r="E39" s="165" t="n">
        <v>11</v>
      </c>
      <c r="F39" s="165" t="n">
        <v>5</v>
      </c>
      <c r="G39" s="165" t="n">
        <v>1</v>
      </c>
      <c r="H39" s="121" t="inlineStr">
        <is>
          <t>consultado</t>
        </is>
      </c>
      <c r="I39" s="165" t="n">
        <v>94</v>
      </c>
      <c r="J39" s="121" t="n">
        <v>46235.850625</v>
      </c>
      <c r="K39" s="121" t="inlineStr">
        <is>
          <t>N/D</t>
        </is>
      </c>
      <c r="L39" s="121" t="inlineStr">
        <is>
          <t>carteira-101-document-audit/v2</t>
        </is>
      </c>
    </row>
    <row r="40" ht="34.5" customHeight="1">
      <c r="A40" s="164" t="n">
        <v>42154687000160</v>
      </c>
      <c r="B40" s="121" t="inlineStr">
        <is>
          <t>42.154.687/0001-60</t>
        </is>
      </c>
      <c r="C40" s="121" t="inlineStr">
        <is>
          <t>MULTIPLIKE PLUS FUNDO DE INVESTIMENTO EM DIREITOS CREDITÓRIOS</t>
        </is>
      </c>
      <c r="D40" s="121" t="inlineStr">
        <is>
          <t>concluído</t>
        </is>
      </c>
      <c r="E40" s="165" t="n">
        <v>13</v>
      </c>
      <c r="F40" s="165" t="n">
        <v>6</v>
      </c>
      <c r="G40" s="165" t="n">
        <v>1</v>
      </c>
      <c r="H40" s="121" t="inlineStr">
        <is>
          <t>consultado</t>
        </is>
      </c>
      <c r="I40" s="165" t="n">
        <v>257</v>
      </c>
      <c r="J40" s="121" t="n">
        <v>46235.85092592592</v>
      </c>
      <c r="K40" s="121" t="inlineStr">
        <is>
          <t>N/D</t>
        </is>
      </c>
      <c r="L40" s="121" t="inlineStr">
        <is>
          <t>carteira-101-document-audit/v2</t>
        </is>
      </c>
    </row>
    <row r="41" ht="34.5" customHeight="1">
      <c r="A41" s="164" t="n">
        <v>42462306000100</v>
      </c>
      <c r="B41" s="121" t="inlineStr">
        <is>
          <t>42.462.306/0001-00</t>
        </is>
      </c>
      <c r="C41" s="121" t="inlineStr">
        <is>
          <t>IS GREEN SOLFÁCIL II FUNDO DE INVESTIMENTO EM DIREITOS CREDITÓRIOS DE RESPONSABILIDADE LIMITADA</t>
        </is>
      </c>
      <c r="D41" s="121" t="inlineStr">
        <is>
          <t>concluído</t>
        </is>
      </c>
      <c r="E41" s="165" t="n">
        <v>6</v>
      </c>
      <c r="F41" s="165" t="n">
        <v>0</v>
      </c>
      <c r="G41" s="165" t="n">
        <v>0</v>
      </c>
      <c r="H41" s="121" t="inlineStr">
        <is>
          <t>consultado</t>
        </is>
      </c>
      <c r="I41" s="165" t="n">
        <v>140</v>
      </c>
      <c r="J41" s="121" t="n">
        <v>46235.84460648148</v>
      </c>
      <c r="K41" s="121" t="inlineStr">
        <is>
          <t>N/D</t>
        </is>
      </c>
      <c r="L41" s="121" t="inlineStr">
        <is>
          <t>carteira-101-document-audit/v2</t>
        </is>
      </c>
    </row>
    <row r="42" ht="34.5" customHeight="1">
      <c r="A42" s="164" t="n">
        <v>43193260000133</v>
      </c>
      <c r="B42" s="121" t="inlineStr">
        <is>
          <t>43.193.260/0001-33</t>
        </is>
      </c>
      <c r="C42" s="121" t="inlineStr">
        <is>
          <t>RESIDENCE CLUB FUNDO DE INVESTIMENTO EM DIREITOS CREDITÓRIOS</t>
        </is>
      </c>
      <c r="D42" s="121" t="inlineStr">
        <is>
          <t>concluído</t>
        </is>
      </c>
      <c r="E42" s="165" t="n">
        <v>8</v>
      </c>
      <c r="F42" s="165" t="n">
        <v>0</v>
      </c>
      <c r="G42" s="165" t="n">
        <v>0</v>
      </c>
      <c r="H42" s="121" t="inlineStr">
        <is>
          <t>consultado</t>
        </is>
      </c>
      <c r="I42" s="165" t="n">
        <v>128</v>
      </c>
      <c r="J42" s="121" t="n">
        <v>46235.8515625</v>
      </c>
      <c r="K42" s="121" t="inlineStr">
        <is>
          <t>N/D</t>
        </is>
      </c>
      <c r="L42" s="121" t="inlineStr">
        <is>
          <t>carteira-101-document-audit/v2</t>
        </is>
      </c>
    </row>
    <row r="43" ht="34.5" customHeight="1">
      <c r="A43" s="164" t="n">
        <v>43309233000183</v>
      </c>
      <c r="B43" s="121" t="inlineStr">
        <is>
          <t>43.309.233/0001-83</t>
        </is>
      </c>
      <c r="C43" s="121" t="inlineStr">
        <is>
          <t>FUNDO DE INVESTIMENTO EM DIREITOS CREDITÓRIOS LIVERPOOL RESPONSABILIDADE LIMITADA</t>
        </is>
      </c>
      <c r="D43" s="121" t="inlineStr">
        <is>
          <t>concluído</t>
        </is>
      </c>
      <c r="E43" s="165" t="n">
        <v>4</v>
      </c>
      <c r="F43" s="165" t="n">
        <v>0</v>
      </c>
      <c r="G43" s="165" t="n">
        <v>0</v>
      </c>
      <c r="H43" s="121" t="inlineStr">
        <is>
          <t>consultado</t>
        </is>
      </c>
      <c r="I43" s="165" t="n">
        <v>105</v>
      </c>
      <c r="J43" s="121" t="n">
        <v>46235.84702546296</v>
      </c>
      <c r="K43" s="121" t="inlineStr">
        <is>
          <t>N/D</t>
        </is>
      </c>
      <c r="L43" s="121" t="inlineStr">
        <is>
          <t>carteira-101-document-audit/v2</t>
        </is>
      </c>
    </row>
    <row r="44" ht="34.5" customHeight="1">
      <c r="A44" s="164" t="n">
        <v>43616659000180</v>
      </c>
      <c r="B44" s="121" t="inlineStr">
        <is>
          <t>43.616.659/0001-80</t>
        </is>
      </c>
      <c r="C44" s="121" t="inlineStr">
        <is>
          <t>TALÓ 1 FUNDO DE INVESTIMENTO EM DIREITOS CREDITÓRIOS RESPONSABILIDADE LIMITADA</t>
        </is>
      </c>
      <c r="D44" s="121" t="inlineStr">
        <is>
          <t>concluído</t>
        </is>
      </c>
      <c r="E44" s="165" t="n">
        <v>6</v>
      </c>
      <c r="F44" s="165" t="n">
        <v>0</v>
      </c>
      <c r="G44" s="165" t="n">
        <v>0</v>
      </c>
      <c r="H44" s="121" t="inlineStr">
        <is>
          <t>consultado</t>
        </is>
      </c>
      <c r="I44" s="165" t="n">
        <v>110</v>
      </c>
      <c r="J44" s="121" t="n">
        <v>46235.84707175926</v>
      </c>
      <c r="K44" s="121" t="inlineStr">
        <is>
          <t>N/D</t>
        </is>
      </c>
      <c r="L44" s="121" t="inlineStr">
        <is>
          <t>carteira-101-document-audit/v2</t>
        </is>
      </c>
    </row>
    <row r="45" ht="34.5" customHeight="1">
      <c r="A45" s="164" t="n">
        <v>43866348000179</v>
      </c>
      <c r="B45" s="121" t="inlineStr">
        <is>
          <t>43.866.348/0001-79</t>
        </is>
      </c>
      <c r="C45" s="121" t="inlineStr">
        <is>
          <t>FUNDO DE INVESTIMENTO EM DIREITOS CREDITÓRIOS OPEA AGRO SUMITOMO CHEMICAL RESP LIMITADA</t>
        </is>
      </c>
      <c r="D45" s="121" t="inlineStr">
        <is>
          <t>concluído</t>
        </is>
      </c>
      <c r="E45" s="165" t="n">
        <v>8</v>
      </c>
      <c r="F45" s="165" t="n">
        <v>0</v>
      </c>
      <c r="G45" s="165" t="n">
        <v>0</v>
      </c>
      <c r="H45" s="121" t="inlineStr">
        <is>
          <t>consultado</t>
        </is>
      </c>
      <c r="I45" s="165" t="n">
        <v>123</v>
      </c>
      <c r="J45" s="121" t="n">
        <v>46235.85123842592</v>
      </c>
      <c r="K45" s="121" t="inlineStr">
        <is>
          <t>N/D</t>
        </is>
      </c>
      <c r="L45" s="121" t="inlineStr">
        <is>
          <t>carteira-101-document-audit/v2</t>
        </is>
      </c>
    </row>
    <row r="46" ht="34.5" customHeight="1">
      <c r="A46" s="164" t="n">
        <v>44124465000120</v>
      </c>
      <c r="B46" s="121" t="inlineStr">
        <is>
          <t>44.124.465/0001-20</t>
        </is>
      </c>
      <c r="C46" s="121" t="inlineStr">
        <is>
          <t>TMAQ 21 FUNDO DE INVESTIMENTO EM DIREITOS CREDITÓRIOS DE ARRANJOS DE PAGAMENTO DE RESPONSABILIDADE L</t>
        </is>
      </c>
      <c r="D46" s="121" t="inlineStr">
        <is>
          <t>concluído</t>
        </is>
      </c>
      <c r="E46" s="165" t="n">
        <v>6</v>
      </c>
      <c r="F46" s="165" t="n">
        <v>0</v>
      </c>
      <c r="G46" s="165" t="n">
        <v>0</v>
      </c>
      <c r="H46" s="121" t="inlineStr">
        <is>
          <t>consultado</t>
        </is>
      </c>
      <c r="I46" s="165" t="n">
        <v>119</v>
      </c>
      <c r="J46" s="121" t="n">
        <v>46235.85075231481</v>
      </c>
      <c r="K46" s="121" t="inlineStr">
        <is>
          <t>N/D</t>
        </is>
      </c>
      <c r="L46" s="121" t="inlineStr">
        <is>
          <t>carteira-101-document-audit/v2</t>
        </is>
      </c>
    </row>
    <row r="47" ht="34.5" customHeight="1">
      <c r="A47" s="164" t="n">
        <v>44124617000194</v>
      </c>
      <c r="B47" s="121" t="inlineStr">
        <is>
          <t>44.124.617/0001-94</t>
        </is>
      </c>
      <c r="C47" s="121" t="inlineStr">
        <is>
          <t>CLOUDWALK AKIRA II FIDC SEGMENTO MEIOS DE PAGAMENTO</t>
        </is>
      </c>
      <c r="D47" s="121" t="inlineStr">
        <is>
          <t>concluído</t>
        </is>
      </c>
      <c r="E47" s="165" t="n">
        <v>8</v>
      </c>
      <c r="F47" s="165" t="n">
        <v>4</v>
      </c>
      <c r="G47" s="165" t="n">
        <v>1</v>
      </c>
      <c r="H47" s="121" t="inlineStr">
        <is>
          <t>consultado</t>
        </is>
      </c>
      <c r="I47" s="165" t="n">
        <v>100</v>
      </c>
      <c r="J47" s="121" t="n">
        <v>46235.85057870371</v>
      </c>
      <c r="K47" s="121" t="inlineStr">
        <is>
          <t>N/D</t>
        </is>
      </c>
      <c r="L47" s="121" t="inlineStr">
        <is>
          <t>carteira-101-document-audit/v2</t>
        </is>
      </c>
    </row>
    <row r="48" ht="34.5" customHeight="1">
      <c r="A48" s="164" t="n">
        <v>44173467000109</v>
      </c>
      <c r="B48" s="121" t="inlineStr">
        <is>
          <t>44.173.467/0001-09</t>
        </is>
      </c>
      <c r="C48" s="121" t="inlineStr">
        <is>
          <t>MT INSS RECEIVABLES III FUNDO DE INVESTIMENTO EM DIREITOS CREDITÓRIOS RESPONSABILIDADE</t>
        </is>
      </c>
      <c r="D48" s="121" t="inlineStr">
        <is>
          <t>concluído</t>
        </is>
      </c>
      <c r="E48" s="165" t="n">
        <v>6</v>
      </c>
      <c r="F48" s="165" t="n">
        <v>6</v>
      </c>
      <c r="G48" s="165" t="n">
        <v>1</v>
      </c>
      <c r="H48" s="121" t="inlineStr">
        <is>
          <t>consultado</t>
        </is>
      </c>
      <c r="I48" s="165" t="n">
        <v>107</v>
      </c>
      <c r="J48" s="121" t="n">
        <v>46235.84538194445</v>
      </c>
      <c r="K48" s="121" t="inlineStr">
        <is>
          <t>N/D</t>
        </is>
      </c>
      <c r="L48" s="121" t="inlineStr">
        <is>
          <t>carteira-101-document-audit/v2</t>
        </is>
      </c>
    </row>
    <row r="49" ht="34.5" customHeight="1">
      <c r="A49" s="164" t="n">
        <v>44272584000120</v>
      </c>
      <c r="B49" s="121" t="inlineStr">
        <is>
          <t>44.272.584/0001-20</t>
        </is>
      </c>
      <c r="C49" s="121" t="inlineStr">
        <is>
          <t>LAVORO AGRO FIAGRO - DIREITOS CREDITÓRIOS - RESPONSABILIDADE LIMITADA</t>
        </is>
      </c>
      <c r="D49" s="121" t="inlineStr">
        <is>
          <t>concluído</t>
        </is>
      </c>
      <c r="E49" s="165" t="n">
        <v>6</v>
      </c>
      <c r="F49" s="165" t="n">
        <v>0</v>
      </c>
      <c r="G49" s="165" t="n">
        <v>0</v>
      </c>
      <c r="H49" s="121" t="inlineStr">
        <is>
          <t>consultado</t>
        </is>
      </c>
      <c r="I49" s="165" t="n">
        <v>120</v>
      </c>
      <c r="J49" s="121" t="n">
        <v>46235.85079861111</v>
      </c>
      <c r="K49" s="121" t="inlineStr">
        <is>
          <t>N/D</t>
        </is>
      </c>
      <c r="L49" s="121" t="inlineStr">
        <is>
          <t>carteira-101-document-audit/v2</t>
        </is>
      </c>
    </row>
    <row r="50" ht="34.5" customHeight="1">
      <c r="A50" s="164" t="n">
        <v>44574361000117</v>
      </c>
      <c r="B50" s="121" t="inlineStr">
        <is>
          <t>44.574.361/0001-17</t>
        </is>
      </c>
      <c r="C50" s="121" t="inlineStr">
        <is>
          <t>FUNDO DE INVESTIMENTO EM DIREITOS CREDITORIOS UPL 02 - RESPONSABILIDADE LIMITADA</t>
        </is>
      </c>
      <c r="D50" s="121" t="inlineStr">
        <is>
          <t>concluído</t>
        </is>
      </c>
      <c r="E50" s="165" t="n">
        <v>6</v>
      </c>
      <c r="F50" s="165" t="n">
        <v>0</v>
      </c>
      <c r="G50" s="165" t="n">
        <v>0</v>
      </c>
      <c r="H50" s="121" t="inlineStr">
        <is>
          <t>consultado</t>
        </is>
      </c>
      <c r="I50" s="165" t="n">
        <v>120</v>
      </c>
      <c r="J50" s="121" t="n">
        <v>46235.84746527778</v>
      </c>
      <c r="K50" s="121" t="inlineStr">
        <is>
          <t>N/D</t>
        </is>
      </c>
      <c r="L50" s="121" t="inlineStr">
        <is>
          <t>carteira-101-document-audit/v2</t>
        </is>
      </c>
    </row>
    <row r="51" ht="34.5" customHeight="1">
      <c r="A51" s="164" t="n">
        <v>45123558000100</v>
      </c>
      <c r="B51" s="121" t="inlineStr">
        <is>
          <t>45.123.558/0001-00</t>
        </is>
      </c>
      <c r="C51" s="121" t="inlineStr">
        <is>
          <t>N/D</t>
        </is>
      </c>
      <c r="D51" s="121" t="inlineStr">
        <is>
          <t>concluído</t>
        </is>
      </c>
      <c r="E51" s="165" t="n">
        <v>0</v>
      </c>
      <c r="F51" s="165" t="n">
        <v>0</v>
      </c>
      <c r="G51" s="165" t="n">
        <v>0</v>
      </c>
      <c r="H51" s="121" t="inlineStr">
        <is>
          <t>sem_documentos</t>
        </is>
      </c>
      <c r="I51" s="165" t="n">
        <v>0</v>
      </c>
      <c r="J51" s="121" t="n">
        <v>46235.84746527778</v>
      </c>
      <c r="K51" s="121" t="inlineStr">
        <is>
          <t>N/D</t>
        </is>
      </c>
      <c r="L51" s="121" t="inlineStr">
        <is>
          <t>carteira-101-document-audit/v2</t>
        </is>
      </c>
    </row>
    <row r="52" ht="34.5" customHeight="1">
      <c r="A52" s="164" t="n">
        <v>45523699000102</v>
      </c>
      <c r="B52" s="121" t="inlineStr">
        <is>
          <t>45.523.699/0001-02</t>
        </is>
      </c>
      <c r="C52" s="121" t="inlineStr">
        <is>
          <t>VIXTRA FUNDO DE INVESTIMENTO EM DIREITOS CREDITÓRIOS RESPONSABILIDADE LIMITADA</t>
        </is>
      </c>
      <c r="D52" s="121" t="inlineStr">
        <is>
          <t>concluído</t>
        </is>
      </c>
      <c r="E52" s="165" t="n">
        <v>9</v>
      </c>
      <c r="F52" s="165" t="n">
        <v>2</v>
      </c>
      <c r="G52" s="165" t="n">
        <v>1</v>
      </c>
      <c r="H52" s="121" t="inlineStr">
        <is>
          <t>consultado</t>
        </is>
      </c>
      <c r="I52" s="165" t="n">
        <v>143</v>
      </c>
      <c r="J52" s="121" t="n">
        <v>46235.84572916666</v>
      </c>
      <c r="K52" s="121" t="inlineStr">
        <is>
          <t>N/D</t>
        </is>
      </c>
      <c r="L52" s="121" t="inlineStr">
        <is>
          <t>carteira-101-document-audit/v2</t>
        </is>
      </c>
    </row>
    <row r="53" ht="34.5" customHeight="1">
      <c r="A53" s="164" t="n">
        <v>45598747000121</v>
      </c>
      <c r="B53" s="121" t="inlineStr">
        <is>
          <t>45.598.747/0001-21</t>
        </is>
      </c>
      <c r="C53" s="121" t="inlineStr">
        <is>
          <t>SUMUP SOLO FUNDO DE INVESTIMENTO EM DIREITOS CREDITÓRIOS SEGMENTO MEIOS DE PAGAMENTO DE RESPONSABILI</t>
        </is>
      </c>
      <c r="D53" s="121" t="inlineStr">
        <is>
          <t>concluído</t>
        </is>
      </c>
      <c r="E53" s="165" t="n">
        <v>9</v>
      </c>
      <c r="F53" s="165" t="n">
        <v>6</v>
      </c>
      <c r="G53" s="165" t="n">
        <v>1</v>
      </c>
      <c r="H53" s="121" t="inlineStr">
        <is>
          <t>consultado</t>
        </is>
      </c>
      <c r="I53" s="165" t="n">
        <v>93</v>
      </c>
      <c r="J53" s="121" t="n">
        <v>46235.84752314815</v>
      </c>
      <c r="K53" s="121" t="inlineStr">
        <is>
          <t>N/D</t>
        </is>
      </c>
      <c r="L53" s="121" t="inlineStr">
        <is>
          <t>carteira-101-document-audit/v2</t>
        </is>
      </c>
    </row>
    <row r="54" ht="34.5" customHeight="1">
      <c r="A54" s="164" t="n">
        <v>47151680000108</v>
      </c>
      <c r="B54" s="121" t="inlineStr">
        <is>
          <t>47.151.680/0001-08</t>
        </is>
      </c>
      <c r="C54" s="121" t="inlineStr">
        <is>
          <t>FARM TECH IBBA I FUNDO DE INVESTIMENTO EM DIREITOS CREDITÓRIOS RESPONSABILIDADE LIMITADA</t>
        </is>
      </c>
      <c r="D54" s="121" t="inlineStr">
        <is>
          <t>concluído</t>
        </is>
      </c>
      <c r="E54" s="165" t="n">
        <v>0</v>
      </c>
      <c r="F54" s="165" t="n">
        <v>0</v>
      </c>
      <c r="G54" s="165" t="n">
        <v>0</v>
      </c>
      <c r="H54" s="121" t="inlineStr">
        <is>
          <t>consultado</t>
        </is>
      </c>
      <c r="I54" s="165" t="n">
        <v>0</v>
      </c>
      <c r="J54" s="121" t="n">
        <v>46235.84697916666</v>
      </c>
      <c r="K54" s="121" t="inlineStr">
        <is>
          <t>Falha de rede ao acessar pesquisarGerenciadorDocumentosDados: The read operation timed out</t>
        </is>
      </c>
      <c r="L54" s="121" t="inlineStr">
        <is>
          <t>carteira-101-document-audit/v2</t>
        </is>
      </c>
    </row>
    <row r="55" ht="34.5" customHeight="1">
      <c r="A55" s="164" t="n">
        <v>47280025000150</v>
      </c>
      <c r="B55" s="121" t="inlineStr">
        <is>
          <t>47.280.025/0001-50</t>
        </is>
      </c>
      <c r="C55" s="121" t="inlineStr">
        <is>
          <t>FIDC AGRO CAPITAL FINANCE RESPONSABILIDADE LIMITADA</t>
        </is>
      </c>
      <c r="D55" s="121" t="inlineStr">
        <is>
          <t>concluído</t>
        </is>
      </c>
      <c r="E55" s="165" t="n">
        <v>9</v>
      </c>
      <c r="F55" s="165" t="n">
        <v>2</v>
      </c>
      <c r="G55" s="165" t="n">
        <v>1</v>
      </c>
      <c r="H55" s="121" t="inlineStr">
        <is>
          <t>consultado</t>
        </is>
      </c>
      <c r="I55" s="165" t="n">
        <v>120</v>
      </c>
      <c r="J55" s="121" t="n">
        <v>46235.85082175926</v>
      </c>
      <c r="K55" s="121" t="inlineStr">
        <is>
          <t>N/D</t>
        </is>
      </c>
      <c r="L55" s="121" t="inlineStr">
        <is>
          <t>carteira-101-document-audit/v2</t>
        </is>
      </c>
    </row>
    <row r="56" ht="34.5" customHeight="1">
      <c r="A56" s="164" t="n">
        <v>47425750000179</v>
      </c>
      <c r="B56" s="121" t="inlineStr">
        <is>
          <t>47.425.750/0001-79</t>
        </is>
      </c>
      <c r="C56" s="121" t="inlineStr">
        <is>
          <t>CEREALIS FUNDO DE INVESTIMENTO EM DIREITOS CREDITÓRIOS</t>
        </is>
      </c>
      <c r="D56" s="121" t="inlineStr">
        <is>
          <t>concluído</t>
        </is>
      </c>
      <c r="E56" s="165" t="n">
        <v>9</v>
      </c>
      <c r="F56" s="165" t="n">
        <v>2</v>
      </c>
      <c r="G56" s="165" t="n">
        <v>1</v>
      </c>
      <c r="H56" s="121" t="inlineStr">
        <is>
          <t>consultado</t>
        </is>
      </c>
      <c r="I56" s="165" t="n">
        <v>111</v>
      </c>
      <c r="J56" s="121" t="n">
        <v>46235.85137731482</v>
      </c>
      <c r="K56" s="121" t="inlineStr">
        <is>
          <t>N/D</t>
        </is>
      </c>
      <c r="L56" s="121" t="inlineStr">
        <is>
          <t>carteira-101-document-audit/v2</t>
        </is>
      </c>
    </row>
    <row r="57" ht="34.5" customHeight="1">
      <c r="A57" s="164" t="n">
        <v>47640584000123</v>
      </c>
      <c r="B57" s="121" t="inlineStr">
        <is>
          <t>47.640.584/0001-23</t>
        </is>
      </c>
      <c r="C57" s="121" t="inlineStr">
        <is>
          <t>SOL AGORA GREEN ESG FIDC IS SEGMENTO FINANCEIRO DE RESPONSABILIDADE LIMITADA</t>
        </is>
      </c>
      <c r="D57" s="121" t="inlineStr">
        <is>
          <t>concluído</t>
        </is>
      </c>
      <c r="E57" s="165" t="n">
        <v>8</v>
      </c>
      <c r="F57" s="165" t="n">
        <v>0</v>
      </c>
      <c r="G57" s="165" t="n">
        <v>0</v>
      </c>
      <c r="H57" s="121" t="inlineStr">
        <is>
          <t>consultado</t>
        </is>
      </c>
      <c r="I57" s="165" t="n">
        <v>114</v>
      </c>
      <c r="J57" s="121" t="n">
        <v>46235.85149305555</v>
      </c>
      <c r="K57" s="121" t="inlineStr">
        <is>
          <t>N/D</t>
        </is>
      </c>
      <c r="L57" s="121" t="inlineStr">
        <is>
          <t>carteira-101-document-audit/v2</t>
        </is>
      </c>
    </row>
    <row r="58" ht="34.5" customHeight="1">
      <c r="A58" s="164" t="n">
        <v>47936340000192</v>
      </c>
      <c r="B58" s="121" t="inlineStr">
        <is>
          <t>47.936.340/0001-92</t>
        </is>
      </c>
      <c r="C58" s="121" t="inlineStr">
        <is>
          <t>FUNDO DE INVESTIMENTO NAS CADEIAS PRODUTIVAS AGROINDUSTRIAIS OPEA AGRO INSUMOS RESPONSABILIDADE LIMI</t>
        </is>
      </c>
      <c r="D58" s="121" t="inlineStr">
        <is>
          <t>concluído</t>
        </is>
      </c>
      <c r="E58" s="165" t="n">
        <v>9</v>
      </c>
      <c r="F58" s="165" t="n">
        <v>2</v>
      </c>
      <c r="G58" s="165" t="n">
        <v>1</v>
      </c>
      <c r="H58" s="121" t="inlineStr">
        <is>
          <t>consultado</t>
        </is>
      </c>
      <c r="I58" s="165" t="n">
        <v>84</v>
      </c>
      <c r="J58" s="121" t="n">
        <v>46235.85427083333</v>
      </c>
      <c r="K58" s="121" t="inlineStr">
        <is>
          <t>N/D</t>
        </is>
      </c>
      <c r="L58" s="121" t="inlineStr">
        <is>
          <t>carteira-101-document-audit/v2</t>
        </is>
      </c>
    </row>
    <row r="59" ht="34.5" customHeight="1">
      <c r="A59" s="164" t="n">
        <v>48313595000161</v>
      </c>
      <c r="B59" s="121" t="inlineStr">
        <is>
          <t>48.313.595/0001-61</t>
        </is>
      </c>
      <c r="C59" s="121" t="inlineStr">
        <is>
          <t>IBBA AGRO BR FUNDO DE INVESTIMENTO EM DIREITOS CREDITÓRIOS</t>
        </is>
      </c>
      <c r="D59" s="121" t="inlineStr">
        <is>
          <t>concluído</t>
        </is>
      </c>
      <c r="E59" s="165" t="n">
        <v>4</v>
      </c>
      <c r="F59" s="165" t="n">
        <v>0</v>
      </c>
      <c r="G59" s="165" t="n">
        <v>0</v>
      </c>
      <c r="H59" s="121" t="inlineStr">
        <is>
          <t>consultado</t>
        </is>
      </c>
      <c r="I59" s="165" t="n">
        <v>75</v>
      </c>
      <c r="J59" s="121" t="n">
        <v>46235.84545138889</v>
      </c>
      <c r="K59" s="121" t="inlineStr">
        <is>
          <t>N/D</t>
        </is>
      </c>
      <c r="L59" s="121" t="inlineStr">
        <is>
          <t>carteira-101-document-audit/v2</t>
        </is>
      </c>
    </row>
    <row r="60" ht="34.5" customHeight="1">
      <c r="A60" s="164" t="n">
        <v>48946335000123</v>
      </c>
      <c r="B60" s="121" t="inlineStr">
        <is>
          <t>48.946.335/0001-23</t>
        </is>
      </c>
      <c r="C60" s="121" t="inlineStr">
        <is>
          <t>NAGRO OIKOS FUNDO DE INVESTIMENTO NAS CADEIAS PRODUTIVAS DO AGRONEGÓCIO</t>
        </is>
      </c>
      <c r="D60" s="121" t="inlineStr">
        <is>
          <t>concluído</t>
        </is>
      </c>
      <c r="E60" s="165" t="n">
        <v>8</v>
      </c>
      <c r="F60" s="165" t="n">
        <v>0</v>
      </c>
      <c r="G60" s="165" t="n">
        <v>0</v>
      </c>
      <c r="H60" s="121" t="inlineStr">
        <is>
          <t>consultado</t>
        </is>
      </c>
      <c r="I60" s="165" t="n">
        <v>101</v>
      </c>
      <c r="J60" s="121" t="n">
        <v>46235.8509375</v>
      </c>
      <c r="K60" s="121" t="inlineStr">
        <is>
          <t>N/D</t>
        </is>
      </c>
      <c r="L60" s="121" t="inlineStr">
        <is>
          <t>carteira-101-document-audit/v2</t>
        </is>
      </c>
    </row>
    <row r="61" ht="34.5" customHeight="1">
      <c r="A61" s="164" t="n">
        <v>48953864000154</v>
      </c>
      <c r="B61" s="121" t="inlineStr">
        <is>
          <t>48.953.864/0001-54</t>
        </is>
      </c>
      <c r="C61" s="121" t="inlineStr">
        <is>
          <t>FUNDO DE INVESTIMENTO EM DIREITOS CREDITORIOS ASAAS II - RESPONSABILIDADE LIMITADA</t>
        </is>
      </c>
      <c r="D61" s="121" t="inlineStr">
        <is>
          <t>concluído</t>
        </is>
      </c>
      <c r="E61" s="165" t="n">
        <v>6</v>
      </c>
      <c r="F61" s="165" t="n">
        <v>0</v>
      </c>
      <c r="G61" s="165" t="n">
        <v>0</v>
      </c>
      <c r="H61" s="121" t="inlineStr">
        <is>
          <t>consultado</t>
        </is>
      </c>
      <c r="I61" s="165" t="n">
        <v>61</v>
      </c>
      <c r="J61" s="121" t="n">
        <v>46235.85100694445</v>
      </c>
      <c r="K61" s="121" t="inlineStr">
        <is>
          <t>N/D</t>
        </is>
      </c>
      <c r="L61" s="121" t="inlineStr">
        <is>
          <t>carteira-101-document-audit/v2</t>
        </is>
      </c>
    </row>
    <row r="62" ht="34.5" customHeight="1">
      <c r="A62" s="164" t="n">
        <v>48967719000122</v>
      </c>
      <c r="B62" s="121" t="inlineStr">
        <is>
          <t>48.967.719/0001-22</t>
        </is>
      </c>
      <c r="C62" s="121" t="inlineStr">
        <is>
          <t>SOULPAY FUNDO DE INVESTIMENTO EM DIREITOS CREDITÓRIOS</t>
        </is>
      </c>
      <c r="D62" s="121" t="inlineStr">
        <is>
          <t>concluído</t>
        </is>
      </c>
      <c r="E62" s="165" t="n">
        <v>7</v>
      </c>
      <c r="F62" s="165" t="n">
        <v>0</v>
      </c>
      <c r="G62" s="165" t="n">
        <v>0</v>
      </c>
      <c r="H62" s="121" t="inlineStr">
        <is>
          <t>consultado</t>
        </is>
      </c>
      <c r="I62" s="165" t="n">
        <v>82</v>
      </c>
      <c r="J62" s="121" t="n">
        <v>46235.84505787037</v>
      </c>
      <c r="K62" s="121" t="inlineStr">
        <is>
          <t>N/D</t>
        </is>
      </c>
      <c r="L62" s="121" t="inlineStr">
        <is>
          <t>carteira-101-document-audit/v2</t>
        </is>
      </c>
    </row>
    <row r="63" ht="34.5" customHeight="1">
      <c r="A63" s="164" t="n">
        <v>49113994000141</v>
      </c>
      <c r="B63" s="121" t="inlineStr">
        <is>
          <t>49.113.994/0001-41</t>
        </is>
      </c>
      <c r="C63" s="121" t="inlineStr">
        <is>
          <t>FUNDO DE INVESTIMENTO EM DIREITOS CREDITÓRIOS CAP - RESPONSABILIDADE LIMITADA</t>
        </is>
      </c>
      <c r="D63" s="121" t="inlineStr">
        <is>
          <t>concluído</t>
        </is>
      </c>
      <c r="E63" s="165" t="n">
        <v>8</v>
      </c>
      <c r="F63" s="165" t="n">
        <v>0</v>
      </c>
      <c r="G63" s="165" t="n">
        <v>0</v>
      </c>
      <c r="H63" s="121" t="inlineStr">
        <is>
          <t>consultado</t>
        </is>
      </c>
      <c r="I63" s="165" t="n">
        <v>104</v>
      </c>
      <c r="J63" s="121" t="n">
        <v>46235.85178240741</v>
      </c>
      <c r="K63" s="121" t="inlineStr">
        <is>
          <t>N/D</t>
        </is>
      </c>
      <c r="L63" s="121" t="inlineStr">
        <is>
          <t>carteira-101-document-audit/v2</t>
        </is>
      </c>
    </row>
    <row r="64" ht="34.5" customHeight="1">
      <c r="A64" s="164" t="n">
        <v>50089559000108</v>
      </c>
      <c r="B64" s="121" t="inlineStr">
        <is>
          <t>50.089.559/0001-08</t>
        </is>
      </c>
      <c r="C64" s="121" t="inlineStr">
        <is>
          <t>AGRICONNECTION FIAGRO</t>
        </is>
      </c>
      <c r="D64" s="121" t="inlineStr">
        <is>
          <t>concluído</t>
        </is>
      </c>
      <c r="E64" s="165" t="n">
        <v>8</v>
      </c>
      <c r="F64" s="165" t="n">
        <v>0</v>
      </c>
      <c r="G64" s="165" t="n">
        <v>0</v>
      </c>
      <c r="H64" s="121" t="inlineStr">
        <is>
          <t>consultado</t>
        </is>
      </c>
      <c r="I64" s="165" t="n">
        <v>99</v>
      </c>
      <c r="J64" s="121" t="n">
        <v>46235.84649305556</v>
      </c>
      <c r="K64" s="121" t="inlineStr">
        <is>
          <t>N/D</t>
        </is>
      </c>
      <c r="L64" s="121" t="inlineStr">
        <is>
          <t>carteira-101-document-audit/v2</t>
        </is>
      </c>
    </row>
    <row r="65" ht="34.5" customHeight="1">
      <c r="A65" s="164" t="n">
        <v>50098465000103</v>
      </c>
      <c r="B65" s="121" t="inlineStr">
        <is>
          <t>50.098.465/0001-03</t>
        </is>
      </c>
      <c r="C65" s="121" t="inlineStr">
        <is>
          <t>CHEMICAL XIII - FUNDO DE INVESTIMENTO EM DIREITOS CREDITÓRIOS - INDÚSTRIA PETROQUÍMICA</t>
        </is>
      </c>
      <c r="D65" s="121" t="inlineStr">
        <is>
          <t>concluído</t>
        </is>
      </c>
      <c r="E65" s="165" t="n">
        <v>8</v>
      </c>
      <c r="F65" s="165" t="n">
        <v>0</v>
      </c>
      <c r="G65" s="165" t="n">
        <v>0</v>
      </c>
      <c r="H65" s="121" t="inlineStr">
        <is>
          <t>consultado</t>
        </is>
      </c>
      <c r="I65" s="165" t="n">
        <v>88</v>
      </c>
      <c r="J65" s="121" t="n">
        <v>46235.84504629629</v>
      </c>
      <c r="K65" s="121" t="inlineStr">
        <is>
          <t>N/D</t>
        </is>
      </c>
      <c r="L65" s="121" t="inlineStr">
        <is>
          <t>carteira-101-document-audit/v2</t>
        </is>
      </c>
    </row>
    <row r="66" ht="34.5" customHeight="1">
      <c r="A66" s="164" t="n">
        <v>50473039000102</v>
      </c>
      <c r="B66" s="121" t="inlineStr">
        <is>
          <t>50.473.039/0001-02</t>
        </is>
      </c>
      <c r="C66" s="121" t="inlineStr">
        <is>
          <t>SELLER FIDC SEGMENTO MEIOS DE PAGAMENTO DE RESPONSABILIDADE LIMITADA</t>
        </is>
      </c>
      <c r="D66" s="121" t="inlineStr">
        <is>
          <t>concluído</t>
        </is>
      </c>
      <c r="E66" s="165" t="n">
        <v>11</v>
      </c>
      <c r="F66" s="165" t="n">
        <v>4</v>
      </c>
      <c r="G66" s="165" t="n">
        <v>2</v>
      </c>
      <c r="H66" s="121" t="inlineStr">
        <is>
          <t>consultado</t>
        </is>
      </c>
      <c r="I66" s="165" t="n">
        <v>86</v>
      </c>
      <c r="J66" s="121" t="n">
        <v>46235.85107638889</v>
      </c>
      <c r="K66" s="121" t="inlineStr">
        <is>
          <t>N/D</t>
        </is>
      </c>
      <c r="L66" s="121" t="inlineStr">
        <is>
          <t>carteira-101-document-audit/v2</t>
        </is>
      </c>
    </row>
    <row r="67" ht="34.5" customHeight="1">
      <c r="A67" s="164" t="n">
        <v>50536324000117</v>
      </c>
      <c r="B67" s="121" t="inlineStr">
        <is>
          <t>50.536.324/0001-17</t>
        </is>
      </c>
      <c r="C67" s="121" t="inlineStr">
        <is>
          <t>MAQNELSON FUNDO DE INVESTIMENTO EM DIREITOS CREDITÓRIOS - RESPONSABILIDADE LIMITADA</t>
        </is>
      </c>
      <c r="D67" s="121" t="inlineStr">
        <is>
          <t>concluído</t>
        </is>
      </c>
      <c r="E67" s="165" t="n">
        <v>7</v>
      </c>
      <c r="F67" s="165" t="n">
        <v>2</v>
      </c>
      <c r="G67" s="165" t="n">
        <v>1</v>
      </c>
      <c r="H67" s="121" t="inlineStr">
        <is>
          <t>consultado</t>
        </is>
      </c>
      <c r="I67" s="165" t="n">
        <v>76</v>
      </c>
      <c r="J67" s="121" t="n">
        <v>46235.85424768519</v>
      </c>
      <c r="K67" s="121" t="inlineStr">
        <is>
          <t>N/D</t>
        </is>
      </c>
      <c r="L67" s="121" t="inlineStr">
        <is>
          <t>carteira-101-document-audit/v2</t>
        </is>
      </c>
    </row>
    <row r="68" ht="34.5" customHeight="1">
      <c r="A68" s="164" t="n">
        <v>50832746000130</v>
      </c>
      <c r="B68" s="121" t="inlineStr">
        <is>
          <t>50.832.746/0001-30</t>
        </is>
      </c>
      <c r="C68" s="121" t="inlineStr">
        <is>
          <t>BOASAFRA FUNDO DE INVESTIMENTO EM DIREITOS CREDITÓRIOS DO AGRONEGÓCIO RESPONSABILIDADE LIMITADA</t>
        </is>
      </c>
      <c r="D68" s="121" t="inlineStr">
        <is>
          <t>concluído</t>
        </is>
      </c>
      <c r="E68" s="165" t="n">
        <v>8</v>
      </c>
      <c r="F68" s="165" t="n">
        <v>0</v>
      </c>
      <c r="G68" s="165" t="n">
        <v>0</v>
      </c>
      <c r="H68" s="121" t="inlineStr">
        <is>
          <t>consultado</t>
        </is>
      </c>
      <c r="I68" s="165" t="n">
        <v>62</v>
      </c>
      <c r="J68" s="121" t="n">
        <v>46235.84510416666</v>
      </c>
      <c r="K68" s="121" t="inlineStr">
        <is>
          <t>N/D</t>
        </is>
      </c>
      <c r="L68" s="121" t="inlineStr">
        <is>
          <t>carteira-101-document-audit/v2</t>
        </is>
      </c>
    </row>
    <row r="69" ht="34.5" customHeight="1">
      <c r="A69" s="164" t="n">
        <v>50857998000113</v>
      </c>
      <c r="B69" s="121" t="inlineStr">
        <is>
          <t>50.857.998/0001-13</t>
        </is>
      </c>
      <c r="C69" s="121" t="inlineStr">
        <is>
          <t>LEO MADEIRAS FIDC SEGMENTO MEIOS DE PAGAMENTO DE RESPONSABILIDADE LIMITADA</t>
        </is>
      </c>
      <c r="D69" s="121" t="inlineStr">
        <is>
          <t>concluído</t>
        </is>
      </c>
      <c r="E69" s="165" t="n">
        <v>6</v>
      </c>
      <c r="F69" s="165" t="n">
        <v>0</v>
      </c>
      <c r="G69" s="165" t="n">
        <v>0</v>
      </c>
      <c r="H69" s="121" t="inlineStr">
        <is>
          <t>consultado</t>
        </is>
      </c>
      <c r="I69" s="165" t="n">
        <v>78</v>
      </c>
      <c r="J69" s="121" t="n">
        <v>46235.84748842593</v>
      </c>
      <c r="K69" s="121" t="inlineStr">
        <is>
          <t>N/D</t>
        </is>
      </c>
      <c r="L69" s="121" t="inlineStr">
        <is>
          <t>carteira-101-document-audit/v2</t>
        </is>
      </c>
    </row>
    <row r="70" ht="34.5" customHeight="1">
      <c r="A70" s="164" t="n">
        <v>50988212000105</v>
      </c>
      <c r="B70" s="121" t="inlineStr">
        <is>
          <t>50.988.212/0001-05</t>
        </is>
      </c>
      <c r="C70" s="121" t="inlineStr">
        <is>
          <t>CARTÃO DE COMPRA SUPPLIER FUNDO DE INVESTIMENTO EM DIREITOS CREDITÓRIOS II-RESPONSABILIDADE LIMITADA</t>
        </is>
      </c>
      <c r="D70" s="121" t="inlineStr">
        <is>
          <t>concluído</t>
        </is>
      </c>
      <c r="E70" s="165" t="n">
        <v>7</v>
      </c>
      <c r="F70" s="165" t="n">
        <v>6</v>
      </c>
      <c r="G70" s="165" t="n">
        <v>1</v>
      </c>
      <c r="H70" s="121" t="inlineStr">
        <is>
          <t>consultado</t>
        </is>
      </c>
      <c r="I70" s="165" t="n">
        <v>75</v>
      </c>
      <c r="J70" s="121" t="n">
        <v>46235.85111111111</v>
      </c>
      <c r="K70" s="121" t="inlineStr">
        <is>
          <t>N/D</t>
        </is>
      </c>
      <c r="L70" s="121" t="inlineStr">
        <is>
          <t>carteira-101-document-audit/v2</t>
        </is>
      </c>
    </row>
    <row r="71" ht="34.5" customHeight="1">
      <c r="A71" s="164" t="n">
        <v>51554551000138</v>
      </c>
      <c r="B71" s="121" t="inlineStr">
        <is>
          <t>51.554.551/0001-38</t>
        </is>
      </c>
      <c r="C71" s="121" t="inlineStr">
        <is>
          <t>CLASSE ÚNICA DO FIDC CRÉDITO NITRO AGRO - RESPONSABILIDADE LIMITADA</t>
        </is>
      </c>
      <c r="D71" s="121" t="inlineStr">
        <is>
          <t>concluído</t>
        </is>
      </c>
      <c r="E71" s="165" t="n">
        <v>8</v>
      </c>
      <c r="F71" s="165" t="n">
        <v>0</v>
      </c>
      <c r="G71" s="165" t="n">
        <v>0</v>
      </c>
      <c r="H71" s="121" t="inlineStr">
        <is>
          <t>consultado</t>
        </is>
      </c>
      <c r="I71" s="165" t="n">
        <v>86</v>
      </c>
      <c r="J71" s="121" t="n">
        <v>46235.85134259259</v>
      </c>
      <c r="K71" s="121" t="inlineStr">
        <is>
          <t>N/D</t>
        </is>
      </c>
      <c r="L71" s="121" t="inlineStr">
        <is>
          <t>carteira-101-document-audit/v2</t>
        </is>
      </c>
    </row>
    <row r="72" ht="34.5" customHeight="1">
      <c r="A72" s="164" t="n">
        <v>52100879000147</v>
      </c>
      <c r="B72" s="121" t="inlineStr">
        <is>
          <t>52.100.879/0001-47</t>
        </is>
      </c>
      <c r="C72" s="121" t="inlineStr">
        <is>
          <t>SOTREQ FUNDO DE INVESTIMENTO EM DIREITOS CREDITÓRIOS - RESPONSABILIDADE LIMITADA</t>
        </is>
      </c>
      <c r="D72" s="121" t="inlineStr">
        <is>
          <t>concluído</t>
        </is>
      </c>
      <c r="E72" s="165" t="n">
        <v>5</v>
      </c>
      <c r="F72" s="165" t="n">
        <v>0</v>
      </c>
      <c r="G72" s="165" t="n">
        <v>0</v>
      </c>
      <c r="H72" s="121" t="inlineStr">
        <is>
          <t>consultado</t>
        </is>
      </c>
      <c r="I72" s="165" t="n">
        <v>83</v>
      </c>
      <c r="J72" s="121" t="n">
        <v>46235.84469907408</v>
      </c>
      <c r="K72" s="121" t="inlineStr">
        <is>
          <t>N/D</t>
        </is>
      </c>
      <c r="L72" s="121" t="inlineStr">
        <is>
          <t>carteira-101-document-audit/v2</t>
        </is>
      </c>
    </row>
    <row r="73" ht="34.5" customHeight="1">
      <c r="A73" s="164" t="n">
        <v>52271464000136</v>
      </c>
      <c r="B73" s="121" t="inlineStr">
        <is>
          <t>52.271.464/0001-36</t>
        </is>
      </c>
      <c r="C73" s="121" t="inlineStr">
        <is>
          <t>KIWIFY FUNDO DE INVESTIMENTO EM DIREITOS CREDITÓRIOS SEGMENTO MEIOS DE PAGAMENTO DE RESPONSABILIDADE</t>
        </is>
      </c>
      <c r="D73" s="121" t="inlineStr">
        <is>
          <t>concluído</t>
        </is>
      </c>
      <c r="E73" s="165" t="n">
        <v>6</v>
      </c>
      <c r="F73" s="165" t="n">
        <v>0</v>
      </c>
      <c r="G73" s="165" t="n">
        <v>0</v>
      </c>
      <c r="H73" s="121" t="inlineStr">
        <is>
          <t>consultado</t>
        </is>
      </c>
      <c r="I73" s="165" t="n">
        <v>95</v>
      </c>
      <c r="J73" s="121" t="n">
        <v>46235.85069444445</v>
      </c>
      <c r="K73" s="121" t="inlineStr">
        <is>
          <t>N/D</t>
        </is>
      </c>
      <c r="L73" s="121" t="inlineStr">
        <is>
          <t>carteira-101-document-audit/v2</t>
        </is>
      </c>
    </row>
    <row r="74" ht="34.5" customHeight="1">
      <c r="A74" s="164" t="n">
        <v>52340225000190</v>
      </c>
      <c r="B74" s="121" t="inlineStr">
        <is>
          <t>52.340.225/0001-90</t>
        </is>
      </c>
      <c r="C74" s="121" t="inlineStr">
        <is>
          <t>INOVA CREDTECH III FIDC SEGMENTO MULTICARTEIRA DE RESPONSABILIDADE LIMITADA</t>
        </is>
      </c>
      <c r="D74" s="121" t="inlineStr">
        <is>
          <t>concluído</t>
        </is>
      </c>
      <c r="E74" s="165" t="n">
        <v>8</v>
      </c>
      <c r="F74" s="165" t="n">
        <v>6</v>
      </c>
      <c r="G74" s="165" t="n">
        <v>1</v>
      </c>
      <c r="H74" s="121" t="inlineStr">
        <is>
          <t>consultado</t>
        </is>
      </c>
      <c r="I74" s="165" t="n">
        <v>105</v>
      </c>
      <c r="J74" s="121" t="n">
        <v>46235.85159722222</v>
      </c>
      <c r="K74" s="121" t="inlineStr">
        <is>
          <t>N/D</t>
        </is>
      </c>
      <c r="L74" s="121" t="inlineStr">
        <is>
          <t>carteira-101-document-audit/v2</t>
        </is>
      </c>
    </row>
    <row r="75" ht="34.5" customHeight="1">
      <c r="A75" s="164" t="n">
        <v>52343195000176</v>
      </c>
      <c r="B75" s="121" t="inlineStr">
        <is>
          <t>52.343.195/0001-76</t>
        </is>
      </c>
      <c r="C75" s="121" t="inlineStr">
        <is>
          <t>FARMTECH SYNGENTA FUNDO DE INVESTIMENTO EM DIREITOS CREDITÓRIOS RESPONSABILIDADE LIMITADA</t>
        </is>
      </c>
      <c r="D75" s="121" t="inlineStr">
        <is>
          <t>concluído</t>
        </is>
      </c>
      <c r="E75" s="165" t="n">
        <v>5</v>
      </c>
      <c r="F75" s="165" t="n">
        <v>0</v>
      </c>
      <c r="G75" s="165" t="n">
        <v>0</v>
      </c>
      <c r="H75" s="121" t="inlineStr">
        <is>
          <t>consultado</t>
        </is>
      </c>
      <c r="I75" s="165" t="n">
        <v>51</v>
      </c>
      <c r="J75" s="121" t="n">
        <v>46235.84738425926</v>
      </c>
      <c r="K75" s="121" t="inlineStr">
        <is>
          <t>N/D</t>
        </is>
      </c>
      <c r="L75" s="121" t="inlineStr">
        <is>
          <t>carteira-101-document-audit/v2</t>
        </is>
      </c>
    </row>
    <row r="76" ht="34.5" customHeight="1">
      <c r="A76" s="164" t="n">
        <v>52968533000165</v>
      </c>
      <c r="B76" s="121" t="inlineStr">
        <is>
          <t>52.968.533/0001-65</t>
        </is>
      </c>
      <c r="C76" s="121" t="inlineStr">
        <is>
          <t>MCPO FUNDO DE INVESTIMENTO EM DIREITOS CREDITÓRIOS</t>
        </is>
      </c>
      <c r="D76" s="121" t="inlineStr">
        <is>
          <t>concluído</t>
        </is>
      </c>
      <c r="E76" s="165" t="n">
        <v>6</v>
      </c>
      <c r="F76" s="165" t="n">
        <v>0</v>
      </c>
      <c r="G76" s="165" t="n">
        <v>0</v>
      </c>
      <c r="H76" s="121" t="inlineStr">
        <is>
          <t>consultado</t>
        </is>
      </c>
      <c r="I76" s="165" t="n">
        <v>69</v>
      </c>
      <c r="J76" s="121" t="n">
        <v>46235.85422453703</v>
      </c>
      <c r="K76" s="121" t="inlineStr">
        <is>
          <t>N/D</t>
        </is>
      </c>
      <c r="L76" s="121" t="inlineStr">
        <is>
          <t>carteira-101-document-audit/v2</t>
        </is>
      </c>
    </row>
    <row r="77" ht="34.5" customHeight="1">
      <c r="A77" s="164" t="n">
        <v>53270983000142</v>
      </c>
      <c r="B77" s="121" t="inlineStr">
        <is>
          <t>53.270.983/0001-42</t>
        </is>
      </c>
      <c r="C77" s="121" t="inlineStr">
        <is>
          <t>ANGÁ FGTS +AG FUNDO DE INVESTIMENTO EM DIREITOS CREDITÓRIOS - RESPONSABILIDADE LIMITADA</t>
        </is>
      </c>
      <c r="D77" s="121" t="inlineStr">
        <is>
          <t>concluído</t>
        </is>
      </c>
      <c r="E77" s="165" t="n">
        <v>6</v>
      </c>
      <c r="F77" s="165" t="n">
        <v>0</v>
      </c>
      <c r="G77" s="165" t="n">
        <v>0</v>
      </c>
      <c r="H77" s="121" t="inlineStr">
        <is>
          <t>consultado</t>
        </is>
      </c>
      <c r="I77" s="165" t="n">
        <v>60</v>
      </c>
      <c r="J77" s="121" t="n">
        <v>46235.84465277778</v>
      </c>
      <c r="K77" s="121" t="inlineStr">
        <is>
          <t>N/D</t>
        </is>
      </c>
      <c r="L77" s="121" t="inlineStr">
        <is>
          <t>carteira-101-document-audit/v2</t>
        </is>
      </c>
    </row>
    <row r="78" ht="34.5" customHeight="1">
      <c r="A78" s="164" t="n">
        <v>53577135000180</v>
      </c>
      <c r="B78" s="121" t="inlineStr">
        <is>
          <t>53.577.135/0001-80</t>
        </is>
      </c>
      <c r="C78" s="121" t="inlineStr">
        <is>
          <t>ANGÁ FGTS II FUNDO DE INVESTIMENTO EM DIREITOS CREDITÓRIOS - RESPONSABILIDADE LIMITADA</t>
        </is>
      </c>
      <c r="D78" s="121" t="inlineStr">
        <is>
          <t>concluído</t>
        </is>
      </c>
      <c r="E78" s="165" t="n">
        <v>6</v>
      </c>
      <c r="F78" s="165" t="n">
        <v>0</v>
      </c>
      <c r="G78" s="165" t="n">
        <v>0</v>
      </c>
      <c r="H78" s="121" t="inlineStr">
        <is>
          <t>consultado</t>
        </is>
      </c>
      <c r="I78" s="165" t="n">
        <v>76</v>
      </c>
      <c r="J78" s="121" t="n">
        <v>46235.84498842592</v>
      </c>
      <c r="K78" s="121" t="inlineStr">
        <is>
          <t>N/D</t>
        </is>
      </c>
      <c r="L78" s="121" t="inlineStr">
        <is>
          <t>carteira-101-document-audit/v2</t>
        </is>
      </c>
    </row>
    <row r="79" ht="34.5" customHeight="1">
      <c r="A79" s="164" t="n">
        <v>53662209000187</v>
      </c>
      <c r="B79" s="121" t="inlineStr">
        <is>
          <t>53.662.209/0001-87</t>
        </is>
      </c>
      <c r="C79" s="121" t="inlineStr">
        <is>
          <t>PNEUCASH FUNDO DE INVESTIMENTO EM DIREITOS CREDITÓRIOS DE CLASSE ÚNICA FECHADA - RESP LTDA</t>
        </is>
      </c>
      <c r="D79" s="121" t="inlineStr">
        <is>
          <t>concluído</t>
        </is>
      </c>
      <c r="E79" s="165" t="n">
        <v>9</v>
      </c>
      <c r="F79" s="165" t="n">
        <v>2</v>
      </c>
      <c r="G79" s="165" t="n">
        <v>1</v>
      </c>
      <c r="H79" s="121" t="inlineStr">
        <is>
          <t>consultado</t>
        </is>
      </c>
      <c r="I79" s="165" t="n">
        <v>80</v>
      </c>
      <c r="J79" s="121" t="n">
        <v>46235.84496527778</v>
      </c>
      <c r="K79" s="121" t="inlineStr">
        <is>
          <t>N/D</t>
        </is>
      </c>
      <c r="L79" s="121" t="inlineStr">
        <is>
          <t>carteira-101-document-audit/v2</t>
        </is>
      </c>
    </row>
    <row r="80" ht="34.5" customHeight="1">
      <c r="A80" s="164" t="n">
        <v>54083697000130</v>
      </c>
      <c r="B80" s="121" t="inlineStr">
        <is>
          <t>54.083.697/0001-30</t>
        </is>
      </c>
      <c r="C80" s="121" t="inlineStr">
        <is>
          <t>PERNAMBUCANAS FIDC DE RESPONSABILIDADE LIMITADA</t>
        </is>
      </c>
      <c r="D80" s="121" t="inlineStr">
        <is>
          <t>concluído</t>
        </is>
      </c>
      <c r="E80" s="165" t="n">
        <v>0</v>
      </c>
      <c r="F80" s="165" t="n">
        <v>0</v>
      </c>
      <c r="G80" s="165" t="n">
        <v>0</v>
      </c>
      <c r="H80" s="121" t="inlineStr">
        <is>
          <t>consultado</t>
        </is>
      </c>
      <c r="I80" s="165" t="n">
        <v>0</v>
      </c>
      <c r="J80" s="121" t="n">
        <v>46235.8462037037</v>
      </c>
      <c r="K80" s="121" t="inlineStr">
        <is>
          <t>Falha de rede ao acessar pesquisarGerenciadorDocumentosDados: The read operation timed out</t>
        </is>
      </c>
      <c r="L80" s="121" t="inlineStr">
        <is>
          <t>carteira-101-document-audit/v2</t>
        </is>
      </c>
    </row>
    <row r="81" ht="34.5" customHeight="1">
      <c r="A81" s="164" t="n">
        <v>54252144000164</v>
      </c>
      <c r="B81" s="121" t="inlineStr">
        <is>
          <t>54.252.144/0001-64</t>
        </is>
      </c>
      <c r="C81" s="121" t="inlineStr">
        <is>
          <t>J17 FGTS FUNDO DE INVESTIMENTO EM DIREITOS CREDITÓRIOS FINANCEIRO - RESPONSABILIDADE LIMITADA</t>
        </is>
      </c>
      <c r="D81" s="121" t="inlineStr">
        <is>
          <t>concluído</t>
        </is>
      </c>
      <c r="E81" s="165" t="n">
        <v>10</v>
      </c>
      <c r="F81" s="165" t="n">
        <v>6</v>
      </c>
      <c r="G81" s="165" t="n">
        <v>2</v>
      </c>
      <c r="H81" s="121" t="inlineStr">
        <is>
          <t>consultado</t>
        </is>
      </c>
      <c r="I81" s="165" t="n">
        <v>95</v>
      </c>
      <c r="J81" s="121" t="n">
        <v>46235.84542824074</v>
      </c>
      <c r="K81" s="121" t="inlineStr">
        <is>
          <t>N/D</t>
        </is>
      </c>
      <c r="L81" s="121" t="inlineStr">
        <is>
          <t>carteira-101-document-audit/v2</t>
        </is>
      </c>
    </row>
    <row r="82" ht="34.5" customHeight="1">
      <c r="A82" s="164" t="n">
        <v>54464892000100</v>
      </c>
      <c r="B82" s="121" t="inlineStr">
        <is>
          <t>54.464.892/0001-00</t>
        </is>
      </c>
      <c r="C82" s="121" t="inlineStr">
        <is>
          <t>FUNDO DE INVESTIMENTO EM DIREITOS CREDITÓRIOS MT FGTS RECEIVABLES II</t>
        </is>
      </c>
      <c r="D82" s="121" t="inlineStr">
        <is>
          <t>concluído</t>
        </is>
      </c>
      <c r="E82" s="165" t="n">
        <v>6</v>
      </c>
      <c r="F82" s="165" t="n">
        <v>0</v>
      </c>
      <c r="G82" s="165" t="n">
        <v>0</v>
      </c>
      <c r="H82" s="121" t="inlineStr">
        <is>
          <t>consultado</t>
        </is>
      </c>
      <c r="I82" s="165" t="n">
        <v>93</v>
      </c>
      <c r="J82" s="121" t="n">
        <v>46235.85155092592</v>
      </c>
      <c r="K82" s="121" t="inlineStr">
        <is>
          <t>N/D</t>
        </is>
      </c>
      <c r="L82" s="121" t="inlineStr">
        <is>
          <t>carteira-101-document-audit/v2</t>
        </is>
      </c>
    </row>
    <row r="83" ht="34.5" customHeight="1">
      <c r="A83" s="164" t="n">
        <v>54559035000194</v>
      </c>
      <c r="B83" s="121" t="inlineStr">
        <is>
          <t>54.559.035/0001-94</t>
        </is>
      </c>
      <c r="C83" s="121" t="inlineStr">
        <is>
          <t>ESTRATÉGIA VINCULADA I FUNDO DE INVESTIMENTO EM DIREITOS CREDITÓRIOS - RESPONSABILIDADE LIMITADA</t>
        </is>
      </c>
      <c r="D83" s="121" t="inlineStr">
        <is>
          <t>concluído</t>
        </is>
      </c>
      <c r="E83" s="165" t="n">
        <v>7</v>
      </c>
      <c r="F83" s="165" t="n">
        <v>6</v>
      </c>
      <c r="G83" s="165" t="n">
        <v>2</v>
      </c>
      <c r="H83" s="121" t="inlineStr">
        <is>
          <t>consultado</t>
        </is>
      </c>
      <c r="I83" s="165" t="n">
        <v>46</v>
      </c>
      <c r="J83" s="121" t="n">
        <v>46235.85118055555</v>
      </c>
      <c r="K83" s="121" t="inlineStr">
        <is>
          <t>N/D</t>
        </is>
      </c>
      <c r="L83" s="121" t="inlineStr">
        <is>
          <t>carteira-101-document-audit/v2</t>
        </is>
      </c>
    </row>
    <row r="84" ht="34.5" customHeight="1">
      <c r="A84" s="164" t="n">
        <v>54810968000102</v>
      </c>
      <c r="B84" s="121" t="inlineStr">
        <is>
          <t>54.810.968/0001-02</t>
        </is>
      </c>
      <c r="C84" s="121" t="inlineStr">
        <is>
          <t>ANGÁ FGTS III FUNDO DE INVESTIMENTO EM DIREITOS CREDITÓRIOS</t>
        </is>
      </c>
      <c r="D84" s="121" t="inlineStr">
        <is>
          <t>concluído</t>
        </is>
      </c>
      <c r="E84" s="165" t="n">
        <v>8</v>
      </c>
      <c r="F84" s="165" t="n">
        <v>5</v>
      </c>
      <c r="G84" s="165" t="n">
        <v>1</v>
      </c>
      <c r="H84" s="121" t="inlineStr">
        <is>
          <t>consultado</t>
        </is>
      </c>
      <c r="I84" s="165" t="n">
        <v>56</v>
      </c>
      <c r="J84" s="121" t="n">
        <v>46235.84461805555</v>
      </c>
      <c r="K84" s="121" t="inlineStr">
        <is>
          <t>N/D</t>
        </is>
      </c>
      <c r="L84" s="121" t="inlineStr">
        <is>
          <t>carteira-101-document-audit/v2</t>
        </is>
      </c>
    </row>
    <row r="85" ht="34.5" customHeight="1">
      <c r="A85" s="164" t="n">
        <v>54857414000160</v>
      </c>
      <c r="B85" s="121" t="inlineStr">
        <is>
          <t>54.857.414/0001-60</t>
        </is>
      </c>
      <c r="C85" s="121" t="inlineStr">
        <is>
          <t>INDIE MERX RAIZ I CRÉDITO AGRO FIDC DO AGRONEGÓCIO - RESPONSABILIDADE LIMITADA</t>
        </is>
      </c>
      <c r="D85" s="121" t="inlineStr">
        <is>
          <t>concluído</t>
        </is>
      </c>
      <c r="E85" s="165" t="n">
        <v>6</v>
      </c>
      <c r="F85" s="165" t="n">
        <v>0</v>
      </c>
      <c r="G85" s="165" t="n">
        <v>0</v>
      </c>
      <c r="H85" s="121" t="inlineStr">
        <is>
          <t>consultado</t>
        </is>
      </c>
      <c r="I85" s="165" t="n">
        <v>69</v>
      </c>
      <c r="J85" s="121" t="n">
        <v>46235.85072916667</v>
      </c>
      <c r="K85" s="121" t="inlineStr">
        <is>
          <t>N/D</t>
        </is>
      </c>
      <c r="L85" s="121" t="inlineStr">
        <is>
          <t>carteira-101-document-audit/v2</t>
        </is>
      </c>
    </row>
    <row r="86" ht="34.5" customHeight="1">
      <c r="A86" s="164" t="n">
        <v>55070804000159</v>
      </c>
      <c r="B86" s="121" t="inlineStr">
        <is>
          <t>55.070.804/0001-59</t>
        </is>
      </c>
      <c r="C86" s="121" t="inlineStr">
        <is>
          <t>ESTRATÉGIA VINCULADA II FUNDO DE INVESTIMENTO EM DIREITOS CREDITÓRIOS - RESPONSABILIDADE LIMITADA</t>
        </is>
      </c>
      <c r="D86" s="121" t="inlineStr">
        <is>
          <t>concluído</t>
        </is>
      </c>
      <c r="E86" s="165" t="n">
        <v>6</v>
      </c>
      <c r="F86" s="165" t="n">
        <v>6</v>
      </c>
      <c r="G86" s="165" t="n">
        <v>2</v>
      </c>
      <c r="H86" s="121" t="inlineStr">
        <is>
          <t>consultado</t>
        </is>
      </c>
      <c r="I86" s="165" t="n">
        <v>43</v>
      </c>
      <c r="J86" s="121" t="n">
        <v>46235.85118055555</v>
      </c>
      <c r="K86" s="121" t="inlineStr">
        <is>
          <t>N/D</t>
        </is>
      </c>
      <c r="L86" s="121" t="inlineStr">
        <is>
          <t>carteira-101-document-audit/v2</t>
        </is>
      </c>
    </row>
    <row r="87" ht="34.5" customHeight="1">
      <c r="A87" s="164" t="n">
        <v>55374251000128</v>
      </c>
      <c r="B87" s="121" t="inlineStr">
        <is>
          <t>55.374.251/0001-28</t>
        </is>
      </c>
      <c r="C87" s="121" t="inlineStr">
        <is>
          <t>FUNDO DE INVESTIMENTO EM DIREITOS CREDITÓRIOS BLUE II SEGMENTO CRÉDITO CORPORATIVO DE RESP LTDA</t>
        </is>
      </c>
      <c r="D87" s="121" t="inlineStr">
        <is>
          <t>concluído</t>
        </is>
      </c>
      <c r="E87" s="165" t="n">
        <v>8</v>
      </c>
      <c r="F87" s="165" t="n">
        <v>1</v>
      </c>
      <c r="G87" s="165" t="n">
        <v>1</v>
      </c>
      <c r="H87" s="121" t="inlineStr">
        <is>
          <t>consultado</t>
        </is>
      </c>
      <c r="I87" s="165" t="n">
        <v>80</v>
      </c>
      <c r="J87" s="121" t="n">
        <v>46235.85094907408</v>
      </c>
      <c r="K87" s="121" t="inlineStr">
        <is>
          <t>N/D</t>
        </is>
      </c>
      <c r="L87" s="121" t="inlineStr">
        <is>
          <t>carteira-101-document-audit/v2</t>
        </is>
      </c>
    </row>
    <row r="88" ht="34.5" customHeight="1">
      <c r="A88" s="164" t="n">
        <v>55401645000128</v>
      </c>
      <c r="B88" s="121" t="inlineStr">
        <is>
          <t>55.401.645/0001-28</t>
        </is>
      </c>
      <c r="C88" s="121" t="inlineStr">
        <is>
          <t>QUATÁ FDC FGTS FUNDO DE INVESTIMENTO EM DIREITOS CREDITÓRIOS</t>
        </is>
      </c>
      <c r="D88" s="121" t="inlineStr">
        <is>
          <t>concluído</t>
        </is>
      </c>
      <c r="E88" s="165" t="n">
        <v>8</v>
      </c>
      <c r="F88" s="165" t="n">
        <v>6</v>
      </c>
      <c r="G88" s="165" t="n">
        <v>1</v>
      </c>
      <c r="H88" s="121" t="inlineStr">
        <is>
          <t>consultado</t>
        </is>
      </c>
      <c r="I88" s="165" t="n">
        <v>60</v>
      </c>
      <c r="J88" s="121" t="n">
        <v>46235.85076388889</v>
      </c>
      <c r="K88" s="121" t="inlineStr">
        <is>
          <t>N/D</t>
        </is>
      </c>
      <c r="L88" s="121" t="inlineStr">
        <is>
          <t>carteira-101-document-audit/v2</t>
        </is>
      </c>
    </row>
    <row r="89" ht="34.5" customHeight="1">
      <c r="A89" s="164" t="n">
        <v>55476342000174</v>
      </c>
      <c r="B89" s="121" t="inlineStr">
        <is>
          <t>55.476.342/0001-74</t>
        </is>
      </c>
      <c r="C89" s="121" t="inlineStr">
        <is>
          <t>LAVORO AGRO II FIAGRO - DIREITOS CREDITÓRIOS - RESPONSABILIDADE LIMITADA</t>
        </is>
      </c>
      <c r="D89" s="121" t="inlineStr">
        <is>
          <t>concluído</t>
        </is>
      </c>
      <c r="E89" s="165" t="n">
        <v>6</v>
      </c>
      <c r="F89" s="165" t="n">
        <v>0</v>
      </c>
      <c r="G89" s="165" t="n">
        <v>0</v>
      </c>
      <c r="H89" s="121" t="inlineStr">
        <is>
          <t>consultado</t>
        </is>
      </c>
      <c r="I89" s="165" t="n">
        <v>61</v>
      </c>
      <c r="J89" s="121" t="n">
        <v>46235.85087962963</v>
      </c>
      <c r="K89" s="121" t="inlineStr">
        <is>
          <t>N/D</t>
        </is>
      </c>
      <c r="L89" s="121" t="inlineStr">
        <is>
          <t>carteira-101-document-audit/v2</t>
        </is>
      </c>
    </row>
    <row r="90" ht="34.5" customHeight="1">
      <c r="A90" s="164" t="n">
        <v>56936116000191</v>
      </c>
      <c r="B90" s="121" t="inlineStr">
        <is>
          <t>56.936.116/0001-91</t>
        </is>
      </c>
      <c r="C90" s="121" t="inlineStr">
        <is>
          <t>FATOR TARKEN FIAGRO</t>
        </is>
      </c>
      <c r="D90" s="121" t="inlineStr">
        <is>
          <t>concluído</t>
        </is>
      </c>
      <c r="E90" s="165" t="n">
        <v>7</v>
      </c>
      <c r="F90" s="165" t="n">
        <v>2</v>
      </c>
      <c r="G90" s="165" t="n">
        <v>1</v>
      </c>
      <c r="H90" s="121" t="inlineStr">
        <is>
          <t>consultado</t>
        </is>
      </c>
      <c r="I90" s="165" t="n">
        <v>37</v>
      </c>
      <c r="J90" s="121" t="n">
        <v>46235.84622685185</v>
      </c>
      <c r="K90" s="121" t="inlineStr">
        <is>
          <t>N/D</t>
        </is>
      </c>
      <c r="L90" s="121" t="inlineStr">
        <is>
          <t>carteira-101-document-audit/v2</t>
        </is>
      </c>
    </row>
    <row r="91" ht="34.5" customHeight="1">
      <c r="A91" s="164" t="n">
        <v>57028406000108</v>
      </c>
      <c r="B91" s="121" t="inlineStr">
        <is>
          <t>57.028.406/0001-08</t>
        </is>
      </c>
      <c r="C91" s="121" t="inlineStr">
        <is>
          <t>IS GREEN SOLFÁCIL VI FUNDO DE INVESTIMENTO EM DIREITOS CREDITÓRIOS RESPONSABILIDADE LIMITADA</t>
        </is>
      </c>
      <c r="D91" s="121" t="inlineStr">
        <is>
          <t>concluído</t>
        </is>
      </c>
      <c r="E91" s="165" t="n">
        <v>8</v>
      </c>
      <c r="F91" s="165" t="n">
        <v>0</v>
      </c>
      <c r="G91" s="165" t="n">
        <v>0</v>
      </c>
      <c r="H91" s="121" t="inlineStr">
        <is>
          <t>consultado</t>
        </is>
      </c>
      <c r="I91" s="165" t="n">
        <v>57</v>
      </c>
      <c r="J91" s="121" t="n">
        <v>46235.8515162037</v>
      </c>
      <c r="K91" s="121" t="inlineStr">
        <is>
          <t>N/D</t>
        </is>
      </c>
      <c r="L91" s="121" t="inlineStr">
        <is>
          <t>carteira-101-document-audit/v2</t>
        </is>
      </c>
    </row>
    <row r="92" ht="34.5" customHeight="1">
      <c r="A92" s="164" t="n">
        <v>57131490000182</v>
      </c>
      <c r="B92" s="121" t="inlineStr">
        <is>
          <t>57.131.490/0001-82</t>
        </is>
      </c>
      <c r="C92" s="121" t="inlineStr">
        <is>
          <t>PONTO RURAL FIAGRO RESPONSABILIDADE LIMITADA</t>
        </is>
      </c>
      <c r="D92" s="121" t="inlineStr">
        <is>
          <t>concluído</t>
        </is>
      </c>
      <c r="E92" s="165" t="n">
        <v>5</v>
      </c>
      <c r="F92" s="165" t="n">
        <v>0</v>
      </c>
      <c r="G92" s="165" t="n">
        <v>0</v>
      </c>
      <c r="H92" s="121" t="inlineStr">
        <is>
          <t>consultado</t>
        </is>
      </c>
      <c r="I92" s="165" t="n">
        <v>30</v>
      </c>
      <c r="J92" s="121" t="n">
        <v>46235.84649305556</v>
      </c>
      <c r="K92" s="121" t="inlineStr">
        <is>
          <t>N/D</t>
        </is>
      </c>
      <c r="L92" s="121" t="inlineStr">
        <is>
          <t>carteira-101-document-audit/v2</t>
        </is>
      </c>
    </row>
    <row r="93" ht="34.5" customHeight="1">
      <c r="A93" s="164" t="n">
        <v>57259989000170</v>
      </c>
      <c r="B93" s="121" t="inlineStr">
        <is>
          <t>57.259.989/0001-70</t>
        </is>
      </c>
      <c r="C93" s="121" t="inlineStr">
        <is>
          <t>TRÊS TENTOS FIAGRO RESPONSABILIDADE LIMITADA</t>
        </is>
      </c>
      <c r="D93" s="121" t="inlineStr">
        <is>
          <t>concluído</t>
        </is>
      </c>
      <c r="E93" s="165" t="n">
        <v>7</v>
      </c>
      <c r="F93" s="165" t="n">
        <v>2</v>
      </c>
      <c r="G93" s="165" t="n">
        <v>1</v>
      </c>
      <c r="H93" s="121" t="inlineStr">
        <is>
          <t>consultado</t>
        </is>
      </c>
      <c r="I93" s="165" t="n">
        <v>49</v>
      </c>
      <c r="J93" s="121" t="n">
        <v>46235.8512962963</v>
      </c>
      <c r="K93" s="121" t="inlineStr">
        <is>
          <t>N/D</t>
        </is>
      </c>
      <c r="L93" s="121" t="inlineStr">
        <is>
          <t>carteira-101-document-audit/v2</t>
        </is>
      </c>
    </row>
    <row r="94" ht="34.5" customHeight="1">
      <c r="A94" s="164" t="n">
        <v>57270666000187</v>
      </c>
      <c r="B94" s="121" t="inlineStr">
        <is>
          <t>57.270.666/0001-87</t>
        </is>
      </c>
      <c r="C94" s="121" t="inlineStr">
        <is>
          <t>MOBILITAS FUNDO DE INVESTIMENTO EM DIREITOS CREDITÓRIOS - RESPONSABILIDADE LIMITADA</t>
        </is>
      </c>
      <c r="D94" s="121" t="inlineStr">
        <is>
          <t>concluído</t>
        </is>
      </c>
      <c r="E94" s="165" t="n">
        <v>6</v>
      </c>
      <c r="F94" s="165" t="n">
        <v>0</v>
      </c>
      <c r="G94" s="165" t="n">
        <v>0</v>
      </c>
      <c r="H94" s="121" t="inlineStr">
        <is>
          <t>consultado</t>
        </is>
      </c>
      <c r="I94" s="165" t="n">
        <v>53</v>
      </c>
      <c r="J94" s="121" t="n">
        <v>46235.85083333333</v>
      </c>
      <c r="K94" s="121" t="inlineStr">
        <is>
          <t>N/D</t>
        </is>
      </c>
      <c r="L94" s="121" t="inlineStr">
        <is>
          <t>carteira-101-document-audit/v2</t>
        </is>
      </c>
    </row>
    <row r="95" ht="34.5" customHeight="1">
      <c r="A95" s="164" t="n">
        <v>57752597000148</v>
      </c>
      <c r="B95" s="121" t="inlineStr">
        <is>
          <t>57.752.597/0001-48</t>
        </is>
      </c>
      <c r="C95" s="121" t="inlineStr">
        <is>
          <t>AGROMERCANTIL CRÉDITO AGRO FUNDO DE INVESTIMENTO EM DIREITOS CREDITÓRIOS - RESPONSABILIDADE LIMITADA</t>
        </is>
      </c>
      <c r="D95" s="121" t="inlineStr">
        <is>
          <t>concluído</t>
        </is>
      </c>
      <c r="E95" s="165" t="n">
        <v>6</v>
      </c>
      <c r="F95" s="165" t="n">
        <v>0</v>
      </c>
      <c r="G95" s="165" t="n">
        <v>0</v>
      </c>
      <c r="H95" s="121" t="inlineStr">
        <is>
          <t>consultado</t>
        </is>
      </c>
      <c r="I95" s="165" t="n">
        <v>45</v>
      </c>
      <c r="J95" s="121" t="n">
        <v>46235.85136574074</v>
      </c>
      <c r="K95" s="121" t="inlineStr">
        <is>
          <t>N/D</t>
        </is>
      </c>
      <c r="L95" s="121" t="inlineStr">
        <is>
          <t>carteira-101-document-audit/v2</t>
        </is>
      </c>
    </row>
    <row r="96" ht="34.5" customHeight="1">
      <c r="A96" s="164" t="n">
        <v>57816252000100</v>
      </c>
      <c r="B96" s="121" t="inlineStr">
        <is>
          <t>57.816.252/0001-00</t>
        </is>
      </c>
      <c r="C96" s="121" t="inlineStr">
        <is>
          <t>NATURA PAY FUNDO DE INVESTIMENTO EM DIREITOS CREDITÓRIOS CRÉDITO PESSOAL SOCIAL E IS RESP LTDA</t>
        </is>
      </c>
      <c r="D96" s="121" t="inlineStr">
        <is>
          <t>concluído</t>
        </is>
      </c>
      <c r="E96" s="165" t="n">
        <v>6</v>
      </c>
      <c r="F96" s="165" t="n">
        <v>1</v>
      </c>
      <c r="G96" s="165" t="n">
        <v>1</v>
      </c>
      <c r="H96" s="121" t="inlineStr">
        <is>
          <t>consultado</t>
        </is>
      </c>
      <c r="I96" s="165" t="n">
        <v>60</v>
      </c>
      <c r="J96" s="121" t="n">
        <v>46235.85104166667</v>
      </c>
      <c r="K96" s="121" t="inlineStr">
        <is>
          <t>N/D</t>
        </is>
      </c>
      <c r="L96" s="121" t="inlineStr">
        <is>
          <t>carteira-101-document-audit/v2</t>
        </is>
      </c>
    </row>
    <row r="97" ht="34.5" customHeight="1">
      <c r="A97" s="164" t="n">
        <v>58152340000118</v>
      </c>
      <c r="B97" s="121" t="inlineStr">
        <is>
          <t>58.152.340/0001-18</t>
        </is>
      </c>
      <c r="C97" s="121" t="inlineStr">
        <is>
          <t>MONEE II FUNDO DE INVESTIMENTO EM DIREITOS CREDITÓRIOS SEGMENTO FINANCEIRO - RESP. LIMITADA</t>
        </is>
      </c>
      <c r="D97" s="121" t="inlineStr">
        <is>
          <t>concluído</t>
        </is>
      </c>
      <c r="E97" s="165" t="n">
        <v>6</v>
      </c>
      <c r="F97" s="165" t="n">
        <v>1</v>
      </c>
      <c r="G97" s="165" t="n">
        <v>1</v>
      </c>
      <c r="H97" s="121" t="inlineStr">
        <is>
          <t>consultado</t>
        </is>
      </c>
      <c r="I97" s="165" t="n">
        <v>32</v>
      </c>
      <c r="J97" s="121" t="n">
        <v>46235.85157407408</v>
      </c>
      <c r="K97" s="121" t="inlineStr">
        <is>
          <t>N/D</t>
        </is>
      </c>
      <c r="L97" s="121" t="inlineStr">
        <is>
          <t>carteira-101-document-audit/v2</t>
        </is>
      </c>
    </row>
    <row r="98" ht="34.5" customHeight="1">
      <c r="A98" s="164" t="n">
        <v>58171340000165</v>
      </c>
      <c r="B98" s="121" t="inlineStr">
        <is>
          <t>58.171.340/0001-65</t>
        </is>
      </c>
      <c r="C98" s="121" t="inlineStr">
        <is>
          <t>FRIMESA FUNDO DE INVESTIMENTO EM DIREITOS CREDITÓRIOS DE RESPONSABILIDADE LIMITADA</t>
        </is>
      </c>
      <c r="D98" s="121" t="inlineStr">
        <is>
          <t>concluído</t>
        </is>
      </c>
      <c r="E98" s="165" t="n">
        <v>7</v>
      </c>
      <c r="F98" s="165" t="n">
        <v>2</v>
      </c>
      <c r="G98" s="165" t="n">
        <v>1</v>
      </c>
      <c r="H98" s="121" t="inlineStr">
        <is>
          <t>consultado</t>
        </is>
      </c>
      <c r="I98" s="165" t="n">
        <v>48</v>
      </c>
      <c r="J98" s="121" t="n">
        <v>46235.85131944445</v>
      </c>
      <c r="K98" s="121" t="inlineStr">
        <is>
          <t>N/D</t>
        </is>
      </c>
      <c r="L98" s="121" t="inlineStr">
        <is>
          <t>carteira-101-document-audit/v2</t>
        </is>
      </c>
    </row>
    <row r="99" ht="34.5" customHeight="1">
      <c r="A99" s="164" t="n">
        <v>58288437000152</v>
      </c>
      <c r="B99" s="121" t="inlineStr">
        <is>
          <t>58.288.437/0001-52</t>
        </is>
      </c>
      <c r="C99" s="121" t="inlineStr">
        <is>
          <t>ALTOMAX FUNDO DE INVESTIMENTO EM DIREITOS CREDITÓRIOS SEGMENTO RECEBÍVEIS COMERCIAIS DE RESP LTDA</t>
        </is>
      </c>
      <c r="D99" s="121" t="inlineStr">
        <is>
          <t>concluído</t>
        </is>
      </c>
      <c r="E99" s="165" t="n">
        <v>10</v>
      </c>
      <c r="F99" s="165" t="n">
        <v>6</v>
      </c>
      <c r="G99" s="165" t="n">
        <v>1</v>
      </c>
      <c r="H99" s="121" t="inlineStr">
        <is>
          <t>consultado</t>
        </is>
      </c>
      <c r="I99" s="165" t="n">
        <v>51</v>
      </c>
      <c r="J99" s="121" t="n">
        <v>46235.85085648148</v>
      </c>
      <c r="K99" s="121" t="inlineStr">
        <is>
          <t>N/D</t>
        </is>
      </c>
      <c r="L99" s="121" t="inlineStr">
        <is>
          <t>carteira-101-document-audit/v2</t>
        </is>
      </c>
    </row>
    <row r="100" ht="34.5" customHeight="1">
      <c r="A100" s="164" t="n">
        <v>58291962000127</v>
      </c>
      <c r="B100" s="121" t="inlineStr">
        <is>
          <t>58.291.962/0001-27</t>
        </is>
      </c>
      <c r="C100" s="121" t="inlineStr">
        <is>
          <t>HELM FUNDO DE INVESTIMENTO NAS CADEIAS PRODUTIVAS DO AGRONEGÓCIO - RESPONSABILIDADE LIMITADA</t>
        </is>
      </c>
      <c r="D100" s="121" t="inlineStr">
        <is>
          <t>concluído</t>
        </is>
      </c>
      <c r="E100" s="165" t="n">
        <v>7</v>
      </c>
      <c r="F100" s="165" t="n">
        <v>2</v>
      </c>
      <c r="G100" s="165" t="n">
        <v>1</v>
      </c>
      <c r="H100" s="121" t="inlineStr">
        <is>
          <t>consultado</t>
        </is>
      </c>
      <c r="I100" s="165" t="n">
        <v>23</v>
      </c>
      <c r="J100" s="121" t="n">
        <v>46235.8512962963</v>
      </c>
      <c r="K100" s="121" t="inlineStr">
        <is>
          <t>N/D</t>
        </is>
      </c>
      <c r="L100" s="121" t="inlineStr">
        <is>
          <t>carteira-101-document-audit/v2</t>
        </is>
      </c>
    </row>
    <row r="101" ht="34.5" customHeight="1">
      <c r="A101" s="164" t="n">
        <v>58349979000198</v>
      </c>
      <c r="B101" s="121" t="inlineStr">
        <is>
          <t>58.349.979/0001-98</t>
        </is>
      </c>
      <c r="C101" s="121" t="inlineStr">
        <is>
          <t>VOLKSWAGEN TERA FUNDO DE INVESTIMENTO EM DIREITOS CREDITÓRIOS RECEBÍVEIS COMERCIAIS RESP LTDA</t>
        </is>
      </c>
      <c r="D101" s="121" t="inlineStr">
        <is>
          <t>concluído</t>
        </is>
      </c>
      <c r="E101" s="165" t="n">
        <v>6</v>
      </c>
      <c r="F101" s="165" t="n">
        <v>0</v>
      </c>
      <c r="G101" s="165" t="n">
        <v>0</v>
      </c>
      <c r="H101" s="121" t="inlineStr">
        <is>
          <t>consultado</t>
        </is>
      </c>
      <c r="I101" s="165" t="n">
        <v>35</v>
      </c>
      <c r="J101" s="121" t="n">
        <v>46235.85114583333</v>
      </c>
      <c r="K101" s="121" t="inlineStr">
        <is>
          <t>N/D</t>
        </is>
      </c>
      <c r="L101" s="121" t="inlineStr">
        <is>
          <t>carteira-101-document-audit/v2</t>
        </is>
      </c>
    </row>
    <row r="102" ht="34.5" customHeight="1">
      <c r="A102" s="164" t="n">
        <v>58476088000100</v>
      </c>
      <c r="B102" s="121" t="inlineStr">
        <is>
          <t>58.476.088/0001-00</t>
        </is>
      </c>
      <c r="C102" s="121" t="inlineStr">
        <is>
          <t>SAGA FUNDO DE INVESTIMENTO EM DIREITOS CREDITÓRIOS CRÉDITO PRIVADO - RESPONSABILIDADE LIMITADA</t>
        </is>
      </c>
      <c r="D102" s="121" t="inlineStr">
        <is>
          <t>concluído</t>
        </is>
      </c>
      <c r="E102" s="165" t="n">
        <v>4</v>
      </c>
      <c r="F102" s="165" t="n">
        <v>0</v>
      </c>
      <c r="G102" s="165" t="n">
        <v>0</v>
      </c>
      <c r="H102" s="121" t="inlineStr">
        <is>
          <t>consultado</t>
        </is>
      </c>
      <c r="I102" s="165" t="n">
        <v>32</v>
      </c>
      <c r="J102" s="121" t="n">
        <v>46235.85112268518</v>
      </c>
      <c r="K102" s="121" t="inlineStr">
        <is>
          <t>N/D</t>
        </is>
      </c>
      <c r="L102" s="121" t="inlineStr">
        <is>
          <t>carteira-101-document-audit/v2</t>
        </is>
      </c>
    </row>
    <row r="103" ht="34.5" customHeight="1">
      <c r="A103" s="164" t="n">
        <v>61288838000117</v>
      </c>
      <c r="B103" s="121" t="inlineStr">
        <is>
          <t>61.288.838/0001-17</t>
        </is>
      </c>
      <c r="C103" s="121" t="inlineStr">
        <is>
          <t>IFOOD PAGO CRÉDITO III FUNDO DE INVESTIMENTO EM DIREITOS CREDITÓRIOS FINANCEIRO RESP. LIMITADA</t>
        </is>
      </c>
      <c r="D103" s="121" t="inlineStr">
        <is>
          <t>concluído</t>
        </is>
      </c>
      <c r="E103" s="165" t="n">
        <v>8</v>
      </c>
      <c r="F103" s="165" t="n">
        <v>2</v>
      </c>
      <c r="G103" s="165" t="n">
        <v>1</v>
      </c>
      <c r="H103" s="121" t="inlineStr">
        <is>
          <t>consultado</t>
        </is>
      </c>
      <c r="I103" s="165" t="n">
        <v>34</v>
      </c>
      <c r="J103" s="121" t="n">
        <v>46235.85166666667</v>
      </c>
      <c r="K103" s="121" t="inlineStr">
        <is>
          <t>N/D</t>
        </is>
      </c>
      <c r="L103" s="121" t="inlineStr">
        <is>
          <t>carteira-101-document-audit/v2</t>
        </is>
      </c>
    </row>
    <row r="104" ht="34.5" customHeight="1">
      <c r="A104" s="164" t="n">
        <v>62393829000159</v>
      </c>
      <c r="B104" s="121" t="inlineStr">
        <is>
          <t>62.393.829/0001-59</t>
        </is>
      </c>
      <c r="C104" s="121" t="inlineStr">
        <is>
          <t>FUNDO DE INVESTIMENTO EM DIREITOS CREDITÓRIOS COMERCIAIS MEDICI I - RESPONSABILIDADE LIMITADA</t>
        </is>
      </c>
      <c r="D104" s="121" t="inlineStr">
        <is>
          <t>concluído</t>
        </is>
      </c>
      <c r="E104" s="165" t="n">
        <v>7</v>
      </c>
      <c r="F104" s="165" t="n">
        <v>0</v>
      </c>
      <c r="G104" s="165" t="n">
        <v>0</v>
      </c>
      <c r="H104" s="121" t="inlineStr">
        <is>
          <t>consultado</t>
        </is>
      </c>
      <c r="I104" s="165" t="n">
        <v>43</v>
      </c>
      <c r="J104" s="121" t="n">
        <v>46235.85146990741</v>
      </c>
      <c r="K104" s="121" t="inlineStr">
        <is>
          <t>N/D</t>
        </is>
      </c>
      <c r="L104" s="121" t="inlineStr">
        <is>
          <t>carteira-101-document-audit/v2</t>
        </is>
      </c>
    </row>
    <row r="105" ht="34.5" customHeight="1">
      <c r="A105" s="164" t="n">
        <v>62588266000154</v>
      </c>
      <c r="B105" s="121" t="inlineStr">
        <is>
          <t>62.588.266/0001-54</t>
        </is>
      </c>
      <c r="C105" s="121" t="inlineStr">
        <is>
          <t>VTK FUNDO DE INVESTIMENTO EM DIREITOS CREDITÓRIOS RESPONSABILIDADE LIMITADA</t>
        </is>
      </c>
      <c r="D105" s="121" t="inlineStr">
        <is>
          <t>concluído</t>
        </is>
      </c>
      <c r="E105" s="165" t="n">
        <v>7</v>
      </c>
      <c r="F105" s="165" t="n">
        <v>6</v>
      </c>
      <c r="G105" s="165" t="n">
        <v>1</v>
      </c>
      <c r="H105" s="121" t="inlineStr">
        <is>
          <t>consultado</t>
        </is>
      </c>
      <c r="I105" s="165" t="n">
        <v>24</v>
      </c>
      <c r="J105" s="121" t="n">
        <v>46235.85108796296</v>
      </c>
      <c r="K105" s="121" t="inlineStr">
        <is>
          <t>N/D</t>
        </is>
      </c>
      <c r="L105" s="121" t="inlineStr">
        <is>
          <t>carteira-101-document-audit/v2</t>
        </is>
      </c>
    </row>
    <row r="106" ht="34.5" customHeight="1">
      <c r="A106" s="164" t="n">
        <v>62626887000185</v>
      </c>
      <c r="B106" s="121" t="inlineStr">
        <is>
          <t>62.626.887/0001-85</t>
        </is>
      </c>
      <c r="C106" s="121" t="inlineStr">
        <is>
          <t>SUMUP SMART IV FIDC SEGMENTO MEIOS DE PAGAMENTO DE RESPONSABILIDADE LIMITADA</t>
        </is>
      </c>
      <c r="D106" s="121" t="inlineStr">
        <is>
          <t>concluído</t>
        </is>
      </c>
      <c r="E106" s="165" t="n">
        <v>9</v>
      </c>
      <c r="F106" s="165" t="n">
        <v>4</v>
      </c>
      <c r="G106" s="165" t="n">
        <v>1</v>
      </c>
      <c r="H106" s="121" t="inlineStr">
        <is>
          <t>consultado</t>
        </is>
      </c>
      <c r="I106" s="165" t="n">
        <v>36</v>
      </c>
      <c r="J106" s="121" t="n">
        <v>46235.84502314815</v>
      </c>
      <c r="K106" s="121" t="inlineStr">
        <is>
          <t>N/D</t>
        </is>
      </c>
      <c r="L106" s="121" t="inlineStr">
        <is>
          <t>carteira-101-document-audit/v2</t>
        </is>
      </c>
    </row>
    <row r="107" ht="34.5" customHeight="1">
      <c r="A107" s="164" t="n">
        <v>62838025000116</v>
      </c>
      <c r="B107" s="121" t="inlineStr">
        <is>
          <t>62.838.025/0001-16</t>
        </is>
      </c>
      <c r="C107" s="121" t="inlineStr">
        <is>
          <t>ENDURANCE FUNDO DE INVESTIMENTO EM DIREITOS CREDITÓRIOS RESPONSABILIDADE LIMITADA</t>
        </is>
      </c>
      <c r="D107" s="121" t="inlineStr">
        <is>
          <t>concluído</t>
        </is>
      </c>
      <c r="E107" s="165" t="n">
        <v>7</v>
      </c>
      <c r="F107" s="165" t="n">
        <v>4</v>
      </c>
      <c r="G107" s="165" t="n">
        <v>1</v>
      </c>
      <c r="H107" s="121" t="inlineStr">
        <is>
          <t>consultado</t>
        </is>
      </c>
      <c r="I107" s="165" t="n">
        <v>18</v>
      </c>
      <c r="J107" s="121" t="n">
        <v>46235.85081018518</v>
      </c>
      <c r="K107" s="121" t="inlineStr">
        <is>
          <t>N/D</t>
        </is>
      </c>
      <c r="L107" s="121" t="inlineStr">
        <is>
          <t>carteira-101-document-audit/v2</t>
        </is>
      </c>
    </row>
    <row r="108" ht="34.5" customHeight="1">
      <c r="A108" s="164" t="n">
        <v>63066147000102</v>
      </c>
      <c r="B108" s="121" t="inlineStr">
        <is>
          <t>63.066.147/0001-02</t>
        </is>
      </c>
      <c r="C108" s="121" t="inlineStr">
        <is>
          <t>FUNDO DE INVESTIMENTO EM DIREITOS CREDITÓRIOS INCLUSÃO CREDIÁRIA RESPONSABILIDADE LIMITADA</t>
        </is>
      </c>
      <c r="D108" s="121" t="inlineStr">
        <is>
          <t>concluído</t>
        </is>
      </c>
      <c r="E108" s="165" t="n">
        <v>7</v>
      </c>
      <c r="F108" s="165" t="n">
        <v>2</v>
      </c>
      <c r="G108" s="165" t="n">
        <v>1</v>
      </c>
      <c r="H108" s="121" t="inlineStr">
        <is>
          <t>consultado</t>
        </is>
      </c>
      <c r="I108" s="165" t="n">
        <v>21</v>
      </c>
      <c r="J108" s="121" t="n">
        <v>46235.85172453704</v>
      </c>
      <c r="K108" s="121" t="inlineStr">
        <is>
          <t>N/D</t>
        </is>
      </c>
      <c r="L108" s="121" t="inlineStr">
        <is>
          <t>carteira-101-document-audit/v2</t>
        </is>
      </c>
    </row>
    <row r="109" ht="34.5" customHeight="1">
      <c r="A109" s="164" t="n">
        <v>63546406000194</v>
      </c>
      <c r="B109" s="121" t="inlineStr">
        <is>
          <t>63.546.406/0001-94</t>
        </is>
      </c>
      <c r="C109" s="121" t="inlineStr">
        <is>
          <t>PINE INSS III FUNDO DE INVESTIMENTO EM DIREITOS CREDITÓRIOS RESPONSABILIDADE LIMITADA</t>
        </is>
      </c>
      <c r="D109" s="121" t="inlineStr">
        <is>
          <t>concluído</t>
        </is>
      </c>
      <c r="E109" s="165" t="n">
        <v>7</v>
      </c>
      <c r="F109" s="165" t="n">
        <v>6</v>
      </c>
      <c r="G109" s="165" t="n">
        <v>1</v>
      </c>
      <c r="H109" s="121" t="inlineStr">
        <is>
          <t>consultado</t>
        </is>
      </c>
      <c r="I109" s="165" t="n">
        <v>12</v>
      </c>
      <c r="J109" s="121" t="n">
        <v>46235.8516087963</v>
      </c>
      <c r="K109" s="121" t="inlineStr">
        <is>
          <t>N/D</t>
        </is>
      </c>
      <c r="L109" s="121" t="inlineStr">
        <is>
          <t>carteira-101-document-audit/v2</t>
        </is>
      </c>
    </row>
    <row r="110" ht="34.5" customHeight="1">
      <c r="A110" s="164" t="n">
        <v>63622842000103</v>
      </c>
      <c r="B110" s="121" t="inlineStr">
        <is>
          <t>63.622.842/0001-03</t>
        </is>
      </c>
      <c r="C110" s="121" t="inlineStr">
        <is>
          <t>DESBRAVA UNO ARTIGOS ESPORTIVOS FUNDO DE INVESTIMENTO EM DIREITOS CREDITÓRIOS RESP LIMITADA</t>
        </is>
      </c>
      <c r="D110" s="121" t="inlineStr">
        <is>
          <t>concluído</t>
        </is>
      </c>
      <c r="E110" s="165" t="n">
        <v>7</v>
      </c>
      <c r="F110" s="165" t="n">
        <v>0</v>
      </c>
      <c r="G110" s="165" t="n">
        <v>0</v>
      </c>
      <c r="H110" s="121" t="inlineStr">
        <is>
          <t>consultado</t>
        </is>
      </c>
      <c r="I110" s="165" t="n">
        <v>27</v>
      </c>
      <c r="J110" s="121" t="n">
        <v>46235.85077546296</v>
      </c>
      <c r="K110" s="121" t="inlineStr">
        <is>
          <t>N/D</t>
        </is>
      </c>
      <c r="L110" s="121" t="inlineStr">
        <is>
          <t>carteira-101-document-audit/v2</t>
        </is>
      </c>
    </row>
    <row r="111" ht="34.5" customHeight="1">
      <c r="A111" s="164" t="n">
        <v>63657457000193</v>
      </c>
      <c r="B111" s="121" t="inlineStr">
        <is>
          <t>63.657.457/0001-93</t>
        </is>
      </c>
      <c r="C111" s="121" t="inlineStr">
        <is>
          <t>MSV3 FUNDO DE INVESTIMENTO EM DIREITOS CREDITÓRIOS RECEBÍVEIS COMERCIAIS RESPONSABILIDADE LIMITADA</t>
        </is>
      </c>
      <c r="D111" s="121" t="inlineStr">
        <is>
          <t>concluído</t>
        </is>
      </c>
      <c r="E111" s="165" t="n">
        <v>8</v>
      </c>
      <c r="F111" s="165" t="n">
        <v>0</v>
      </c>
      <c r="G111" s="165" t="n">
        <v>0</v>
      </c>
      <c r="H111" s="121" t="inlineStr">
        <is>
          <t>consultado</t>
        </is>
      </c>
      <c r="I111" s="165" t="n">
        <v>23</v>
      </c>
      <c r="J111" s="121" t="n">
        <v>46235.85170138889</v>
      </c>
      <c r="K111" s="121" t="inlineStr">
        <is>
          <t>N/D</t>
        </is>
      </c>
      <c r="L111" s="121" t="inlineStr">
        <is>
          <t>carteira-101-document-audit/v2</t>
        </is>
      </c>
    </row>
    <row r="112" ht="34.5" customHeight="1">
      <c r="A112" s="164" t="n">
        <v>63679792000192</v>
      </c>
      <c r="B112" s="121" t="inlineStr">
        <is>
          <t>63.679.792/0001-92</t>
        </is>
      </c>
      <c r="C112" s="121" t="inlineStr">
        <is>
          <t>BLUE HEALTH FIDC RECEBÍVEIS COMERCIAIS DE RESPONSABILIDADE LIMITADA</t>
        </is>
      </c>
      <c r="D112" s="121" t="inlineStr">
        <is>
          <t>concluído</t>
        </is>
      </c>
      <c r="E112" s="165" t="n">
        <v>6</v>
      </c>
      <c r="F112" s="165" t="n">
        <v>0</v>
      </c>
      <c r="G112" s="165" t="n">
        <v>0</v>
      </c>
      <c r="H112" s="121" t="inlineStr">
        <is>
          <t>consultado</t>
        </is>
      </c>
      <c r="I112" s="165" t="n">
        <v>23</v>
      </c>
      <c r="J112" s="121" t="n">
        <v>46235.85090277778</v>
      </c>
      <c r="K112" s="121" t="inlineStr">
        <is>
          <t>N/D</t>
        </is>
      </c>
      <c r="L112" s="121" t="inlineStr">
        <is>
          <t>carteira-101-document-audit/v2</t>
        </is>
      </c>
    </row>
    <row r="113" ht="34.5" customHeight="1">
      <c r="A113" s="164" t="n">
        <v>65347578000164</v>
      </c>
      <c r="B113" s="121" t="inlineStr">
        <is>
          <t>65.347.578/0001-64</t>
        </is>
      </c>
      <c r="C113" s="121" t="inlineStr">
        <is>
          <t>ICRED INSS III FUNDO DE INVESTIMENTO EM DIREITOS CREDITÓRIOS RESPONSABILIDADE LIMITADA</t>
        </is>
      </c>
      <c r="D113" s="121" t="inlineStr">
        <is>
          <t>concluído</t>
        </is>
      </c>
      <c r="E113" s="165" t="n">
        <v>5</v>
      </c>
      <c r="F113" s="165" t="n">
        <v>0</v>
      </c>
      <c r="G113" s="165" t="n">
        <v>0</v>
      </c>
      <c r="H113" s="121" t="inlineStr">
        <is>
          <t>consultado</t>
        </is>
      </c>
      <c r="I113" s="165" t="n">
        <v>15</v>
      </c>
      <c r="J113" s="121" t="n">
        <v>46235.85175925926</v>
      </c>
      <c r="K113" s="121" t="inlineStr">
        <is>
          <t>N/D</t>
        </is>
      </c>
      <c r="L113" s="121" t="inlineStr">
        <is>
          <t>carteira-101-document-audit/v2</t>
        </is>
      </c>
    </row>
    <row r="114" ht="34.5" customHeight="1">
      <c r="A114" s="164" t="n">
        <v>65836995000170</v>
      </c>
      <c r="B114" s="121" t="inlineStr">
        <is>
          <t>65.836.995/0001-70</t>
        </is>
      </c>
      <c r="C114" s="121" t="inlineStr">
        <is>
          <t>PNEUCASH II FUNDO DE INVESTIMENTO EM DIREITOS CREDITÓRIOS DE CLASSE ÚNICA FECHADA RESP LIMITADA</t>
        </is>
      </c>
      <c r="D114" s="121" t="inlineStr">
        <is>
          <t>concluído</t>
        </is>
      </c>
      <c r="E114" s="165" t="n">
        <v>6</v>
      </c>
      <c r="F114" s="165" t="n">
        <v>2</v>
      </c>
      <c r="G114" s="165" t="n">
        <v>1</v>
      </c>
      <c r="H114" s="121" t="inlineStr">
        <is>
          <t>consultado</t>
        </is>
      </c>
      <c r="I114" s="165" t="n">
        <v>11</v>
      </c>
      <c r="J114" s="121" t="n">
        <v>46235.85173611111</v>
      </c>
      <c r="K114" s="121" t="inlineStr">
        <is>
          <t>N/D</t>
        </is>
      </c>
      <c r="L114" s="121" t="inlineStr">
        <is>
          <t>carteira-101-document-audit/v2</t>
        </is>
      </c>
    </row>
    <row r="115" ht="34.5" customHeight="1">
      <c r="A115" s="164" t="n">
        <v>65873297000145</v>
      </c>
      <c r="B115" s="121" t="inlineStr">
        <is>
          <t>65.873.297/0001-45</t>
        </is>
      </c>
      <c r="C115" s="121" t="inlineStr">
        <is>
          <t>ARCELORMITTAL VÉRTICE FUNDO DE INVESTIMENTO EM DIREITOS CREDITÓRIOS COMERCIAIS - RESP LIMITADA</t>
        </is>
      </c>
      <c r="D115" s="121" t="inlineStr">
        <is>
          <t>concluído</t>
        </is>
      </c>
      <c r="E115" s="165" t="n">
        <v>7</v>
      </c>
      <c r="F115" s="165" t="n">
        <v>2</v>
      </c>
      <c r="G115" s="165" t="n">
        <v>1</v>
      </c>
      <c r="H115" s="121" t="inlineStr">
        <is>
          <t>consultado</t>
        </is>
      </c>
      <c r="I115" s="165" t="n">
        <v>13</v>
      </c>
      <c r="J115" s="121" t="n">
        <v>46235.85173611111</v>
      </c>
      <c r="K115" s="121" t="inlineStr">
        <is>
          <t>N/D</t>
        </is>
      </c>
      <c r="L115" s="121" t="inlineStr">
        <is>
          <t>carteira-101-document-audit/v2</t>
        </is>
      </c>
    </row>
    <row r="116" ht="34.5" customHeight="1">
      <c r="A116" s="164" t="n">
        <v>65976848000104</v>
      </c>
      <c r="B116" s="121" t="inlineStr">
        <is>
          <t>65.976.848/0001-04</t>
        </is>
      </c>
      <c r="C116" s="121" t="inlineStr">
        <is>
          <t>FUNDO DE INVESTIMENTO EM DIREITOS CREDITÓRIOS AGIBANK II RESPONSABILIDADE LIMITADA</t>
        </is>
      </c>
      <c r="D116" s="121" t="inlineStr">
        <is>
          <t>concluído</t>
        </is>
      </c>
      <c r="E116" s="165" t="n">
        <v>6</v>
      </c>
      <c r="F116" s="165" t="n">
        <v>0</v>
      </c>
      <c r="G116" s="165" t="n">
        <v>0</v>
      </c>
      <c r="H116" s="121" t="inlineStr">
        <is>
          <t>consultado</t>
        </is>
      </c>
      <c r="I116" s="165" t="n">
        <v>15</v>
      </c>
      <c r="J116" s="121" t="n">
        <v>46235.85101851852</v>
      </c>
      <c r="K116" s="121" t="inlineStr">
        <is>
          <t>N/D</t>
        </is>
      </c>
      <c r="L116" s="121" t="inlineStr">
        <is>
          <t>carteira-101-document-audit/v2</t>
        </is>
      </c>
    </row>
  </sheetData>
  <mergeCells count="4">
    <mergeCell ref="A14:L14"/>
    <mergeCell ref="A2:L2"/>
    <mergeCell ref="A1:L1"/>
    <mergeCell ref="A4:G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1.25" customWidth="1" min="1" max="1"/>
    <col width="16.8799991607666" customWidth="1" min="2" max="2"/>
    <col width="77.5" customWidth="1" min="3" max="3"/>
    <col width="52.5" customWidth="1" min="4" max="4"/>
    <col width="37.5" customWidth="1" min="5" max="5"/>
  </cols>
  <sheetData>
    <row r="1" ht="25.5" customHeight="1">
      <c r="A1" s="26" t="inlineStr">
        <is>
          <t>Dicionário de campos · contrato normalizado do payload</t>
        </is>
      </c>
    </row>
    <row r="2" ht="22.5" customHeight="1">
      <c r="A2" s="29" t="inlineStr">
        <is>
          <t>Definições materializadas pelo produtor Python. Percentuais são frações; moeda e preço unitário permanecem numéricos quando há leitura única.</t>
        </is>
      </c>
    </row>
    <row r="4" ht="25.5" customHeight="1">
      <c r="A4" s="32" t="inlineStr">
        <is>
          <t>Campo no payload</t>
        </is>
      </c>
      <c r="B4" s="32" t="inlineStr">
        <is>
          <t>Tipo de dado</t>
        </is>
      </c>
      <c r="C4" s="32" t="inlineStr">
        <is>
          <t>Definição</t>
        </is>
      </c>
      <c r="D4" s="32" t="inlineStr">
        <is>
          <t>Origem / regra</t>
        </is>
      </c>
      <c r="E4" s="32" t="inlineStr">
        <is>
          <t>Tratamento da lacuna</t>
        </is>
      </c>
    </row>
    <row r="5" ht="37.5" customHeight="1">
      <c r="A5" s="104" t="inlineStr">
        <is>
          <t>coorte</t>
        </is>
      </c>
      <c r="B5" s="104" t="inlineStr">
        <is>
          <t>texto</t>
        </is>
      </c>
      <c r="C5" s="104" t="inlineStr">
        <is>
          <t>coorte</t>
        </is>
      </c>
      <c r="D5" s="104" t="inlineStr">
        <is>
          <t>Base normalizada compartilhada.</t>
        </is>
      </c>
      <c r="E5" s="104" t="inlineStr">
        <is>
          <t>N/D quando não localizado</t>
        </is>
      </c>
    </row>
    <row r="6" ht="37.5" customHeight="1">
      <c r="A6" s="106" t="inlineStr">
        <is>
          <t>ordem</t>
        </is>
      </c>
      <c r="B6" s="106" t="inlineStr">
        <is>
          <t>numérico</t>
        </is>
      </c>
      <c r="C6" s="106" t="inlineStr">
        <is>
          <t>ordem</t>
        </is>
      </c>
      <c r="D6" s="106" t="inlineStr">
        <is>
          <t>Base normalizada compartilhada.</t>
        </is>
      </c>
      <c r="E6" s="106" t="inlineStr">
        <is>
          <t>NaN; nunca convertido em zero</t>
        </is>
      </c>
    </row>
    <row r="7" ht="37.5" customHeight="1">
      <c r="A7" s="105" t="inlineStr">
        <is>
          <t>cnpj</t>
        </is>
      </c>
      <c r="B7" s="105" t="inlineStr">
        <is>
          <t>texto</t>
        </is>
      </c>
      <c r="C7" s="105" t="inlineStr">
        <is>
          <t>cnpj</t>
        </is>
      </c>
      <c r="D7" s="105" t="inlineStr">
        <is>
          <t>Base normalizada compartilhada.</t>
        </is>
      </c>
      <c r="E7" s="105" t="inlineStr">
        <is>
          <t>N/D quando não localizado</t>
        </is>
      </c>
    </row>
    <row r="8" ht="37.5" customHeight="1">
      <c r="A8" s="106" t="inlineStr">
        <is>
          <t>cnpj_numerico</t>
        </is>
      </c>
      <c r="B8" s="106" t="inlineStr">
        <is>
          <t>numérico</t>
        </is>
      </c>
      <c r="C8" s="106" t="inlineStr">
        <is>
          <t>cnpj numerico</t>
        </is>
      </c>
      <c r="D8" s="106" t="inlineStr">
        <is>
          <t>Base normalizada compartilhada.</t>
        </is>
      </c>
      <c r="E8" s="106" t="inlineStr">
        <is>
          <t>NaN; nunca convertido em zero</t>
        </is>
      </c>
    </row>
    <row r="9" ht="37.5" customHeight="1">
      <c r="A9" s="105" t="inlineStr">
        <is>
          <t>cnpj_formatado</t>
        </is>
      </c>
      <c r="B9" s="105" t="inlineStr">
        <is>
          <t>texto</t>
        </is>
      </c>
      <c r="C9" s="105" t="inlineStr">
        <is>
          <t>cnpj formatado</t>
        </is>
      </c>
      <c r="D9" s="105" t="inlineStr">
        <is>
          <t>Base normalizada compartilhada.</t>
        </is>
      </c>
      <c r="E9" s="105" t="inlineStr">
        <is>
          <t>N/D quando não localizado</t>
        </is>
      </c>
    </row>
    <row r="10" ht="37.5" customHeight="1">
      <c r="A10" s="106" t="inlineStr">
        <is>
          <t>nome_oficial_cvm</t>
        </is>
      </c>
      <c r="B10" s="106" t="inlineStr">
        <is>
          <t>texto</t>
        </is>
      </c>
      <c r="C10" s="106" t="inlineStr">
        <is>
          <t>nome oficial cvm</t>
        </is>
      </c>
      <c r="D10" s="106" t="inlineStr">
        <is>
          <t>Base normalizada compartilhada.</t>
        </is>
      </c>
      <c r="E10" s="106" t="inlineStr">
        <is>
          <t>N/D quando não localizado</t>
        </is>
      </c>
    </row>
    <row r="11" ht="37.5" customHeight="1">
      <c r="A11" s="105" t="inlineStr">
        <is>
          <t>nome_referencia</t>
        </is>
      </c>
      <c r="B11" s="105" t="inlineStr">
        <is>
          <t>texto</t>
        </is>
      </c>
      <c r="C11" s="105" t="inlineStr">
        <is>
          <t>nome referencia</t>
        </is>
      </c>
      <c r="D11" s="105" t="inlineStr">
        <is>
          <t>Base normalizada compartilhada.</t>
        </is>
      </c>
      <c r="E11" s="105" t="inlineStr">
        <is>
          <t>N/D quando não localizado</t>
        </is>
      </c>
    </row>
    <row r="12" ht="37.5" customHeight="1">
      <c r="A12" s="106" t="inlineStr">
        <is>
          <t>status_identidade</t>
        </is>
      </c>
      <c r="B12" s="106" t="inlineStr">
        <is>
          <t>texto</t>
        </is>
      </c>
      <c r="C12" s="106" t="inlineStr">
        <is>
          <t>status identidade</t>
        </is>
      </c>
      <c r="D12" s="106" t="inlineStr">
        <is>
          <t>Base normalizada compartilhada.</t>
        </is>
      </c>
      <c r="E12" s="106" t="inlineStr">
        <is>
          <t>N/D quando não localizado</t>
        </is>
      </c>
    </row>
    <row r="13" ht="37.5" customHeight="1">
      <c r="A13" s="105" t="inlineStr">
        <is>
          <t>data_ref</t>
        </is>
      </c>
      <c r="B13" s="105" t="inlineStr">
        <is>
          <t>texto</t>
        </is>
      </c>
      <c r="C13" s="105" t="inlineStr">
        <is>
          <t>data ref</t>
        </is>
      </c>
      <c r="D13" s="105" t="inlineStr">
        <is>
          <t>Base normalizada compartilhada.</t>
        </is>
      </c>
      <c r="E13" s="105" t="inlineStr">
        <is>
          <t>N/D quando não localizado</t>
        </is>
      </c>
    </row>
    <row r="14" ht="37.5" customHeight="1">
      <c r="A14" s="106" t="inlineStr">
        <is>
          <t>pl_atual_brl</t>
        </is>
      </c>
      <c r="B14" s="106" t="inlineStr">
        <is>
          <t>numérico</t>
        </is>
      </c>
      <c r="C14" s="106" t="inlineStr">
        <is>
          <t>pl atual brl</t>
        </is>
      </c>
      <c r="D14" s="106" t="inlineStr">
        <is>
          <t>Base normalizada compartilhada.</t>
        </is>
      </c>
      <c r="E14" s="106" t="inlineStr">
        <is>
          <t>NaN; nunca convertido em zero</t>
        </is>
      </c>
    </row>
    <row r="15" ht="37.5" customHeight="1">
      <c r="A15" s="105" t="inlineStr">
        <is>
          <t>pl_classes_reportadas_brl</t>
        </is>
      </c>
      <c r="B15" s="105" t="inlineStr">
        <is>
          <t>numérico</t>
        </is>
      </c>
      <c r="C15" s="105" t="inlineStr">
        <is>
          <t>pl classes reportadas brl</t>
        </is>
      </c>
      <c r="D15" s="105" t="inlineStr">
        <is>
          <t>Base normalizada compartilhada.</t>
        </is>
      </c>
      <c r="E15" s="105" t="inlineStr">
        <is>
          <t>NaN; nunca convertido em zero</t>
        </is>
      </c>
    </row>
    <row r="16" ht="37.5" customHeight="1">
      <c r="A16" s="106" t="inlineStr">
        <is>
          <t>pl_subordinado_atual_brl</t>
        </is>
      </c>
      <c r="B16" s="106" t="inlineStr">
        <is>
          <t>numérico</t>
        </is>
      </c>
      <c r="C16" s="106" t="inlineStr">
        <is>
          <t>pl subordinado atual brl</t>
        </is>
      </c>
      <c r="D16" s="106" t="inlineStr">
        <is>
          <t>Base normalizada compartilhada.</t>
        </is>
      </c>
      <c r="E16" s="106" t="inlineStr">
        <is>
          <t>NaN; nunca convertido em zero</t>
        </is>
      </c>
    </row>
    <row r="17" ht="37.5" customHeight="1">
      <c r="A17" s="105" t="inlineStr">
        <is>
          <t>sub_pl_atual</t>
        </is>
      </c>
      <c r="B17" s="105" t="inlineStr">
        <is>
          <t>numérico</t>
        </is>
      </c>
      <c r="C17" s="105" t="inlineStr">
        <is>
          <t>sub pl atual</t>
        </is>
      </c>
      <c r="D17" s="105" t="inlineStr">
        <is>
          <t>Base normalizada compartilhada.</t>
        </is>
      </c>
      <c r="E17" s="105" t="inlineStr">
        <is>
          <t>NaN; nunca convertido em zero</t>
        </is>
      </c>
    </row>
    <row r="18" ht="37.5" customHeight="1">
      <c r="A18" s="106" t="inlineStr">
        <is>
          <t>status_sub_pl_atual</t>
        </is>
      </c>
      <c r="B18" s="106" t="inlineStr">
        <is>
          <t>texto</t>
        </is>
      </c>
      <c r="C18" s="106" t="inlineStr">
        <is>
          <t>status sub pl atual</t>
        </is>
      </c>
      <c r="D18" s="106" t="inlineStr">
        <is>
          <t>Base normalizada compartilhada.</t>
        </is>
      </c>
      <c r="E18" s="106" t="inlineStr">
        <is>
          <t>N/D quando não localizado</t>
        </is>
      </c>
    </row>
    <row r="19" ht="37.5" customHeight="1">
      <c r="A19" s="105" t="inlineStr">
        <is>
          <t>minimo_junior_literal</t>
        </is>
      </c>
      <c r="B19" s="105" t="inlineStr">
        <is>
          <t>numérico</t>
        </is>
      </c>
      <c r="C19" s="105" t="inlineStr">
        <is>
          <t>minimo junior literal</t>
        </is>
      </c>
      <c r="D19" s="105" t="inlineStr">
        <is>
          <t>Base normalizada compartilhada.</t>
        </is>
      </c>
      <c r="E19" s="105" t="inlineStr">
        <is>
          <t>NaN; nunca convertido em zero</t>
        </is>
      </c>
    </row>
    <row r="20" ht="37.5" customHeight="1">
      <c r="A20" s="106" t="inlineStr">
        <is>
          <t>minimo_junior_calculado</t>
        </is>
      </c>
      <c r="B20" s="106" t="inlineStr">
        <is>
          <t>numérico</t>
        </is>
      </c>
      <c r="C20" s="106" t="inlineStr">
        <is>
          <t>minimo junior calculado</t>
        </is>
      </c>
      <c r="D20" s="106" t="inlineStr">
        <is>
          <t>Base normalizada compartilhada.</t>
        </is>
      </c>
      <c r="E20" s="106" t="inlineStr">
        <is>
          <t>NaN; nunca convertido em zero</t>
        </is>
      </c>
    </row>
    <row r="21" ht="37.5" customHeight="1">
      <c r="A21" s="105" t="inlineStr">
        <is>
          <t>minimo_junior_ajustado</t>
        </is>
      </c>
      <c r="B21" s="105" t="inlineStr">
        <is>
          <t>numérico</t>
        </is>
      </c>
      <c r="C21" s="105" t="inlineStr">
        <is>
          <t>minimo junior ajustado</t>
        </is>
      </c>
      <c r="D21" s="105" t="inlineStr">
        <is>
          <t>Base normalizada compartilhada.</t>
        </is>
      </c>
      <c r="E21" s="105" t="inlineStr">
        <is>
          <t>NaN; nunca convertido em zero</t>
        </is>
      </c>
    </row>
    <row r="22" ht="37.5" customHeight="1">
      <c r="A22" s="106" t="inlineStr">
        <is>
          <t>suporte_total</t>
        </is>
      </c>
      <c r="B22" s="106" t="inlineStr">
        <is>
          <t>numérico</t>
        </is>
      </c>
      <c r="C22" s="106" t="inlineStr">
        <is>
          <t>suporte total</t>
        </is>
      </c>
      <c r="D22" s="106" t="inlineStr">
        <is>
          <t>Base normalizada compartilhada.</t>
        </is>
      </c>
      <c r="E22" s="106" t="inlineStr">
        <is>
          <t>NaN; nunca convertido em zero</t>
        </is>
      </c>
    </row>
    <row r="23" ht="37.5" customHeight="1">
      <c r="A23" s="105" t="inlineStr">
        <is>
          <t>suporte_combinado_junior_mezanino</t>
        </is>
      </c>
      <c r="B23" s="105" t="inlineStr">
        <is>
          <t>numérico</t>
        </is>
      </c>
      <c r="C23" s="105" t="inlineStr">
        <is>
          <t>suporte combinado junior mezanino</t>
        </is>
      </c>
      <c r="D23" s="105" t="inlineStr">
        <is>
          <t>Base normalizada compartilhada.</t>
        </is>
      </c>
      <c r="E23" s="105" t="inlineStr">
        <is>
          <t>NaN; nunca convertido em zero</t>
        </is>
      </c>
    </row>
    <row r="24" ht="37.5" customHeight="1">
      <c r="A24" s="106" t="inlineStr">
        <is>
          <t>minimo_estrutural_usado</t>
        </is>
      </c>
      <c r="B24" s="106" t="inlineStr">
        <is>
          <t>numérico</t>
        </is>
      </c>
      <c r="C24" s="106" t="inlineStr">
        <is>
          <t>minimo estrutural usado</t>
        </is>
      </c>
      <c r="D24" s="106" t="inlineStr">
        <is>
          <t>Base normalizada compartilhada.</t>
        </is>
      </c>
      <c r="E24" s="106" t="inlineStr">
        <is>
          <t>NaN; nunca convertido em zero</t>
        </is>
      </c>
    </row>
    <row r="25" ht="37.5" customHeight="1">
      <c r="A25" s="105" t="inlineStr">
        <is>
          <t>minimo_estrutural_display</t>
        </is>
      </c>
      <c r="B25" s="105" t="inlineStr">
        <is>
          <t>texto</t>
        </is>
      </c>
      <c r="C25" s="105" t="inlineStr">
        <is>
          <t>minimo estrutural display</t>
        </is>
      </c>
      <c r="D25" s="105" t="inlineStr">
        <is>
          <t>Base normalizada compartilhada.</t>
        </is>
      </c>
      <c r="E25" s="105" t="inlineStr">
        <is>
          <t>N/D quando não localizado</t>
        </is>
      </c>
    </row>
    <row r="26" ht="37.5" customHeight="1">
      <c r="A26" s="106" t="inlineStr">
        <is>
          <t>minimo_estrutural_natureza</t>
        </is>
      </c>
      <c r="B26" s="106" t="inlineStr">
        <is>
          <t>texto</t>
        </is>
      </c>
      <c r="C26" s="106" t="inlineStr">
        <is>
          <t>minimo estrutural natureza</t>
        </is>
      </c>
      <c r="D26" s="106" t="inlineStr">
        <is>
          <t>Base normalizada compartilhada.</t>
        </is>
      </c>
      <c r="E26" s="106" t="inlineStr">
        <is>
          <t>N/D quando não localizado</t>
        </is>
      </c>
    </row>
    <row r="27" ht="37.5" customHeight="1">
      <c r="A27" s="105" t="inlineStr">
        <is>
          <t>minimo_estrutural_formula</t>
        </is>
      </c>
      <c r="B27" s="105" t="inlineStr">
        <is>
          <t>texto</t>
        </is>
      </c>
      <c r="C27" s="105" t="inlineStr">
        <is>
          <t>minimo estrutural formula</t>
        </is>
      </c>
      <c r="D27" s="105" t="inlineStr">
        <is>
          <t>Base normalizada compartilhada.</t>
        </is>
      </c>
      <c r="E27" s="105" t="inlineStr">
        <is>
          <t>N/D quando não localizado</t>
        </is>
      </c>
    </row>
    <row r="28" ht="37.5" customHeight="1">
      <c r="A28" s="106" t="inlineStr">
        <is>
          <t>comparavel_flag</t>
        </is>
      </c>
      <c r="B28" s="106" t="inlineStr">
        <is>
          <t>booleano</t>
        </is>
      </c>
      <c r="C28" s="106" t="inlineStr">
        <is>
          <t>comparavel flag</t>
        </is>
      </c>
      <c r="D28" s="106" t="inlineStr">
        <is>
          <t>Base normalizada compartilhada.</t>
        </is>
      </c>
      <c r="E28" s="106" t="inlineStr">
        <is>
          <t>vazio/NA quando não calculado</t>
        </is>
      </c>
    </row>
    <row r="29" ht="37.5" customHeight="1">
      <c r="A29" s="105" t="inlineStr">
        <is>
          <t>comparabilidade_motivo</t>
        </is>
      </c>
      <c r="B29" s="105" t="inlineStr">
        <is>
          <t>texto</t>
        </is>
      </c>
      <c r="C29" s="105" t="inlineStr">
        <is>
          <t>comparabilidade motivo</t>
        </is>
      </c>
      <c r="D29" s="105" t="inlineStr">
        <is>
          <t>Base normalizada compartilhada.</t>
        </is>
      </c>
      <c r="E29" s="105" t="inlineStr">
        <is>
          <t>N/D quando não localizado</t>
        </is>
      </c>
    </row>
    <row r="30" ht="37.5" customHeight="1">
      <c r="A30" s="106" t="inlineStr">
        <is>
          <t>excecao_asterisco_flag</t>
        </is>
      </c>
      <c r="B30" s="106" t="inlineStr">
        <is>
          <t>booleano</t>
        </is>
      </c>
      <c r="C30" s="106" t="inlineStr">
        <is>
          <t>excecao asterisco flag</t>
        </is>
      </c>
      <c r="D30" s="106" t="inlineStr">
        <is>
          <t>Base normalizada compartilhada.</t>
        </is>
      </c>
      <c r="E30" s="106" t="inlineStr">
        <is>
          <t>vazio/NA quando não calculado</t>
        </is>
      </c>
    </row>
    <row r="31" ht="37.5" customHeight="1">
      <c r="A31" s="105" t="inlineStr">
        <is>
          <t>folga_pp</t>
        </is>
      </c>
      <c r="B31" s="105" t="inlineStr">
        <is>
          <t>numérico</t>
        </is>
      </c>
      <c r="C31" s="105" t="inlineStr">
        <is>
          <t>folga pp</t>
        </is>
      </c>
      <c r="D31" s="105" t="inlineStr">
        <is>
          <t>Base normalizada compartilhada.</t>
        </is>
      </c>
      <c r="E31" s="105" t="inlineStr">
        <is>
          <t>NaN; nunca convertido em zero</t>
        </is>
      </c>
    </row>
    <row r="32" ht="37.5" customHeight="1">
      <c r="A32" s="106" t="inlineStr">
        <is>
          <t>capacidade_ate_gatilho</t>
        </is>
      </c>
      <c r="B32" s="106" t="inlineStr">
        <is>
          <t>numérico</t>
        </is>
      </c>
      <c r="C32" s="106" t="inlineStr">
        <is>
          <t>capacidade ate gatilho</t>
        </is>
      </c>
      <c r="D32" s="106" t="inlineStr">
        <is>
          <t>Base normalizada compartilhada.</t>
        </is>
      </c>
      <c r="E32" s="106" t="inlineStr">
        <is>
          <t>NaN; nunca convertido em zero</t>
        </is>
      </c>
    </row>
    <row r="33" ht="37.5" customHeight="1">
      <c r="A33" s="105" t="inlineStr">
        <is>
          <t>situacao_regulatoria</t>
        </is>
      </c>
      <c r="B33" s="105" t="inlineStr">
        <is>
          <t>texto</t>
        </is>
      </c>
      <c r="C33" s="105" t="inlineStr">
        <is>
          <t>situacao regulatoria</t>
        </is>
      </c>
      <c r="D33" s="105" t="inlineStr">
        <is>
          <t>Base normalizada compartilhada.</t>
        </is>
      </c>
      <c r="E33" s="105" t="inlineStr">
        <is>
          <t>N/D quando não localizado</t>
        </is>
      </c>
    </row>
    <row r="34" ht="37.5" customHeight="1">
      <c r="A34" s="106" t="inlineStr">
        <is>
          <t>mvp_slide_categoria</t>
        </is>
      </c>
      <c r="B34" s="106" t="inlineStr">
        <is>
          <t>texto</t>
        </is>
      </c>
      <c r="C34" s="106" t="inlineStr">
        <is>
          <t>mvp slide categoria</t>
        </is>
      </c>
      <c r="D34" s="106" t="inlineStr">
        <is>
          <t>Base normalizada compartilhada.</t>
        </is>
      </c>
      <c r="E34" s="106" t="inlineStr">
        <is>
          <t>N/D quando não localizado</t>
        </is>
      </c>
    </row>
    <row r="35" ht="37.5" customHeight="1">
      <c r="A35" s="105" t="inlineStr">
        <is>
          <t>mvp_slide_categoria_original</t>
        </is>
      </c>
      <c r="B35" s="105" t="inlineStr">
        <is>
          <t>texto</t>
        </is>
      </c>
      <c r="C35" s="105" t="inlineStr">
        <is>
          <t>mvp slide categoria original</t>
        </is>
      </c>
      <c r="D35" s="105" t="inlineStr">
        <is>
          <t>Base normalizada compartilhada.</t>
        </is>
      </c>
      <c r="E35" s="105" t="inlineStr">
        <is>
          <t>N/D quando não localizado</t>
        </is>
      </c>
    </row>
    <row r="36" ht="37.5" customHeight="1">
      <c r="A36" s="106" t="inlineStr">
        <is>
          <t>mvp_slide_categoria_override_flag</t>
        </is>
      </c>
      <c r="B36" s="106" t="inlineStr">
        <is>
          <t>booleano</t>
        </is>
      </c>
      <c r="C36" s="106" t="inlineStr">
        <is>
          <t>mvp slide categoria override flag</t>
        </is>
      </c>
      <c r="D36" s="106" t="inlineStr">
        <is>
          <t>Base normalizada compartilhada.</t>
        </is>
      </c>
      <c r="E36" s="106" t="inlineStr">
        <is>
          <t>vazio/NA quando não calculado</t>
        </is>
      </c>
    </row>
    <row r="37" ht="37.5" customHeight="1">
      <c r="A37" s="105" t="inlineStr">
        <is>
          <t>mvp_slide_categoria_fonte</t>
        </is>
      </c>
      <c r="B37" s="105" t="inlineStr">
        <is>
          <t>texto</t>
        </is>
      </c>
      <c r="C37" s="105" t="inlineStr">
        <is>
          <t>mvp slide categoria fonte</t>
        </is>
      </c>
      <c r="D37" s="105" t="inlineStr">
        <is>
          <t>Base normalizada compartilhada.</t>
        </is>
      </c>
      <c r="E37" s="105" t="inlineStr">
        <is>
          <t>N/D quando não localizado</t>
        </is>
      </c>
    </row>
    <row r="38" ht="37.5" customHeight="1">
      <c r="A38" s="106" t="inlineStr">
        <is>
          <t>mvp_slide_categoria_motivo</t>
        </is>
      </c>
      <c r="B38" s="106" t="inlineStr">
        <is>
          <t>texto</t>
        </is>
      </c>
      <c r="C38" s="106" t="inlineStr">
        <is>
          <t>mvp slide categoria motivo</t>
        </is>
      </c>
      <c r="D38" s="106" t="inlineStr">
        <is>
          <t>Base normalizada compartilhada.</t>
        </is>
      </c>
      <c r="E38" s="106" t="inlineStr">
        <is>
          <t>N/D quando não localizado</t>
        </is>
      </c>
    </row>
    <row r="39" ht="37.5" customHeight="1">
      <c r="A39" s="105" t="inlineStr">
        <is>
          <t>mvp_faixa_sub_atual</t>
        </is>
      </c>
      <c r="B39" s="105" t="inlineStr">
        <is>
          <t>texto</t>
        </is>
      </c>
      <c r="C39" s="105" t="inlineStr">
        <is>
          <t>mvp faixa sub atual</t>
        </is>
      </c>
      <c r="D39" s="105" t="inlineStr">
        <is>
          <t>Base normalizada compartilhada.</t>
        </is>
      </c>
      <c r="E39" s="105" t="inlineStr">
        <is>
          <t>N/D quando não localizado</t>
        </is>
      </c>
    </row>
    <row r="40" ht="37.5" customHeight="1">
      <c r="A40" s="106" t="inlineStr">
        <is>
          <t>mvp_elegivel_flag</t>
        </is>
      </c>
      <c r="B40" s="106" t="inlineStr">
        <is>
          <t>booleano</t>
        </is>
      </c>
      <c r="C40" s="106" t="inlineStr">
        <is>
          <t>mvp elegivel flag</t>
        </is>
      </c>
      <c r="D40" s="106" t="inlineStr">
        <is>
          <t>Base normalizada compartilhada.</t>
        </is>
      </c>
      <c r="E40" s="106" t="inlineStr">
        <is>
          <t>vazio/NA quando não calculado</t>
        </is>
      </c>
    </row>
    <row r="41" ht="37.5" customHeight="1">
      <c r="A41" s="105" t="inlineStr">
        <is>
          <t>mvp_situacao_piso</t>
        </is>
      </c>
      <c r="B41" s="105" t="inlineStr">
        <is>
          <t>texto</t>
        </is>
      </c>
      <c r="C41" s="105" t="inlineStr">
        <is>
          <t>mvp situacao piso</t>
        </is>
      </c>
      <c r="D41" s="105" t="inlineStr">
        <is>
          <t>Base normalizada compartilhada.</t>
        </is>
      </c>
      <c r="E41" s="105" t="inlineStr">
        <is>
          <t>N/D quando não localizado</t>
        </is>
      </c>
    </row>
    <row r="42" ht="37.5" customHeight="1">
      <c r="A42" s="106" t="inlineStr">
        <is>
          <t>posicao_mercado</t>
        </is>
      </c>
      <c r="B42" s="106" t="inlineStr">
        <is>
          <t>texto</t>
        </is>
      </c>
      <c r="C42" s="106" t="inlineStr">
        <is>
          <t>Posição relativa aos pares, calculada pelo pacote estrutural.</t>
        </is>
      </c>
      <c r="D42" s="106" t="inlineStr">
        <is>
          <t>Propagado de carteira_structural, sem recálculo.</t>
        </is>
      </c>
      <c r="E42" s="106" t="inlineStr">
        <is>
          <t>N/D quando não localizado</t>
        </is>
      </c>
    </row>
    <row r="43" ht="37.5" customHeight="1">
      <c r="A43" s="105" t="inlineStr">
        <is>
          <t>excesso_vs_mercado</t>
        </is>
      </c>
      <c r="B43" s="105" t="inlineStr">
        <is>
          <t>numérico</t>
        </is>
      </c>
      <c r="C43" s="105" t="inlineStr">
        <is>
          <t>Subordinação atual menos mediana de mercado; fração, quando confiável.</t>
        </is>
      </c>
      <c r="D43" s="105" t="inlineStr">
        <is>
          <t>Propagado de carteira_structural, sem recálculo.</t>
        </is>
      </c>
      <c r="E43" s="105" t="inlineStr">
        <is>
          <t>NaN; nunca convertido em zero</t>
        </is>
      </c>
    </row>
    <row r="44" ht="37.5" customHeight="1">
      <c r="A44" s="106" t="inlineStr">
        <is>
          <t>benchmark_confiavel</t>
        </is>
      </c>
      <c r="B44" s="106" t="inlineStr">
        <is>
          <t>booleano</t>
        </is>
      </c>
      <c r="C44" s="106" t="inlineStr">
        <is>
          <t>Indica se a comparação de mercado cumpre o limiar de pares.</t>
        </is>
      </c>
      <c r="D44" s="106" t="inlineStr">
        <is>
          <t>Propagado de carteira_structural, sem recálculo.</t>
        </is>
      </c>
      <c r="E44" s="106" t="inlineStr">
        <is>
          <t>vazio/NA quando não calculado</t>
        </is>
      </c>
    </row>
    <row r="45" ht="37.5" customHeight="1">
      <c r="A45" s="105" t="inlineStr">
        <is>
          <t>n_comparaveis_categoria</t>
        </is>
      </c>
      <c r="B45" s="105" t="inlineStr">
        <is>
          <t>numérico</t>
        </is>
      </c>
      <c r="C45" s="105" t="inlineStr">
        <is>
          <t>Número de pares comparáveis na categoria.</t>
        </is>
      </c>
      <c r="D45" s="105" t="inlineStr">
        <is>
          <t>Propagado de carteira_structural, sem recálculo.</t>
        </is>
      </c>
      <c r="E45" s="105" t="inlineStr">
        <is>
          <t>NaN; nunca convertido em zero</t>
        </is>
      </c>
    </row>
    <row r="46" ht="37.5" customHeight="1">
      <c r="A46" s="106" t="inlineStr">
        <is>
          <t>tipo_exibicao</t>
        </is>
      </c>
      <c r="B46" s="106" t="inlineStr">
        <is>
          <t>texto</t>
        </is>
      </c>
      <c r="C46" s="106" t="inlineStr">
        <is>
          <t>tipo exibicao</t>
        </is>
      </c>
      <c r="D46" s="106" t="inlineStr">
        <is>
          <t>Base normalizada compartilhada.</t>
        </is>
      </c>
      <c r="E46" s="106" t="inlineStr">
        <is>
          <t>N/D quando não localizado</t>
        </is>
      </c>
    </row>
    <row r="47" ht="37.5" customHeight="1">
      <c r="A47" s="105" t="inlineStr">
        <is>
          <t>foco_exibicao</t>
        </is>
      </c>
      <c r="B47" s="105" t="inlineStr">
        <is>
          <t>texto</t>
        </is>
      </c>
      <c r="C47" s="105" t="inlineStr">
        <is>
          <t>foco exibicao</t>
        </is>
      </c>
      <c r="D47" s="105" t="inlineStr">
        <is>
          <t>Base normalizada compartilhada.</t>
        </is>
      </c>
      <c r="E47" s="105" t="inlineStr">
        <is>
          <t>N/D quando não localizado</t>
        </is>
      </c>
    </row>
    <row r="48" ht="37.5" customHeight="1">
      <c r="A48" s="106" t="inlineStr">
        <is>
          <t>taxonomia_estrutural</t>
        </is>
      </c>
      <c r="B48" s="106" t="inlineStr">
        <is>
          <t>texto</t>
        </is>
      </c>
      <c r="C48" s="106" t="inlineStr">
        <is>
          <t>taxonomia estrutural</t>
        </is>
      </c>
      <c r="D48" s="106" t="inlineStr">
        <is>
          <t>Base normalizada compartilhada.</t>
        </is>
      </c>
      <c r="E48" s="106" t="inlineStr">
        <is>
          <t>N/D quando não localizado</t>
        </is>
      </c>
    </row>
    <row r="49" ht="37.5" customHeight="1">
      <c r="A49" s="105" t="inlineStr">
        <is>
          <t>grupo_comparacao</t>
        </is>
      </c>
      <c r="B49" s="105" t="inlineStr">
        <is>
          <t>texto</t>
        </is>
      </c>
      <c r="C49" s="105" t="inlineStr">
        <is>
          <t>Grupo comparável já usado na curadoria Carteira I versus flagships.</t>
        </is>
      </c>
      <c r="D49" s="105" t="inlineStr">
        <is>
          <t>Taxonomia de comparação estabelecida em industry_flagship_curation.</t>
        </is>
      </c>
      <c r="E49" s="105" t="inlineStr">
        <is>
          <t>N/D quando não localizado</t>
        </is>
      </c>
    </row>
    <row r="50" ht="37.5" customHeight="1">
      <c r="A50" s="106" t="inlineStr">
        <is>
          <t>categoria_risco_atual</t>
        </is>
      </c>
      <c r="B50" s="106" t="inlineStr">
        <is>
          <t>texto</t>
        </is>
      </c>
      <c r="C50" s="106" t="inlineStr">
        <is>
          <t>Categoria vigente antes da revisão documental Financeiro/Agro.</t>
        </is>
      </c>
      <c r="D50" s="106" t="inlineStr">
        <is>
          <t>Ledger versionado por CNPJ; demais casos preservam a categoria estrutural vigente.</t>
        </is>
      </c>
      <c r="E50" s="106" t="inlineStr">
        <is>
          <t>N/D quando não localizado</t>
        </is>
      </c>
    </row>
    <row r="51" ht="37.5" customHeight="1">
      <c r="A51" s="105" t="inlineStr">
        <is>
          <t>categoria_risco_proposta</t>
        </is>
      </c>
      <c r="B51" s="105" t="inlineStr">
        <is>
          <t>texto</t>
        </is>
      </c>
      <c r="C51" s="105" t="inlineStr">
        <is>
          <t>Categoria após decisões explicitamente aplicadas.</t>
        </is>
      </c>
      <c r="D51" s="105" t="inlineStr">
        <is>
          <t>Ledger versionado por CNPJ; applied_flag=NAO mantém a categoria atual.</t>
        </is>
      </c>
      <c r="E51" s="105" t="inlineStr">
        <is>
          <t>N/D quando não localizado</t>
        </is>
      </c>
    </row>
    <row r="52" ht="37.5" customHeight="1">
      <c r="A52" s="106" t="inlineStr">
        <is>
          <t>subtipo_risco_diagnosticado</t>
        </is>
      </c>
      <c r="B52" s="106" t="inlineStr">
        <is>
          <t>texto</t>
        </is>
      </c>
      <c r="C52" s="106" t="inlineStr">
        <is>
          <t>Tipo de risco descrito na revisão documental por CNPJ.</t>
        </is>
      </c>
      <c r="D52" s="106" t="inlineStr">
        <is>
          <t>Ledger versionado; N/D fora do universo auditado, sem inferência pelo nome.</t>
        </is>
      </c>
      <c r="E52" s="106" t="inlineStr">
        <is>
          <t>N/D quando não localizado</t>
        </is>
      </c>
    </row>
    <row r="53" ht="37.5" customHeight="1">
      <c r="A53" s="105" t="inlineStr">
        <is>
          <t>reclassificacao_proposta_flag</t>
        </is>
      </c>
      <c r="B53" s="105" t="inlineStr">
        <is>
          <t>booleano</t>
        </is>
      </c>
      <c r="C53" s="105" t="inlineStr">
        <is>
          <t>Indica decisão de reclassificação efetivamente aplicada.</t>
        </is>
      </c>
      <c r="D53" s="105" t="inlineStr">
        <is>
          <t>Verdadeiro somente quando applied_flag=SIM no ledger.</t>
        </is>
      </c>
      <c r="E53" s="105" t="inlineStr">
        <is>
          <t>vazio/NA quando não calculado</t>
        </is>
      </c>
    </row>
    <row r="54" ht="37.5" customHeight="1">
      <c r="A54" s="106" t="inlineStr">
        <is>
          <t>status_avaliacao_reclassificacao</t>
        </is>
      </c>
      <c r="B54" s="106" t="inlineStr">
        <is>
          <t>texto</t>
        </is>
      </c>
      <c r="C54" s="106" t="inlineStr">
        <is>
          <t>Status da decisão ou pendência documental.</t>
        </is>
      </c>
      <c r="D54" s="106" t="inlineStr">
        <is>
          <t>Ledger versionado por CNPJ.</t>
        </is>
      </c>
      <c r="E54" s="106" t="inlineStr">
        <is>
          <t>N/D quando não localizado</t>
        </is>
      </c>
    </row>
    <row r="55" ht="37.5" customHeight="1">
      <c r="A55" s="105" t="inlineStr">
        <is>
          <t>fundamento_avaliacao_reclassificacao</t>
        </is>
      </c>
      <c r="B55" s="105" t="inlineStr">
        <is>
          <t>texto</t>
        </is>
      </c>
      <c r="C55" s="105" t="inlineStr">
        <is>
          <t>Racional registrado para a decisão.</t>
        </is>
      </c>
      <c r="D55" s="105" t="inlineStr">
        <is>
          <t>Ledger versionado por CNPJ.</t>
        </is>
      </c>
      <c r="E55" s="105" t="inlineStr">
        <is>
          <t>N/D quando não localizado</t>
        </is>
      </c>
    </row>
    <row r="56" ht="37.5" customHeight="1">
      <c r="A56" s="106" t="inlineStr">
        <is>
          <t>fonte_avaliacao_reclassificacao</t>
        </is>
      </c>
      <c r="B56" s="106" t="inlineStr">
        <is>
          <t>texto</t>
        </is>
      </c>
      <c r="C56" s="106" t="inlineStr">
        <is>
          <t>Fonte ou evidência registrada para a decisão.</t>
        </is>
      </c>
      <c r="D56" s="106" t="inlineStr">
        <is>
          <t>Ledger versionado por CNPJ.</t>
        </is>
      </c>
      <c r="E56" s="106" t="inlineStr">
        <is>
          <t>N/D quando não localizado</t>
        </is>
      </c>
    </row>
    <row r="57" ht="37.5" customHeight="1">
      <c r="A57" s="105" t="inlineStr">
        <is>
          <t>middle_market_status</t>
        </is>
      </c>
      <c r="B57" s="105" t="inlineStr">
        <is>
          <t>texto</t>
        </is>
      </c>
      <c r="C57" s="105" t="inlineStr">
        <is>
          <t>Triagem documental da hipótese Middle Market.</t>
        </is>
      </c>
      <c r="D57" s="105" t="inlineStr">
        <is>
          <t>Ledger versionado; Candidato e Pendente não comprovam porte.</t>
        </is>
      </c>
      <c r="E57" s="105" t="inlineStr">
        <is>
          <t>N/D quando não localizado</t>
        </is>
      </c>
    </row>
    <row r="58" ht="37.5" customHeight="1">
      <c r="A58" s="106" t="inlineStr">
        <is>
          <t>middle_market_evidencia</t>
        </is>
      </c>
      <c r="B58" s="106" t="inlineStr">
        <is>
          <t>texto</t>
        </is>
      </c>
      <c r="C58" s="106" t="inlineStr">
        <is>
          <t>Evidência associada à triagem Middle Market.</t>
        </is>
      </c>
      <c r="D58" s="106" t="inlineStr">
        <is>
          <t>Ledger versionado por CNPJ.</t>
        </is>
      </c>
      <c r="E58" s="106" t="inlineStr">
        <is>
          <t>N/D quando não localizado</t>
        </is>
      </c>
    </row>
    <row r="59" ht="37.5" customHeight="1">
      <c r="A59" s="105" t="inlineStr">
        <is>
          <t>middle_market_porte_documentado_flag</t>
        </is>
      </c>
      <c r="B59" s="105" t="inlineStr">
        <is>
          <t>booleano</t>
        </is>
      </c>
      <c r="C59" s="105" t="inlineStr">
        <is>
          <t>Indica se o porte Middle Market foi documentado.</t>
        </is>
      </c>
      <c r="D59" s="105" t="inlineStr">
        <is>
          <t>N/D para candidatos e pendências sem evidência de porte.</t>
        </is>
      </c>
      <c r="E59" s="105" t="inlineStr">
        <is>
          <t>vazio/NA quando não calculado</t>
        </is>
      </c>
    </row>
    <row r="60" ht="37.5" customHeight="1">
      <c r="A60" s="106" t="inlineStr">
        <is>
          <t>preco_cota_brl</t>
        </is>
      </c>
      <c r="B60" s="106" t="inlineStr">
        <is>
          <t>numérico</t>
        </is>
      </c>
      <c r="C60" s="106" t="inlineStr">
        <is>
          <t>Preço unitário em reais quando há um único valor documental distinto.</t>
        </is>
      </c>
      <c r="D60" s="106" t="inlineStr">
        <is>
          <t>Curadoria de emissão/VNU; múltiplos valores permanecem no campo de leitura.</t>
        </is>
      </c>
      <c r="E60" s="106" t="inlineStr">
        <is>
          <t>NaN; nunca convertido em zero</t>
        </is>
      </c>
    </row>
    <row r="61" ht="37.5" customHeight="1">
      <c r="A61" s="105" t="inlineStr">
        <is>
          <t>preco_cota_display</t>
        </is>
      </c>
      <c r="B61" s="105" t="inlineStr">
        <is>
          <t>texto</t>
        </is>
      </c>
      <c r="C61" s="105" t="inlineStr">
        <is>
          <t>Leitura do preço unitário preservada por classe ou série.</t>
        </is>
      </c>
      <c r="D61" s="105" t="inlineStr">
        <is>
          <t>Documento de emissão/VNU; remuneração e quantidade são excluídas.</t>
        </is>
      </c>
      <c r="E61" s="105" t="inlineStr">
        <is>
          <t>N/D quando não localizado</t>
        </is>
      </c>
    </row>
    <row r="62" ht="37.5" customHeight="1">
      <c r="A62" s="106" t="inlineStr">
        <is>
          <t>preco_cota_natureza</t>
        </is>
      </c>
      <c r="B62" s="106" t="inlineStr">
        <is>
          <t>texto</t>
        </is>
      </c>
      <c r="C62" s="106" t="inlineStr">
        <is>
          <t>Natureza explícita: VNU, emissão, subscrição ou integralização.</t>
        </is>
      </c>
      <c r="D62" s="106" t="inlineStr">
        <is>
          <t>Texto da fonte; ausência de termo explícito fica marcada com asterisco.</t>
        </is>
      </c>
      <c r="E62" s="106" t="inlineStr">
        <is>
          <t>N/D quando não localizado</t>
        </is>
      </c>
    </row>
    <row r="63" ht="37.5" customHeight="1">
      <c r="A63" s="105" t="inlineStr">
        <is>
          <t>preco_cota_classe_serie</t>
        </is>
      </c>
      <c r="B63" s="105" t="inlineStr">
        <is>
          <t>texto</t>
        </is>
      </c>
      <c r="C63" s="105" t="inlineStr">
        <is>
          <t>Classe ou série à qual o preço unitário se refere.</t>
        </is>
      </c>
      <c r="D63" s="105" t="inlineStr">
        <is>
          <t>Documento de emissão/VNU.</t>
        </is>
      </c>
      <c r="E63" s="105" t="inlineStr">
        <is>
          <t>N/D quando não localizado</t>
        </is>
      </c>
    </row>
    <row r="64" ht="37.5" customHeight="1">
      <c r="A64" s="106" t="inlineStr">
        <is>
          <t>preco_cota_documento_data</t>
        </is>
      </c>
      <c r="B64" s="106" t="inlineStr">
        <is>
          <t>texto</t>
        </is>
      </c>
      <c r="C64" s="106" t="inlineStr">
        <is>
          <t>Data do documento ou deliberação que sustenta o preço unitário.</t>
        </is>
      </c>
      <c r="D64" s="106" t="inlineStr">
        <is>
          <t>Documento de emissão/VNU.</t>
        </is>
      </c>
      <c r="E64" s="106" t="inlineStr">
        <is>
          <t>N/D quando não localizado</t>
        </is>
      </c>
    </row>
    <row r="65" ht="37.5" customHeight="1">
      <c r="A65" s="105" t="inlineStr">
        <is>
          <t>preco_cota_documento_id</t>
        </is>
      </c>
      <c r="B65" s="105" t="inlineStr">
        <is>
          <t>texto</t>
        </is>
      </c>
      <c r="C65" s="105" t="inlineStr">
        <is>
          <t>Identificador do documento que sustenta o preço unitário.</t>
        </is>
      </c>
      <c r="D65" s="105" t="inlineStr">
        <is>
          <t>Documento de emissão/VNU.</t>
        </is>
      </c>
      <c r="E65" s="105" t="inlineStr">
        <is>
          <t>N/D quando não localizado</t>
        </is>
      </c>
    </row>
    <row r="66" ht="37.5" customHeight="1">
      <c r="A66" s="106" t="inlineStr">
        <is>
          <t>preco_cota_fonte</t>
        </is>
      </c>
      <c r="B66" s="106" t="inlineStr">
        <is>
          <t>texto</t>
        </is>
      </c>
      <c r="C66" s="106" t="inlineStr">
        <is>
          <t>Fonte, caminho ou URL da evidência de preço unitário.</t>
        </is>
      </c>
      <c r="D66" s="106" t="inlineStr">
        <is>
          <t>Documento de emissão/VNU.</t>
        </is>
      </c>
      <c r="E66" s="106" t="inlineStr">
        <is>
          <t>N/D quando não localizado</t>
        </is>
      </c>
    </row>
    <row r="67" ht="37.5" customHeight="1">
      <c r="A67" s="105" t="inlineStr">
        <is>
          <t>preco_cota_status</t>
        </is>
      </c>
      <c r="B67" s="105" t="inlineStr">
        <is>
          <t>texto</t>
        </is>
      </c>
      <c r="C67" s="105" t="inlineStr">
        <is>
          <t>Status de localização e revisão documental do preço unitário.</t>
        </is>
      </c>
      <c r="D67" s="105" t="inlineStr">
        <is>
          <t>Curadoria documental.</t>
        </is>
      </c>
      <c r="E67" s="105" t="inlineStr">
        <is>
          <t>N/D quando não localizado</t>
        </is>
      </c>
    </row>
    <row r="68" ht="37.5" customHeight="1">
      <c r="A68" s="106" t="inlineStr">
        <is>
          <t>preco_cota_excecao_asterisco_flag</t>
        </is>
      </c>
      <c r="B68" s="106" t="inlineStr">
        <is>
          <t>booleano</t>
        </is>
      </c>
      <c r="C68" s="106" t="inlineStr">
        <is>
          <t>Marca múltiplas classes/valores ou natureza documental ambígua.</t>
        </is>
      </c>
      <c r="D68" s="106" t="inlineStr">
        <is>
          <t>Regra de apresentação; a explicação permanece nos campos de preço.</t>
        </is>
      </c>
      <c r="E68" s="106" t="inlineStr">
        <is>
          <t>vazio/NA quando não calculado</t>
        </is>
      </c>
    </row>
    <row r="69" ht="37.5" customHeight="1">
      <c r="A69" s="105" t="inlineStr">
        <is>
          <t>cedente_originador_literal</t>
        </is>
      </c>
      <c r="B69" s="105" t="inlineStr">
        <is>
          <t>texto</t>
        </is>
      </c>
      <c r="C69" s="105" t="inlineStr">
        <is>
          <t>cedente originador literal</t>
        </is>
      </c>
      <c r="D69" s="105" t="inlineStr">
        <is>
          <t>Base normalizada compartilhada.</t>
        </is>
      </c>
      <c r="E69" s="105" t="inlineStr">
        <is>
          <t>N/D quando não localizado</t>
        </is>
      </c>
    </row>
    <row r="70" ht="37.5" customHeight="1">
      <c r="A70" s="106" t="inlineStr">
        <is>
          <t>papel_literal</t>
        </is>
      </c>
      <c r="B70" s="106" t="inlineStr">
        <is>
          <t>texto</t>
        </is>
      </c>
      <c r="C70" s="106" t="inlineStr">
        <is>
          <t>papel literal</t>
        </is>
      </c>
      <c r="D70" s="106" t="inlineStr">
        <is>
          <t>Base normalizada compartilhada.</t>
        </is>
      </c>
      <c r="E70" s="106" t="inlineStr">
        <is>
          <t>N/D quando não localizado</t>
        </is>
      </c>
    </row>
    <row r="71" ht="37.5" customHeight="1">
      <c r="A71" s="105" t="inlineStr">
        <is>
          <t>originador</t>
        </is>
      </c>
      <c r="B71" s="105" t="inlineStr">
        <is>
          <t>texto</t>
        </is>
      </c>
      <c r="C71" s="105" t="inlineStr">
        <is>
          <t>originador</t>
        </is>
      </c>
      <c r="D71" s="105" t="inlineStr">
        <is>
          <t>Base normalizada compartilhada.</t>
        </is>
      </c>
      <c r="E71" s="105" t="inlineStr">
        <is>
          <t>N/D quando não localizado</t>
        </is>
      </c>
    </row>
    <row r="72" ht="37.5" customHeight="1">
      <c r="A72" s="106" t="inlineStr">
        <is>
          <t>cedente</t>
        </is>
      </c>
      <c r="B72" s="106" t="inlineStr">
        <is>
          <t>texto</t>
        </is>
      </c>
      <c r="C72" s="106" t="inlineStr">
        <is>
          <t>cedente</t>
        </is>
      </c>
      <c r="D72" s="106" t="inlineStr">
        <is>
          <t>Base normalizada compartilhada.</t>
        </is>
      </c>
      <c r="E72" s="106" t="inlineStr">
        <is>
          <t>N/D quando não localizado</t>
        </is>
      </c>
    </row>
    <row r="73" ht="37.5" customHeight="1">
      <c r="A73" s="105" t="inlineStr">
        <is>
          <t>sacado_devedor</t>
        </is>
      </c>
      <c r="B73" s="105" t="inlineStr">
        <is>
          <t>texto</t>
        </is>
      </c>
      <c r="C73" s="105" t="inlineStr">
        <is>
          <t>sacado devedor</t>
        </is>
      </c>
      <c r="D73" s="105" t="inlineStr">
        <is>
          <t>Base normalizada compartilhada.</t>
        </is>
      </c>
      <c r="E73" s="105" t="inlineStr">
        <is>
          <t>N/D quando não localizado</t>
        </is>
      </c>
    </row>
    <row r="74" ht="37.5" customHeight="1">
      <c r="A74" s="106" t="inlineStr">
        <is>
          <t>tipo_recebivel_literal</t>
        </is>
      </c>
      <c r="B74" s="106" t="inlineStr">
        <is>
          <t>texto</t>
        </is>
      </c>
      <c r="C74" s="106" t="inlineStr">
        <is>
          <t>tipo recebivel literal</t>
        </is>
      </c>
      <c r="D74" s="106" t="inlineStr">
        <is>
          <t>Base normalizada compartilhada.</t>
        </is>
      </c>
      <c r="E74" s="106" t="inlineStr">
        <is>
          <t>N/D quando não localizado</t>
        </is>
      </c>
    </row>
    <row r="75" ht="37.5" customHeight="1">
      <c r="A75" s="105" t="inlineStr">
        <is>
          <t>fonte_partes_recebivel</t>
        </is>
      </c>
      <c r="B75" s="105" t="inlineStr">
        <is>
          <t>texto</t>
        </is>
      </c>
      <c r="C75" s="105" t="inlineStr">
        <is>
          <t>fonte partes recebivel</t>
        </is>
      </c>
      <c r="D75" s="105" t="inlineStr">
        <is>
          <t>Base normalizada compartilhada.</t>
        </is>
      </c>
      <c r="E75" s="105" t="inlineStr">
        <is>
          <t>N/D quando não localizado</t>
        </is>
      </c>
    </row>
    <row r="76" ht="37.5" customHeight="1">
      <c r="A76" s="106" t="inlineStr">
        <is>
          <t>status_complemento_manual</t>
        </is>
      </c>
      <c r="B76" s="106" t="inlineStr">
        <is>
          <t>texto</t>
        </is>
      </c>
      <c r="C76" s="106" t="inlineStr">
        <is>
          <t>status complemento manual</t>
        </is>
      </c>
      <c r="D76" s="106" t="inlineStr">
        <is>
          <t>Base normalizada compartilhada.</t>
        </is>
      </c>
      <c r="E76" s="106" t="inlineStr">
        <is>
          <t>N/D quando não localizado</t>
        </is>
      </c>
    </row>
    <row r="77" ht="37.5" customHeight="1">
      <c r="A77" s="105" t="inlineStr">
        <is>
          <t>observacao_complemento_manual</t>
        </is>
      </c>
      <c r="B77" s="105" t="inlineStr">
        <is>
          <t>texto</t>
        </is>
      </c>
      <c r="C77" s="105" t="inlineStr">
        <is>
          <t>observacao complemento manual</t>
        </is>
      </c>
      <c r="D77" s="105" t="inlineStr">
        <is>
          <t>Base normalizada compartilhada.</t>
        </is>
      </c>
      <c r="E77" s="105" t="inlineStr">
        <is>
          <t>N/D quando não localizado</t>
        </is>
      </c>
    </row>
    <row r="78" ht="37.5" customHeight="1">
      <c r="A78" s="106" t="inlineStr">
        <is>
          <t>documento_id</t>
        </is>
      </c>
      <c r="B78" s="106" t="inlineStr">
        <is>
          <t>texto</t>
        </is>
      </c>
      <c r="C78" s="106" t="inlineStr">
        <is>
          <t>documento id</t>
        </is>
      </c>
      <c r="D78" s="106" t="inlineStr">
        <is>
          <t>Base normalizada compartilhada.</t>
        </is>
      </c>
      <c r="E78" s="106" t="inlineStr">
        <is>
          <t>N/D quando não localizado</t>
        </is>
      </c>
    </row>
    <row r="79" ht="37.5" customHeight="1">
      <c r="A79" s="105" t="inlineStr">
        <is>
          <t>documento_data</t>
        </is>
      </c>
      <c r="B79" s="105" t="inlineStr">
        <is>
          <t>texto</t>
        </is>
      </c>
      <c r="C79" s="105" t="inlineStr">
        <is>
          <t>documento data</t>
        </is>
      </c>
      <c r="D79" s="105" t="inlineStr">
        <is>
          <t>Base normalizada compartilhada.</t>
        </is>
      </c>
      <c r="E79" s="105" t="inlineStr">
        <is>
          <t>N/D quando não localizado</t>
        </is>
      </c>
    </row>
    <row r="80" ht="37.5" customHeight="1">
      <c r="A80" s="106" t="inlineStr">
        <is>
          <t>pagina_clausula</t>
        </is>
      </c>
      <c r="B80" s="106" t="inlineStr">
        <is>
          <t>texto</t>
        </is>
      </c>
      <c r="C80" s="106" t="inlineStr">
        <is>
          <t>pagina clausula</t>
        </is>
      </c>
      <c r="D80" s="106" t="inlineStr">
        <is>
          <t>Base normalizada compartilhada.</t>
        </is>
      </c>
      <c r="E80" s="106" t="inlineStr">
        <is>
          <t>N/D quando não localizado</t>
        </is>
      </c>
    </row>
    <row r="81" ht="37.5" customHeight="1">
      <c r="A81" s="105" t="inlineStr">
        <is>
          <t>status_curadoria_documental</t>
        </is>
      </c>
      <c r="B81" s="105" t="inlineStr">
        <is>
          <t>texto</t>
        </is>
      </c>
      <c r="C81" s="105" t="inlineStr">
        <is>
          <t>status curadoria documental</t>
        </is>
      </c>
      <c r="D81" s="105" t="inlineStr">
        <is>
          <t>Base normalizada compartilhada.</t>
        </is>
      </c>
      <c r="E81" s="105" t="inlineStr">
        <is>
          <t>N/D quando não localizado</t>
        </is>
      </c>
    </row>
    <row r="82" ht="37.5" customHeight="1">
      <c r="A82" s="106" t="inlineStr">
        <is>
          <t>fonte_documental</t>
        </is>
      </c>
      <c r="B82" s="106" t="inlineStr">
        <is>
          <t>texto</t>
        </is>
      </c>
      <c r="C82" s="106" t="inlineStr">
        <is>
          <t>fonte documental</t>
        </is>
      </c>
      <c r="D82" s="106" t="inlineStr">
        <is>
          <t>Base normalizada compartilhada.</t>
        </is>
      </c>
      <c r="E82" s="106" t="inlineStr">
        <is>
          <t>N/D quando não localizado</t>
        </is>
      </c>
    </row>
    <row r="83" ht="37.5" customHeight="1">
      <c r="A83" s="105" t="inlineStr">
        <is>
          <t>texto_minimo</t>
        </is>
      </c>
      <c r="B83" s="105" t="inlineStr">
        <is>
          <t>texto</t>
        </is>
      </c>
      <c r="C83" s="105" t="inlineStr">
        <is>
          <t>texto minimo</t>
        </is>
      </c>
      <c r="D83" s="105" t="inlineStr">
        <is>
          <t>Base normalizada compartilhada.</t>
        </is>
      </c>
      <c r="E83" s="105" t="inlineStr">
        <is>
          <t>N/D quando não localizado</t>
        </is>
      </c>
    </row>
    <row r="84" ht="37.5" customHeight="1">
      <c r="A84" s="106" t="inlineStr">
        <is>
          <t>campos_nao_preenchidos</t>
        </is>
      </c>
      <c r="B84" s="106" t="inlineStr">
        <is>
          <t>texto</t>
        </is>
      </c>
      <c r="C84" s="106" t="inlineStr">
        <is>
          <t>campos nao preenchidos</t>
        </is>
      </c>
      <c r="D84" s="106" t="inlineStr">
        <is>
          <t>Base normalizada compartilhada.</t>
        </is>
      </c>
      <c r="E84" s="106" t="inlineStr">
        <is>
          <t>N/D quando não localizado</t>
        </is>
      </c>
    </row>
    <row r="85" ht="37.5" customHeight="1">
      <c r="A85" s="105" t="inlineStr">
        <is>
          <t>status_preenchimento</t>
        </is>
      </c>
      <c r="B85" s="105" t="inlineStr">
        <is>
          <t>texto</t>
        </is>
      </c>
      <c r="C85" s="105" t="inlineStr">
        <is>
          <t>status preenchimento</t>
        </is>
      </c>
      <c r="D85" s="105" t="inlineStr">
        <is>
          <t>Base normalizada compartilhada.</t>
        </is>
      </c>
      <c r="E85" s="105" t="inlineStr">
        <is>
          <t>N/D quando não localizado</t>
        </is>
      </c>
    </row>
  </sheetData>
  <mergeCells count="2">
    <mergeCell ref="A2:E2"/>
    <mergeCell ref="A1:E1"/>
  </mergeCells>
  <pageMargins left="0.7" right="0.7" top="0.75" bottom="0.75" header="0.3" footer="0.3"/>
</worksheet>
</file>

<file path=xl/worksheets/sheet1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Adquirência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4</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Cartão/CCB, ecossistema Credsystem</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Empréstimos Monee SCD,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Equipamentos e serviços, recebíveis comerciais pulverizados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Financiamento a consultoras Natura,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Home equity PF/PJ, CCB com alienação fiduciária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Monosacado/concentrado BRF e Marfrig</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Multicedente agro, lastro específico pendente</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Máquinas e implementos agrícolas, vendas e serviços performados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da Dass, projeto de investimento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de empresas/devedores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Albaugh, insumos agro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2</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Gazin, natureza contratual não isolada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insumos Yara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transações de pagamento Pernambucanas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ArcelorMittal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MadeiraMadeira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a prazo de máquinas e implementos Maqnelson</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de insumos a produtores e distribuidores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2026-08-03T15:16:23Z</dcterms:created>
  <dcterms:modified xmlns:dcterms="http://purl.org/dc/terms/" xmlns:xsi="http://www.w3.org/2001/XMLSchema-instance" xsi:type="dcterms:W3CDTF">2026-08-03T15:16:23Z</dcterms:modified>
</cp:coreProperties>
</file>