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2310" windowWidth="29040" windowHeight="15840" tabRatio="600" firstSheet="0" activeTab="2" autoFilterDateGrouping="1"/>
  </bookViews>
  <sheets>
    <sheet name="Originação - Valor" sheetId="1" state="visible" r:id="rId1"/>
    <sheet name="Nº de Operações" sheetId="2" state="visible" r:id="rId2"/>
    <sheet name="Distribuiçã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Tahoma"/>
      <family val="2"/>
      <color theme="1"/>
      <sz val="10"/>
    </font>
    <font>
      <name val="Calibri"/>
      <family val="2"/>
      <color rgb="FF808080"/>
      <sz val="18"/>
      <scheme val="minor"/>
    </font>
    <font>
      <name val="Calibri"/>
      <family val="2"/>
      <color rgb="FF808080"/>
      <sz val="10"/>
      <scheme val="minor"/>
    </font>
    <font>
      <name val="Calibri"/>
      <family val="2"/>
      <b val="1"/>
      <color rgb="FF0095D9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0"/>
      <u val="single"/>
      <scheme val="minor"/>
    </font>
    <font>
      <name val="Calibri"/>
      <b val="1"/>
      <strike val="0"/>
      <color rgb="00FFFFFF"/>
      <sz val="12"/>
    </font>
    <font>
      <name val="Calibri"/>
      <b val="1"/>
      <strike val="0"/>
      <color rgb="00FFFFFF"/>
      <sz val="10"/>
    </font>
    <font>
      <name val="Calibri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FF0095D9"/>
      </patternFill>
    </fill>
    <fill>
      <patternFill patternType="solid">
        <fgColor rgb="000095D9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808080"/>
      </patternFill>
    </fill>
  </fills>
  <borders count="5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  <vertical style="medium">
        <color rgb="00FFFFFF"/>
      </vertical>
      <horizontal style="medium">
        <color rgb="00FFFFFF"/>
      </horizontal>
    </border>
    <border>
      <left style="medium">
        <color rgb="00FFFFFF"/>
      </left>
      <right style="medium">
        <color rgb="000095D9"/>
      </right>
      <bottom style="medium">
        <color rgb="00FFFFFF"/>
      </bottom>
      <vertical style="medium">
        <color rgb="00FFFFFF"/>
      </vertical>
      <horizontal style="medium">
        <color rgb="00FFFFFF"/>
      </horizontal>
    </border>
    <border>
      <left style="medium">
        <color rgb="00FFFFFF"/>
      </left>
      <right style="medium">
        <color rgb="000095D9"/>
      </right>
      <top style="medium">
        <color rgb="00FFFFFF"/>
      </top>
      <bottom style="medium">
        <color rgb="00FFFFFF"/>
      </bottom>
      <vertical style="medium">
        <color rgb="00FFFFFF"/>
      </vertical>
      <horizontal style="medium">
        <color rgb="00FFFFFF"/>
      </horizontal>
    </border>
    <border>
      <left style="medium">
        <color rgb="000095D9"/>
      </left>
      <right style="medium">
        <color rgb="000095D9"/>
      </right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" fillId="0" borderId="0" applyAlignment="1" pivotButton="0" quotePrefix="1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0" pivotButton="0" quotePrefix="0" xfId="0"/>
    <xf numFmtId="0" fontId="9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3" borderId="1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11" fillId="4" borderId="4" applyAlignment="1" pivotButton="0" quotePrefix="0" xfId="0">
      <alignment horizontal="left" vertical="center"/>
    </xf>
    <xf numFmtId="0" fontId="11" fillId="4" borderId="4" applyAlignment="1" pivotButton="0" quotePrefix="0" xfId="0">
      <alignment horizontal="center" vertical="center"/>
    </xf>
    <xf numFmtId="3" fontId="11" fillId="4" borderId="4" applyAlignment="1" pivotButton="0" quotePrefix="0" xfId="0">
      <alignment horizontal="center" vertical="center"/>
    </xf>
    <xf numFmtId="164" fontId="11" fillId="4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left" vertical="center"/>
    </xf>
    <xf numFmtId="0" fontId="11" fillId="5" borderId="4" applyAlignment="1" pivotButton="0" quotePrefix="0" xfId="0">
      <alignment horizontal="center" vertical="center"/>
    </xf>
    <xf numFmtId="3" fontId="11" fillId="5" borderId="4" applyAlignment="1" pivotButton="0" quotePrefix="0" xfId="0">
      <alignment horizontal="center" vertical="center"/>
    </xf>
    <xf numFmtId="164" fontId="11" fillId="5" borderId="4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3" fontId="10" fillId="6" borderId="0" applyAlignment="1" pivotButton="0" quotePrefix="0" xfId="0">
      <alignment horizontal="center" vertical="center"/>
    </xf>
    <xf numFmtId="164" fontId="10" fillId="6" borderId="0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1"/>
  <sheetViews>
    <sheetView showGridLines="0" showRowColHeaders="0" zoomScaleNormal="100" workbookViewId="0">
      <selection activeCell="A6" sqref="A6"/>
    </sheetView>
  </sheetViews>
  <sheetFormatPr baseColWidth="8" defaultColWidth="9.140625" defaultRowHeight="12.75" customHeight="1"/>
  <cols>
    <col width="84.5703125" bestFit="1" customWidth="1" style="21" min="1" max="1"/>
    <col width="20.140625" bestFit="1" customWidth="1" style="21" min="2" max="2"/>
    <col width="22.5703125" bestFit="1" customWidth="1" style="21" min="3" max="3"/>
    <col width="10" bestFit="1" customWidth="1" style="21" min="4" max="4"/>
    <col width="23.85546875" bestFit="1" customWidth="1" style="21" min="5" max="5"/>
    <col width="22.5703125" bestFit="1" customWidth="1" style="21" min="6" max="6"/>
    <col width="10" bestFit="1" customWidth="1" style="21" min="7" max="7"/>
    <col width="25.140625" bestFit="1" customWidth="1" style="21" min="8" max="8"/>
    <col width="22.5703125" bestFit="1" customWidth="1" style="21" min="9" max="9"/>
    <col width="10" bestFit="1" customWidth="1" style="21" min="10" max="10"/>
    <col width="9.140625" customWidth="1" style="21" min="11" max="16384"/>
  </cols>
  <sheetData>
    <row r="1" ht="21" customHeight="1" s="8">
      <c r="A1" s="17" t="inlineStr">
        <is>
          <t>ANBIMA &gt;&gt; Mercado de Capitais | Rankings</t>
        </is>
      </c>
    </row>
    <row r="2" ht="25.5" customHeight="1" s="8">
      <c r="A2" s="19" t="inlineStr">
        <is>
          <t>Ranking Anbima de Renda Fixa e Híbridos - Originação</t>
        </is>
      </c>
    </row>
    <row r="3" ht="12.75" customHeight="1" s="8">
      <c r="A3" s="21" t="n"/>
    </row>
    <row r="4" ht="21" customHeight="1" s="8">
      <c r="A4" s="1" t="inlineStr">
        <is>
          <t>Valor</t>
        </is>
      </c>
      <c r="J4" s="3" t="inlineStr">
        <is>
          <t>Junho/2026</t>
        </is>
      </c>
    </row>
    <row r="5" ht="12.75" customHeight="1" s="8"/>
    <row r="6" ht="12.75" customHeight="1" s="8">
      <c r="A6" s="22" t="inlineStr">
        <is>
          <t>Tipo 1: Renda Fixa Consolidado</t>
        </is>
      </c>
      <c r="J6" s="23" t="n"/>
    </row>
    <row r="7" ht="12.75" customHeight="1" s="8">
      <c r="A7" s="24" t="inlineStr">
        <is>
          <t>Coordenadores</t>
        </is>
      </c>
      <c r="B7" s="24" t="inlineStr">
        <is>
          <t>Acumulado 2026</t>
        </is>
      </c>
      <c r="C7" s="24" t="n"/>
      <c r="D7" s="24" t="n"/>
      <c r="E7" s="24" t="inlineStr">
        <is>
          <t>Últimos 3 meses</t>
        </is>
      </c>
      <c r="F7" s="24" t="n"/>
      <c r="G7" s="24" t="n"/>
      <c r="H7" s="24" t="inlineStr">
        <is>
          <t>Últimos 12 meses</t>
        </is>
      </c>
      <c r="I7" s="24" t="n"/>
      <c r="J7" s="25" t="n"/>
    </row>
    <row r="8" ht="12.75" customHeight="1" s="8">
      <c r="A8" s="24" t="n"/>
      <c r="B8" s="24" t="inlineStr">
        <is>
          <t>Ranking 2026</t>
        </is>
      </c>
      <c r="C8" s="24" t="inlineStr">
        <is>
          <t>Valor *</t>
        </is>
      </c>
      <c r="D8" s="24" t="inlineStr">
        <is>
          <t>Part.</t>
        </is>
      </c>
      <c r="E8" s="24" t="inlineStr">
        <is>
          <t>Ranking 3 meses</t>
        </is>
      </c>
      <c r="F8" s="24" t="inlineStr">
        <is>
          <t>Valor *</t>
        </is>
      </c>
      <c r="G8" s="24" t="inlineStr">
        <is>
          <t>Part.</t>
        </is>
      </c>
      <c r="H8" s="24" t="inlineStr">
        <is>
          <t>Ranking 12 meses</t>
        </is>
      </c>
      <c r="I8" s="24" t="inlineStr">
        <is>
          <t>Valor *</t>
        </is>
      </c>
      <c r="J8" s="25" t="inlineStr">
        <is>
          <t>Part.</t>
        </is>
      </c>
    </row>
    <row r="9" ht="12.75" customHeight="1" s="8">
      <c r="A9" s="26" t="inlineStr">
        <is>
          <t>BRADESCO BBI</t>
        </is>
      </c>
      <c r="B9" s="27" t="inlineStr">
        <is>
          <t>1º</t>
        </is>
      </c>
      <c r="C9" s="28" t="n">
        <v>62033010.30459</v>
      </c>
      <c r="D9" s="29" t="n">
        <v>0.27789560251</v>
      </c>
      <c r="E9" s="27" t="inlineStr">
        <is>
          <t>1º</t>
        </is>
      </c>
      <c r="F9" s="28" t="n">
        <v>39024965.05611001</v>
      </c>
      <c r="G9" s="29" t="n">
        <v>0.36632112065</v>
      </c>
      <c r="H9" s="27" t="inlineStr">
        <is>
          <t>2º</t>
        </is>
      </c>
      <c r="I9" s="28" t="n">
        <v>115652609.48705</v>
      </c>
      <c r="J9" s="29" t="n">
        <v>0.20545717664</v>
      </c>
    </row>
    <row r="10" ht="12.75" customHeight="1" s="8">
      <c r="A10" s="30" t="inlineStr">
        <is>
          <t>ITAU BBA</t>
        </is>
      </c>
      <c r="B10" s="31" t="inlineStr">
        <is>
          <t>2º</t>
        </is>
      </c>
      <c r="C10" s="32" t="n">
        <v>51047290.04136</v>
      </c>
      <c r="D10" s="33" t="n">
        <v>0.2286817511</v>
      </c>
      <c r="E10" s="31" t="inlineStr">
        <is>
          <t>2º</t>
        </is>
      </c>
      <c r="F10" s="32" t="n">
        <v>21639862.93824</v>
      </c>
      <c r="G10" s="33" t="n">
        <v>0.20312994082</v>
      </c>
      <c r="H10" s="31" t="inlineStr">
        <is>
          <t>1º</t>
        </is>
      </c>
      <c r="I10" s="32" t="n">
        <v>140863241.52415</v>
      </c>
      <c r="J10" s="33" t="n">
        <v>0.25024393331</v>
      </c>
    </row>
    <row r="11" ht="12.75" customHeight="1" s="8">
      <c r="A11" s="26" t="inlineStr">
        <is>
          <t>BTG PACTUAL</t>
        </is>
      </c>
      <c r="B11" s="27" t="inlineStr">
        <is>
          <t>3º</t>
        </is>
      </c>
      <c r="C11" s="28" t="n">
        <v>22216295.66663</v>
      </c>
      <c r="D11" s="29" t="n">
        <v>0.09952460536</v>
      </c>
      <c r="E11" s="27" t="inlineStr">
        <is>
          <t>5º</t>
        </is>
      </c>
      <c r="F11" s="28" t="n">
        <v>7161030.999989999</v>
      </c>
      <c r="G11" s="29" t="n">
        <v>0.06721945546999999</v>
      </c>
      <c r="H11" s="27" t="inlineStr">
        <is>
          <t>3º</t>
        </is>
      </c>
      <c r="I11" s="28" t="n">
        <v>58646353.29989</v>
      </c>
      <c r="J11" s="29" t="n">
        <v>0.10418540682</v>
      </c>
    </row>
    <row r="12" ht="12.75" customHeight="1" s="8">
      <c r="A12" s="30" t="inlineStr">
        <is>
          <t>SANTANDER</t>
        </is>
      </c>
      <c r="B12" s="31" t="inlineStr">
        <is>
          <t>4º</t>
        </is>
      </c>
      <c r="C12" s="32" t="n">
        <v>21109184.76727</v>
      </c>
      <c r="D12" s="33" t="n">
        <v>0.09456496775999999</v>
      </c>
      <c r="E12" s="31" t="inlineStr">
        <is>
          <t>4º</t>
        </is>
      </c>
      <c r="F12" s="32" t="n">
        <v>8159827.15</v>
      </c>
      <c r="G12" s="33" t="n">
        <v>0.07659499558000001</v>
      </c>
      <c r="H12" s="31" t="inlineStr">
        <is>
          <t>5º</t>
        </is>
      </c>
      <c r="I12" s="32" t="n">
        <v>50007791.27856001</v>
      </c>
      <c r="J12" s="33" t="n">
        <v>0.08883897779</v>
      </c>
    </row>
    <row r="13" ht="12.75" customHeight="1" s="8">
      <c r="A13" s="26" t="inlineStr">
        <is>
          <t>XP INVESTIMENTOS</t>
        </is>
      </c>
      <c r="B13" s="27" t="inlineStr">
        <is>
          <t>5º</t>
        </is>
      </c>
      <c r="C13" s="28" t="n">
        <v>17469281.29716</v>
      </c>
      <c r="D13" s="29" t="n">
        <v>0.07825892097999999</v>
      </c>
      <c r="E13" s="27" t="inlineStr">
        <is>
          <t>7º</t>
        </is>
      </c>
      <c r="F13" s="28" t="n">
        <v>4305922.93513</v>
      </c>
      <c r="G13" s="29" t="n">
        <v>0.04041901159</v>
      </c>
      <c r="H13" s="27" t="inlineStr">
        <is>
          <t>4º</t>
        </is>
      </c>
      <c r="I13" s="28" t="n">
        <v>53205134.15609999</v>
      </c>
      <c r="J13" s="29" t="n">
        <v>0.09451906615</v>
      </c>
    </row>
    <row r="14" ht="12.75" customHeight="1" s="8">
      <c r="A14" s="30" t="inlineStr">
        <is>
          <t>UBS BB</t>
        </is>
      </c>
      <c r="B14" s="31" t="inlineStr">
        <is>
          <t>6º</t>
        </is>
      </c>
      <c r="C14" s="32" t="n">
        <v>15716942.87355</v>
      </c>
      <c r="D14" s="33" t="n">
        <v>0.07040879184</v>
      </c>
      <c r="E14" s="31" t="inlineStr">
        <is>
          <t>3º</t>
        </is>
      </c>
      <c r="F14" s="32" t="n">
        <v>8327444.16666</v>
      </c>
      <c r="G14" s="33" t="n">
        <v>0.07816838977</v>
      </c>
      <c r="H14" s="31" t="inlineStr">
        <is>
          <t>6º</t>
        </is>
      </c>
      <c r="I14" s="32" t="n">
        <v>41943134.94305</v>
      </c>
      <c r="J14" s="33" t="n">
        <v>0.07451209379</v>
      </c>
    </row>
    <row r="15" ht="12.75" customHeight="1" s="8">
      <c r="A15" s="26" t="inlineStr">
        <is>
          <t>CEF</t>
        </is>
      </c>
      <c r="B15" s="27" t="inlineStr">
        <is>
          <t>7º</t>
        </is>
      </c>
      <c r="C15" s="28" t="n">
        <v>7487835.62</v>
      </c>
      <c r="D15" s="29" t="n">
        <v>0.03354402085</v>
      </c>
      <c r="E15" s="27" t="inlineStr">
        <is>
          <t>6º</t>
        </is>
      </c>
      <c r="F15" s="28" t="n">
        <v>5683988</v>
      </c>
      <c r="G15" s="29" t="n">
        <v>0.05335468849</v>
      </c>
      <c r="H15" s="27" t="inlineStr">
        <is>
          <t>9º</t>
        </is>
      </c>
      <c r="I15" s="28" t="n">
        <v>13708868.22</v>
      </c>
      <c r="J15" s="29" t="n">
        <v>0.02435384184</v>
      </c>
    </row>
    <row r="16" ht="12.75" customHeight="1" s="8">
      <c r="A16" s="30" t="inlineStr">
        <is>
          <t>SAFRA</t>
        </is>
      </c>
      <c r="B16" s="31" t="inlineStr">
        <is>
          <t>8º</t>
        </is>
      </c>
      <c r="C16" s="32" t="n">
        <v>5914189.39449</v>
      </c>
      <c r="D16" s="33" t="n">
        <v>0.02649439737</v>
      </c>
      <c r="E16" s="31" t="inlineStr">
        <is>
          <t>8º</t>
        </is>
      </c>
      <c r="F16" s="32" t="n">
        <v>2740406.3333</v>
      </c>
      <c r="G16" s="33" t="n">
        <v>0.02572375703</v>
      </c>
      <c r="H16" s="31" t="inlineStr">
        <is>
          <t>8º</t>
        </is>
      </c>
      <c r="I16" s="32" t="n">
        <v>18114092.22774</v>
      </c>
      <c r="J16" s="33" t="n">
        <v>0.03217973432</v>
      </c>
    </row>
    <row r="17" ht="12.75" customHeight="1" s="8">
      <c r="A17" s="26" t="inlineStr">
        <is>
          <t>ABC BRASIL</t>
        </is>
      </c>
      <c r="B17" s="27" t="inlineStr">
        <is>
          <t>9º</t>
        </is>
      </c>
      <c r="C17" s="28" t="n">
        <v>4202336.311199999</v>
      </c>
      <c r="D17" s="29" t="n">
        <v>0.01882563454</v>
      </c>
      <c r="E17" s="27" t="inlineStr">
        <is>
          <t>10º</t>
        </is>
      </c>
      <c r="F17" s="28" t="n">
        <v>1733018</v>
      </c>
      <c r="G17" s="29" t="n">
        <v>0.01626756347</v>
      </c>
      <c r="H17" s="27" t="inlineStr">
        <is>
          <t>11º</t>
        </is>
      </c>
      <c r="I17" s="28" t="n">
        <v>8581412.81119</v>
      </c>
      <c r="J17" s="29" t="n">
        <v>0.0152449033</v>
      </c>
    </row>
    <row r="18" ht="12.75" customHeight="1" s="8">
      <c r="A18" s="30" t="inlineStr">
        <is>
          <t>VOTORANTIM</t>
        </is>
      </c>
      <c r="B18" s="31" t="inlineStr">
        <is>
          <t>10º</t>
        </is>
      </c>
      <c r="C18" s="32" t="n">
        <v>3665022.17532</v>
      </c>
      <c r="D18" s="33" t="n">
        <v>0.0164185736</v>
      </c>
      <c r="E18" s="31" t="inlineStr">
        <is>
          <t>9º</t>
        </is>
      </c>
      <c r="F18" s="32" t="n">
        <v>2599553.15384</v>
      </c>
      <c r="G18" s="33" t="n">
        <v>0.0244015907</v>
      </c>
      <c r="H18" s="31" t="inlineStr">
        <is>
          <t>10º</t>
        </is>
      </c>
      <c r="I18" s="32" t="n">
        <v>11997987.63861</v>
      </c>
      <c r="J18" s="33" t="n">
        <v>0.02131445781</v>
      </c>
    </row>
    <row r="19" ht="12.75" customHeight="1" s="8">
      <c r="A19" s="26" t="inlineStr">
        <is>
          <t>CITIGROUP</t>
        </is>
      </c>
      <c r="B19" s="27" t="inlineStr">
        <is>
          <t>11º</t>
        </is>
      </c>
      <c r="C19" s="28" t="n">
        <v>2777587.06119</v>
      </c>
      <c r="D19" s="29" t="n">
        <v>0.01244304002</v>
      </c>
      <c r="E19" s="27" t="inlineStr">
        <is>
          <t>19º</t>
        </is>
      </c>
      <c r="F19" s="28" t="n">
        <v>150000</v>
      </c>
      <c r="G19" s="29" t="n">
        <v>0.00140802607</v>
      </c>
      <c r="H19" s="27" t="inlineStr">
        <is>
          <t>12º</t>
        </is>
      </c>
      <c r="I19" s="28" t="n">
        <v>4815223.54119</v>
      </c>
      <c r="J19" s="29" t="n">
        <v>0.00855425777</v>
      </c>
    </row>
    <row r="20" ht="12.75" customHeight="1" s="8">
      <c r="A20" s="30" t="inlineStr">
        <is>
          <t>BNDES</t>
        </is>
      </c>
      <c r="B20" s="31" t="inlineStr">
        <is>
          <t>12º</t>
        </is>
      </c>
      <c r="C20" s="32" t="n">
        <v>2098220</v>
      </c>
      <c r="D20" s="33" t="n">
        <v>0.00939961011</v>
      </c>
      <c r="E20" s="31" t="inlineStr">
        <is>
          <t>11º</t>
        </is>
      </c>
      <c r="F20" s="32" t="n">
        <v>1723000</v>
      </c>
      <c r="G20" s="33" t="n">
        <v>0.0161735261</v>
      </c>
      <c r="H20" s="31" t="inlineStr">
        <is>
          <t>7º</t>
        </is>
      </c>
      <c r="I20" s="32" t="n">
        <v>20928220</v>
      </c>
      <c r="J20" s="33" t="n">
        <v>0.03717903999</v>
      </c>
    </row>
    <row r="21" ht="12.75" customHeight="1" s="8">
      <c r="A21" s="26" t="inlineStr">
        <is>
          <t>BR PARTNERS</t>
        </is>
      </c>
      <c r="B21" s="27" t="inlineStr">
        <is>
          <t>13º</t>
        </is>
      </c>
      <c r="C21" s="28" t="n">
        <v>1982667.07396</v>
      </c>
      <c r="D21" s="29" t="n">
        <v>0.008881955889999999</v>
      </c>
      <c r="E21" s="27" t="inlineStr">
        <is>
          <t>13º</t>
        </is>
      </c>
      <c r="F21" s="28" t="n">
        <v>642403.0739600001</v>
      </c>
      <c r="G21" s="29" t="n">
        <v>0.00603013516</v>
      </c>
      <c r="H21" s="27" t="inlineStr">
        <is>
          <t>13º</t>
        </is>
      </c>
      <c r="I21" s="28" t="n">
        <v>4412615.68897</v>
      </c>
      <c r="J21" s="29" t="n">
        <v>0.007839023820000001</v>
      </c>
    </row>
    <row r="22" ht="12.75" customHeight="1" s="8">
      <c r="A22" s="30" t="inlineStr">
        <is>
          <t>BB-BI</t>
        </is>
      </c>
      <c r="B22" s="31" t="inlineStr">
        <is>
          <t>14º</t>
        </is>
      </c>
      <c r="C22" s="32" t="n">
        <v>1104652.99998</v>
      </c>
      <c r="D22" s="33" t="n">
        <v>0.0049486267</v>
      </c>
      <c r="E22" s="31" t="inlineStr">
        <is>
          <t>12º</t>
        </is>
      </c>
      <c r="F22" s="32" t="n">
        <v>744652.99998</v>
      </c>
      <c r="G22" s="33" t="n">
        <v>0.0069899389</v>
      </c>
      <c r="H22" s="31" t="inlineStr">
        <is>
          <t>14º</t>
        </is>
      </c>
      <c r="I22" s="32" t="n">
        <v>4092266.083250001</v>
      </c>
      <c r="J22" s="33" t="n">
        <v>0.00726992187</v>
      </c>
    </row>
    <row r="23" ht="12.75" customHeight="1" s="8">
      <c r="A23" s="26" t="inlineStr">
        <is>
          <t>DAYCOVAL</t>
        </is>
      </c>
      <c r="B23" s="27" t="inlineStr">
        <is>
          <t>15º</t>
        </is>
      </c>
      <c r="C23" s="28" t="n">
        <v>1025239.99998</v>
      </c>
      <c r="D23" s="29" t="n">
        <v>0.00459287218</v>
      </c>
      <c r="E23" s="27" t="inlineStr">
        <is>
          <t>17º</t>
        </is>
      </c>
      <c r="F23" s="28" t="n">
        <v>281729.99998</v>
      </c>
      <c r="G23" s="29" t="n">
        <v>0.00264455456</v>
      </c>
      <c r="H23" s="27" t="inlineStr">
        <is>
          <t>16º</t>
        </is>
      </c>
      <c r="I23" s="28" t="n">
        <v>2585234.999919999</v>
      </c>
      <c r="J23" s="29" t="n">
        <v>0.00459267704</v>
      </c>
    </row>
    <row r="24" ht="12.75" customHeight="1" s="8">
      <c r="A24" s="30" t="inlineStr">
        <is>
          <t>M7 IB</t>
        </is>
      </c>
      <c r="B24" s="31" t="inlineStr">
        <is>
          <t>16º</t>
        </is>
      </c>
      <c r="C24" s="32" t="n">
        <v>745098.447</v>
      </c>
      <c r="D24" s="33" t="n">
        <v>0.0033378935</v>
      </c>
      <c r="E24" s="31" t="inlineStr">
        <is>
          <t>18º</t>
        </is>
      </c>
      <c r="F24" s="32" t="n">
        <v>236443.687</v>
      </c>
      <c r="G24" s="33" t="n">
        <v>0.00221945917</v>
      </c>
      <c r="H24" s="31" t="inlineStr">
        <is>
          <t>18º</t>
        </is>
      </c>
      <c r="I24" s="32" t="n">
        <v>1152059.821</v>
      </c>
      <c r="J24" s="33" t="n">
        <v>0.00204663742</v>
      </c>
    </row>
    <row r="25" ht="12.75" customHeight="1" s="8">
      <c r="A25" s="26" t="inlineStr">
        <is>
          <t>BNP PARIBAS</t>
        </is>
      </c>
      <c r="B25" s="27" t="inlineStr">
        <is>
          <t>17º</t>
        </is>
      </c>
      <c r="C25" s="28" t="n">
        <v>687200</v>
      </c>
      <c r="D25" s="29" t="n">
        <v>0.00307851992</v>
      </c>
      <c r="E25" s="27" t="inlineStr">
        <is>
          <t>14º</t>
        </is>
      </c>
      <c r="F25" s="28" t="n">
        <v>400000</v>
      </c>
      <c r="G25" s="29" t="n">
        <v>0.00375473618</v>
      </c>
      <c r="H25" s="27" t="inlineStr">
        <is>
          <t>15º</t>
        </is>
      </c>
      <c r="I25" s="28" t="n">
        <v>3566600</v>
      </c>
      <c r="J25" s="29" t="n">
        <v>0.00633607464</v>
      </c>
    </row>
    <row r="26" ht="12.75" customHeight="1" s="8">
      <c r="A26" s="30" t="inlineStr">
        <is>
          <t>BOCOM BBM</t>
        </is>
      </c>
      <c r="B26" s="31" t="inlineStr">
        <is>
          <t>18º</t>
        </is>
      </c>
      <c r="C26" s="32" t="n">
        <v>468000</v>
      </c>
      <c r="D26" s="33" t="n">
        <v>0.00209654733</v>
      </c>
      <c r="E26" s="31" t="inlineStr">
        <is>
          <t>16º</t>
        </is>
      </c>
      <c r="F26" s="32" t="n">
        <v>368000</v>
      </c>
      <c r="G26" s="33" t="n">
        <v>0.00345435729</v>
      </c>
      <c r="H26" s="31" t="inlineStr">
        <is>
          <t>19º</t>
        </is>
      </c>
      <c r="I26" s="32" t="n">
        <v>955666.66666</v>
      </c>
      <c r="J26" s="33" t="n">
        <v>0.00169774444</v>
      </c>
    </row>
    <row r="27" ht="12.75" customHeight="1" s="8">
      <c r="A27" s="26" t="inlineStr">
        <is>
          <t>INTER</t>
        </is>
      </c>
      <c r="B27" s="27" t="inlineStr">
        <is>
          <t>19º</t>
        </is>
      </c>
      <c r="C27" s="28" t="n">
        <v>374999.99999</v>
      </c>
      <c r="D27" s="29" t="n">
        <v>0.00167992574</v>
      </c>
      <c r="E27" s="27" t="inlineStr">
        <is>
          <t>15º</t>
        </is>
      </c>
      <c r="F27" s="28" t="n">
        <v>374999.99999</v>
      </c>
      <c r="G27" s="29" t="n">
        <v>0.00352006517</v>
      </c>
      <c r="H27" s="27" t="inlineStr">
        <is>
          <t>20º</t>
        </is>
      </c>
      <c r="I27" s="28" t="n">
        <v>848231.70727</v>
      </c>
      <c r="J27" s="29" t="n">
        <v>0.00150688594</v>
      </c>
    </row>
    <row r="28" ht="12.75" customHeight="1" s="8">
      <c r="A28" s="30" t="inlineStr">
        <is>
          <t>One Corporate</t>
        </is>
      </c>
      <c r="B28" s="31" t="inlineStr">
        <is>
          <t>20º</t>
        </is>
      </c>
      <c r="C28" s="32" t="n">
        <v>310761.944</v>
      </c>
      <c r="D28" s="33" t="n">
        <v>0.00139215197</v>
      </c>
      <c r="E28" s="31" t="inlineStr">
        <is>
          <t>20º</t>
        </is>
      </c>
      <c r="F28" s="32" t="n">
        <v>105000</v>
      </c>
      <c r="G28" s="33" t="n">
        <v>0.00098561825</v>
      </c>
      <c r="H28" s="31" t="inlineStr">
        <is>
          <t>24º</t>
        </is>
      </c>
      <c r="I28" s="32" t="n">
        <v>430761.944</v>
      </c>
      <c r="J28" s="33" t="n">
        <v>0.00076524977</v>
      </c>
    </row>
    <row r="29" ht="12.75" customHeight="1" s="8">
      <c r="A29" s="26" t="inlineStr">
        <is>
          <t>ASA ASSET 2 GESTÃO DE RECURSOS LTDA</t>
        </is>
      </c>
      <c r="B29" s="27" t="inlineStr">
        <is>
          <t>21º</t>
        </is>
      </c>
      <c r="C29" s="28" t="n">
        <v>209004</v>
      </c>
      <c r="D29" s="29" t="n">
        <v>0.00093629653</v>
      </c>
      <c r="E29" s="27" t="n">
        <v/>
      </c>
      <c r="F29" s="28" t="n">
        <v>0</v>
      </c>
      <c r="G29" s="29" t="n">
        <v/>
      </c>
      <c r="H29" s="27" t="inlineStr">
        <is>
          <t>30º</t>
        </is>
      </c>
      <c r="I29" s="28" t="n">
        <v>209004</v>
      </c>
      <c r="J29" s="29" t="n">
        <v>0.00037129618</v>
      </c>
    </row>
    <row r="30" ht="12.75" customHeight="1" s="8">
      <c r="A30" s="30" t="inlineStr">
        <is>
          <t>RABOBANK</t>
        </is>
      </c>
      <c r="B30" s="31" t="inlineStr">
        <is>
          <t>22º</t>
        </is>
      </c>
      <c r="C30" s="32" t="n">
        <v>119772.9361</v>
      </c>
      <c r="D30" s="33" t="n">
        <v>0.00053655904</v>
      </c>
      <c r="E30" s="31" t="n">
        <v/>
      </c>
      <c r="F30" s="32" t="n">
        <v>0</v>
      </c>
      <c r="G30" s="33" t="n">
        <v/>
      </c>
      <c r="H30" s="31" t="inlineStr">
        <is>
          <t>29º</t>
        </is>
      </c>
      <c r="I30" s="32" t="n">
        <v>242814.35758</v>
      </c>
      <c r="J30" s="33" t="n">
        <v>0.00043136037</v>
      </c>
    </row>
    <row r="31" ht="12.75" customHeight="1" s="8">
      <c r="A31" s="26" t="inlineStr">
        <is>
          <t>CANAL COMPANHIA DE SECURITIZAÇÃO</t>
        </is>
      </c>
      <c r="B31" s="27" t="inlineStr">
        <is>
          <t>23º</t>
        </is>
      </c>
      <c r="C31" s="28" t="n">
        <v>106500</v>
      </c>
      <c r="D31" s="29" t="n">
        <v>0.00047709891</v>
      </c>
      <c r="E31" s="27" t="n">
        <v/>
      </c>
      <c r="F31" s="28" t="n">
        <v>0</v>
      </c>
      <c r="G31" s="29" t="n">
        <v/>
      </c>
      <c r="H31" s="27" t="inlineStr">
        <is>
          <t>22º</t>
        </is>
      </c>
      <c r="I31" s="28" t="n">
        <v>533349</v>
      </c>
      <c r="J31" s="29" t="n">
        <v>0.00094749596</v>
      </c>
    </row>
    <row r="32" ht="12.75" customHeight="1" s="8">
      <c r="A32" s="30" t="inlineStr">
        <is>
          <t>MAX CAPITAL MARKETS</t>
        </is>
      </c>
      <c r="B32" s="31" t="inlineStr">
        <is>
          <t>24º</t>
        </is>
      </c>
      <c r="C32" s="32" t="n">
        <v>100000</v>
      </c>
      <c r="D32" s="33" t="n">
        <v>0.0004479802</v>
      </c>
      <c r="E32" s="31" t="inlineStr">
        <is>
          <t>21º</t>
        </is>
      </c>
      <c r="F32" s="32" t="n">
        <v>100000</v>
      </c>
      <c r="G32" s="33" t="n">
        <v>0.00093868405</v>
      </c>
      <c r="H32" s="31" t="inlineStr">
        <is>
          <t>25º</t>
        </is>
      </c>
      <c r="I32" s="32" t="n">
        <v>302088</v>
      </c>
      <c r="J32" s="33" t="n">
        <v>0.00053666016</v>
      </c>
    </row>
    <row r="33" ht="12.75" customHeight="1" s="8">
      <c r="A33" s="26" t="inlineStr">
        <is>
          <t>TERRA</t>
        </is>
      </c>
      <c r="B33" s="27" t="inlineStr">
        <is>
          <t>25º</t>
        </is>
      </c>
      <c r="C33" s="28" t="n">
        <v>88205</v>
      </c>
      <c r="D33" s="29" t="n">
        <v>0.00039514093</v>
      </c>
      <c r="E33" s="27" t="n">
        <v/>
      </c>
      <c r="F33" s="28" t="n">
        <v>0</v>
      </c>
      <c r="G33" s="29" t="n">
        <v/>
      </c>
      <c r="H33" s="27" t="inlineStr">
        <is>
          <t>34º</t>
        </is>
      </c>
      <c r="I33" s="28" t="n">
        <v>88205</v>
      </c>
      <c r="J33" s="29" t="n">
        <v>0.00015669642</v>
      </c>
    </row>
    <row r="34" ht="12.75" customHeight="1" s="8">
      <c r="A34" s="30" t="inlineStr">
        <is>
          <t>EQI Investimentos CTVM</t>
        </is>
      </c>
      <c r="B34" s="31" t="inlineStr">
        <is>
          <t>26º</t>
        </is>
      </c>
      <c r="C34" s="32" t="n">
        <v>75281.344</v>
      </c>
      <c r="D34" s="33" t="n">
        <v>0.00033724551</v>
      </c>
      <c r="E34" s="31" t="n">
        <v/>
      </c>
      <c r="F34" s="32" t="n">
        <v>0</v>
      </c>
      <c r="G34" s="33" t="n">
        <v/>
      </c>
      <c r="H34" s="31" t="inlineStr">
        <is>
          <t>35º</t>
        </is>
      </c>
      <c r="I34" s="32" t="n">
        <v>75281.344</v>
      </c>
      <c r="J34" s="33" t="n">
        <v>0.00013373751</v>
      </c>
    </row>
    <row r="35" ht="12.75" customHeight="1" s="8">
      <c r="A35" s="26" t="inlineStr">
        <is>
          <t>BAMBOO SEC</t>
        </is>
      </c>
      <c r="B35" s="27" t="inlineStr">
        <is>
          <t>27º</t>
        </is>
      </c>
      <c r="C35" s="28" t="n">
        <v>65000</v>
      </c>
      <c r="D35" s="29" t="n">
        <v>0.00029118713</v>
      </c>
      <c r="E35" s="27" t="inlineStr">
        <is>
          <t>22º</t>
        </is>
      </c>
      <c r="F35" s="28" t="n">
        <v>20000</v>
      </c>
      <c r="G35" s="29" t="n">
        <v>0.00018773681</v>
      </c>
      <c r="H35" s="27" t="inlineStr">
        <is>
          <t>36º</t>
        </is>
      </c>
      <c r="I35" s="28" t="n">
        <v>65000</v>
      </c>
      <c r="J35" s="29" t="n">
        <v>0.00011547268</v>
      </c>
    </row>
    <row r="36" ht="12.75" customHeight="1" s="8">
      <c r="A36" s="30" t="inlineStr">
        <is>
          <t>GALAPAGOS CAPITAL INVESTIMENTOS E PARTICIPAÇÕES LTDA.</t>
        </is>
      </c>
      <c r="B36" s="31" t="inlineStr">
        <is>
          <t>28º</t>
        </is>
      </c>
      <c r="C36" s="32" t="n">
        <v>14703</v>
      </c>
      <c r="D36" s="33" t="n">
        <v>6.586653000000001e-05</v>
      </c>
      <c r="E36" s="31" t="n">
        <v/>
      </c>
      <c r="F36" s="32" t="n">
        <v>0</v>
      </c>
      <c r="G36" s="33" t="n">
        <v/>
      </c>
      <c r="H36" s="31" t="inlineStr">
        <is>
          <t>17º</t>
        </is>
      </c>
      <c r="I36" s="32" t="n">
        <v>2510472</v>
      </c>
      <c r="J36" s="33" t="n">
        <v>0.00445986036</v>
      </c>
    </row>
    <row r="37" ht="12.75" customHeight="1" s="8">
      <c r="A37" s="26" t="inlineStr">
        <is>
          <t>GENIAL CV</t>
        </is>
      </c>
      <c r="B37" s="27" t="inlineStr">
        <is>
          <t>29º</t>
        </is>
      </c>
      <c r="C37" s="28" t="n">
        <v>8358.999979999999</v>
      </c>
      <c r="D37" s="29" t="n">
        <v>3.744666e-05</v>
      </c>
      <c r="E37" s="27" t="inlineStr">
        <is>
          <t>23º</t>
        </is>
      </c>
      <c r="F37" s="28" t="n">
        <v>8358.999979999999</v>
      </c>
      <c r="G37" s="29" t="n">
        <v>7.84646e-05</v>
      </c>
      <c r="H37" s="27" t="inlineStr">
        <is>
          <t>39º</t>
        </is>
      </c>
      <c r="I37" s="28" t="n">
        <v>19144.99997</v>
      </c>
      <c r="J37" s="29" t="n">
        <v>3.401114e-05</v>
      </c>
    </row>
    <row r="38" ht="12.75" customHeight="1" s="8">
      <c r="A38" s="30" t="inlineStr">
        <is>
          <t>OPEA SECURITIZADORA</t>
        </is>
      </c>
      <c r="B38" s="31" t="inlineStr">
        <is>
          <t>30º</t>
        </is>
      </c>
      <c r="C38" s="32" t="n">
        <v>1500</v>
      </c>
      <c r="D38" s="33" t="n">
        <v>6.7197e-06</v>
      </c>
      <c r="E38" s="31" t="inlineStr">
        <is>
          <t>24º</t>
        </is>
      </c>
      <c r="F38" s="32" t="n">
        <v>1500</v>
      </c>
      <c r="G38" s="33" t="n">
        <v>1.408026e-05</v>
      </c>
      <c r="H38" s="31" t="inlineStr">
        <is>
          <t>23º</t>
        </is>
      </c>
      <c r="I38" s="32" t="n">
        <v>474606</v>
      </c>
      <c r="J38" s="33" t="n">
        <v>0.00084313886</v>
      </c>
    </row>
    <row r="39" ht="12.75" customHeight="1" s="8">
      <c r="A39" s="26" t="inlineStr">
        <is>
          <t>JIVE HIGH YIELD GESTÃO DE RECURSOS LTDA.</t>
        </is>
      </c>
      <c r="B39" s="27" t="inlineStr">
        <is>
          <t>31º</t>
        </is>
      </c>
      <c r="C39" s="28" t="n">
        <v>11.06485</v>
      </c>
      <c r="D39" s="29" t="n">
        <v>4.957e-08</v>
      </c>
      <c r="E39" s="27" t="inlineStr">
        <is>
          <t>25º</t>
        </is>
      </c>
      <c r="F39" s="28" t="n">
        <v>11.06485</v>
      </c>
      <c r="G39" s="29" t="n">
        <v>1.0386e-07</v>
      </c>
      <c r="H39" s="27" t="inlineStr">
        <is>
          <t>40º</t>
        </is>
      </c>
      <c r="I39" s="28" t="n">
        <v>11.06485</v>
      </c>
      <c r="J39" s="29" t="n">
        <v>1.966e-08</v>
      </c>
    </row>
    <row r="40" ht="12.75" customHeight="1" s="8">
      <c r="A40" s="30" t="inlineStr">
        <is>
          <t>JP MORGAN</t>
        </is>
      </c>
      <c r="B40" s="31" t="n">
        <v/>
      </c>
      <c r="C40" s="32" t="n">
        <v>0</v>
      </c>
      <c r="D40" s="33" t="n">
        <v/>
      </c>
      <c r="E40" s="31" t="n">
        <v/>
      </c>
      <c r="F40" s="32" t="n">
        <v>0</v>
      </c>
      <c r="G40" s="33" t="n">
        <v/>
      </c>
      <c r="H40" s="31" t="inlineStr">
        <is>
          <t>21º</t>
        </is>
      </c>
      <c r="I40" s="32" t="n">
        <v>600000</v>
      </c>
      <c r="J40" s="33" t="n">
        <v>0.00106590164</v>
      </c>
    </row>
    <row r="41" ht="12.75" customHeight="1" s="8">
      <c r="A41" s="26" t="inlineStr">
        <is>
          <t>ARCHX CAPITAL</t>
        </is>
      </c>
      <c r="B41" s="27" t="n">
        <v/>
      </c>
      <c r="C41" s="28" t="n">
        <v>0</v>
      </c>
      <c r="D41" s="29" t="n">
        <v/>
      </c>
      <c r="E41" s="27" t="n">
        <v/>
      </c>
      <c r="F41" s="28" t="n">
        <v>0</v>
      </c>
      <c r="G41" s="29" t="n">
        <v/>
      </c>
      <c r="H41" s="27" t="inlineStr">
        <is>
          <t>26º</t>
        </is>
      </c>
      <c r="I41" s="28" t="n">
        <v>290000</v>
      </c>
      <c r="J41" s="29" t="n">
        <v>0.00051518579</v>
      </c>
    </row>
    <row r="42" ht="12.75" customFormat="1" customHeight="1" s="21">
      <c r="A42" s="30" t="inlineStr">
        <is>
          <t>BANCO SUMITOMO MITSUI BRASILEIRO</t>
        </is>
      </c>
      <c r="B42" s="31" t="n">
        <v/>
      </c>
      <c r="C42" s="32" t="n">
        <v>0</v>
      </c>
      <c r="D42" s="33" t="n">
        <v/>
      </c>
      <c r="E42" s="31" t="n">
        <v/>
      </c>
      <c r="F42" s="32" t="n">
        <v>0</v>
      </c>
      <c r="G42" s="33" t="n">
        <v/>
      </c>
      <c r="H42" s="31" t="inlineStr">
        <is>
          <t>27º</t>
        </is>
      </c>
      <c r="I42" s="32" t="n">
        <v>277500</v>
      </c>
      <c r="J42" s="33" t="n">
        <v>0.00049297951</v>
      </c>
    </row>
    <row r="43" ht="12.75" customFormat="1" customHeight="1" s="21">
      <c r="A43" s="26" t="inlineStr">
        <is>
          <t>CREDIT AGRICOLE</t>
        </is>
      </c>
      <c r="B43" s="27" t="n">
        <v/>
      </c>
      <c r="C43" s="28" t="n">
        <v>0</v>
      </c>
      <c r="D43" s="29" t="n">
        <v/>
      </c>
      <c r="E43" s="27" t="n">
        <v/>
      </c>
      <c r="F43" s="28" t="n">
        <v>0</v>
      </c>
      <c r="G43" s="29" t="n">
        <v/>
      </c>
      <c r="H43" s="27" t="inlineStr">
        <is>
          <t>28º</t>
        </is>
      </c>
      <c r="I43" s="28" t="n">
        <v>250000</v>
      </c>
      <c r="J43" s="29" t="n">
        <v>0.00044412568</v>
      </c>
    </row>
    <row r="44" ht="12.75" customHeight="1" s="8">
      <c r="A44" s="30" t="inlineStr">
        <is>
          <t>ORIZ ASSESSORIA FINANCEIRA LTDA</t>
        </is>
      </c>
      <c r="B44" s="31" t="n">
        <v/>
      </c>
      <c r="C44" s="32" t="n">
        <v>0</v>
      </c>
      <c r="D44" s="33" t="n">
        <v/>
      </c>
      <c r="E44" s="31" t="n">
        <v/>
      </c>
      <c r="F44" s="32" t="n">
        <v>0</v>
      </c>
      <c r="G44" s="33" t="n">
        <v/>
      </c>
      <c r="H44" s="31" t="inlineStr">
        <is>
          <t>31º</t>
        </is>
      </c>
      <c r="I44" s="32" t="n">
        <v>175000</v>
      </c>
      <c r="J44" s="33" t="n">
        <v>0.00031088798</v>
      </c>
    </row>
    <row r="45" ht="12.75" customHeight="1" s="8">
      <c r="A45" s="26" t="inlineStr">
        <is>
          <t>KEA CAPITAL MARKETS</t>
        </is>
      </c>
      <c r="B45" s="27" t="n">
        <v/>
      </c>
      <c r="C45" s="28" t="n">
        <v>0</v>
      </c>
      <c r="D45" s="29" t="n">
        <v/>
      </c>
      <c r="E45" s="27" t="n">
        <v/>
      </c>
      <c r="F45" s="28" t="n">
        <v>0</v>
      </c>
      <c r="G45" s="29" t="n">
        <v/>
      </c>
      <c r="H45" s="27" t="inlineStr">
        <is>
          <t>32º</t>
        </is>
      </c>
      <c r="I45" s="28" t="n">
        <v>92278</v>
      </c>
      <c r="J45" s="29" t="n">
        <v>0.00016393212</v>
      </c>
    </row>
    <row r="46" ht="12.75" customHeight="1" s="8">
      <c r="A46" s="30" t="inlineStr">
        <is>
          <t>JGP FINANCIAL ADVISORY</t>
        </is>
      </c>
      <c r="B46" s="31" t="n">
        <v/>
      </c>
      <c r="C46" s="32" t="n">
        <v>0</v>
      </c>
      <c r="D46" s="33" t="n">
        <v/>
      </c>
      <c r="E46" s="31" t="n">
        <v/>
      </c>
      <c r="F46" s="32" t="n">
        <v>0</v>
      </c>
      <c r="G46" s="33" t="n">
        <v/>
      </c>
      <c r="H46" s="31" t="inlineStr">
        <is>
          <t>33º</t>
        </is>
      </c>
      <c r="I46" s="32" t="n">
        <v>89999</v>
      </c>
      <c r="J46" s="33" t="n">
        <v>0.00015988347</v>
      </c>
    </row>
    <row r="47" ht="12.75" customHeight="1" s="8">
      <c r="A47" s="26" t="inlineStr">
        <is>
          <t>BANCO BS2</t>
        </is>
      </c>
      <c r="B47" s="27" t="n">
        <v/>
      </c>
      <c r="C47" s="28" t="n">
        <v>0</v>
      </c>
      <c r="D47" s="29" t="n">
        <v/>
      </c>
      <c r="E47" s="27" t="n">
        <v/>
      </c>
      <c r="F47" s="28" t="n">
        <v>0</v>
      </c>
      <c r="G47" s="29" t="n">
        <v/>
      </c>
      <c r="H47" s="27" t="inlineStr">
        <is>
          <t>37º</t>
        </is>
      </c>
      <c r="I47" s="28" t="n">
        <v>61463.41462999999</v>
      </c>
      <c r="J47" s="29" t="n">
        <v>0.00010918992</v>
      </c>
    </row>
    <row r="48" ht="12.75" customHeight="1" s="8">
      <c r="A48" s="30" t="inlineStr">
        <is>
          <t xml:space="preserve"> EXES SERVIÇOS FINANCEIROS</t>
        </is>
      </c>
      <c r="B48" s="31" t="n">
        <v/>
      </c>
      <c r="C48" s="32" t="n">
        <v>0</v>
      </c>
      <c r="D48" s="33" t="n">
        <v/>
      </c>
      <c r="E48" s="31" t="n">
        <v/>
      </c>
      <c r="F48" s="32" t="n">
        <v>0</v>
      </c>
      <c r="G48" s="33" t="n">
        <v/>
      </c>
      <c r="H48" s="31" t="inlineStr">
        <is>
          <t>38º</t>
        </is>
      </c>
      <c r="I48" s="32" t="n">
        <v>40000</v>
      </c>
      <c r="J48" s="33" t="n">
        <v>7.106010999999999e-05</v>
      </c>
    </row>
    <row r="49" ht="12.75" customHeight="1" s="8">
      <c r="A49" s="34" t="inlineStr">
        <is>
          <t>Total</t>
        </is>
      </c>
      <c r="B49" s="35" t="n"/>
      <c r="C49" s="36">
        <f>SUM(C9:C48)</f>
        <v/>
      </c>
      <c r="D49" s="37">
        <f>_xlfn.ROUND(SUM(D9:D48), 1)</f>
        <v/>
      </c>
      <c r="E49" s="35" t="n"/>
      <c r="F49" s="36">
        <f>SUM(F9:F48)</f>
        <v/>
      </c>
      <c r="G49" s="37">
        <f>_xlfn.ROUND(SUM(G9:G48), 1)</f>
        <v/>
      </c>
      <c r="H49" s="35" t="n"/>
      <c r="I49" s="36">
        <f>SUM(I9:I48)</f>
        <v/>
      </c>
      <c r="J49" s="37">
        <f>_xlfn.ROUND(SUM(J9:J48), 1)</f>
        <v/>
      </c>
    </row>
    <row r="50" ht="12.75" customHeight="1" s="8"/>
    <row r="51" ht="12.75" customHeight="1" s="8"/>
    <row r="52" ht="12.75" customHeight="1" s="8">
      <c r="A52" s="22" t="inlineStr">
        <is>
          <t>Tipo 1.1. Renda Fixa - Curto Prazo</t>
        </is>
      </c>
      <c r="J52" s="23" t="n"/>
    </row>
    <row r="53" ht="12.75" customHeight="1" s="8">
      <c r="A53" s="24" t="inlineStr">
        <is>
          <t>Coordenadores</t>
        </is>
      </c>
      <c r="B53" s="24" t="inlineStr">
        <is>
          <t>Acumulado 2026</t>
        </is>
      </c>
      <c r="C53" s="24" t="n"/>
      <c r="D53" s="24" t="n"/>
      <c r="E53" s="24" t="inlineStr">
        <is>
          <t>Últimos 3 meses</t>
        </is>
      </c>
      <c r="F53" s="24" t="n"/>
      <c r="G53" s="24" t="n"/>
      <c r="H53" s="24" t="inlineStr">
        <is>
          <t>Últimos 12 meses</t>
        </is>
      </c>
      <c r="I53" s="24" t="n"/>
      <c r="J53" s="25" t="n"/>
    </row>
    <row r="54" ht="12.75" customHeight="1" s="8">
      <c r="A54" s="24" t="n"/>
      <c r="B54" s="24" t="inlineStr">
        <is>
          <t>Ranking 2026</t>
        </is>
      </c>
      <c r="C54" s="24" t="inlineStr">
        <is>
          <t>Valor *</t>
        </is>
      </c>
      <c r="D54" s="24" t="inlineStr">
        <is>
          <t>Part.</t>
        </is>
      </c>
      <c r="E54" s="24" t="inlineStr">
        <is>
          <t>Ranking 3 meses</t>
        </is>
      </c>
      <c r="F54" s="24" t="inlineStr">
        <is>
          <t>Valor *</t>
        </is>
      </c>
      <c r="G54" s="24" t="inlineStr">
        <is>
          <t>Part.</t>
        </is>
      </c>
      <c r="H54" s="24" t="inlineStr">
        <is>
          <t>Ranking 12 meses</t>
        </is>
      </c>
      <c r="I54" s="24" t="inlineStr">
        <is>
          <t>Valor *</t>
        </is>
      </c>
      <c r="J54" s="25" t="inlineStr">
        <is>
          <t>Part.</t>
        </is>
      </c>
    </row>
    <row r="55" ht="12.75" customHeight="1" s="8">
      <c r="A55" s="26" t="inlineStr">
        <is>
          <t>BRADESCO BBI</t>
        </is>
      </c>
      <c r="B55" s="27" t="inlineStr">
        <is>
          <t>1º</t>
        </is>
      </c>
      <c r="C55" s="28" t="n">
        <v>8189604.46</v>
      </c>
      <c r="D55" s="29" t="n">
        <v>0.77416138552</v>
      </c>
      <c r="E55" s="27" t="inlineStr">
        <is>
          <t>1º</t>
        </is>
      </c>
      <c r="F55" s="28" t="n">
        <v>4251794.46</v>
      </c>
      <c r="G55" s="29" t="n">
        <v>0.7619200068</v>
      </c>
      <c r="H55" s="27" t="inlineStr">
        <is>
          <t>1º</t>
        </is>
      </c>
      <c r="I55" s="28" t="n">
        <v>12600604.46</v>
      </c>
      <c r="J55" s="29" t="n">
        <v>0.54776880756</v>
      </c>
    </row>
    <row r="56" ht="12.75" customHeight="1" s="8">
      <c r="A56" s="30" t="inlineStr">
        <is>
          <t>BTG PACTUAL</t>
        </is>
      </c>
      <c r="B56" s="31" t="inlineStr">
        <is>
          <t>2º</t>
        </is>
      </c>
      <c r="C56" s="32" t="n">
        <v>1300000</v>
      </c>
      <c r="D56" s="33" t="n">
        <v>0.12288869458</v>
      </c>
      <c r="E56" s="31" t="inlineStr">
        <is>
          <t>2º</t>
        </is>
      </c>
      <c r="F56" s="32" t="n">
        <v>650000</v>
      </c>
      <c r="G56" s="33" t="n">
        <v>0.11647976145</v>
      </c>
      <c r="H56" s="31" t="inlineStr">
        <is>
          <t>3º</t>
        </is>
      </c>
      <c r="I56" s="32" t="n">
        <v>1300000</v>
      </c>
      <c r="J56" s="33" t="n">
        <v>0.05651311825</v>
      </c>
    </row>
    <row r="57" ht="12.75" customHeight="1" s="8">
      <c r="A57" s="26" t="inlineStr">
        <is>
          <t>ITAU BBA</t>
        </is>
      </c>
      <c r="B57" s="27" t="inlineStr">
        <is>
          <t>3º</t>
        </is>
      </c>
      <c r="C57" s="28" t="n">
        <v>568074.1116000001</v>
      </c>
      <c r="D57" s="29" t="n">
        <v>0.05369991231</v>
      </c>
      <c r="E57" s="27" t="inlineStr">
        <is>
          <t>4º</t>
        </is>
      </c>
      <c r="F57" s="28" t="n">
        <v>183074.1116</v>
      </c>
      <c r="G57" s="29" t="n">
        <v>0.03280681361</v>
      </c>
      <c r="H57" s="27" t="inlineStr">
        <is>
          <t>2º</t>
        </is>
      </c>
      <c r="I57" s="28" t="n">
        <v>7230774.1116</v>
      </c>
      <c r="J57" s="29" t="n">
        <v>0.3143335326</v>
      </c>
    </row>
    <row r="58" ht="12.75" customHeight="1" s="8">
      <c r="A58" s="30" t="inlineStr">
        <is>
          <t>CEF</t>
        </is>
      </c>
      <c r="B58" s="31" t="inlineStr">
        <is>
          <t>4º</t>
        </is>
      </c>
      <c r="C58" s="32" t="n">
        <v>200000</v>
      </c>
      <c r="D58" s="33" t="n">
        <v>0.01890595301</v>
      </c>
      <c r="E58" s="31" t="inlineStr">
        <is>
          <t>3º</t>
        </is>
      </c>
      <c r="F58" s="32" t="n">
        <v>200000</v>
      </c>
      <c r="G58" s="33" t="n">
        <v>0.0358399266</v>
      </c>
      <c r="H58" s="31" t="inlineStr">
        <is>
          <t>7º</t>
        </is>
      </c>
      <c r="I58" s="32" t="n">
        <v>200000</v>
      </c>
      <c r="J58" s="33" t="n">
        <v>0.008694325879999999</v>
      </c>
    </row>
    <row r="59" ht="12.75" customHeight="1" s="8">
      <c r="A59" s="26" t="inlineStr">
        <is>
          <t>UBS BB</t>
        </is>
      </c>
      <c r="B59" s="27" t="inlineStr">
        <is>
          <t>5º</t>
        </is>
      </c>
      <c r="C59" s="28" t="n">
        <v>176000</v>
      </c>
      <c r="D59" s="29" t="n">
        <v>0.01663723865</v>
      </c>
      <c r="E59" s="27" t="inlineStr">
        <is>
          <t>5º</t>
        </is>
      </c>
      <c r="F59" s="28" t="n">
        <v>150500</v>
      </c>
      <c r="G59" s="29" t="n">
        <v>0.02696954477</v>
      </c>
      <c r="H59" s="27" t="inlineStr">
        <is>
          <t>4º</t>
        </is>
      </c>
      <c r="I59" s="28" t="n">
        <v>829000</v>
      </c>
      <c r="J59" s="29" t="n">
        <v>0.03603798079</v>
      </c>
    </row>
    <row r="60" ht="12.75" customHeight="1" s="8">
      <c r="A60" s="30" t="inlineStr">
        <is>
          <t>SANTANDER</t>
        </is>
      </c>
      <c r="B60" s="31" t="inlineStr">
        <is>
          <t>6º</t>
        </is>
      </c>
      <c r="C60" s="32" t="n">
        <v>145000</v>
      </c>
      <c r="D60" s="33" t="n">
        <v>0.01370681593</v>
      </c>
      <c r="E60" s="31" t="inlineStr">
        <is>
          <t>6º</t>
        </is>
      </c>
      <c r="F60" s="32" t="n">
        <v>145000</v>
      </c>
      <c r="G60" s="33" t="n">
        <v>0.02598394678</v>
      </c>
      <c r="H60" s="31" t="inlineStr">
        <is>
          <t>5º</t>
        </is>
      </c>
      <c r="I60" s="32" t="n">
        <v>352560</v>
      </c>
      <c r="J60" s="33" t="n">
        <v>0.01532635767</v>
      </c>
    </row>
    <row r="61" ht="12.75" customHeight="1" s="8">
      <c r="A61" s="26" t="inlineStr">
        <is>
          <t>DAYCOVAL</t>
        </is>
      </c>
      <c r="B61" s="27" t="n">
        <v/>
      </c>
      <c r="C61" s="28" t="n">
        <v>0</v>
      </c>
      <c r="D61" s="29" t="n">
        <v/>
      </c>
      <c r="E61" s="27" t="n">
        <v/>
      </c>
      <c r="F61" s="28" t="n">
        <v>0</v>
      </c>
      <c r="G61" s="29" t="n">
        <v/>
      </c>
      <c r="H61" s="27" t="inlineStr">
        <is>
          <t>6º</t>
        </is>
      </c>
      <c r="I61" s="28" t="n">
        <v>330570</v>
      </c>
      <c r="J61" s="29" t="n">
        <v>0.01437041654</v>
      </c>
    </row>
    <row r="62" ht="12.75" customHeight="1" s="8">
      <c r="A62" s="30" t="inlineStr">
        <is>
          <t>XP INVESTIMENTOS</t>
        </is>
      </c>
      <c r="B62" s="31" t="n">
        <v/>
      </c>
      <c r="C62" s="32" t="n">
        <v>0</v>
      </c>
      <c r="D62" s="33" t="n">
        <v/>
      </c>
      <c r="E62" s="31" t="n">
        <v/>
      </c>
      <c r="F62" s="32" t="n">
        <v>0</v>
      </c>
      <c r="G62" s="33" t="n">
        <v/>
      </c>
      <c r="H62" s="31" t="inlineStr">
        <is>
          <t>8º</t>
        </is>
      </c>
      <c r="I62" s="32" t="n">
        <v>160000</v>
      </c>
      <c r="J62" s="33" t="n">
        <v>0.00695546071</v>
      </c>
    </row>
    <row r="63" ht="12.75" customHeight="1" s="8">
      <c r="A63" s="34" t="inlineStr">
        <is>
          <t>Total</t>
        </is>
      </c>
      <c r="B63" s="35" t="n"/>
      <c r="C63" s="36">
        <f>SUM(C55:C62)</f>
        <v/>
      </c>
      <c r="D63" s="37">
        <f>_xlfn.ROUND(SUM(D55:D62), 1)</f>
        <v/>
      </c>
      <c r="E63" s="35" t="n"/>
      <c r="F63" s="36">
        <f>SUM(F55:F62)</f>
        <v/>
      </c>
      <c r="G63" s="37">
        <f>_xlfn.ROUND(SUM(G55:G62), 1)</f>
        <v/>
      </c>
      <c r="H63" s="35" t="n"/>
      <c r="I63" s="36">
        <f>SUM(I55:I62)</f>
        <v/>
      </c>
      <c r="J63" s="37">
        <f>_xlfn.ROUND(SUM(J55:J62), 1)</f>
        <v/>
      </c>
    </row>
    <row r="64" ht="12.75" customHeight="1" s="8"/>
    <row r="65" ht="12.75" customHeight="1" s="8"/>
    <row r="66" ht="12.75" customHeight="1" s="8">
      <c r="A66" s="22" t="inlineStr">
        <is>
          <t>Tipo 1.2. Renda Fixa - Longo Prazo</t>
        </is>
      </c>
      <c r="J66" s="23" t="n"/>
    </row>
    <row r="67" ht="12.75" customHeight="1" s="8">
      <c r="A67" s="24" t="inlineStr">
        <is>
          <t>Coordenadores</t>
        </is>
      </c>
      <c r="B67" s="24" t="inlineStr">
        <is>
          <t>Acumulado 2026</t>
        </is>
      </c>
      <c r="C67" s="24" t="n"/>
      <c r="D67" s="24" t="n"/>
      <c r="E67" s="24" t="inlineStr">
        <is>
          <t>Últimos 3 meses</t>
        </is>
      </c>
      <c r="F67" s="24" t="n"/>
      <c r="G67" s="24" t="n"/>
      <c r="H67" s="24" t="inlineStr">
        <is>
          <t>Últimos 12 meses</t>
        </is>
      </c>
      <c r="I67" s="24" t="n"/>
      <c r="J67" s="25" t="n"/>
    </row>
    <row r="68" ht="12.75" customHeight="1" s="8">
      <c r="A68" s="24" t="n"/>
      <c r="B68" s="24" t="inlineStr">
        <is>
          <t>Ranking 2026</t>
        </is>
      </c>
      <c r="C68" s="24" t="inlineStr">
        <is>
          <t>Valor *</t>
        </is>
      </c>
      <c r="D68" s="24" t="inlineStr">
        <is>
          <t>Part.</t>
        </is>
      </c>
      <c r="E68" s="24" t="inlineStr">
        <is>
          <t>Ranking 3 meses</t>
        </is>
      </c>
      <c r="F68" s="24" t="inlineStr">
        <is>
          <t>Valor *</t>
        </is>
      </c>
      <c r="G68" s="24" t="inlineStr">
        <is>
          <t>Part.</t>
        </is>
      </c>
      <c r="H68" s="24" t="inlineStr">
        <is>
          <t>Ranking 12 meses</t>
        </is>
      </c>
      <c r="I68" s="24" t="inlineStr">
        <is>
          <t>Valor *</t>
        </is>
      </c>
      <c r="J68" s="25" t="inlineStr">
        <is>
          <t>Part.</t>
        </is>
      </c>
    </row>
    <row r="69" ht="12.75" customHeight="1" s="8">
      <c r="A69" s="26" t="inlineStr">
        <is>
          <t>BRADESCO BBI</t>
        </is>
      </c>
      <c r="B69" s="27" t="inlineStr">
        <is>
          <t>1º</t>
        </is>
      </c>
      <c r="C69" s="28" t="n">
        <v>46975138.88772</v>
      </c>
      <c r="D69" s="29" t="n">
        <v>0.26663252394</v>
      </c>
      <c r="E69" s="27" t="inlineStr">
        <is>
          <t>1º</t>
        </is>
      </c>
      <c r="F69" s="28" t="n">
        <v>31640208.59613</v>
      </c>
      <c r="G69" s="29" t="n">
        <v>0.38555888518</v>
      </c>
      <c r="H69" s="27" t="inlineStr">
        <is>
          <t>2º</t>
        </is>
      </c>
      <c r="I69" s="28" t="n">
        <v>88725242.93123001</v>
      </c>
      <c r="J69" s="29" t="n">
        <v>0.20166577655</v>
      </c>
    </row>
    <row r="70" ht="12.75" customHeight="1" s="8">
      <c r="A70" s="30" t="inlineStr">
        <is>
          <t>ITAU BBA</t>
        </is>
      </c>
      <c r="B70" s="31" t="inlineStr">
        <is>
          <t>2º</t>
        </is>
      </c>
      <c r="C70" s="32" t="n">
        <v>36765248.51657001</v>
      </c>
      <c r="D70" s="33" t="n">
        <v>0.2086808307</v>
      </c>
      <c r="E70" s="31" t="inlineStr">
        <is>
          <t>2º</t>
        </is>
      </c>
      <c r="F70" s="32" t="n">
        <v>14874922.82668</v>
      </c>
      <c r="G70" s="33" t="n">
        <v>0.18126172097</v>
      </c>
      <c r="H70" s="31" t="inlineStr">
        <is>
          <t>1º</t>
        </is>
      </c>
      <c r="I70" s="32" t="n">
        <v>106565892.14237</v>
      </c>
      <c r="J70" s="33" t="n">
        <v>0.24221622486</v>
      </c>
    </row>
    <row r="71" ht="12.75" customHeight="1" s="8">
      <c r="A71" s="26" t="inlineStr">
        <is>
          <t>SANTANDER</t>
        </is>
      </c>
      <c r="B71" s="27" t="inlineStr">
        <is>
          <t>3º</t>
        </is>
      </c>
      <c r="C71" s="28" t="n">
        <v>20087013.64728</v>
      </c>
      <c r="D71" s="29" t="n">
        <v>0.11401458887</v>
      </c>
      <c r="E71" s="27" t="inlineStr">
        <is>
          <t>3º</t>
        </is>
      </c>
      <c r="F71" s="28" t="n">
        <v>7477827.15</v>
      </c>
      <c r="G71" s="29" t="n">
        <v>0.09112274626</v>
      </c>
      <c r="H71" s="27" t="inlineStr">
        <is>
          <t>4º</t>
        </is>
      </c>
      <c r="I71" s="28" t="n">
        <v>43624383.99198</v>
      </c>
      <c r="J71" s="29" t="n">
        <v>0.09915493025</v>
      </c>
    </row>
    <row r="72" ht="12.75" customHeight="1" s="8">
      <c r="A72" s="30" t="inlineStr">
        <is>
          <t>BTG PACTUAL</t>
        </is>
      </c>
      <c r="B72" s="31" t="inlineStr">
        <is>
          <t>4º</t>
        </is>
      </c>
      <c r="C72" s="32" t="n">
        <v>18649729.66665</v>
      </c>
      <c r="D72" s="33" t="n">
        <v>0.10585651495</v>
      </c>
      <c r="E72" s="31" t="inlineStr">
        <is>
          <t>6º</t>
        </is>
      </c>
      <c r="F72" s="32" t="n">
        <v>5039465</v>
      </c>
      <c r="G72" s="33" t="n">
        <v>0.06140953532</v>
      </c>
      <c r="H72" s="31" t="inlineStr">
        <is>
          <t>3º</t>
        </is>
      </c>
      <c r="I72" s="32" t="n">
        <v>48044340.29996001</v>
      </c>
      <c r="J72" s="33" t="n">
        <v>0.10920115714</v>
      </c>
    </row>
    <row r="73" ht="12.75" customHeight="1" s="8">
      <c r="A73" s="26" t="inlineStr">
        <is>
          <t>XP INVESTIMENTOS</t>
        </is>
      </c>
      <c r="B73" s="27" t="inlineStr">
        <is>
          <t>5º</t>
        </is>
      </c>
      <c r="C73" s="28" t="n">
        <v>14740146.9963</v>
      </c>
      <c r="D73" s="29" t="n">
        <v>0.08366558758000001</v>
      </c>
      <c r="E73" s="27" t="inlineStr">
        <is>
          <t>7º</t>
        </is>
      </c>
      <c r="F73" s="28" t="n">
        <v>2983069.93514</v>
      </c>
      <c r="G73" s="29" t="n">
        <v>0.03635087029</v>
      </c>
      <c r="H73" s="27" t="inlineStr">
        <is>
          <t>5º</t>
        </is>
      </c>
      <c r="I73" s="28" t="n">
        <v>36375252.2463</v>
      </c>
      <c r="J73" s="29" t="n">
        <v>0.08267820125</v>
      </c>
    </row>
    <row r="74" ht="12.75" customHeight="1" s="8">
      <c r="A74" s="30" t="inlineStr">
        <is>
          <t>UBS BB</t>
        </is>
      </c>
      <c r="B74" s="31" t="inlineStr">
        <is>
          <t>6º</t>
        </is>
      </c>
      <c r="C74" s="32" t="n">
        <v>12094356.66666</v>
      </c>
      <c r="D74" s="33" t="n">
        <v>0.06864798955</v>
      </c>
      <c r="E74" s="31" t="inlineStr">
        <is>
          <t>4º</t>
        </is>
      </c>
      <c r="F74" s="32" t="n">
        <v>7057944.16666</v>
      </c>
      <c r="G74" s="33" t="n">
        <v>0.08600616764000001</v>
      </c>
      <c r="H74" s="31" t="inlineStr">
        <is>
          <t>6º</t>
        </is>
      </c>
      <c r="I74" s="32" t="n">
        <v>36081083.73617</v>
      </c>
      <c r="J74" s="33" t="n">
        <v>0.08200957845</v>
      </c>
    </row>
    <row r="75" ht="12.75" customHeight="1" s="8">
      <c r="A75" s="26" t="inlineStr">
        <is>
          <t>CEF</t>
        </is>
      </c>
      <c r="B75" s="27" t="inlineStr">
        <is>
          <t>7º</t>
        </is>
      </c>
      <c r="C75" s="28" t="n">
        <v>7130988</v>
      </c>
      <c r="D75" s="29" t="n">
        <v>0.04047573618</v>
      </c>
      <c r="E75" s="27" t="inlineStr">
        <is>
          <t>5º</t>
        </is>
      </c>
      <c r="F75" s="28" t="n">
        <v>5380988</v>
      </c>
      <c r="G75" s="29" t="n">
        <v>0.06557124072000001</v>
      </c>
      <c r="H75" s="27" t="inlineStr">
        <is>
          <t>8º</t>
        </is>
      </c>
      <c r="I75" s="28" t="n">
        <v>12821152.6</v>
      </c>
      <c r="J75" s="29" t="n">
        <v>0.02914151159</v>
      </c>
    </row>
    <row r="76" ht="12.75" customHeight="1" s="8">
      <c r="A76" s="30" t="inlineStr">
        <is>
          <t>SAFRA</t>
        </is>
      </c>
      <c r="B76" s="31" t="inlineStr">
        <is>
          <t>8º</t>
        </is>
      </c>
      <c r="C76" s="32" t="n">
        <v>4479116.39451</v>
      </c>
      <c r="D76" s="33" t="n">
        <v>0.02542362061</v>
      </c>
      <c r="E76" s="31" t="inlineStr">
        <is>
          <t>10º</t>
        </is>
      </c>
      <c r="F76" s="32" t="n">
        <v>1445333.33332</v>
      </c>
      <c r="G76" s="33" t="n">
        <v>0.01761243473</v>
      </c>
      <c r="H76" s="31" t="inlineStr">
        <is>
          <t>9º</t>
        </is>
      </c>
      <c r="I76" s="32" t="n">
        <v>12127183.06117</v>
      </c>
      <c r="J76" s="33" t="n">
        <v>0.02756417124</v>
      </c>
    </row>
    <row r="77" ht="12.75" customHeight="1" s="8">
      <c r="A77" s="26" t="inlineStr">
        <is>
          <t>ABC BRASIL</t>
        </is>
      </c>
      <c r="B77" s="27" t="inlineStr">
        <is>
          <t>9º</t>
        </is>
      </c>
      <c r="C77" s="28" t="n">
        <v>3104211.3112</v>
      </c>
      <c r="D77" s="29" t="n">
        <v>0.01761961149</v>
      </c>
      <c r="E77" s="27" t="inlineStr">
        <is>
          <t>11º</t>
        </is>
      </c>
      <c r="F77" s="28" t="n">
        <v>734893</v>
      </c>
      <c r="G77" s="29" t="n">
        <v>0.008955204099999999</v>
      </c>
      <c r="H77" s="27" t="inlineStr">
        <is>
          <t>11º</t>
        </is>
      </c>
      <c r="I77" s="28" t="n">
        <v>6167942.311199999</v>
      </c>
      <c r="J77" s="29" t="n">
        <v>0.01401926706</v>
      </c>
    </row>
    <row r="78" ht="12.75" customHeight="1" s="8">
      <c r="A78" s="30" t="inlineStr">
        <is>
          <t>VOTORANTIM</t>
        </is>
      </c>
      <c r="B78" s="31" t="inlineStr">
        <is>
          <t>10º</t>
        </is>
      </c>
      <c r="C78" s="32" t="n">
        <v>2963533.15384</v>
      </c>
      <c r="D78" s="33" t="n">
        <v>0.01682111737</v>
      </c>
      <c r="E78" s="31" t="inlineStr">
        <is>
          <t>8º</t>
        </is>
      </c>
      <c r="F78" s="32" t="n">
        <v>1949533.15384</v>
      </c>
      <c r="G78" s="33" t="n">
        <v>0.02375647515</v>
      </c>
      <c r="H78" s="31" t="inlineStr">
        <is>
          <t>10º</t>
        </is>
      </c>
      <c r="I78" s="32" t="n">
        <v>9202629.457130002</v>
      </c>
      <c r="J78" s="33" t="n">
        <v>0.02091688176</v>
      </c>
    </row>
    <row r="79" ht="12.75" customHeight="1" s="8">
      <c r="A79" s="26" t="inlineStr">
        <is>
          <t>CITIGROUP</t>
        </is>
      </c>
      <c r="B79" s="27" t="inlineStr">
        <is>
          <t>11º</t>
        </is>
      </c>
      <c r="C79" s="28" t="n">
        <v>2777587.06119</v>
      </c>
      <c r="D79" s="29" t="n">
        <v>0.01576568087</v>
      </c>
      <c r="E79" s="27" t="inlineStr">
        <is>
          <t>17º</t>
        </is>
      </c>
      <c r="F79" s="28" t="n">
        <v>150000</v>
      </c>
      <c r="G79" s="29" t="n">
        <v>0.00182785877</v>
      </c>
      <c r="H79" s="27" t="inlineStr">
        <is>
          <t>12º</t>
        </is>
      </c>
      <c r="I79" s="28" t="n">
        <v>4815223.54119</v>
      </c>
      <c r="J79" s="29" t="n">
        <v>0.01094463946</v>
      </c>
    </row>
    <row r="80" ht="12.75" customHeight="1" s="8">
      <c r="A80" s="30" t="inlineStr">
        <is>
          <t>BNDES</t>
        </is>
      </c>
      <c r="B80" s="31" t="inlineStr">
        <is>
          <t>12º</t>
        </is>
      </c>
      <c r="C80" s="32" t="n">
        <v>2098220</v>
      </c>
      <c r="D80" s="33" t="n">
        <v>0.01190956978</v>
      </c>
      <c r="E80" s="31" t="inlineStr">
        <is>
          <t>9º</t>
        </is>
      </c>
      <c r="F80" s="32" t="n">
        <v>1723000</v>
      </c>
      <c r="G80" s="33" t="n">
        <v>0.02099600441</v>
      </c>
      <c r="H80" s="31" t="inlineStr">
        <is>
          <t>7º</t>
        </is>
      </c>
      <c r="I80" s="32" t="n">
        <v>20928220</v>
      </c>
      <c r="J80" s="33" t="n">
        <v>0.04756826354</v>
      </c>
    </row>
    <row r="81" ht="12.75" customHeight="1" s="8">
      <c r="A81" s="26" t="inlineStr">
        <is>
          <t>DAYCOVAL</t>
        </is>
      </c>
      <c r="B81" s="27" t="inlineStr">
        <is>
          <t>13º</t>
        </is>
      </c>
      <c r="C81" s="28" t="n">
        <v>921093</v>
      </c>
      <c r="D81" s="29" t="n">
        <v>0.00522815594</v>
      </c>
      <c r="E81" s="27" t="inlineStr">
        <is>
          <t>15º</t>
        </is>
      </c>
      <c r="F81" s="28" t="n">
        <v>241593</v>
      </c>
      <c r="G81" s="29" t="n">
        <v>0.00294398589</v>
      </c>
      <c r="H81" s="27" t="inlineStr">
        <is>
          <t>15º</t>
        </is>
      </c>
      <c r="I81" s="28" t="n">
        <v>1813629</v>
      </c>
      <c r="J81" s="29" t="n">
        <v>0.00412224175</v>
      </c>
    </row>
    <row r="82" ht="12.75" customHeight="1" s="8">
      <c r="A82" s="30" t="inlineStr">
        <is>
          <t>M7 IB</t>
        </is>
      </c>
      <c r="B82" s="31" t="inlineStr">
        <is>
          <t>14º</t>
        </is>
      </c>
      <c r="C82" s="32" t="n">
        <v>736443.687</v>
      </c>
      <c r="D82" s="33" t="n">
        <v>0.00418008001</v>
      </c>
      <c r="E82" s="31" t="inlineStr">
        <is>
          <t>16º</t>
        </is>
      </c>
      <c r="F82" s="32" t="n">
        <v>236443.687</v>
      </c>
      <c r="G82" s="33" t="n">
        <v>0.00288123778</v>
      </c>
      <c r="H82" s="31" t="inlineStr">
        <is>
          <t>18º</t>
        </is>
      </c>
      <c r="I82" s="32" t="n">
        <v>1086443.687</v>
      </c>
      <c r="J82" s="33" t="n">
        <v>0.00246940445</v>
      </c>
    </row>
    <row r="83" ht="12.75" customHeight="1" s="8">
      <c r="A83" s="26" t="inlineStr">
        <is>
          <t>BNP PARIBAS</t>
        </is>
      </c>
      <c r="B83" s="27" t="inlineStr">
        <is>
          <t>15º</t>
        </is>
      </c>
      <c r="C83" s="28" t="n">
        <v>687200</v>
      </c>
      <c r="D83" s="29" t="n">
        <v>0.00390057113</v>
      </c>
      <c r="E83" s="27" t="inlineStr">
        <is>
          <t>12º</t>
        </is>
      </c>
      <c r="F83" s="28" t="n">
        <v>400000</v>
      </c>
      <c r="G83" s="29" t="n">
        <v>0.00487429005</v>
      </c>
      <c r="H83" s="27" t="inlineStr">
        <is>
          <t>13º</t>
        </is>
      </c>
      <c r="I83" s="28" t="n">
        <v>3311600</v>
      </c>
      <c r="J83" s="29" t="n">
        <v>0.0075270167</v>
      </c>
    </row>
    <row r="84" ht="12.75" customFormat="1" customHeight="1" s="21">
      <c r="A84" s="30" t="inlineStr">
        <is>
          <t>BR PARTNERS</t>
        </is>
      </c>
      <c r="B84" s="31" t="inlineStr">
        <is>
          <t>16º</t>
        </is>
      </c>
      <c r="C84" s="32" t="n">
        <v>661517</v>
      </c>
      <c r="D84" s="33" t="n">
        <v>0.00375479353</v>
      </c>
      <c r="E84" s="31" t="n">
        <v/>
      </c>
      <c r="F84" s="32" t="n">
        <v>0</v>
      </c>
      <c r="G84" s="33" t="n">
        <v/>
      </c>
      <c r="H84" s="31" t="inlineStr">
        <is>
          <t>14º</t>
        </is>
      </c>
      <c r="I84" s="32" t="n">
        <v>1817222</v>
      </c>
      <c r="J84" s="33" t="n">
        <v>0.00413040837</v>
      </c>
    </row>
    <row r="85" ht="12.75" customFormat="1" customHeight="1" s="21">
      <c r="A85" s="26" t="inlineStr">
        <is>
          <t>BOCOM BBM</t>
        </is>
      </c>
      <c r="B85" s="27" t="inlineStr">
        <is>
          <t>17º</t>
        </is>
      </c>
      <c r="C85" s="28" t="n">
        <v>378000</v>
      </c>
      <c r="D85" s="29" t="n">
        <v>0.00214554116</v>
      </c>
      <c r="E85" s="27" t="inlineStr">
        <is>
          <t>14º</t>
        </is>
      </c>
      <c r="F85" s="28" t="n">
        <v>278000</v>
      </c>
      <c r="G85" s="29" t="n">
        <v>0.00338763159</v>
      </c>
      <c r="H85" s="27" t="inlineStr">
        <is>
          <t>19º</t>
        </is>
      </c>
      <c r="I85" s="28" t="n">
        <v>865666.66666</v>
      </c>
      <c r="J85" s="29" t="n">
        <v>0.00196759496</v>
      </c>
    </row>
    <row r="86" ht="12.75" customFormat="1" customHeight="1" s="21">
      <c r="A86" s="30" t="inlineStr">
        <is>
          <t>BB-BI</t>
        </is>
      </c>
      <c r="B86" s="31" t="inlineStr">
        <is>
          <t>18º</t>
        </is>
      </c>
      <c r="C86" s="32" t="n">
        <v>360000</v>
      </c>
      <c r="D86" s="33" t="n">
        <v>0.00204337253</v>
      </c>
      <c r="E86" s="31" t="n">
        <v/>
      </c>
      <c r="F86" s="32" t="n">
        <v>0</v>
      </c>
      <c r="G86" s="33" t="n">
        <v/>
      </c>
      <c r="H86" s="31" t="inlineStr">
        <is>
          <t>17º</t>
        </is>
      </c>
      <c r="I86" s="32" t="n">
        <v>1316666</v>
      </c>
      <c r="J86" s="33" t="n">
        <v>0.00299268238</v>
      </c>
    </row>
    <row r="87" ht="12.75" customFormat="1" customHeight="1" s="21">
      <c r="A87" s="26" t="inlineStr">
        <is>
          <t>INTER</t>
        </is>
      </c>
      <c r="B87" s="27" t="inlineStr">
        <is>
          <t>19º</t>
        </is>
      </c>
      <c r="C87" s="28" t="n">
        <v>350000</v>
      </c>
      <c r="D87" s="29" t="n">
        <v>0.00198661219</v>
      </c>
      <c r="E87" s="27" t="inlineStr">
        <is>
          <t>13º</t>
        </is>
      </c>
      <c r="F87" s="28" t="n">
        <v>350000</v>
      </c>
      <c r="G87" s="29" t="n">
        <v>0.0042650038</v>
      </c>
      <c r="H87" s="27" t="inlineStr">
        <is>
          <t>20º</t>
        </is>
      </c>
      <c r="I87" s="28" t="n">
        <v>685731.70731</v>
      </c>
      <c r="J87" s="29" t="n">
        <v>0.00155861638</v>
      </c>
    </row>
    <row r="88" ht="12.75" customFormat="1" customHeight="1" s="21">
      <c r="A88" s="30" t="inlineStr">
        <is>
          <t>RABOBANK</t>
        </is>
      </c>
      <c r="B88" s="31" t="inlineStr">
        <is>
          <t>20º</t>
        </is>
      </c>
      <c r="C88" s="32" t="n">
        <v>119772.9361</v>
      </c>
      <c r="D88" s="33" t="n">
        <v>0.00067983536</v>
      </c>
      <c r="E88" s="31" t="n">
        <v/>
      </c>
      <c r="F88" s="32" t="n">
        <v>0</v>
      </c>
      <c r="G88" s="33" t="n">
        <v/>
      </c>
      <c r="H88" s="31" t="inlineStr">
        <is>
          <t>24º</t>
        </is>
      </c>
      <c r="I88" s="32" t="n">
        <v>242814.35758</v>
      </c>
      <c r="J88" s="33" t="n">
        <v>0.0005518987</v>
      </c>
    </row>
    <row r="89" ht="12.75" customFormat="1" customHeight="1" s="21">
      <c r="A89" s="26" t="inlineStr">
        <is>
          <t>MAX CAPITAL MARKETS</t>
        </is>
      </c>
      <c r="B89" s="27" t="inlineStr">
        <is>
          <t>21º</t>
        </is>
      </c>
      <c r="C89" s="28" t="n">
        <v>100000</v>
      </c>
      <c r="D89" s="29" t="n">
        <v>0.00056760348</v>
      </c>
      <c r="E89" s="27" t="inlineStr">
        <is>
          <t>18º</t>
        </is>
      </c>
      <c r="F89" s="28" t="n">
        <v>100000</v>
      </c>
      <c r="G89" s="29" t="n">
        <v>0.00121857251</v>
      </c>
      <c r="H89" s="27" t="inlineStr">
        <is>
          <t>25º</t>
        </is>
      </c>
      <c r="I89" s="28" t="n">
        <v>182088</v>
      </c>
      <c r="J89" s="29" t="n">
        <v>0.00041387227</v>
      </c>
    </row>
    <row r="90" ht="12.75" customFormat="1" customHeight="1" s="21">
      <c r="A90" s="30" t="inlineStr">
        <is>
          <t>JIVE HIGH YIELD GESTÃO DE RECURSOS LTDA.</t>
        </is>
      </c>
      <c r="B90" s="31" t="inlineStr">
        <is>
          <t>22º</t>
        </is>
      </c>
      <c r="C90" s="32" t="n">
        <v>11.06485</v>
      </c>
      <c r="D90" s="33" t="n">
        <v>6.280000000000001e-08</v>
      </c>
      <c r="E90" s="31" t="inlineStr">
        <is>
          <t>19º</t>
        </is>
      </c>
      <c r="F90" s="32" t="n">
        <v>11.06485</v>
      </c>
      <c r="G90" s="33" t="n">
        <v>1.3483e-07</v>
      </c>
      <c r="H90" s="31" t="inlineStr">
        <is>
          <t>31º</t>
        </is>
      </c>
      <c r="I90" s="32" t="n">
        <v>11.06485</v>
      </c>
      <c r="J90" s="33" t="n">
        <v>2.515e-08</v>
      </c>
    </row>
    <row r="91" ht="12.75" customHeight="1" s="8">
      <c r="A91" s="26" t="inlineStr">
        <is>
          <t>GALAPAGOS CAPITAL INVESTIMENTOS E PARTICIPAÇÕES LTDA.</t>
        </is>
      </c>
      <c r="B91" s="27" t="n">
        <v/>
      </c>
      <c r="C91" s="28" t="n">
        <v>0</v>
      </c>
      <c r="D91" s="29" t="n">
        <v/>
      </c>
      <c r="E91" s="27" t="n">
        <v/>
      </c>
      <c r="F91" s="28" t="n">
        <v>0</v>
      </c>
      <c r="G91" s="29" t="n">
        <v/>
      </c>
      <c r="H91" s="27" t="inlineStr">
        <is>
          <t>16º</t>
        </is>
      </c>
      <c r="I91" s="28" t="n">
        <v>1727443</v>
      </c>
      <c r="J91" s="29" t="n">
        <v>0.00392634748</v>
      </c>
    </row>
    <row r="92" ht="12.75" customHeight="1" s="8">
      <c r="A92" s="30" t="inlineStr">
        <is>
          <t>JP MORGAN</t>
        </is>
      </c>
      <c r="B92" s="31" t="n">
        <v/>
      </c>
      <c r="C92" s="32" t="n">
        <v>0</v>
      </c>
      <c r="D92" s="33" t="n">
        <v/>
      </c>
      <c r="E92" s="31" t="n">
        <v/>
      </c>
      <c r="F92" s="32" t="n">
        <v>0</v>
      </c>
      <c r="G92" s="33" t="n">
        <v/>
      </c>
      <c r="H92" s="31" t="inlineStr">
        <is>
          <t>21º</t>
        </is>
      </c>
      <c r="I92" s="32" t="n">
        <v>600000</v>
      </c>
      <c r="J92" s="33" t="n">
        <v>0.00136375469</v>
      </c>
    </row>
    <row r="93" ht="12.75" customHeight="1" s="8">
      <c r="A93" s="26" t="inlineStr">
        <is>
          <t>BANCO SUMITOMO MITSUI BRASILEIRO</t>
        </is>
      </c>
      <c r="B93" s="27" t="n">
        <v/>
      </c>
      <c r="C93" s="28" t="n">
        <v>0</v>
      </c>
      <c r="D93" s="29" t="n">
        <v/>
      </c>
      <c r="E93" s="27" t="n">
        <v/>
      </c>
      <c r="F93" s="28" t="n">
        <v>0</v>
      </c>
      <c r="G93" s="29" t="n">
        <v/>
      </c>
      <c r="H93" s="27" t="inlineStr">
        <is>
          <t>22º</t>
        </is>
      </c>
      <c r="I93" s="28" t="n">
        <v>277500</v>
      </c>
      <c r="J93" s="29" t="n">
        <v>0.00063073654</v>
      </c>
    </row>
    <row r="94" ht="12.75" customHeight="1" s="8">
      <c r="A94" s="30" t="inlineStr">
        <is>
          <t>CREDIT AGRICOLE</t>
        </is>
      </c>
      <c r="B94" s="31" t="n">
        <v/>
      </c>
      <c r="C94" s="32" t="n">
        <v>0</v>
      </c>
      <c r="D94" s="33" t="n">
        <v/>
      </c>
      <c r="E94" s="31" t="n">
        <v/>
      </c>
      <c r="F94" s="32" t="n">
        <v>0</v>
      </c>
      <c r="G94" s="33" t="n">
        <v/>
      </c>
      <c r="H94" s="31" t="inlineStr">
        <is>
          <t>23º</t>
        </is>
      </c>
      <c r="I94" s="32" t="n">
        <v>250000</v>
      </c>
      <c r="J94" s="33" t="n">
        <v>0.0005682311200000001</v>
      </c>
    </row>
    <row r="95" ht="12.75" customHeight="1" s="8">
      <c r="A95" s="26" t="inlineStr">
        <is>
          <t>ARCHX CAPITAL</t>
        </is>
      </c>
      <c r="B95" s="27" t="n">
        <v/>
      </c>
      <c r="C95" s="28" t="n">
        <v>0</v>
      </c>
      <c r="D95" s="29" t="n">
        <v/>
      </c>
      <c r="E95" s="27" t="n">
        <v/>
      </c>
      <c r="F95" s="28" t="n">
        <v>0</v>
      </c>
      <c r="G95" s="29" t="n">
        <v/>
      </c>
      <c r="H95" s="27" t="inlineStr">
        <is>
          <t>26º</t>
        </is>
      </c>
      <c r="I95" s="28" t="n">
        <v>100000</v>
      </c>
      <c r="J95" s="29" t="n">
        <v>0.00022729245</v>
      </c>
    </row>
    <row r="96" ht="12.75" customHeight="1" s="8">
      <c r="A96" s="30" t="inlineStr">
        <is>
          <t>JGP FINANCIAL ADVISORY</t>
        </is>
      </c>
      <c r="B96" s="31" t="n">
        <v/>
      </c>
      <c r="C96" s="32" t="n">
        <v>0</v>
      </c>
      <c r="D96" s="33" t="n">
        <v/>
      </c>
      <c r="E96" s="31" t="n">
        <v/>
      </c>
      <c r="F96" s="32" t="n">
        <v>0</v>
      </c>
      <c r="G96" s="33" t="n">
        <v/>
      </c>
      <c r="H96" s="31" t="inlineStr">
        <is>
          <t>27º</t>
        </is>
      </c>
      <c r="I96" s="32" t="n">
        <v>89999</v>
      </c>
      <c r="J96" s="33" t="n">
        <v>0.00020456093</v>
      </c>
    </row>
    <row r="97" ht="12.75" customHeight="1" s="8">
      <c r="A97" s="26" t="inlineStr">
        <is>
          <t>One Corporate</t>
        </is>
      </c>
      <c r="B97" s="27" t="n">
        <v/>
      </c>
      <c r="C97" s="28" t="n">
        <v>0</v>
      </c>
      <c r="D97" s="29" t="n">
        <v/>
      </c>
      <c r="E97" s="27" t="n">
        <v/>
      </c>
      <c r="F97" s="28" t="n">
        <v>0</v>
      </c>
      <c r="G97" s="29" t="n">
        <v/>
      </c>
      <c r="H97" s="27" t="inlineStr">
        <is>
          <t>28º</t>
        </is>
      </c>
      <c r="I97" s="28" t="n">
        <v>70000</v>
      </c>
      <c r="J97" s="29" t="n">
        <v>0.00015910471</v>
      </c>
    </row>
    <row r="98" ht="12.75" customHeight="1" s="8">
      <c r="A98" s="30" t="inlineStr">
        <is>
          <t>ORIZ ASSESSORIA FINANCEIRA LTDA</t>
        </is>
      </c>
      <c r="B98" s="31" t="n">
        <v/>
      </c>
      <c r="C98" s="32" t="n">
        <v>0</v>
      </c>
      <c r="D98" s="33" t="n">
        <v/>
      </c>
      <c r="E98" s="31" t="n">
        <v/>
      </c>
      <c r="F98" s="32" t="n">
        <v>0</v>
      </c>
      <c r="G98" s="33" t="n">
        <v/>
      </c>
      <c r="H98" s="31" t="inlineStr">
        <is>
          <t>29º</t>
        </is>
      </c>
      <c r="I98" s="32" t="n">
        <v>25000</v>
      </c>
      <c r="J98" s="33" t="n">
        <v>5.682311e-05</v>
      </c>
    </row>
    <row r="99" ht="12.75" customHeight="1" s="8">
      <c r="A99" s="26" t="inlineStr">
        <is>
          <t>BANCO BS2</t>
        </is>
      </c>
      <c r="B99" s="27" t="n">
        <v/>
      </c>
      <c r="C99" s="28" t="n">
        <v>0</v>
      </c>
      <c r="D99" s="29" t="n">
        <v/>
      </c>
      <c r="E99" s="27" t="n">
        <v/>
      </c>
      <c r="F99" s="28" t="n">
        <v>0</v>
      </c>
      <c r="G99" s="29" t="n">
        <v/>
      </c>
      <c r="H99" s="27" t="inlineStr">
        <is>
          <t>30º</t>
        </is>
      </c>
      <c r="I99" s="28" t="n">
        <v>21463.41463</v>
      </c>
      <c r="J99" s="29" t="n">
        <v>4.878472e-05</v>
      </c>
    </row>
    <row r="100" ht="12.75" customHeight="1" s="8">
      <c r="A100" s="34" t="inlineStr">
        <is>
          <t>Total</t>
        </is>
      </c>
      <c r="B100" s="35" t="n"/>
      <c r="C100" s="36">
        <f>SUM(C69:C99)</f>
        <v/>
      </c>
      <c r="D100" s="37">
        <f>_xlfn.ROUND(SUM(D69:D99), 1)</f>
        <v/>
      </c>
      <c r="E100" s="35" t="n"/>
      <c r="F100" s="36">
        <f>SUM(F69:F99)</f>
        <v/>
      </c>
      <c r="G100" s="37">
        <f>_xlfn.ROUND(SUM(G69:G99), 1)</f>
        <v/>
      </c>
      <c r="H100" s="35" t="n"/>
      <c r="I100" s="36">
        <f>SUM(I69:I99)</f>
        <v/>
      </c>
      <c r="J100" s="37">
        <f>_xlfn.ROUND(SUM(J69:J99), 1)</f>
        <v/>
      </c>
    </row>
    <row r="101" ht="12.75" customHeight="1" s="8"/>
    <row r="102" ht="12.75" customHeight="1" s="8"/>
    <row r="103" ht="12.75" customHeight="1" s="8">
      <c r="A103" s="22" t="inlineStr">
        <is>
          <t>Tipo 1.3. Securitização</t>
        </is>
      </c>
      <c r="J103" s="23" t="n"/>
    </row>
    <row r="104" ht="12.75" customHeight="1" s="8">
      <c r="A104" s="24" t="inlineStr">
        <is>
          <t>Coordenadores</t>
        </is>
      </c>
      <c r="B104" s="24" t="inlineStr">
        <is>
          <t>Acumulado 2026</t>
        </is>
      </c>
      <c r="C104" s="24" t="n"/>
      <c r="D104" s="24" t="n"/>
      <c r="E104" s="24" t="inlineStr">
        <is>
          <t>Últimos 3 meses</t>
        </is>
      </c>
      <c r="F104" s="24" t="n"/>
      <c r="G104" s="24" t="n"/>
      <c r="H104" s="24" t="inlineStr">
        <is>
          <t>Últimos 12 meses</t>
        </is>
      </c>
      <c r="I104" s="24" t="n"/>
      <c r="J104" s="25" t="n"/>
    </row>
    <row r="105" ht="12.75" customHeight="1" s="8">
      <c r="A105" s="24" t="n"/>
      <c r="B105" s="24" t="inlineStr">
        <is>
          <t>Ranking 2026</t>
        </is>
      </c>
      <c r="C105" s="24" t="inlineStr">
        <is>
          <t>Valor *</t>
        </is>
      </c>
      <c r="D105" s="24" t="inlineStr">
        <is>
          <t>Part.</t>
        </is>
      </c>
      <c r="E105" s="24" t="inlineStr">
        <is>
          <t>Ranking 3 meses</t>
        </is>
      </c>
      <c r="F105" s="24" t="inlineStr">
        <is>
          <t>Valor *</t>
        </is>
      </c>
      <c r="G105" s="24" t="inlineStr">
        <is>
          <t>Part.</t>
        </is>
      </c>
      <c r="H105" s="24" t="inlineStr">
        <is>
          <t>Ranking 12 meses</t>
        </is>
      </c>
      <c r="I105" s="24" t="inlineStr">
        <is>
          <t>Valor *</t>
        </is>
      </c>
      <c r="J105" s="25" t="inlineStr">
        <is>
          <t>Part.</t>
        </is>
      </c>
    </row>
    <row r="106" ht="12.75" customHeight="1" s="8">
      <c r="A106" s="26" t="inlineStr">
        <is>
          <t>ITAU BBA</t>
        </is>
      </c>
      <c r="B106" s="27" t="inlineStr">
        <is>
          <t>1º</t>
        </is>
      </c>
      <c r="C106" s="28" t="n">
        <v>13713967.41319</v>
      </c>
      <c r="D106" s="29" t="n">
        <v>0.37607394823</v>
      </c>
      <c r="E106" s="27" t="inlineStr">
        <is>
          <t>1º</t>
        </is>
      </c>
      <c r="F106" s="28" t="n">
        <v>6581865.99996</v>
      </c>
      <c r="G106" s="29" t="n">
        <v>0.34845858858</v>
      </c>
      <c r="H106" s="27" t="inlineStr">
        <is>
          <t>1º</t>
        </is>
      </c>
      <c r="I106" s="28" t="n">
        <v>27066575.27018001</v>
      </c>
      <c r="J106" s="29" t="n">
        <v>0.27083261422</v>
      </c>
    </row>
    <row r="107" ht="12.75" customHeight="1" s="8">
      <c r="A107" s="30" t="inlineStr">
        <is>
          <t>BRADESCO BBI</t>
        </is>
      </c>
      <c r="B107" s="31" t="inlineStr">
        <is>
          <t>2º</t>
        </is>
      </c>
      <c r="C107" s="32" t="n">
        <v>6868266.956869999</v>
      </c>
      <c r="D107" s="33" t="n">
        <v>0.18834639125</v>
      </c>
      <c r="E107" s="31" t="inlineStr">
        <is>
          <t>2º</t>
        </is>
      </c>
      <c r="F107" s="32" t="n">
        <v>3132961.99998</v>
      </c>
      <c r="G107" s="33" t="n">
        <v>0.16586595908</v>
      </c>
      <c r="H107" s="31" t="inlineStr">
        <is>
          <t>3º</t>
        </is>
      </c>
      <c r="I107" s="32" t="n">
        <v>14326762.09582</v>
      </c>
      <c r="J107" s="33" t="n">
        <v>0.14335594337</v>
      </c>
    </row>
    <row r="108" ht="12.75" customHeight="1" s="8">
      <c r="A108" s="26" t="inlineStr">
        <is>
          <t>UBS BB</t>
        </is>
      </c>
      <c r="B108" s="27" t="inlineStr">
        <is>
          <t>3º</t>
        </is>
      </c>
      <c r="C108" s="28" t="n">
        <v>3446586.20689</v>
      </c>
      <c r="D108" s="29" t="n">
        <v>0.094514683</v>
      </c>
      <c r="E108" s="27" t="inlineStr">
        <is>
          <t>6º</t>
        </is>
      </c>
      <c r="F108" s="28" t="n">
        <v>1119000</v>
      </c>
      <c r="G108" s="29" t="n">
        <v>0.05924234262</v>
      </c>
      <c r="H108" s="27" t="inlineStr">
        <is>
          <t>7º</t>
        </is>
      </c>
      <c r="I108" s="28" t="n">
        <v>5033051.20688</v>
      </c>
      <c r="J108" s="29" t="n">
        <v>0.0503615401</v>
      </c>
    </row>
    <row r="109" ht="12.75" customHeight="1" s="8">
      <c r="A109" s="30" t="inlineStr">
        <is>
          <t>XP INVESTIMENTOS</t>
        </is>
      </c>
      <c r="B109" s="31" t="inlineStr">
        <is>
          <t>4º</t>
        </is>
      </c>
      <c r="C109" s="32" t="n">
        <v>2729134.30086</v>
      </c>
      <c r="D109" s="33" t="n">
        <v>0.07484021807000001</v>
      </c>
      <c r="E109" s="31" t="inlineStr">
        <is>
          <t>4º</t>
        </is>
      </c>
      <c r="F109" s="32" t="n">
        <v>1322852.99999</v>
      </c>
      <c r="G109" s="33" t="n">
        <v>0.0700347727</v>
      </c>
      <c r="H109" s="31" t="inlineStr">
        <is>
          <t>2º</t>
        </is>
      </c>
      <c r="I109" s="32" t="n">
        <v>16669881.90979999</v>
      </c>
      <c r="J109" s="33" t="n">
        <v>0.1668015865</v>
      </c>
    </row>
    <row r="110" ht="12.75" customHeight="1" s="8">
      <c r="A110" s="26" t="inlineStr">
        <is>
          <t>BTG PACTUAL</t>
        </is>
      </c>
      <c r="B110" s="27" t="inlineStr">
        <is>
          <t>5º</t>
        </is>
      </c>
      <c r="C110" s="28" t="n">
        <v>2266565.99998</v>
      </c>
      <c r="D110" s="29" t="n">
        <v>0.06215534855</v>
      </c>
      <c r="E110" s="27" t="inlineStr">
        <is>
          <t>3º</t>
        </is>
      </c>
      <c r="F110" s="28" t="n">
        <v>1471565.99999</v>
      </c>
      <c r="G110" s="29" t="n">
        <v>0.07790796886</v>
      </c>
      <c r="H110" s="27" t="inlineStr">
        <is>
          <t>4º</t>
        </is>
      </c>
      <c r="I110" s="28" t="n">
        <v>9302012.99993</v>
      </c>
      <c r="J110" s="29" t="n">
        <v>0.09307747556</v>
      </c>
    </row>
    <row r="111" ht="12.75" customHeight="1" s="8">
      <c r="A111" s="30" t="inlineStr">
        <is>
          <t>SAFRA</t>
        </is>
      </c>
      <c r="B111" s="31" t="inlineStr">
        <is>
          <t>6º</t>
        </is>
      </c>
      <c r="C111" s="32" t="n">
        <v>1435072.99998</v>
      </c>
      <c r="D111" s="33" t="n">
        <v>0.03935356946</v>
      </c>
      <c r="E111" s="31" t="inlineStr">
        <is>
          <t>5º</t>
        </is>
      </c>
      <c r="F111" s="32" t="n">
        <v>1295072.99998</v>
      </c>
      <c r="G111" s="33" t="n">
        <v>0.06856403787</v>
      </c>
      <c r="H111" s="31" t="inlineStr">
        <is>
          <t>6º</t>
        </is>
      </c>
      <c r="I111" s="32" t="n">
        <v>5986909.166569998</v>
      </c>
      <c r="J111" s="33" t="n">
        <v>0.05990600009</v>
      </c>
    </row>
    <row r="112" ht="12.75" customHeight="1" s="8">
      <c r="A112" s="26" t="inlineStr">
        <is>
          <t>BR PARTNERS</t>
        </is>
      </c>
      <c r="B112" s="27" t="inlineStr">
        <is>
          <t>7º</t>
        </is>
      </c>
      <c r="C112" s="28" t="n">
        <v>1321150.07396</v>
      </c>
      <c r="D112" s="29" t="n">
        <v>0.03622949578</v>
      </c>
      <c r="E112" s="27" t="inlineStr">
        <is>
          <t>10º</t>
        </is>
      </c>
      <c r="F112" s="28" t="n">
        <v>642403.0739600001</v>
      </c>
      <c r="G112" s="29" t="n">
        <v>0.03401024397</v>
      </c>
      <c r="H112" s="27" t="inlineStr">
        <is>
          <t>10º</t>
        </is>
      </c>
      <c r="I112" s="28" t="n">
        <v>2595393.68897</v>
      </c>
      <c r="J112" s="29" t="n">
        <v>0.02596993712</v>
      </c>
    </row>
    <row r="113" ht="12.75" customHeight="1" s="8">
      <c r="A113" s="30" t="inlineStr">
        <is>
          <t>ABC BRASIL</t>
        </is>
      </c>
      <c r="B113" s="31" t="inlineStr">
        <is>
          <t>8º</t>
        </is>
      </c>
      <c r="C113" s="32" t="n">
        <v>1098125</v>
      </c>
      <c r="D113" s="33" t="n">
        <v>0.03011354716</v>
      </c>
      <c r="E113" s="31" t="inlineStr">
        <is>
          <t>7º</t>
        </is>
      </c>
      <c r="F113" s="32" t="n">
        <v>998125</v>
      </c>
      <c r="G113" s="33" t="n">
        <v>0.05284295194</v>
      </c>
      <c r="H113" s="31" t="inlineStr">
        <is>
          <t>11º</t>
        </is>
      </c>
      <c r="I113" s="32" t="n">
        <v>2413470.49999</v>
      </c>
      <c r="J113" s="33" t="n">
        <v>0.0241495837</v>
      </c>
    </row>
    <row r="114" ht="12.75" customHeight="1" s="8">
      <c r="A114" s="26" t="inlineStr">
        <is>
          <t>SANTANDER</t>
        </is>
      </c>
      <c r="B114" s="27" t="inlineStr">
        <is>
          <t>9º</t>
        </is>
      </c>
      <c r="C114" s="28" t="n">
        <v>877171.11999</v>
      </c>
      <c r="D114" s="29" t="n">
        <v>0.02405439625</v>
      </c>
      <c r="E114" s="27" t="inlineStr">
        <is>
          <t>11º</t>
        </is>
      </c>
      <c r="F114" s="28" t="n">
        <v>537000</v>
      </c>
      <c r="G114" s="29" t="n">
        <v>0.02842997139</v>
      </c>
      <c r="H114" s="27" t="inlineStr">
        <is>
          <t>5º</t>
        </is>
      </c>
      <c r="I114" s="28" t="n">
        <v>6030847.286579999</v>
      </c>
      <c r="J114" s="29" t="n">
        <v>0.06034565217</v>
      </c>
    </row>
    <row r="115" ht="12.75" customHeight="1" s="8">
      <c r="A115" s="30" t="inlineStr">
        <is>
          <t>BB-BI</t>
        </is>
      </c>
      <c r="B115" s="31" t="inlineStr">
        <is>
          <t>10º</t>
        </is>
      </c>
      <c r="C115" s="32" t="n">
        <v>744652.99998</v>
      </c>
      <c r="D115" s="33" t="n">
        <v>0.02042039224</v>
      </c>
      <c r="E115" s="31" t="inlineStr">
        <is>
          <t>8º</t>
        </is>
      </c>
      <c r="F115" s="32" t="n">
        <v>744652.99998</v>
      </c>
      <c r="G115" s="33" t="n">
        <v>0.03942358191</v>
      </c>
      <c r="H115" s="31" t="inlineStr">
        <is>
          <t>9º</t>
        </is>
      </c>
      <c r="I115" s="32" t="n">
        <v>2775600.08325</v>
      </c>
      <c r="J115" s="33" t="n">
        <v>0.027773112</v>
      </c>
    </row>
    <row r="116" ht="12.75" customHeight="1" s="8">
      <c r="A116" s="26" t="inlineStr">
        <is>
          <t>VOTORANTIM</t>
        </is>
      </c>
      <c r="B116" s="27" t="inlineStr">
        <is>
          <t>11º</t>
        </is>
      </c>
      <c r="C116" s="28" t="n">
        <v>701489.02148</v>
      </c>
      <c r="D116" s="29" t="n">
        <v>0.01923671962</v>
      </c>
      <c r="E116" s="27" t="inlineStr">
        <is>
          <t>9º</t>
        </is>
      </c>
      <c r="F116" s="28" t="n">
        <v>650020</v>
      </c>
      <c r="G116" s="29" t="n">
        <v>0.03441350094</v>
      </c>
      <c r="H116" s="27" t="inlineStr">
        <is>
          <t>8º</t>
        </is>
      </c>
      <c r="I116" s="28" t="n">
        <v>2795358.18148</v>
      </c>
      <c r="J116" s="29" t="n">
        <v>0.02797081479</v>
      </c>
    </row>
    <row r="117" ht="12.75" customHeight="1" s="8">
      <c r="A117" s="30" t="inlineStr">
        <is>
          <t>One Corporate</t>
        </is>
      </c>
      <c r="B117" s="31" t="inlineStr">
        <is>
          <t>12º</t>
        </is>
      </c>
      <c r="C117" s="32" t="n">
        <v>310761.944</v>
      </c>
      <c r="D117" s="33" t="n">
        <v>0.008521930069999999</v>
      </c>
      <c r="E117" s="31" t="inlineStr">
        <is>
          <t>12º</t>
        </is>
      </c>
      <c r="F117" s="32" t="n">
        <v>105000</v>
      </c>
      <c r="G117" s="33" t="n">
        <v>0.00555893295</v>
      </c>
      <c r="H117" s="31" t="inlineStr">
        <is>
          <t>17º</t>
        </is>
      </c>
      <c r="I117" s="32" t="n">
        <v>360761.944</v>
      </c>
      <c r="J117" s="33" t="n">
        <v>0.00360984349</v>
      </c>
    </row>
    <row r="118" ht="12.75" customHeight="1" s="8">
      <c r="A118" s="26" t="inlineStr">
        <is>
          <t>ASA ASSET 2 GESTÃO DE RECURSOS LTDA</t>
        </is>
      </c>
      <c r="B118" s="27" t="inlineStr">
        <is>
          <t>13º</t>
        </is>
      </c>
      <c r="C118" s="28" t="n">
        <v>209004</v>
      </c>
      <c r="D118" s="29" t="n">
        <v>0.00573145299</v>
      </c>
      <c r="E118" s="27" t="n">
        <v/>
      </c>
      <c r="F118" s="28" t="n">
        <v>0</v>
      </c>
      <c r="G118" s="29" t="n">
        <v/>
      </c>
      <c r="H118" s="27" t="inlineStr">
        <is>
          <t>19º</t>
        </is>
      </c>
      <c r="I118" s="28" t="n">
        <v>209004</v>
      </c>
      <c r="J118" s="29" t="n">
        <v>0.00209132848</v>
      </c>
    </row>
    <row r="119" ht="12.75" customHeight="1" s="8">
      <c r="A119" s="30" t="inlineStr">
        <is>
          <t>CEF</t>
        </is>
      </c>
      <c r="B119" s="31" t="inlineStr">
        <is>
          <t>14º</t>
        </is>
      </c>
      <c r="C119" s="32" t="n">
        <v>156847.62</v>
      </c>
      <c r="D119" s="33" t="n">
        <v>0.00430118447</v>
      </c>
      <c r="E119" s="31" t="inlineStr">
        <is>
          <t>13º</t>
        </is>
      </c>
      <c r="F119" s="32" t="n">
        <v>103000</v>
      </c>
      <c r="G119" s="33" t="n">
        <v>0.00545304852</v>
      </c>
      <c r="H119" s="31" t="inlineStr">
        <is>
          <t>13º</t>
        </is>
      </c>
      <c r="I119" s="32" t="n">
        <v>687715.62</v>
      </c>
      <c r="J119" s="33" t="n">
        <v>0.00688139587</v>
      </c>
    </row>
    <row r="120" ht="12.75" customHeight="1" s="8">
      <c r="A120" s="26" t="inlineStr">
        <is>
          <t>CANAL COMPANHIA DE SECURITIZAÇÃO</t>
        </is>
      </c>
      <c r="B120" s="27" t="inlineStr">
        <is>
          <t>15º</t>
        </is>
      </c>
      <c r="C120" s="28" t="n">
        <v>106500</v>
      </c>
      <c r="D120" s="29" t="n">
        <v>0.00292051704</v>
      </c>
      <c r="E120" s="27" t="n">
        <v/>
      </c>
      <c r="F120" s="28" t="n">
        <v>0</v>
      </c>
      <c r="G120" s="29" t="n">
        <v/>
      </c>
      <c r="H120" s="27" t="inlineStr">
        <is>
          <t>14º</t>
        </is>
      </c>
      <c r="I120" s="28" t="n">
        <v>533349</v>
      </c>
      <c r="J120" s="29" t="n">
        <v>0.00533677802</v>
      </c>
    </row>
    <row r="121" ht="12.75" customHeight="1" s="8">
      <c r="A121" s="30" t="inlineStr">
        <is>
          <t>DAYCOVAL</t>
        </is>
      </c>
      <c r="B121" s="31" t="inlineStr">
        <is>
          <t>16º</t>
        </is>
      </c>
      <c r="C121" s="32" t="n">
        <v>104146.99998</v>
      </c>
      <c r="D121" s="33" t="n">
        <v>0.00285599144</v>
      </c>
      <c r="E121" s="31" t="inlineStr">
        <is>
          <t>15º</t>
        </is>
      </c>
      <c r="F121" s="32" t="n">
        <v>40136.99998000001</v>
      </c>
      <c r="G121" s="33" t="n">
        <v>0.00212494183</v>
      </c>
      <c r="H121" s="31" t="inlineStr">
        <is>
          <t>16º</t>
        </is>
      </c>
      <c r="I121" s="32" t="n">
        <v>441035.9999200001</v>
      </c>
      <c r="J121" s="33" t="n">
        <v>0.00441307892</v>
      </c>
    </row>
    <row r="122" ht="12.75" customHeight="1" s="8">
      <c r="A122" s="26" t="inlineStr">
        <is>
          <t>BOCOM BBM</t>
        </is>
      </c>
      <c r="B122" s="27" t="inlineStr">
        <is>
          <t>17º</t>
        </is>
      </c>
      <c r="C122" s="28" t="n">
        <v>90000</v>
      </c>
      <c r="D122" s="29" t="n">
        <v>0.00246804257</v>
      </c>
      <c r="E122" s="27" t="inlineStr">
        <is>
          <t>14º</t>
        </is>
      </c>
      <c r="F122" s="28" t="n">
        <v>90000</v>
      </c>
      <c r="G122" s="29" t="n">
        <v>0.00476479967</v>
      </c>
      <c r="H122" s="27" t="inlineStr">
        <is>
          <t>25º</t>
        </is>
      </c>
      <c r="I122" s="28" t="n">
        <v>90000</v>
      </c>
      <c r="J122" s="29" t="n">
        <v>0.00090055484</v>
      </c>
    </row>
    <row r="123" ht="12.75" customHeight="1" s="8">
      <c r="A123" s="30" t="inlineStr">
        <is>
          <t>TERRA</t>
        </is>
      </c>
      <c r="B123" s="31" t="inlineStr">
        <is>
          <t>18º</t>
        </is>
      </c>
      <c r="C123" s="32" t="n">
        <v>88205</v>
      </c>
      <c r="D123" s="33" t="n">
        <v>0.00241881883</v>
      </c>
      <c r="E123" s="31" t="n">
        <v/>
      </c>
      <c r="F123" s="32" t="n">
        <v>0</v>
      </c>
      <c r="G123" s="33" t="n">
        <v/>
      </c>
      <c r="H123" s="31" t="inlineStr">
        <is>
          <t>26º</t>
        </is>
      </c>
      <c r="I123" s="32" t="n">
        <v>88205</v>
      </c>
      <c r="J123" s="33" t="n">
        <v>0.0008825937700000001</v>
      </c>
    </row>
    <row r="124" ht="12.75" customHeight="1" s="8">
      <c r="A124" s="26" t="inlineStr">
        <is>
          <t>EQI Investimentos CTVM</t>
        </is>
      </c>
      <c r="B124" s="27" t="inlineStr">
        <is>
          <t>19º</t>
        </is>
      </c>
      <c r="C124" s="28" t="n">
        <v>75281.344</v>
      </c>
      <c r="D124" s="29" t="n">
        <v>0.00206441735</v>
      </c>
      <c r="E124" s="27" t="n">
        <v/>
      </c>
      <c r="F124" s="28" t="n">
        <v>0</v>
      </c>
      <c r="G124" s="29" t="n">
        <v/>
      </c>
      <c r="H124" s="27" t="inlineStr">
        <is>
          <t>27º</t>
        </is>
      </c>
      <c r="I124" s="28" t="n">
        <v>75281.344</v>
      </c>
      <c r="J124" s="29" t="n">
        <v>0.00075327754</v>
      </c>
    </row>
    <row r="125" ht="12.75" customHeight="1" s="8">
      <c r="A125" s="30" t="inlineStr">
        <is>
          <t>BAMBOO SEC</t>
        </is>
      </c>
      <c r="B125" s="31" t="inlineStr">
        <is>
          <t>20º</t>
        </is>
      </c>
      <c r="C125" s="32" t="n">
        <v>65000</v>
      </c>
      <c r="D125" s="33" t="n">
        <v>0.00178247519</v>
      </c>
      <c r="E125" s="31" t="inlineStr">
        <is>
          <t>17º</t>
        </is>
      </c>
      <c r="F125" s="32" t="n">
        <v>20000</v>
      </c>
      <c r="G125" s="33" t="n">
        <v>0.00105884437</v>
      </c>
      <c r="H125" s="31" t="inlineStr">
        <is>
          <t>29º</t>
        </is>
      </c>
      <c r="I125" s="32" t="n">
        <v>65000</v>
      </c>
      <c r="J125" s="33" t="n">
        <v>0.00065040072</v>
      </c>
    </row>
    <row r="126" ht="12.75" customHeight="1" s="8">
      <c r="A126" s="26" t="inlineStr">
        <is>
          <t>INTER</t>
        </is>
      </c>
      <c r="B126" s="27" t="inlineStr">
        <is>
          <t>21º</t>
        </is>
      </c>
      <c r="C126" s="28" t="n">
        <v>24999.99999</v>
      </c>
      <c r="D126" s="29" t="n">
        <v>0.00068556738</v>
      </c>
      <c r="E126" s="27" t="inlineStr">
        <is>
          <t>16º</t>
        </is>
      </c>
      <c r="F126" s="28" t="n">
        <v>24999.99999</v>
      </c>
      <c r="G126" s="29" t="n">
        <v>0.00132355546</v>
      </c>
      <c r="H126" s="27" t="inlineStr">
        <is>
          <t>21º</t>
        </is>
      </c>
      <c r="I126" s="28" t="n">
        <v>162499.99996</v>
      </c>
      <c r="J126" s="29" t="n">
        <v>0.00162600179</v>
      </c>
    </row>
    <row r="127" ht="12.75" customHeight="1" s="8">
      <c r="A127" s="30" t="inlineStr">
        <is>
          <t>GALAPAGOS CAPITAL INVESTIMENTOS E PARTICIPAÇÕES LTDA.</t>
        </is>
      </c>
      <c r="B127" s="31" t="inlineStr">
        <is>
          <t>22º</t>
        </is>
      </c>
      <c r="C127" s="32" t="n">
        <v>14703</v>
      </c>
      <c r="D127" s="33" t="n">
        <v>0.00040319589</v>
      </c>
      <c r="E127" s="31" t="n">
        <v/>
      </c>
      <c r="F127" s="32" t="n">
        <v>0</v>
      </c>
      <c r="G127" s="33" t="n">
        <v/>
      </c>
      <c r="H127" s="31" t="inlineStr">
        <is>
          <t>12º</t>
        </is>
      </c>
      <c r="I127" s="32" t="n">
        <v>783029</v>
      </c>
      <c r="J127" s="33" t="n">
        <v>0.00783511726</v>
      </c>
    </row>
    <row r="128" ht="12.75" customHeight="1" s="8">
      <c r="A128" s="26" t="inlineStr">
        <is>
          <t>M7 IB</t>
        </is>
      </c>
      <c r="B128" s="27" t="inlineStr">
        <is>
          <t>23º</t>
        </is>
      </c>
      <c r="C128" s="28" t="n">
        <v>8654.76</v>
      </c>
      <c r="D128" s="29" t="n">
        <v>0.00023733685</v>
      </c>
      <c r="E128" s="27" t="n">
        <v/>
      </c>
      <c r="F128" s="28" t="n">
        <v>0</v>
      </c>
      <c r="G128" s="29" t="n">
        <v/>
      </c>
      <c r="H128" s="27" t="inlineStr">
        <is>
          <t>28º</t>
        </is>
      </c>
      <c r="I128" s="28" t="n">
        <v>65616.13400000001</v>
      </c>
      <c r="J128" s="29" t="n">
        <v>0.00065656585</v>
      </c>
    </row>
    <row r="129" ht="12.75" customHeight="1" s="8">
      <c r="A129" s="30" t="inlineStr">
        <is>
          <t>GENIAL CV</t>
        </is>
      </c>
      <c r="B129" s="31" t="inlineStr">
        <is>
          <t>24º</t>
        </is>
      </c>
      <c r="C129" s="32" t="n">
        <v>8358.999979999999</v>
      </c>
      <c r="D129" s="33" t="n">
        <v>0.00022922631</v>
      </c>
      <c r="E129" s="31" t="inlineStr">
        <is>
          <t>18º</t>
        </is>
      </c>
      <c r="F129" s="32" t="n">
        <v>8358.999979999999</v>
      </c>
      <c r="G129" s="33" t="n">
        <v>0.000442544</v>
      </c>
      <c r="H129" s="31" t="inlineStr">
        <is>
          <t>32º</t>
        </is>
      </c>
      <c r="I129" s="32" t="n">
        <v>19144.99997</v>
      </c>
      <c r="J129" s="33" t="n">
        <v>0.00019156803</v>
      </c>
    </row>
    <row r="130" ht="12.75" customHeight="1" s="8">
      <c r="A130" s="26" t="inlineStr">
        <is>
          <t>OPEA SECURITIZADORA</t>
        </is>
      </c>
      <c r="B130" s="27" t="inlineStr">
        <is>
          <t>25º</t>
        </is>
      </c>
      <c r="C130" s="28" t="n">
        <v>1500</v>
      </c>
      <c r="D130" s="29" t="n">
        <v>4.113404e-05</v>
      </c>
      <c r="E130" s="27" t="inlineStr">
        <is>
          <t>19º</t>
        </is>
      </c>
      <c r="F130" s="28" t="n">
        <v>1500</v>
      </c>
      <c r="G130" s="29" t="n">
        <v>7.941333e-05</v>
      </c>
      <c r="H130" s="27" t="inlineStr">
        <is>
          <t>15º</t>
        </is>
      </c>
      <c r="I130" s="28" t="n">
        <v>474606</v>
      </c>
      <c r="J130" s="29" t="n">
        <v>0.00474898588</v>
      </c>
    </row>
    <row r="131" ht="12.75" customHeight="1" s="8">
      <c r="A131" s="30" t="inlineStr">
        <is>
          <t>BNP PARIBAS</t>
        </is>
      </c>
      <c r="B131" s="31" t="n">
        <v/>
      </c>
      <c r="C131" s="32" t="n">
        <v>0</v>
      </c>
      <c r="D131" s="33" t="n">
        <v/>
      </c>
      <c r="E131" s="31" t="n">
        <v/>
      </c>
      <c r="F131" s="32" t="n">
        <v>0</v>
      </c>
      <c r="G131" s="33" t="n">
        <v/>
      </c>
      <c r="H131" s="31" t="inlineStr">
        <is>
          <t>18º</t>
        </is>
      </c>
      <c r="I131" s="32" t="n">
        <v>255000</v>
      </c>
      <c r="J131" s="33" t="n">
        <v>0.00255157204</v>
      </c>
    </row>
    <row r="132" ht="12.75" customHeight="1" s="8">
      <c r="A132" s="26" t="inlineStr">
        <is>
          <t>ARCHX CAPITAL</t>
        </is>
      </c>
      <c r="B132" s="27" t="n">
        <v/>
      </c>
      <c r="C132" s="28" t="n">
        <v>0</v>
      </c>
      <c r="D132" s="29" t="n">
        <v/>
      </c>
      <c r="E132" s="27" t="n">
        <v/>
      </c>
      <c r="F132" s="28" t="n">
        <v>0</v>
      </c>
      <c r="G132" s="29" t="n">
        <v/>
      </c>
      <c r="H132" s="27" t="inlineStr">
        <is>
          <t>20º</t>
        </is>
      </c>
      <c r="I132" s="28" t="n">
        <v>190000</v>
      </c>
      <c r="J132" s="29" t="n">
        <v>0.00190117132</v>
      </c>
    </row>
    <row r="133" ht="12.75" customHeight="1" s="8">
      <c r="A133" s="30" t="inlineStr">
        <is>
          <t>ORIZ ASSESSORIA FINANCEIRA LTDA</t>
        </is>
      </c>
      <c r="B133" s="31" t="n">
        <v/>
      </c>
      <c r="C133" s="32" t="n">
        <v>0</v>
      </c>
      <c r="D133" s="33" t="n">
        <v/>
      </c>
      <c r="E133" s="31" t="n">
        <v/>
      </c>
      <c r="F133" s="32" t="n">
        <v>0</v>
      </c>
      <c r="G133" s="33" t="n">
        <v/>
      </c>
      <c r="H133" s="31" t="inlineStr">
        <is>
          <t>22º</t>
        </is>
      </c>
      <c r="I133" s="32" t="n">
        <v>150000</v>
      </c>
      <c r="J133" s="33" t="n">
        <v>0.00150092473</v>
      </c>
    </row>
    <row r="134" ht="12.75" customHeight="1" s="8">
      <c r="A134" s="26" t="inlineStr">
        <is>
          <t>MAX CAPITAL MARKETS</t>
        </is>
      </c>
      <c r="B134" s="27" t="n">
        <v/>
      </c>
      <c r="C134" s="28" t="n">
        <v>0</v>
      </c>
      <c r="D134" s="29" t="n">
        <v/>
      </c>
      <c r="E134" s="27" t="n">
        <v/>
      </c>
      <c r="F134" s="28" t="n">
        <v>0</v>
      </c>
      <c r="G134" s="29" t="n">
        <v/>
      </c>
      <c r="H134" s="27" t="inlineStr">
        <is>
          <t>23º</t>
        </is>
      </c>
      <c r="I134" s="28" t="n">
        <v>120000</v>
      </c>
      <c r="J134" s="29" t="n">
        <v>0.00120073978</v>
      </c>
    </row>
    <row r="135" ht="12.75" customHeight="1" s="8">
      <c r="A135" s="30" t="inlineStr">
        <is>
          <t>KEA CAPITAL MARKETS</t>
        </is>
      </c>
      <c r="B135" s="31" t="n">
        <v/>
      </c>
      <c r="C135" s="32" t="n">
        <v>0</v>
      </c>
      <c r="D135" s="33" t="n">
        <v/>
      </c>
      <c r="E135" s="31" t="n">
        <v/>
      </c>
      <c r="F135" s="32" t="n">
        <v>0</v>
      </c>
      <c r="G135" s="33" t="n">
        <v/>
      </c>
      <c r="H135" s="31" t="inlineStr">
        <is>
          <t>24º</t>
        </is>
      </c>
      <c r="I135" s="32" t="n">
        <v>92278</v>
      </c>
      <c r="J135" s="33" t="n">
        <v>0.00092334888</v>
      </c>
    </row>
    <row r="136" ht="12.75" customFormat="1" customHeight="1" s="21">
      <c r="A136" s="26" t="inlineStr">
        <is>
          <t>BANCO BS2</t>
        </is>
      </c>
      <c r="B136" s="27" t="n">
        <v/>
      </c>
      <c r="C136" s="28" t="n">
        <v>0</v>
      </c>
      <c r="D136" s="29" t="n">
        <v/>
      </c>
      <c r="E136" s="27" t="n">
        <v/>
      </c>
      <c r="F136" s="28" t="n">
        <v>0</v>
      </c>
      <c r="G136" s="29" t="n">
        <v/>
      </c>
      <c r="H136" s="27" t="inlineStr">
        <is>
          <t>30º</t>
        </is>
      </c>
      <c r="I136" s="28" t="n">
        <v>40000</v>
      </c>
      <c r="J136" s="29" t="n">
        <v>0.00040024659</v>
      </c>
    </row>
    <row r="137" ht="12.75" customHeight="1" s="8">
      <c r="A137" s="30" t="inlineStr">
        <is>
          <t xml:space="preserve"> EXES SERVIÇOS FINANCEIROS</t>
        </is>
      </c>
      <c r="B137" s="31" t="n">
        <v/>
      </c>
      <c r="C137" s="32" t="n">
        <v>0</v>
      </c>
      <c r="D137" s="33" t="n">
        <v/>
      </c>
      <c r="E137" s="31" t="n">
        <v/>
      </c>
      <c r="F137" s="32" t="n">
        <v>0</v>
      </c>
      <c r="G137" s="33" t="n">
        <v/>
      </c>
      <c r="H137" s="31" t="inlineStr">
        <is>
          <t>30º</t>
        </is>
      </c>
      <c r="I137" s="32" t="n">
        <v>40000</v>
      </c>
      <c r="J137" s="33" t="n">
        <v>0.00040024659</v>
      </c>
    </row>
    <row r="138" ht="12.75" customHeight="1" s="8">
      <c r="A138" s="34" t="inlineStr">
        <is>
          <t>Total</t>
        </is>
      </c>
      <c r="B138" s="35" t="n"/>
      <c r="C138" s="36">
        <f>SUM(C106:C137)</f>
        <v/>
      </c>
      <c r="D138" s="37">
        <f>_xlfn.ROUND(SUM(D106:D137), 1)</f>
        <v/>
      </c>
      <c r="E138" s="35" t="n"/>
      <c r="F138" s="36">
        <f>SUM(F106:F137)</f>
        <v/>
      </c>
      <c r="G138" s="37">
        <f>_xlfn.ROUND(SUM(G106:G137), 1)</f>
        <v/>
      </c>
      <c r="H138" s="35" t="n"/>
      <c r="I138" s="36">
        <f>SUM(I106:I137)</f>
        <v/>
      </c>
      <c r="J138" s="37">
        <f>_xlfn.ROUND(SUM(J106:J137), 1)</f>
        <v/>
      </c>
    </row>
    <row r="139" ht="12.75" customHeight="1" s="8"/>
    <row r="140" ht="12.75" customHeight="1" s="8"/>
    <row r="141" ht="12.75" customHeight="1" s="8">
      <c r="A141" s="22" t="inlineStr">
        <is>
          <t>Tipo 1.3.1. Emissão de Cotas Seniores e Subordinadas de FIDC</t>
        </is>
      </c>
      <c r="J141" s="23" t="n"/>
    </row>
    <row r="142" ht="12.75" customHeight="1" s="8">
      <c r="A142" s="24" t="inlineStr">
        <is>
          <t>Coordenadores</t>
        </is>
      </c>
      <c r="B142" s="24" t="inlineStr">
        <is>
          <t>Acumulado 2026</t>
        </is>
      </c>
      <c r="C142" s="24" t="n"/>
      <c r="D142" s="24" t="n"/>
      <c r="E142" s="24" t="inlineStr">
        <is>
          <t>Últimos 3 meses</t>
        </is>
      </c>
      <c r="F142" s="24" t="n"/>
      <c r="G142" s="24" t="n"/>
      <c r="H142" s="24" t="inlineStr">
        <is>
          <t>Últimos 12 meses</t>
        </is>
      </c>
      <c r="I142" s="24" t="n"/>
      <c r="J142" s="25" t="n"/>
    </row>
    <row r="143" ht="12.75" customHeight="1" s="8">
      <c r="A143" s="24" t="n"/>
      <c r="B143" s="24" t="inlineStr">
        <is>
          <t>Ranking 2026</t>
        </is>
      </c>
      <c r="C143" s="24" t="inlineStr">
        <is>
          <t>Valor *</t>
        </is>
      </c>
      <c r="D143" s="24" t="inlineStr">
        <is>
          <t>Part.</t>
        </is>
      </c>
      <c r="E143" s="24" t="inlineStr">
        <is>
          <t>Ranking 3 meses</t>
        </is>
      </c>
      <c r="F143" s="24" t="inlineStr">
        <is>
          <t>Valor *</t>
        </is>
      </c>
      <c r="G143" s="24" t="inlineStr">
        <is>
          <t>Part.</t>
        </is>
      </c>
      <c r="H143" s="24" t="inlineStr">
        <is>
          <t>Ranking 12 meses</t>
        </is>
      </c>
      <c r="I143" s="24" t="inlineStr">
        <is>
          <t>Valor *</t>
        </is>
      </c>
      <c r="J143" s="25" t="inlineStr">
        <is>
          <t>Part.</t>
        </is>
      </c>
    </row>
    <row r="144" ht="12.75" customHeight="1" s="8">
      <c r="A144" s="26" t="inlineStr">
        <is>
          <t>ITAU BBA</t>
        </is>
      </c>
      <c r="B144" s="27" t="inlineStr">
        <is>
          <t>1º</t>
        </is>
      </c>
      <c r="C144" s="28" t="n">
        <v>11442565.41323</v>
      </c>
      <c r="D144" s="29" t="n">
        <v>0.45661523031</v>
      </c>
      <c r="E144" s="27" t="inlineStr">
        <is>
          <t>1º</t>
        </is>
      </c>
      <c r="F144" s="28" t="n">
        <v>5218259</v>
      </c>
      <c r="G144" s="29" t="n">
        <v>0.40252653473</v>
      </c>
      <c r="H144" s="27" t="inlineStr">
        <is>
          <t>1º</t>
        </is>
      </c>
      <c r="I144" s="28" t="n">
        <v>15409475.63323</v>
      </c>
      <c r="J144" s="29" t="n">
        <v>0.3688760632</v>
      </c>
    </row>
    <row r="145" ht="12.75" customHeight="1" s="8">
      <c r="A145" s="30" t="inlineStr">
        <is>
          <t>BRADESCO BBI</t>
        </is>
      </c>
      <c r="B145" s="31" t="inlineStr">
        <is>
          <t>2º</t>
        </is>
      </c>
      <c r="C145" s="32" t="n">
        <v>5174486.206889999</v>
      </c>
      <c r="D145" s="33" t="n">
        <v>0.2064877172</v>
      </c>
      <c r="E145" s="31" t="inlineStr">
        <is>
          <t>2º</t>
        </is>
      </c>
      <c r="F145" s="32" t="n">
        <v>2270000</v>
      </c>
      <c r="G145" s="33" t="n">
        <v>0.17510346532</v>
      </c>
      <c r="H145" s="31" t="inlineStr">
        <is>
          <t>2º</t>
        </is>
      </c>
      <c r="I145" s="32" t="n">
        <v>6997036.206889999</v>
      </c>
      <c r="J145" s="33" t="n">
        <v>0.16749688513</v>
      </c>
    </row>
    <row r="146" ht="12.75" customHeight="1" s="8">
      <c r="A146" s="26" t="inlineStr">
        <is>
          <t>UBS BB</t>
        </is>
      </c>
      <c r="B146" s="27" t="inlineStr">
        <is>
          <t>3º</t>
        </is>
      </c>
      <c r="C146" s="28" t="n">
        <v>3296586.20689</v>
      </c>
      <c r="D146" s="29" t="n">
        <v>0.13155017391</v>
      </c>
      <c r="E146" s="27" t="inlineStr">
        <is>
          <t>3º</t>
        </is>
      </c>
      <c r="F146" s="28" t="n">
        <v>1119000</v>
      </c>
      <c r="G146" s="29" t="n">
        <v>0.08631752321</v>
      </c>
      <c r="H146" s="27" t="inlineStr">
        <is>
          <t>3º</t>
        </is>
      </c>
      <c r="I146" s="28" t="n">
        <v>3946396.20689</v>
      </c>
      <c r="J146" s="29" t="n">
        <v>0.09446986590000001</v>
      </c>
    </row>
    <row r="147" ht="12.75" customHeight="1" s="8">
      <c r="A147" s="30" t="inlineStr">
        <is>
          <t>ABC BRASIL</t>
        </is>
      </c>
      <c r="B147" s="31" t="inlineStr">
        <is>
          <t>4º</t>
        </is>
      </c>
      <c r="C147" s="32" t="n">
        <v>1098125</v>
      </c>
      <c r="D147" s="33" t="n">
        <v>0.04382064526</v>
      </c>
      <c r="E147" s="31" t="inlineStr">
        <is>
          <t>6º</t>
        </is>
      </c>
      <c r="F147" s="32" t="n">
        <v>998125</v>
      </c>
      <c r="G147" s="33" t="n">
        <v>0.07699345653</v>
      </c>
      <c r="H147" s="31" t="inlineStr">
        <is>
          <t>7º</t>
        </is>
      </c>
      <c r="I147" s="32" t="n">
        <v>1863392</v>
      </c>
      <c r="J147" s="33" t="n">
        <v>0.04460636569</v>
      </c>
    </row>
    <row r="148" ht="12.75" customHeight="1" s="8">
      <c r="A148" s="26" t="inlineStr">
        <is>
          <t>SAFRA</t>
        </is>
      </c>
      <c r="B148" s="27" t="inlineStr">
        <is>
          <t>5º</t>
        </is>
      </c>
      <c r="C148" s="28" t="n">
        <v>1020000</v>
      </c>
      <c r="D148" s="29" t="n">
        <v>0.04070306947</v>
      </c>
      <c r="E148" s="27" t="inlineStr">
        <is>
          <t>4º</t>
        </is>
      </c>
      <c r="F148" s="28" t="n">
        <v>1020000</v>
      </c>
      <c r="G148" s="29" t="n">
        <v>0.07868085226</v>
      </c>
      <c r="H148" s="27" t="inlineStr">
        <is>
          <t>8º</t>
        </is>
      </c>
      <c r="I148" s="28" t="n">
        <v>1620000</v>
      </c>
      <c r="J148" s="29" t="n">
        <v>0.03877998425</v>
      </c>
    </row>
    <row r="149" ht="12.75" customHeight="1" s="8">
      <c r="A149" s="30" t="inlineStr">
        <is>
          <t>BTG PACTUAL</t>
        </is>
      </c>
      <c r="B149" s="31" t="inlineStr">
        <is>
          <t>5º</t>
        </is>
      </c>
      <c r="C149" s="32" t="n">
        <v>1020000</v>
      </c>
      <c r="D149" s="33" t="n">
        <v>0.04070306947</v>
      </c>
      <c r="E149" s="31" t="inlineStr">
        <is>
          <t>4º</t>
        </is>
      </c>
      <c r="F149" s="32" t="n">
        <v>1020000</v>
      </c>
      <c r="G149" s="33" t="n">
        <v>0.07868085226</v>
      </c>
      <c r="H149" s="31" t="inlineStr">
        <is>
          <t>8º</t>
        </is>
      </c>
      <c r="I149" s="32" t="n">
        <v>1620000</v>
      </c>
      <c r="J149" s="33" t="n">
        <v>0.03877998425</v>
      </c>
    </row>
    <row r="150" ht="12.75" customHeight="1" s="8">
      <c r="A150" s="26" t="inlineStr">
        <is>
          <t>XP INVESTIMENTOS</t>
        </is>
      </c>
      <c r="B150" s="27" t="inlineStr">
        <is>
          <t>7º</t>
        </is>
      </c>
      <c r="C150" s="28" t="n">
        <v>730166.3</v>
      </c>
      <c r="D150" s="29" t="n">
        <v>0.02913726435</v>
      </c>
      <c r="E150" s="27" t="inlineStr">
        <is>
          <t>8º</t>
        </is>
      </c>
      <c r="F150" s="28" t="n">
        <v>375000</v>
      </c>
      <c r="G150" s="29" t="n">
        <v>0.02892678392</v>
      </c>
      <c r="H150" s="27" t="inlineStr">
        <is>
          <t>6º</t>
        </is>
      </c>
      <c r="I150" s="28" t="n">
        <v>2233531</v>
      </c>
      <c r="J150" s="29" t="n">
        <v>0.05346685</v>
      </c>
    </row>
    <row r="151" ht="12.75" customHeight="1" s="8">
      <c r="A151" s="30" t="inlineStr">
        <is>
          <t>VOTORANTIM</t>
        </is>
      </c>
      <c r="B151" s="31" t="inlineStr">
        <is>
          <t>8º</t>
        </is>
      </c>
      <c r="C151" s="32" t="n">
        <v>631489.02148</v>
      </c>
      <c r="D151" s="33" t="n">
        <v>0.0251995505</v>
      </c>
      <c r="E151" s="31" t="inlineStr">
        <is>
          <t>7º</t>
        </is>
      </c>
      <c r="F151" s="32" t="n">
        <v>580020</v>
      </c>
      <c r="G151" s="33" t="n">
        <v>0.04474163522</v>
      </c>
      <c r="H151" s="31" t="inlineStr">
        <is>
          <t>5º</t>
        </is>
      </c>
      <c r="I151" s="32" t="n">
        <v>2243358.18148</v>
      </c>
      <c r="J151" s="33" t="n">
        <v>0.05370209565</v>
      </c>
    </row>
    <row r="152" ht="12.75" customHeight="1" s="8">
      <c r="A152" s="26" t="inlineStr">
        <is>
          <t>BR PARTNERS</t>
        </is>
      </c>
      <c r="B152" s="27" t="inlineStr">
        <is>
          <t>9º</t>
        </is>
      </c>
      <c r="C152" s="28" t="n">
        <v>517107</v>
      </c>
      <c r="D152" s="29" t="n">
        <v>0.02063513936</v>
      </c>
      <c r="E152" s="27" t="inlineStr">
        <is>
          <t>9º</t>
        </is>
      </c>
      <c r="F152" s="28" t="n">
        <v>343360</v>
      </c>
      <c r="G152" s="29" t="n">
        <v>0.02648613474</v>
      </c>
      <c r="H152" s="27" t="inlineStr">
        <is>
          <t>10º</t>
        </is>
      </c>
      <c r="I152" s="28" t="n">
        <v>1359133.10214</v>
      </c>
      <c r="J152" s="29" t="n">
        <v>0.03253528413</v>
      </c>
    </row>
    <row r="153" ht="12.75" customHeight="1" s="8">
      <c r="A153" s="30" t="inlineStr">
        <is>
          <t>BAMBOO SEC</t>
        </is>
      </c>
      <c r="B153" s="31" t="inlineStr">
        <is>
          <t>10º</t>
        </is>
      </c>
      <c r="C153" s="32" t="n">
        <v>65000</v>
      </c>
      <c r="D153" s="33" t="n">
        <v>0.00259382305</v>
      </c>
      <c r="E153" s="31" t="inlineStr">
        <is>
          <t>10º</t>
        </is>
      </c>
      <c r="F153" s="32" t="n">
        <v>20000</v>
      </c>
      <c r="G153" s="33" t="n">
        <v>0.00154276181</v>
      </c>
      <c r="H153" s="31" t="inlineStr">
        <is>
          <t>16º</t>
        </is>
      </c>
      <c r="I153" s="32" t="n">
        <v>65000</v>
      </c>
      <c r="J153" s="33" t="n">
        <v>0.00155598702</v>
      </c>
    </row>
    <row r="154" ht="12.75" customHeight="1" s="8">
      <c r="A154" s="26" t="inlineStr">
        <is>
          <t>DAYCOVAL</t>
        </is>
      </c>
      <c r="B154" s="27" t="inlineStr">
        <is>
          <t>11º</t>
        </is>
      </c>
      <c r="C154" s="28" t="n">
        <v>64010</v>
      </c>
      <c r="D154" s="29" t="n">
        <v>0.00255431713</v>
      </c>
      <c r="E154" s="27" t="n">
        <v/>
      </c>
      <c r="F154" s="28" t="n">
        <v>0</v>
      </c>
      <c r="G154" s="29" t="n">
        <v/>
      </c>
      <c r="H154" s="27" t="inlineStr">
        <is>
          <t>17º</t>
        </is>
      </c>
      <c r="I154" s="28" t="n">
        <v>64010</v>
      </c>
      <c r="J154" s="29" t="n">
        <v>0.00153228814</v>
      </c>
    </row>
    <row r="155" ht="12.75" customHeight="1" s="8">
      <c r="A155" s="30" t="inlineStr">
        <is>
          <t>SANTANDER</t>
        </is>
      </c>
      <c r="B155" s="31" t="n">
        <v/>
      </c>
      <c r="C155" s="32" t="n">
        <v>0</v>
      </c>
      <c r="D155" s="33" t="n">
        <v/>
      </c>
      <c r="E155" s="31" t="n">
        <v/>
      </c>
      <c r="F155" s="32" t="n">
        <v>0</v>
      </c>
      <c r="G155" s="33" t="n">
        <v/>
      </c>
      <c r="H155" s="31" t="inlineStr">
        <is>
          <t>4º</t>
        </is>
      </c>
      <c r="I155" s="32" t="n">
        <v>3584517</v>
      </c>
      <c r="J155" s="33" t="n">
        <v>0.08580710666999999</v>
      </c>
    </row>
    <row r="156" ht="12.75" customHeight="1" s="8">
      <c r="A156" s="26" t="inlineStr">
        <is>
          <t>BNP PARIBAS</t>
        </is>
      </c>
      <c r="B156" s="27" t="n">
        <v/>
      </c>
      <c r="C156" s="28" t="n">
        <v>0</v>
      </c>
      <c r="D156" s="29" t="n">
        <v/>
      </c>
      <c r="E156" s="27" t="n">
        <v/>
      </c>
      <c r="F156" s="28" t="n">
        <v>0</v>
      </c>
      <c r="G156" s="29" t="n">
        <v/>
      </c>
      <c r="H156" s="27" t="inlineStr">
        <is>
          <t>11º</t>
        </is>
      </c>
      <c r="I156" s="28" t="n">
        <v>255000</v>
      </c>
      <c r="J156" s="29" t="n">
        <v>0.00610425678</v>
      </c>
    </row>
    <row r="157" ht="12.75" customHeight="1" s="8">
      <c r="A157" s="30" t="inlineStr">
        <is>
          <t>ARCHX CAPITAL</t>
        </is>
      </c>
      <c r="B157" s="31" t="n">
        <v/>
      </c>
      <c r="C157" s="32" t="n">
        <v>0</v>
      </c>
      <c r="D157" s="33" t="n">
        <v/>
      </c>
      <c r="E157" s="31" t="n">
        <v/>
      </c>
      <c r="F157" s="32" t="n">
        <v>0</v>
      </c>
      <c r="G157" s="33" t="n">
        <v/>
      </c>
      <c r="H157" s="31" t="inlineStr">
        <is>
          <t>12º</t>
        </is>
      </c>
      <c r="I157" s="32" t="n">
        <v>171000</v>
      </c>
      <c r="J157" s="33" t="n">
        <v>0.00409344278</v>
      </c>
    </row>
    <row r="158" ht="12.75" customHeight="1" s="8">
      <c r="A158" s="26" t="inlineStr">
        <is>
          <t>ORIZ ASSESSORIA FINANCEIRA LTDA</t>
        </is>
      </c>
      <c r="B158" s="27" t="n">
        <v/>
      </c>
      <c r="C158" s="28" t="n">
        <v>0</v>
      </c>
      <c r="D158" s="29" t="n">
        <v/>
      </c>
      <c r="E158" s="27" t="n">
        <v/>
      </c>
      <c r="F158" s="28" t="n">
        <v>0</v>
      </c>
      <c r="G158" s="29" t="n">
        <v/>
      </c>
      <c r="H158" s="27" t="inlineStr">
        <is>
          <t>13º</t>
        </is>
      </c>
      <c r="I158" s="28" t="n">
        <v>150000</v>
      </c>
      <c r="J158" s="29" t="n">
        <v>0.00359073928</v>
      </c>
    </row>
    <row r="159" ht="12.75" customHeight="1" s="8">
      <c r="A159" s="30" t="inlineStr">
        <is>
          <t>CEF</t>
        </is>
      </c>
      <c r="B159" s="31" t="n">
        <v/>
      </c>
      <c r="C159" s="32" t="n">
        <v>0</v>
      </c>
      <c r="D159" s="33" t="n">
        <v/>
      </c>
      <c r="E159" s="31" t="n">
        <v/>
      </c>
      <c r="F159" s="32" t="n">
        <v>0</v>
      </c>
      <c r="G159" s="33" t="n">
        <v/>
      </c>
      <c r="H159" s="31" t="inlineStr">
        <is>
          <t>14º</t>
        </is>
      </c>
      <c r="I159" s="32" t="n">
        <v>100000</v>
      </c>
      <c r="J159" s="33" t="n">
        <v>0.00239382619</v>
      </c>
    </row>
    <row r="160" ht="12.75" customHeight="1" s="8">
      <c r="A160" s="26" t="inlineStr">
        <is>
          <t>KEA CAPITAL MARKETS</t>
        </is>
      </c>
      <c r="B160" s="27" t="n">
        <v/>
      </c>
      <c r="C160" s="28" t="n">
        <v>0</v>
      </c>
      <c r="D160" s="29" t="n">
        <v/>
      </c>
      <c r="E160" s="27" t="n">
        <v/>
      </c>
      <c r="F160" s="28" t="n">
        <v>0</v>
      </c>
      <c r="G160" s="29" t="n">
        <v/>
      </c>
      <c r="H160" s="27" t="inlineStr">
        <is>
          <t>15º</t>
        </is>
      </c>
      <c r="I160" s="28" t="n">
        <v>92278</v>
      </c>
      <c r="J160" s="29" t="n">
        <v>0.00220897493</v>
      </c>
    </row>
    <row r="161" ht="12.75" customHeight="1" s="8">
      <c r="A161" s="34" t="inlineStr">
        <is>
          <t>Total</t>
        </is>
      </c>
      <c r="B161" s="35" t="n"/>
      <c r="C161" s="36">
        <f>SUM(C144:C160)</f>
        <v/>
      </c>
      <c r="D161" s="37">
        <f>_xlfn.ROUND(SUM(D144:D160), 1)</f>
        <v/>
      </c>
      <c r="E161" s="35" t="n"/>
      <c r="F161" s="36">
        <f>SUM(F144:F160)</f>
        <v/>
      </c>
      <c r="G161" s="37">
        <f>_xlfn.ROUND(SUM(G144:G160), 1)</f>
        <v/>
      </c>
      <c r="H161" s="35" t="n"/>
      <c r="I161" s="36">
        <f>SUM(I144:I160)</f>
        <v/>
      </c>
      <c r="J161" s="37">
        <f>_xlfn.ROUND(SUM(J144:J160), 1)</f>
        <v/>
      </c>
    </row>
    <row r="162" ht="12.75" customHeight="1" s="8"/>
    <row r="163" ht="12.75" customFormat="1" customHeight="1" s="21"/>
    <row r="164" ht="12.75" customFormat="1" customHeight="1" s="21">
      <c r="A164" s="22" t="inlineStr">
        <is>
          <t>Tipo 1.3.2. Emissão de Certificados de Recebíveis Imobiliários</t>
        </is>
      </c>
      <c r="J164" s="23" t="n"/>
    </row>
    <row r="165" ht="12.75" customHeight="1" s="8">
      <c r="A165" s="24" t="inlineStr">
        <is>
          <t>Coordenadores</t>
        </is>
      </c>
      <c r="B165" s="24" t="inlineStr">
        <is>
          <t>Acumulado 2026</t>
        </is>
      </c>
      <c r="C165" s="24" t="n"/>
      <c r="D165" s="24" t="n"/>
      <c r="E165" s="24" t="inlineStr">
        <is>
          <t>Últimos 3 meses</t>
        </is>
      </c>
      <c r="F165" s="24" t="n"/>
      <c r="G165" s="24" t="n"/>
      <c r="H165" s="24" t="inlineStr">
        <is>
          <t>Últimos 12 meses</t>
        </is>
      </c>
      <c r="I165" s="24" t="n"/>
      <c r="J165" s="25" t="n"/>
    </row>
    <row r="166" ht="12.75" customHeight="1" s="8">
      <c r="A166" s="24" t="n"/>
      <c r="B166" s="24" t="inlineStr">
        <is>
          <t>Ranking 2026</t>
        </is>
      </c>
      <c r="C166" s="24" t="inlineStr">
        <is>
          <t>Valor *</t>
        </is>
      </c>
      <c r="D166" s="24" t="inlineStr">
        <is>
          <t>Part.</t>
        </is>
      </c>
      <c r="E166" s="24" t="inlineStr">
        <is>
          <t>Ranking 3 meses</t>
        </is>
      </c>
      <c r="F166" s="24" t="inlineStr">
        <is>
          <t>Valor *</t>
        </is>
      </c>
      <c r="G166" s="24" t="inlineStr">
        <is>
          <t>Part.</t>
        </is>
      </c>
      <c r="H166" s="24" t="inlineStr">
        <is>
          <t>Ranking 12 meses</t>
        </is>
      </c>
      <c r="I166" s="24" t="inlineStr">
        <is>
          <t>Valor *</t>
        </is>
      </c>
      <c r="J166" s="25" t="inlineStr">
        <is>
          <t>Part.</t>
        </is>
      </c>
    </row>
    <row r="167" ht="12.75" customHeight="1" s="8">
      <c r="A167" s="26" t="inlineStr">
        <is>
          <t>ITAU BBA</t>
        </is>
      </c>
      <c r="B167" s="27" t="inlineStr">
        <is>
          <t>1º</t>
        </is>
      </c>
      <c r="C167" s="28" t="n">
        <v>1646715</v>
      </c>
      <c r="D167" s="29" t="n">
        <v>0.2665982657</v>
      </c>
      <c r="E167" s="27" t="inlineStr">
        <is>
          <t>1º</t>
        </is>
      </c>
      <c r="F167" s="28" t="n">
        <v>1200715</v>
      </c>
      <c r="G167" s="29" t="n">
        <v>0.35427075006</v>
      </c>
      <c r="H167" s="27" t="inlineStr">
        <is>
          <t>2º</t>
        </is>
      </c>
      <c r="I167" s="28" t="n">
        <v>4250822.49998</v>
      </c>
      <c r="J167" s="29" t="n">
        <v>0.20242046868</v>
      </c>
    </row>
    <row r="168" ht="12.75" customHeight="1" s="8">
      <c r="A168" s="30" t="inlineStr">
        <is>
          <t>XP INVESTIMENTOS</t>
        </is>
      </c>
      <c r="B168" s="31" t="inlineStr">
        <is>
          <t>2º</t>
        </is>
      </c>
      <c r="C168" s="32" t="n">
        <v>1456615.00088</v>
      </c>
      <c r="D168" s="33" t="n">
        <v>0.23582164067</v>
      </c>
      <c r="E168" s="31" t="inlineStr">
        <is>
          <t>2º</t>
        </is>
      </c>
      <c r="F168" s="32" t="n">
        <v>585500</v>
      </c>
      <c r="G168" s="33" t="n">
        <v>0.17275167226</v>
      </c>
      <c r="H168" s="31" t="inlineStr">
        <is>
          <t>1º</t>
        </is>
      </c>
      <c r="I168" s="32" t="n">
        <v>6314640.60276</v>
      </c>
      <c r="J168" s="33" t="n">
        <v>0.30069769094</v>
      </c>
    </row>
    <row r="169" ht="12.75" customHeight="1" s="8">
      <c r="A169" s="26" t="inlineStr">
        <is>
          <t>BR PARTNERS</t>
        </is>
      </c>
      <c r="B169" s="27" t="inlineStr">
        <is>
          <t>3º</t>
        </is>
      </c>
      <c r="C169" s="28" t="n">
        <v>804043.0739600001</v>
      </c>
      <c r="D169" s="29" t="n">
        <v>0.13017218466</v>
      </c>
      <c r="E169" s="27" t="inlineStr">
        <is>
          <t>4º</t>
        </is>
      </c>
      <c r="F169" s="28" t="n">
        <v>299043.07396</v>
      </c>
      <c r="G169" s="29" t="n">
        <v>0.0882326065</v>
      </c>
      <c r="H169" s="27" t="inlineStr">
        <is>
          <t>6º</t>
        </is>
      </c>
      <c r="I169" s="28" t="n">
        <v>1161260.58683</v>
      </c>
      <c r="J169" s="29" t="n">
        <v>0.0552982187</v>
      </c>
    </row>
    <row r="170" ht="12.75" customHeight="1" s="8">
      <c r="A170" s="30" t="inlineStr">
        <is>
          <t>BTG PACTUAL</t>
        </is>
      </c>
      <c r="B170" s="31" t="inlineStr">
        <is>
          <t>4º</t>
        </is>
      </c>
      <c r="C170" s="32" t="n">
        <v>680000</v>
      </c>
      <c r="D170" s="33" t="n">
        <v>0.11008997955</v>
      </c>
      <c r="E170" s="31" t="inlineStr">
        <is>
          <t>3º</t>
        </is>
      </c>
      <c r="F170" s="32" t="n">
        <v>430000</v>
      </c>
      <c r="G170" s="33" t="n">
        <v>0.12687142455</v>
      </c>
      <c r="H170" s="31" t="inlineStr">
        <is>
          <t>3º</t>
        </is>
      </c>
      <c r="I170" s="32" t="n">
        <v>1854980</v>
      </c>
      <c r="J170" s="33" t="n">
        <v>0.08833253352999999</v>
      </c>
    </row>
    <row r="171" ht="12.75" customHeight="1" s="8">
      <c r="A171" s="26" t="inlineStr">
        <is>
          <t>SANTANDER</t>
        </is>
      </c>
      <c r="B171" s="27" t="inlineStr">
        <is>
          <t>5º</t>
        </is>
      </c>
      <c r="C171" s="28" t="n">
        <v>373323.5</v>
      </c>
      <c r="D171" s="29" t="n">
        <v>0.06043996541</v>
      </c>
      <c r="E171" s="27" t="inlineStr">
        <is>
          <t>7º</t>
        </is>
      </c>
      <c r="F171" s="28" t="n">
        <v>207000</v>
      </c>
      <c r="G171" s="29" t="n">
        <v>0.06107531368</v>
      </c>
      <c r="H171" s="27" t="inlineStr">
        <is>
          <t>7º</t>
        </is>
      </c>
      <c r="I171" s="28" t="n">
        <v>769958.5</v>
      </c>
      <c r="J171" s="29" t="n">
        <v>0.03666475381</v>
      </c>
    </row>
    <row r="172" ht="12.75" customHeight="1" s="8">
      <c r="A172" s="30" t="inlineStr">
        <is>
          <t>BRADESCO BBI</t>
        </is>
      </c>
      <c r="B172" s="31" t="inlineStr">
        <is>
          <t>6º</t>
        </is>
      </c>
      <c r="C172" s="32" t="n">
        <v>370818.75</v>
      </c>
      <c r="D172" s="33" t="n">
        <v>0.06003445383</v>
      </c>
      <c r="E172" s="31" t="inlineStr">
        <is>
          <t>6º</t>
        </is>
      </c>
      <c r="F172" s="32" t="n">
        <v>225000</v>
      </c>
      <c r="G172" s="33" t="n">
        <v>0.06638621052</v>
      </c>
      <c r="H172" s="31" t="inlineStr">
        <is>
          <t>4º</t>
        </is>
      </c>
      <c r="I172" s="32" t="n">
        <v>1806289.24998</v>
      </c>
      <c r="J172" s="33" t="n">
        <v>0.08601392238</v>
      </c>
    </row>
    <row r="173" ht="12.75" customHeight="1" s="8">
      <c r="A173" s="26" t="inlineStr">
        <is>
          <t>SAFRA</t>
        </is>
      </c>
      <c r="B173" s="27" t="inlineStr">
        <is>
          <t>7º</t>
        </is>
      </c>
      <c r="C173" s="28" t="n">
        <v>267500</v>
      </c>
      <c r="D173" s="29" t="n">
        <v>0.04330745519</v>
      </c>
      <c r="E173" s="27" t="inlineStr">
        <is>
          <t>5º</t>
        </is>
      </c>
      <c r="F173" s="28" t="n">
        <v>267500</v>
      </c>
      <c r="G173" s="29" t="n">
        <v>0.07892582805999999</v>
      </c>
      <c r="H173" s="27" t="inlineStr">
        <is>
          <t>5º</t>
        </is>
      </c>
      <c r="I173" s="28" t="n">
        <v>1219189.99999</v>
      </c>
      <c r="J173" s="29" t="n">
        <v>0.05805676695</v>
      </c>
    </row>
    <row r="174" ht="12.75" customHeight="1" s="8">
      <c r="A174" s="30" t="inlineStr">
        <is>
          <t>ASA ASSET 2 GESTÃO DE RECURSOS LTDA</t>
        </is>
      </c>
      <c r="B174" s="31" t="inlineStr">
        <is>
          <t>8º</t>
        </is>
      </c>
      <c r="C174" s="32" t="n">
        <v>209004</v>
      </c>
      <c r="D174" s="33" t="n">
        <v>0.0338371266</v>
      </c>
      <c r="E174" s="31" t="n">
        <v/>
      </c>
      <c r="F174" s="32" t="n">
        <v>0</v>
      </c>
      <c r="G174" s="33" t="n">
        <v/>
      </c>
      <c r="H174" s="31" t="inlineStr">
        <is>
          <t>15º</t>
        </is>
      </c>
      <c r="I174" s="32" t="n">
        <v>209004</v>
      </c>
      <c r="J174" s="33" t="n">
        <v>0.009952588619999999</v>
      </c>
    </row>
    <row r="175" ht="12.75" customHeight="1" s="8">
      <c r="A175" s="26" t="inlineStr">
        <is>
          <t>CEF</t>
        </is>
      </c>
      <c r="B175" s="27" t="inlineStr">
        <is>
          <t>9º</t>
        </is>
      </c>
      <c r="C175" s="28" t="n">
        <v>103000</v>
      </c>
      <c r="D175" s="29" t="n">
        <v>0.01667539396</v>
      </c>
      <c r="E175" s="27" t="inlineStr">
        <is>
          <t>8º</t>
        </is>
      </c>
      <c r="F175" s="28" t="n">
        <v>103000</v>
      </c>
      <c r="G175" s="29" t="n">
        <v>0.03039013193</v>
      </c>
      <c r="H175" s="27" t="inlineStr">
        <is>
          <t>13º</t>
        </is>
      </c>
      <c r="I175" s="28" t="n">
        <v>273000</v>
      </c>
      <c r="J175" s="29" t="n">
        <v>0.01300002245</v>
      </c>
    </row>
    <row r="176" ht="12.75" customHeight="1" s="8">
      <c r="A176" s="30" t="inlineStr">
        <is>
          <t>EQI Investimentos CTVM</t>
        </is>
      </c>
      <c r="B176" s="31" t="inlineStr">
        <is>
          <t>10º</t>
        </is>
      </c>
      <c r="C176" s="32" t="n">
        <v>75281.344</v>
      </c>
      <c r="D176" s="33" t="n">
        <v>0.01218782591</v>
      </c>
      <c r="E176" s="31" t="n">
        <v/>
      </c>
      <c r="F176" s="32" t="n">
        <v>0</v>
      </c>
      <c r="G176" s="33" t="n">
        <v/>
      </c>
      <c r="H176" s="31" t="inlineStr">
        <is>
          <t>19º</t>
        </is>
      </c>
      <c r="I176" s="32" t="n">
        <v>75281.344</v>
      </c>
      <c r="J176" s="33" t="n">
        <v>0.0035848321</v>
      </c>
    </row>
    <row r="177" ht="12.75" customHeight="1" s="8">
      <c r="A177" s="26" t="inlineStr">
        <is>
          <t>VOTORANTIM</t>
        </is>
      </c>
      <c r="B177" s="27" t="inlineStr">
        <is>
          <t>11º</t>
        </is>
      </c>
      <c r="C177" s="28" t="n">
        <v>70000</v>
      </c>
      <c r="D177" s="29" t="n">
        <v>0.01133279201</v>
      </c>
      <c r="E177" s="27" t="inlineStr">
        <is>
          <t>9º</t>
        </is>
      </c>
      <c r="F177" s="28" t="n">
        <v>70000</v>
      </c>
      <c r="G177" s="29" t="n">
        <v>0.02065348772</v>
      </c>
      <c r="H177" s="27" t="inlineStr">
        <is>
          <t>9º</t>
        </is>
      </c>
      <c r="I177" s="28" t="n">
        <v>552000</v>
      </c>
      <c r="J177" s="29" t="n">
        <v>0.02628575969</v>
      </c>
    </row>
    <row r="178" ht="12.75" customHeight="1" s="8">
      <c r="A178" s="30" t="inlineStr">
        <is>
          <t>CANAL COMPANHIA DE SECURITIZAÇÃO</t>
        </is>
      </c>
      <c r="B178" s="31" t="inlineStr">
        <is>
          <t>12º</t>
        </is>
      </c>
      <c r="C178" s="32" t="n">
        <v>58500</v>
      </c>
      <c r="D178" s="33" t="n">
        <v>0.00947097618</v>
      </c>
      <c r="E178" s="31" t="n">
        <v/>
      </c>
      <c r="F178" s="32" t="n">
        <v>0</v>
      </c>
      <c r="G178" s="33" t="n">
        <v/>
      </c>
      <c r="H178" s="31" t="inlineStr">
        <is>
          <t>10º</t>
        </is>
      </c>
      <c r="I178" s="32" t="n">
        <v>465349</v>
      </c>
      <c r="J178" s="33" t="n">
        <v>0.02215951447</v>
      </c>
    </row>
    <row r="179" ht="12.75" customHeight="1" s="8">
      <c r="A179" s="26" t="inlineStr">
        <is>
          <t>One Corporate</t>
        </is>
      </c>
      <c r="B179" s="27" t="inlineStr">
        <is>
          <t>13º</t>
        </is>
      </c>
      <c r="C179" s="28" t="n">
        <v>45761.944</v>
      </c>
      <c r="D179" s="29" t="n">
        <v>0.00740872276</v>
      </c>
      <c r="E179" s="27" t="n">
        <v/>
      </c>
      <c r="F179" s="28" t="n">
        <v>0</v>
      </c>
      <c r="G179" s="29" t="n">
        <v/>
      </c>
      <c r="H179" s="27" t="inlineStr">
        <is>
          <t>18º</t>
        </is>
      </c>
      <c r="I179" s="28" t="n">
        <v>95761.944</v>
      </c>
      <c r="J179" s="29" t="n">
        <v>0.00456010045</v>
      </c>
    </row>
    <row r="180" ht="12.75" customHeight="1" s="8">
      <c r="A180" s="30" t="inlineStr">
        <is>
          <t>GALAPAGOS CAPITAL INVESTIMENTOS E PARTICIPAÇÕES LTDA.</t>
        </is>
      </c>
      <c r="B180" s="31" t="inlineStr">
        <is>
          <t>14º</t>
        </is>
      </c>
      <c r="C180" s="32" t="n">
        <v>14703</v>
      </c>
      <c r="D180" s="33" t="n">
        <v>0.00238037201</v>
      </c>
      <c r="E180" s="31" t="n">
        <v/>
      </c>
      <c r="F180" s="32" t="n">
        <v>0</v>
      </c>
      <c r="G180" s="33" t="n">
        <v/>
      </c>
      <c r="H180" s="31" t="inlineStr">
        <is>
          <t>8º</t>
        </is>
      </c>
      <c r="I180" s="32" t="n">
        <v>683029</v>
      </c>
      <c r="J180" s="33" t="n">
        <v>0.03252524666</v>
      </c>
    </row>
    <row r="181" ht="12.75" customHeight="1" s="8">
      <c r="A181" s="26" t="inlineStr">
        <is>
          <t>OPEA SECURITIZADORA</t>
        </is>
      </c>
      <c r="B181" s="27" t="inlineStr">
        <is>
          <t>15º</t>
        </is>
      </c>
      <c r="C181" s="28" t="n">
        <v>1500</v>
      </c>
      <c r="D181" s="29" t="n">
        <v>0.00024284554</v>
      </c>
      <c r="E181" s="27" t="inlineStr">
        <is>
          <t>10º</t>
        </is>
      </c>
      <c r="F181" s="28" t="n">
        <v>1500</v>
      </c>
      <c r="G181" s="29" t="n">
        <v>0.00044257474</v>
      </c>
      <c r="H181" s="27" t="inlineStr">
        <is>
          <t>12º</t>
        </is>
      </c>
      <c r="I181" s="28" t="n">
        <v>317468</v>
      </c>
      <c r="J181" s="29" t="n">
        <v>0.01511754992</v>
      </c>
    </row>
    <row r="182" ht="12.75" customHeight="1" s="8">
      <c r="A182" s="30" t="inlineStr">
        <is>
          <t>ABC BRASIL</t>
        </is>
      </c>
      <c r="B182" s="31" t="n">
        <v/>
      </c>
      <c r="C182" s="32" t="n">
        <v>0</v>
      </c>
      <c r="D182" s="33" t="n">
        <v/>
      </c>
      <c r="E182" s="31" t="n">
        <v/>
      </c>
      <c r="F182" s="32" t="n">
        <v>0</v>
      </c>
      <c r="G182" s="33" t="n">
        <v/>
      </c>
      <c r="H182" s="31" t="inlineStr">
        <is>
          <t>11º</t>
        </is>
      </c>
      <c r="I182" s="32" t="n">
        <v>351928.99999</v>
      </c>
      <c r="J182" s="33" t="n">
        <v>0.01675855276</v>
      </c>
    </row>
    <row r="183" ht="12.75" customHeight="1" s="8">
      <c r="A183" s="26" t="inlineStr">
        <is>
          <t>DAYCOVAL</t>
        </is>
      </c>
      <c r="B183" s="27" t="n">
        <v/>
      </c>
      <c r="C183" s="28" t="n">
        <v>0</v>
      </c>
      <c r="D183" s="29" t="n">
        <v/>
      </c>
      <c r="E183" s="27" t="n">
        <v/>
      </c>
      <c r="F183" s="28" t="n">
        <v>0</v>
      </c>
      <c r="G183" s="29" t="n">
        <v/>
      </c>
      <c r="H183" s="27" t="inlineStr">
        <is>
          <t>14º</t>
        </is>
      </c>
      <c r="I183" s="28" t="n">
        <v>269999.99999</v>
      </c>
      <c r="J183" s="29" t="n">
        <v>0.01285716506</v>
      </c>
    </row>
    <row r="184" ht="12.75" customHeight="1" s="8">
      <c r="A184" s="30" t="inlineStr">
        <is>
          <t>UBS BB</t>
        </is>
      </c>
      <c r="B184" s="31" t="n">
        <v/>
      </c>
      <c r="C184" s="32" t="n">
        <v>0</v>
      </c>
      <c r="D184" s="33" t="n">
        <v/>
      </c>
      <c r="E184" s="31" t="n">
        <v/>
      </c>
      <c r="F184" s="32" t="n">
        <v>0</v>
      </c>
      <c r="G184" s="33" t="n">
        <v/>
      </c>
      <c r="H184" s="31" t="inlineStr">
        <is>
          <t>16º</t>
        </is>
      </c>
      <c r="I184" s="32" t="n">
        <v>169999.99999</v>
      </c>
      <c r="J184" s="33" t="n">
        <v>0.00809525208</v>
      </c>
    </row>
    <row r="185" ht="12.75" customHeight="1" s="8">
      <c r="A185" s="26" t="inlineStr">
        <is>
          <t>MAX CAPITAL MARKETS</t>
        </is>
      </c>
      <c r="B185" s="27" t="n">
        <v/>
      </c>
      <c r="C185" s="28" t="n">
        <v>0</v>
      </c>
      <c r="D185" s="29" t="n">
        <v/>
      </c>
      <c r="E185" s="27" t="n">
        <v/>
      </c>
      <c r="F185" s="28" t="n">
        <v>0</v>
      </c>
      <c r="G185" s="29" t="n">
        <v/>
      </c>
      <c r="H185" s="27" t="inlineStr">
        <is>
          <t>17º</t>
        </is>
      </c>
      <c r="I185" s="28" t="n">
        <v>120000</v>
      </c>
      <c r="J185" s="29" t="n">
        <v>0.00571429558</v>
      </c>
    </row>
    <row r="186" ht="12.75" customHeight="1" s="8">
      <c r="A186" s="30" t="inlineStr">
        <is>
          <t>BANCO BS2</t>
        </is>
      </c>
      <c r="B186" s="31" t="n">
        <v/>
      </c>
      <c r="C186" s="32" t="n">
        <v>0</v>
      </c>
      <c r="D186" s="33" t="n">
        <v/>
      </c>
      <c r="E186" s="31" t="n">
        <v/>
      </c>
      <c r="F186" s="32" t="n">
        <v>0</v>
      </c>
      <c r="G186" s="33" t="n">
        <v/>
      </c>
      <c r="H186" s="31" t="inlineStr">
        <is>
          <t>20º</t>
        </is>
      </c>
      <c r="I186" s="32" t="n">
        <v>40000</v>
      </c>
      <c r="J186" s="33" t="n">
        <v>0.00190476519</v>
      </c>
    </row>
    <row r="187" ht="12.75" customFormat="1" customHeight="1" s="21">
      <c r="A187" s="34" t="inlineStr">
        <is>
          <t>Total</t>
        </is>
      </c>
      <c r="B187" s="35" t="n"/>
      <c r="C187" s="36">
        <f>SUM(C167:C186)</f>
        <v/>
      </c>
      <c r="D187" s="37">
        <f>_xlfn.ROUND(SUM(D167:D186), 1)</f>
        <v/>
      </c>
      <c r="E187" s="35" t="n"/>
      <c r="F187" s="36">
        <f>SUM(F167:F186)</f>
        <v/>
      </c>
      <c r="G187" s="37">
        <f>_xlfn.ROUND(SUM(G167:G186), 1)</f>
        <v/>
      </c>
      <c r="H187" s="35" t="n"/>
      <c r="I187" s="36">
        <f>SUM(I167:I186)</f>
        <v/>
      </c>
      <c r="J187" s="37">
        <f>_xlfn.ROUND(SUM(J167:J186), 1)</f>
        <v/>
      </c>
    </row>
    <row r="188" ht="12.75" customFormat="1" customHeight="1" s="21"/>
    <row r="189" ht="12.75" customHeight="1" s="8"/>
    <row r="190" ht="12.75" customHeight="1" s="8">
      <c r="A190" s="22" t="inlineStr">
        <is>
          <t>Tipo 1.3.3. Emissão de Certificados de Recebíveis do Agronegócio</t>
        </is>
      </c>
      <c r="J190" s="23" t="n"/>
    </row>
    <row r="191" ht="12.75" customHeight="1" s="8">
      <c r="A191" s="24" t="inlineStr">
        <is>
          <t>Coordenadores</t>
        </is>
      </c>
      <c r="B191" s="24" t="inlineStr">
        <is>
          <t>Acumulado 2026</t>
        </is>
      </c>
      <c r="C191" s="24" t="n"/>
      <c r="D191" s="24" t="n"/>
      <c r="E191" s="24" t="inlineStr">
        <is>
          <t>Últimos 3 meses</t>
        </is>
      </c>
      <c r="F191" s="24" t="n"/>
      <c r="G191" s="24" t="n"/>
      <c r="H191" s="24" t="inlineStr">
        <is>
          <t>Últimos 12 meses</t>
        </is>
      </c>
      <c r="I191" s="24" t="n"/>
      <c r="J191" s="25" t="n"/>
    </row>
    <row r="192" ht="12.75" customHeight="1" s="8">
      <c r="A192" s="24" t="n"/>
      <c r="B192" s="24" t="inlineStr">
        <is>
          <t>Ranking 2026</t>
        </is>
      </c>
      <c r="C192" s="24" t="inlineStr">
        <is>
          <t>Valor *</t>
        </is>
      </c>
      <c r="D192" s="24" t="inlineStr">
        <is>
          <t>Part.</t>
        </is>
      </c>
      <c r="E192" s="24" t="inlineStr">
        <is>
          <t>Ranking 3 meses</t>
        </is>
      </c>
      <c r="F192" s="24" t="inlineStr">
        <is>
          <t>Valor *</t>
        </is>
      </c>
      <c r="G192" s="24" t="inlineStr">
        <is>
          <t>Part.</t>
        </is>
      </c>
      <c r="H192" s="24" t="inlineStr">
        <is>
          <t>Ranking 12 meses</t>
        </is>
      </c>
      <c r="I192" s="24" t="inlineStr">
        <is>
          <t>Valor *</t>
        </is>
      </c>
      <c r="J192" s="25" t="inlineStr">
        <is>
          <t>Part.</t>
        </is>
      </c>
    </row>
    <row r="193" ht="12.75" customHeight="1" s="8">
      <c r="A193" s="26" t="inlineStr">
        <is>
          <t>BRADESCO BBI</t>
        </is>
      </c>
      <c r="B193" s="27" t="inlineStr">
        <is>
          <t>1º</t>
        </is>
      </c>
      <c r="C193" s="28" t="n">
        <v>1137961.99998</v>
      </c>
      <c r="D193" s="29" t="n">
        <v>0.22556926923</v>
      </c>
      <c r="E193" s="27" t="inlineStr">
        <is>
          <t>2º</t>
        </is>
      </c>
      <c r="F193" s="28" t="n">
        <v>452961.99998</v>
      </c>
      <c r="G193" s="29" t="n">
        <v>0.1927091953</v>
      </c>
      <c r="H193" s="27" t="inlineStr">
        <is>
          <t>4º</t>
        </is>
      </c>
      <c r="I193" s="28" t="n">
        <v>5338436.63895</v>
      </c>
      <c r="J193" s="29" t="n">
        <v>0.15010438935</v>
      </c>
    </row>
    <row r="194" ht="12.75" customHeight="1" s="8">
      <c r="A194" s="30" t="inlineStr">
        <is>
          <t>BB-BI</t>
        </is>
      </c>
      <c r="B194" s="31" t="inlineStr">
        <is>
          <t>2º</t>
        </is>
      </c>
      <c r="C194" s="32" t="n">
        <v>744652.99998</v>
      </c>
      <c r="D194" s="33" t="n">
        <v>0.14760671537</v>
      </c>
      <c r="E194" s="31" t="inlineStr">
        <is>
          <t>1º</t>
        </is>
      </c>
      <c r="F194" s="32" t="n">
        <v>744652.99998</v>
      </c>
      <c r="G194" s="33" t="n">
        <v>0.31680688537</v>
      </c>
      <c r="H194" s="31" t="inlineStr">
        <is>
          <t>6º</t>
        </is>
      </c>
      <c r="I194" s="32" t="n">
        <v>2775600.08325</v>
      </c>
      <c r="J194" s="33" t="n">
        <v>0.07804340178999999</v>
      </c>
    </row>
    <row r="195" ht="12.75" customHeight="1" s="8">
      <c r="A195" s="26" t="inlineStr">
        <is>
          <t>ITAU BBA</t>
        </is>
      </c>
      <c r="B195" s="27" t="inlineStr">
        <is>
          <t>3º</t>
        </is>
      </c>
      <c r="C195" s="28" t="n">
        <v>624686.99996</v>
      </c>
      <c r="D195" s="29" t="n">
        <v>0.12382679745</v>
      </c>
      <c r="E195" s="27" t="inlineStr">
        <is>
          <t>5º</t>
        </is>
      </c>
      <c r="F195" s="28" t="n">
        <v>162891.99996</v>
      </c>
      <c r="G195" s="29" t="n">
        <v>0.06930114719</v>
      </c>
      <c r="H195" s="27" t="inlineStr">
        <is>
          <t>2º</t>
        </is>
      </c>
      <c r="I195" s="28" t="n">
        <v>6156277.13697</v>
      </c>
      <c r="J195" s="29" t="n">
        <v>0.17310015699</v>
      </c>
    </row>
    <row r="196" ht="12.75" customHeight="1" s="8">
      <c r="A196" s="30" t="inlineStr">
        <is>
          <t>BTG PACTUAL</t>
        </is>
      </c>
      <c r="B196" s="31" t="inlineStr">
        <is>
          <t>4º</t>
        </is>
      </c>
      <c r="C196" s="32" t="n">
        <v>566565.99998</v>
      </c>
      <c r="D196" s="33" t="n">
        <v>0.11230592813</v>
      </c>
      <c r="E196" s="31" t="inlineStr">
        <is>
          <t>10º</t>
        </is>
      </c>
      <c r="F196" s="32" t="n">
        <v>21565.99999</v>
      </c>
      <c r="G196" s="33" t="n">
        <v>0.00917508865</v>
      </c>
      <c r="H196" s="31" t="inlineStr">
        <is>
          <t>3º</t>
        </is>
      </c>
      <c r="I196" s="32" t="n">
        <v>5827032.999929999</v>
      </c>
      <c r="J196" s="33" t="n">
        <v>0.16384257964</v>
      </c>
    </row>
    <row r="197" ht="12.75" customHeight="1" s="8">
      <c r="A197" s="26" t="inlineStr">
        <is>
          <t>XP INVESTIMENTOS</t>
        </is>
      </c>
      <c r="B197" s="27" t="inlineStr">
        <is>
          <t>5º</t>
        </is>
      </c>
      <c r="C197" s="28" t="n">
        <v>542352.99998</v>
      </c>
      <c r="D197" s="29" t="n">
        <v>0.10750637532</v>
      </c>
      <c r="E197" s="27" t="inlineStr">
        <is>
          <t>3º</t>
        </is>
      </c>
      <c r="F197" s="28" t="n">
        <v>362352.99999</v>
      </c>
      <c r="G197" s="29" t="n">
        <v>0.1541602939</v>
      </c>
      <c r="H197" s="27" t="inlineStr">
        <is>
          <t>1º</t>
        </is>
      </c>
      <c r="I197" s="28" t="n">
        <v>8121710.30704</v>
      </c>
      <c r="J197" s="29" t="n">
        <v>0.22836355445</v>
      </c>
    </row>
    <row r="198" ht="12.75" customHeight="1" s="8">
      <c r="A198" s="30" t="inlineStr">
        <is>
          <t>SANTANDER</t>
        </is>
      </c>
      <c r="B198" s="31" t="inlineStr">
        <is>
          <t>6º</t>
        </is>
      </c>
      <c r="C198" s="32" t="n">
        <v>503847.61999</v>
      </c>
      <c r="D198" s="33" t="n">
        <v>0.09987375628</v>
      </c>
      <c r="E198" s="31" t="inlineStr">
        <is>
          <t>4º</t>
        </is>
      </c>
      <c r="F198" s="32" t="n">
        <v>330000</v>
      </c>
      <c r="G198" s="33" t="n">
        <v>0.14039595916</v>
      </c>
      <c r="H198" s="31" t="inlineStr">
        <is>
          <t>7º</t>
        </is>
      </c>
      <c r="I198" s="32" t="n">
        <v>1676371.78658</v>
      </c>
      <c r="J198" s="33" t="n">
        <v>0.04713566543</v>
      </c>
    </row>
    <row r="199" ht="12.75" customHeight="1" s="8">
      <c r="A199" s="26" t="inlineStr">
        <is>
          <t>One Corporate</t>
        </is>
      </c>
      <c r="B199" s="27" t="inlineStr">
        <is>
          <t>7º</t>
        </is>
      </c>
      <c r="C199" s="28" t="n">
        <v>265000</v>
      </c>
      <c r="D199" s="29" t="n">
        <v>0.05252886858</v>
      </c>
      <c r="E199" s="27" t="inlineStr">
        <is>
          <t>6º</t>
        </is>
      </c>
      <c r="F199" s="28" t="n">
        <v>105000</v>
      </c>
      <c r="G199" s="29" t="n">
        <v>0.04467144155</v>
      </c>
      <c r="H199" s="27" t="inlineStr">
        <is>
          <t>10º</t>
        </is>
      </c>
      <c r="I199" s="28" t="n">
        <v>265000</v>
      </c>
      <c r="J199" s="29" t="n">
        <v>0.00745118203</v>
      </c>
    </row>
    <row r="200" ht="12.75" customHeight="1" s="8">
      <c r="A200" s="30" t="inlineStr">
        <is>
          <t>UBS BB</t>
        </is>
      </c>
      <c r="B200" s="31" t="inlineStr">
        <is>
          <t>8º</t>
        </is>
      </c>
      <c r="C200" s="32" t="n">
        <v>150000</v>
      </c>
      <c r="D200" s="33" t="n">
        <v>0.02973332184</v>
      </c>
      <c r="E200" s="31" t="n">
        <v/>
      </c>
      <c r="F200" s="32" t="n">
        <v>0</v>
      </c>
      <c r="G200" s="33" t="n">
        <v/>
      </c>
      <c r="H200" s="31" t="inlineStr">
        <is>
          <t>8º</t>
        </is>
      </c>
      <c r="I200" s="32" t="n">
        <v>916655</v>
      </c>
      <c r="J200" s="33" t="n">
        <v>0.02577420101</v>
      </c>
    </row>
    <row r="201" ht="12.75" customHeight="1" s="8">
      <c r="A201" s="26" t="inlineStr">
        <is>
          <t>SAFRA</t>
        </is>
      </c>
      <c r="B201" s="27" t="inlineStr">
        <is>
          <t>9º</t>
        </is>
      </c>
      <c r="C201" s="28" t="n">
        <v>147572.99998</v>
      </c>
      <c r="D201" s="29" t="n">
        <v>0.02925223669</v>
      </c>
      <c r="E201" s="27" t="inlineStr">
        <is>
          <t>12º</t>
        </is>
      </c>
      <c r="F201" s="28" t="n">
        <v>7572.99998</v>
      </c>
      <c r="G201" s="29" t="n">
        <v>0.00322187453</v>
      </c>
      <c r="H201" s="27" t="inlineStr">
        <is>
          <t>5º</t>
        </is>
      </c>
      <c r="I201" s="28" t="n">
        <v>3147719.16658</v>
      </c>
      <c r="J201" s="29" t="n">
        <v>0.08850652266</v>
      </c>
    </row>
    <row r="202" ht="12.75" customHeight="1" s="8">
      <c r="A202" s="30" t="inlineStr">
        <is>
          <t>BOCOM BBM</t>
        </is>
      </c>
      <c r="B202" s="31" t="inlineStr">
        <is>
          <t>10º</t>
        </is>
      </c>
      <c r="C202" s="32" t="n">
        <v>90000</v>
      </c>
      <c r="D202" s="33" t="n">
        <v>0.0178399931</v>
      </c>
      <c r="E202" s="31" t="inlineStr">
        <is>
          <t>7º</t>
        </is>
      </c>
      <c r="F202" s="32" t="n">
        <v>90000</v>
      </c>
      <c r="G202" s="33" t="n">
        <v>0.03828980704</v>
      </c>
      <c r="H202" s="31" t="inlineStr">
        <is>
          <t>16º</t>
        </is>
      </c>
      <c r="I202" s="32" t="n">
        <v>90000</v>
      </c>
      <c r="J202" s="33" t="n">
        <v>0.00253059012</v>
      </c>
    </row>
    <row r="203" ht="12.75" customHeight="1" s="8">
      <c r="A203" s="26" t="inlineStr">
        <is>
          <t>TERRA</t>
        </is>
      </c>
      <c r="B203" s="27" t="inlineStr">
        <is>
          <t>11º</t>
        </is>
      </c>
      <c r="C203" s="28" t="n">
        <v>88205</v>
      </c>
      <c r="D203" s="29" t="n">
        <v>0.01748418435</v>
      </c>
      <c r="E203" s="27" t="n">
        <v/>
      </c>
      <c r="F203" s="28" t="n">
        <v>0</v>
      </c>
      <c r="G203" s="29" t="n">
        <v/>
      </c>
      <c r="H203" s="27" t="inlineStr">
        <is>
          <t>17º</t>
        </is>
      </c>
      <c r="I203" s="28" t="n">
        <v>88205</v>
      </c>
      <c r="J203" s="29" t="n">
        <v>0.00248011891</v>
      </c>
    </row>
    <row r="204" ht="12.75" customHeight="1" s="8">
      <c r="A204" s="30" t="inlineStr">
        <is>
          <t>CEF</t>
        </is>
      </c>
      <c r="B204" s="31" t="inlineStr">
        <is>
          <t>12º</t>
        </is>
      </c>
      <c r="C204" s="32" t="n">
        <v>53847.62</v>
      </c>
      <c r="D204" s="33" t="n">
        <v>0.01067379077</v>
      </c>
      <c r="E204" s="31" t="n">
        <v/>
      </c>
      <c r="F204" s="32" t="n">
        <v>0</v>
      </c>
      <c r="G204" s="33" t="n">
        <v/>
      </c>
      <c r="H204" s="31" t="inlineStr">
        <is>
          <t>9º</t>
        </is>
      </c>
      <c r="I204" s="32" t="n">
        <v>314715.62</v>
      </c>
      <c r="J204" s="33" t="n">
        <v>0.008849069330000001</v>
      </c>
    </row>
    <row r="205" ht="12.75" customHeight="1" s="8">
      <c r="A205" s="26" t="inlineStr">
        <is>
          <t>CANAL COMPANHIA DE SECURITIZAÇÃO</t>
        </is>
      </c>
      <c r="B205" s="27" t="inlineStr">
        <is>
          <t>13º</t>
        </is>
      </c>
      <c r="C205" s="28" t="n">
        <v>48000</v>
      </c>
      <c r="D205" s="29" t="n">
        <v>0.009514662990000001</v>
      </c>
      <c r="E205" s="27" t="n">
        <v/>
      </c>
      <c r="F205" s="28" t="n">
        <v>0</v>
      </c>
      <c r="G205" s="29" t="n">
        <v/>
      </c>
      <c r="H205" s="27" t="inlineStr">
        <is>
          <t>19º</t>
        </is>
      </c>
      <c r="I205" s="28" t="n">
        <v>68000</v>
      </c>
      <c r="J205" s="29" t="n">
        <v>0.00191200143</v>
      </c>
    </row>
    <row r="206" ht="12.75" customHeight="1" s="8">
      <c r="A206" s="30" t="inlineStr">
        <is>
          <t>DAYCOVAL</t>
        </is>
      </c>
      <c r="B206" s="31" t="inlineStr">
        <is>
          <t>14º</t>
        </is>
      </c>
      <c r="C206" s="32" t="n">
        <v>40136.99998000001</v>
      </c>
      <c r="D206" s="33" t="n">
        <v>0.00795604225</v>
      </c>
      <c r="E206" s="31" t="inlineStr">
        <is>
          <t>8º</t>
        </is>
      </c>
      <c r="F206" s="32" t="n">
        <v>40136.99998000001</v>
      </c>
      <c r="G206" s="33" t="n">
        <v>0.01707597761</v>
      </c>
      <c r="H206" s="31" t="inlineStr">
        <is>
          <t>14º</t>
        </is>
      </c>
      <c r="I206" s="32" t="n">
        <v>107025.99993</v>
      </c>
      <c r="J206" s="33" t="n">
        <v>0.00300932154</v>
      </c>
    </row>
    <row r="207" ht="12.75" customHeight="1" s="8">
      <c r="A207" s="26" t="inlineStr">
        <is>
          <t>INTER</t>
        </is>
      </c>
      <c r="B207" s="27" t="inlineStr">
        <is>
          <t>15º</t>
        </is>
      </c>
      <c r="C207" s="28" t="n">
        <v>24999.99999</v>
      </c>
      <c r="D207" s="29" t="n">
        <v>0.00495555364</v>
      </c>
      <c r="E207" s="27" t="inlineStr">
        <is>
          <t>9º</t>
        </is>
      </c>
      <c r="F207" s="28" t="n">
        <v>24999.99999</v>
      </c>
      <c r="G207" s="29" t="n">
        <v>0.01063605751</v>
      </c>
      <c r="H207" s="27" t="inlineStr">
        <is>
          <t>11º</t>
        </is>
      </c>
      <c r="I207" s="28" t="n">
        <v>162499.99996</v>
      </c>
      <c r="J207" s="29" t="n">
        <v>0.00456912106</v>
      </c>
    </row>
    <row r="208" ht="12.75" customFormat="1" customHeight="1" s="21">
      <c r="A208" s="30" t="inlineStr">
        <is>
          <t>M7 IB</t>
        </is>
      </c>
      <c r="B208" s="31" t="inlineStr">
        <is>
          <t>16º</t>
        </is>
      </c>
      <c r="C208" s="32" t="n">
        <v>8654.76</v>
      </c>
      <c r="D208" s="33" t="n">
        <v>0.0017155651</v>
      </c>
      <c r="E208" s="31" t="n">
        <v/>
      </c>
      <c r="F208" s="32" t="n">
        <v>0</v>
      </c>
      <c r="G208" s="33" t="n">
        <v/>
      </c>
      <c r="H208" s="31" t="inlineStr">
        <is>
          <t>22º</t>
        </is>
      </c>
      <c r="I208" s="32" t="n">
        <v>8654.76</v>
      </c>
      <c r="J208" s="33" t="n">
        <v>0.00024335167</v>
      </c>
    </row>
    <row r="209" ht="12.75" customHeight="1" s="8">
      <c r="A209" s="26" t="inlineStr">
        <is>
          <t>GENIAL CV</t>
        </is>
      </c>
      <c r="B209" s="27" t="inlineStr">
        <is>
          <t>17º</t>
        </is>
      </c>
      <c r="C209" s="28" t="n">
        <v>8358.999979999999</v>
      </c>
      <c r="D209" s="29" t="n">
        <v>0.00165693891</v>
      </c>
      <c r="E209" s="27" t="inlineStr">
        <is>
          <t>11º</t>
        </is>
      </c>
      <c r="F209" s="28" t="n">
        <v>8358.999979999999</v>
      </c>
      <c r="G209" s="29" t="n">
        <v>0.00355627218</v>
      </c>
      <c r="H209" s="27" t="inlineStr">
        <is>
          <t>21º</t>
        </is>
      </c>
      <c r="I209" s="28" t="n">
        <v>19144.99997</v>
      </c>
      <c r="J209" s="29" t="n">
        <v>0.00053831275</v>
      </c>
    </row>
    <row r="210" ht="12.75" customHeight="1" s="8">
      <c r="A210" s="30" t="inlineStr">
        <is>
          <t>OPEA SECURITIZADORA</t>
        </is>
      </c>
      <c r="B210" s="31" t="n">
        <v/>
      </c>
      <c r="C210" s="32" t="n">
        <v>0</v>
      </c>
      <c r="D210" s="33" t="n">
        <v/>
      </c>
      <c r="E210" s="31" t="n">
        <v/>
      </c>
      <c r="F210" s="32" t="n">
        <v>0</v>
      </c>
      <c r="G210" s="33" t="n">
        <v/>
      </c>
      <c r="H210" s="31" t="inlineStr">
        <is>
          <t>12º</t>
        </is>
      </c>
      <c r="I210" s="32" t="n">
        <v>157138</v>
      </c>
      <c r="J210" s="33" t="n">
        <v>0.00441835412</v>
      </c>
    </row>
    <row r="211" ht="12.75" customHeight="1" s="8">
      <c r="A211" s="26" t="inlineStr">
        <is>
          <t>ABC BRASIL</t>
        </is>
      </c>
      <c r="B211" s="27" t="n">
        <v/>
      </c>
      <c r="C211" s="28" t="n">
        <v>0</v>
      </c>
      <c r="D211" s="29" t="n">
        <v/>
      </c>
      <c r="E211" s="27" t="n">
        <v/>
      </c>
      <c r="F211" s="28" t="n">
        <v>0</v>
      </c>
      <c r="G211" s="29" t="n">
        <v/>
      </c>
      <c r="H211" s="27" t="inlineStr">
        <is>
          <t>13º</t>
        </is>
      </c>
      <c r="I211" s="28" t="n">
        <v>109639.5</v>
      </c>
      <c r="J211" s="29" t="n">
        <v>0.00308280707</v>
      </c>
    </row>
    <row r="212" ht="12.75" customHeight="1" s="8">
      <c r="A212" s="30" t="inlineStr">
        <is>
          <t>GALAPAGOS CAPITAL INVESTIMENTOS E PARTICIPAÇÕES LTDA.</t>
        </is>
      </c>
      <c r="B212" s="31" t="n">
        <v/>
      </c>
      <c r="C212" s="32" t="n">
        <v>0</v>
      </c>
      <c r="D212" s="33" t="n">
        <v/>
      </c>
      <c r="E212" s="31" t="n">
        <v/>
      </c>
      <c r="F212" s="32" t="n">
        <v>0</v>
      </c>
      <c r="G212" s="33" t="n">
        <v/>
      </c>
      <c r="H212" s="31" t="inlineStr">
        <is>
          <t>15º</t>
        </is>
      </c>
      <c r="I212" s="32" t="n">
        <v>100000</v>
      </c>
      <c r="J212" s="33" t="n">
        <v>0.00281176681</v>
      </c>
    </row>
    <row r="213" ht="12.75" customHeight="1" s="8">
      <c r="A213" s="26" t="inlineStr">
        <is>
          <t>BR PARTNERS</t>
        </is>
      </c>
      <c r="B213" s="27" t="n">
        <v/>
      </c>
      <c r="C213" s="28" t="n">
        <v>0</v>
      </c>
      <c r="D213" s="29" t="n">
        <v/>
      </c>
      <c r="E213" s="27" t="n">
        <v/>
      </c>
      <c r="F213" s="28" t="n">
        <v>0</v>
      </c>
      <c r="G213" s="29" t="n">
        <v/>
      </c>
      <c r="H213" s="27" t="inlineStr">
        <is>
          <t>18º</t>
        </is>
      </c>
      <c r="I213" s="28" t="n">
        <v>75000</v>
      </c>
      <c r="J213" s="29" t="n">
        <v>0.0021088251</v>
      </c>
    </row>
    <row r="214" ht="12.75" customHeight="1" s="8">
      <c r="A214" s="30" t="inlineStr">
        <is>
          <t xml:space="preserve"> EXES SERVIÇOS FINANCEIROS</t>
        </is>
      </c>
      <c r="B214" s="31" t="n">
        <v/>
      </c>
      <c r="C214" s="32" t="n">
        <v>0</v>
      </c>
      <c r="D214" s="33" t="n">
        <v/>
      </c>
      <c r="E214" s="31" t="n">
        <v/>
      </c>
      <c r="F214" s="32" t="n">
        <v>0</v>
      </c>
      <c r="G214" s="33" t="n">
        <v/>
      </c>
      <c r="H214" s="31" t="inlineStr">
        <is>
          <t>20º</t>
        </is>
      </c>
      <c r="I214" s="32" t="n">
        <v>40000</v>
      </c>
      <c r="J214" s="33" t="n">
        <v>0.00112470672</v>
      </c>
    </row>
    <row r="215" ht="12.75" customHeight="1" s="8">
      <c r="A215" s="34" t="inlineStr">
        <is>
          <t>Total</t>
        </is>
      </c>
      <c r="B215" s="35" t="n"/>
      <c r="C215" s="36">
        <f>SUM(C193:C214)</f>
        <v/>
      </c>
      <c r="D215" s="37">
        <f>_xlfn.ROUND(SUM(D193:D214), 1)</f>
        <v/>
      </c>
      <c r="E215" s="35" t="n"/>
      <c r="F215" s="36">
        <f>SUM(F193:F214)</f>
        <v/>
      </c>
      <c r="G215" s="37">
        <f>_xlfn.ROUND(SUM(G193:G214), 1)</f>
        <v/>
      </c>
      <c r="H215" s="35" t="n"/>
      <c r="I215" s="36">
        <f>SUM(I193:I214)</f>
        <v/>
      </c>
      <c r="J215" s="37">
        <f>_xlfn.ROUND(SUM(J193:J214), 1)</f>
        <v/>
      </c>
    </row>
    <row r="216" ht="12.75" customHeight="1" s="8"/>
    <row r="217" ht="12.75" customHeight="1" s="8"/>
    <row r="218" ht="12.75" customHeight="1" s="8">
      <c r="A218" s="22" t="inlineStr">
        <is>
          <t>Tipo 1.3.4. Emissão de Certificados de Recebíveis</t>
        </is>
      </c>
      <c r="J218" s="23" t="n"/>
    </row>
    <row r="219" ht="12.75" customHeight="1" s="8">
      <c r="A219" s="24" t="inlineStr">
        <is>
          <t>Coordenadores</t>
        </is>
      </c>
      <c r="B219" s="24" t="inlineStr">
        <is>
          <t>Acumulado 2026</t>
        </is>
      </c>
      <c r="C219" s="24" t="n"/>
      <c r="D219" s="24" t="n"/>
      <c r="E219" s="24" t="inlineStr">
        <is>
          <t>Últimos 3 meses</t>
        </is>
      </c>
      <c r="F219" s="24" t="n"/>
      <c r="G219" s="24" t="n"/>
      <c r="H219" s="24" t="inlineStr">
        <is>
          <t>Últimos 12 meses</t>
        </is>
      </c>
      <c r="I219" s="24" t="n"/>
      <c r="J219" s="25" t="n"/>
    </row>
    <row r="220" ht="12.75" customHeight="1" s="8">
      <c r="A220" s="24" t="n"/>
      <c r="B220" s="24" t="inlineStr">
        <is>
          <t>Ranking 2026</t>
        </is>
      </c>
      <c r="C220" s="24" t="inlineStr">
        <is>
          <t>Valor *</t>
        </is>
      </c>
      <c r="D220" s="24" t="inlineStr">
        <is>
          <t>Part.</t>
        </is>
      </c>
      <c r="E220" s="24" t="inlineStr">
        <is>
          <t>Ranking 3 meses</t>
        </is>
      </c>
      <c r="F220" s="24" t="inlineStr">
        <is>
          <t>Valor *</t>
        </is>
      </c>
      <c r="G220" s="24" t="inlineStr">
        <is>
          <t>Part.</t>
        </is>
      </c>
      <c r="H220" s="24" t="inlineStr">
        <is>
          <t>Ranking 12 meses</t>
        </is>
      </c>
      <c r="I220" s="24" t="inlineStr">
        <is>
          <t>Valor *</t>
        </is>
      </c>
      <c r="J220" s="25" t="inlineStr">
        <is>
          <t>Part.</t>
        </is>
      </c>
    </row>
    <row r="221" ht="12.75" customHeight="1" s="8">
      <c r="A221" s="26" t="inlineStr">
        <is>
          <t>BRADESCO BBI</t>
        </is>
      </c>
      <c r="B221" s="27" t="inlineStr">
        <is>
          <t>1º</t>
        </is>
      </c>
      <c r="C221" s="28" t="n">
        <v>185000</v>
      </c>
      <c r="D221" s="29" t="n">
        <v>1</v>
      </c>
      <c r="E221" s="27" t="inlineStr">
        <is>
          <t>1º</t>
        </is>
      </c>
      <c r="F221" s="28" t="n">
        <v>185000</v>
      </c>
      <c r="G221" s="29" t="n">
        <v>1</v>
      </c>
      <c r="H221" s="27" t="inlineStr">
        <is>
          <t>2º</t>
        </is>
      </c>
      <c r="I221" s="28" t="n">
        <v>185000</v>
      </c>
      <c r="J221" s="29" t="n">
        <v>0.11566321411</v>
      </c>
    </row>
    <row r="222" ht="12.75" customHeight="1" s="8">
      <c r="A222" s="30" t="inlineStr">
        <is>
          <t>ITAU BBA</t>
        </is>
      </c>
      <c r="B222" s="31" t="n">
        <v/>
      </c>
      <c r="C222" s="32" t="n">
        <v>0</v>
      </c>
      <c r="D222" s="33" t="n">
        <v/>
      </c>
      <c r="E222" s="31" t="n">
        <v/>
      </c>
      <c r="F222" s="32" t="n">
        <v>0</v>
      </c>
      <c r="G222" s="33" t="n">
        <v/>
      </c>
      <c r="H222" s="31" t="inlineStr">
        <is>
          <t>1º</t>
        </is>
      </c>
      <c r="I222" s="32" t="n">
        <v>1250000</v>
      </c>
      <c r="J222" s="33" t="n">
        <v>0.7815082034700001</v>
      </c>
    </row>
    <row r="223" ht="12.75" customHeight="1" s="8">
      <c r="A223" s="26" t="inlineStr">
        <is>
          <t>ABC BRASIL</t>
        </is>
      </c>
      <c r="B223" s="27" t="n">
        <v/>
      </c>
      <c r="C223" s="28" t="n">
        <v>0</v>
      </c>
      <c r="D223" s="29" t="n">
        <v/>
      </c>
      <c r="E223" s="27" t="n">
        <v/>
      </c>
      <c r="F223" s="28" t="n">
        <v>0</v>
      </c>
      <c r="G223" s="29" t="n">
        <v/>
      </c>
      <c r="H223" s="27" t="inlineStr">
        <is>
          <t>3º</t>
        </is>
      </c>
      <c r="I223" s="28" t="n">
        <v>88510</v>
      </c>
      <c r="J223" s="29" t="n">
        <v>0.05533703287</v>
      </c>
    </row>
    <row r="224" ht="12.75" customHeight="1" s="8">
      <c r="A224" s="30" t="inlineStr">
        <is>
          <t>M7 IB</t>
        </is>
      </c>
      <c r="B224" s="31" t="n">
        <v/>
      </c>
      <c r="C224" s="32" t="n">
        <v>0</v>
      </c>
      <c r="D224" s="33" t="n">
        <v/>
      </c>
      <c r="E224" s="31" t="n">
        <v/>
      </c>
      <c r="F224" s="32" t="n">
        <v>0</v>
      </c>
      <c r="G224" s="33" t="n">
        <v/>
      </c>
      <c r="H224" s="31" t="inlineStr">
        <is>
          <t>4º</t>
        </is>
      </c>
      <c r="I224" s="32" t="n">
        <v>56961.374</v>
      </c>
      <c r="J224" s="33" t="n">
        <v>0.03561262485</v>
      </c>
    </row>
    <row r="225" ht="12.75" customHeight="1" s="8">
      <c r="A225" s="26" t="inlineStr">
        <is>
          <t>ARCHX CAPITAL</t>
        </is>
      </c>
      <c r="B225" s="27" t="n">
        <v/>
      </c>
      <c r="C225" s="28" t="n">
        <v>0</v>
      </c>
      <c r="D225" s="29" t="n">
        <v/>
      </c>
      <c r="E225" s="27" t="n">
        <v/>
      </c>
      <c r="F225" s="28" t="n">
        <v>0</v>
      </c>
      <c r="G225" s="29" t="n">
        <v/>
      </c>
      <c r="H225" s="27" t="inlineStr">
        <is>
          <t>5º</t>
        </is>
      </c>
      <c r="I225" s="28" t="n">
        <v>19000</v>
      </c>
      <c r="J225" s="29" t="n">
        <v>0.01187892469</v>
      </c>
    </row>
    <row r="226" ht="12.75" customHeight="1" s="8">
      <c r="A226" s="34" t="inlineStr">
        <is>
          <t>Total</t>
        </is>
      </c>
      <c r="B226" s="35" t="n"/>
      <c r="C226" s="36">
        <f>SUM(C221:C225)</f>
        <v/>
      </c>
      <c r="D226" s="37">
        <f>_xlfn.ROUND(SUM(D221:D225), 1)</f>
        <v/>
      </c>
      <c r="E226" s="35" t="n"/>
      <c r="F226" s="36">
        <f>SUM(F221:F225)</f>
        <v/>
      </c>
      <c r="G226" s="37">
        <f>_xlfn.ROUND(SUM(G221:G225), 1)</f>
        <v/>
      </c>
      <c r="H226" s="35" t="n"/>
      <c r="I226" s="36">
        <f>SUM(I221:I225)</f>
        <v/>
      </c>
      <c r="J226" s="37">
        <f>_xlfn.ROUND(SUM(J221:J225), 1)</f>
        <v/>
      </c>
    </row>
    <row r="227" ht="12.75" customHeight="1" s="8"/>
    <row r="228" ht="12.75" customHeight="1" s="8"/>
    <row r="229" ht="12.75" customHeight="1" s="8">
      <c r="A229" s="22" t="inlineStr">
        <is>
          <t>Tipo 2: Operações Híbridas</t>
        </is>
      </c>
      <c r="J229" s="23" t="n"/>
    </row>
    <row r="230" ht="12.75" customHeight="1" s="8">
      <c r="A230" s="24" t="inlineStr">
        <is>
          <t>Coordenadores</t>
        </is>
      </c>
      <c r="B230" s="24" t="inlineStr">
        <is>
          <t>Acumulado 2026</t>
        </is>
      </c>
      <c r="C230" s="24" t="n"/>
      <c r="D230" s="24" t="n"/>
      <c r="E230" s="24" t="inlineStr">
        <is>
          <t>Últimos 3 meses</t>
        </is>
      </c>
      <c r="F230" s="24" t="n"/>
      <c r="G230" s="24" t="n"/>
      <c r="H230" s="24" t="inlineStr">
        <is>
          <t>Últimos 12 meses</t>
        </is>
      </c>
      <c r="I230" s="24" t="n"/>
      <c r="J230" s="25" t="n"/>
    </row>
    <row r="231" ht="12.75" customHeight="1" s="8">
      <c r="A231" s="24" t="n"/>
      <c r="B231" s="24" t="inlineStr">
        <is>
          <t>Ranking 2026</t>
        </is>
      </c>
      <c r="C231" s="24" t="inlineStr">
        <is>
          <t>Valor *</t>
        </is>
      </c>
      <c r="D231" s="24" t="inlineStr">
        <is>
          <t>Part.</t>
        </is>
      </c>
      <c r="E231" s="24" t="inlineStr">
        <is>
          <t>Ranking 3 meses</t>
        </is>
      </c>
      <c r="F231" s="24" t="inlineStr">
        <is>
          <t>Valor *</t>
        </is>
      </c>
      <c r="G231" s="24" t="inlineStr">
        <is>
          <t>Part.</t>
        </is>
      </c>
      <c r="H231" s="24" t="inlineStr">
        <is>
          <t>Ranking 12 meses</t>
        </is>
      </c>
      <c r="I231" s="24" t="inlineStr">
        <is>
          <t>Valor *</t>
        </is>
      </c>
      <c r="J231" s="25" t="inlineStr">
        <is>
          <t>Part.</t>
        </is>
      </c>
    </row>
    <row r="232" ht="12.75" customHeight="1" s="8">
      <c r="A232" s="26" t="inlineStr">
        <is>
          <t>ITAU BBA</t>
        </is>
      </c>
      <c r="B232" s="27" t="inlineStr">
        <is>
          <t>1º</t>
        </is>
      </c>
      <c r="C232" s="28" t="n">
        <v>4998439</v>
      </c>
      <c r="D232" s="29" t="n">
        <v>0.43341504441</v>
      </c>
      <c r="E232" s="27" t="inlineStr">
        <is>
          <t>1º</t>
        </is>
      </c>
      <c r="F232" s="28" t="n">
        <v>4000000</v>
      </c>
      <c r="G232" s="29" t="n">
        <v>0.53509339458</v>
      </c>
      <c r="H232" s="27" t="inlineStr">
        <is>
          <t>1º</t>
        </is>
      </c>
      <c r="I232" s="28" t="n">
        <v>10297605.82245</v>
      </c>
      <c r="J232" s="29" t="n">
        <v>0.39863083782</v>
      </c>
    </row>
    <row r="233" ht="12.75" customHeight="1" s="8">
      <c r="A233" s="30" t="inlineStr">
        <is>
          <t>XP INVESTIMENTOS</t>
        </is>
      </c>
      <c r="B233" s="31" t="inlineStr">
        <is>
          <t>2º</t>
        </is>
      </c>
      <c r="C233" s="32" t="n">
        <v>4208586.52596</v>
      </c>
      <c r="D233" s="33" t="n">
        <v>0.36492687338</v>
      </c>
      <c r="E233" s="31" t="inlineStr">
        <is>
          <t>2º</t>
        </is>
      </c>
      <c r="F233" s="32" t="n">
        <v>2091240.41538</v>
      </c>
      <c r="G233" s="33" t="n">
        <v>0.27975223319</v>
      </c>
      <c r="H233" s="31" t="inlineStr">
        <is>
          <t>2º</t>
        </is>
      </c>
      <c r="I233" s="32" t="n">
        <v>6806945.02596</v>
      </c>
      <c r="J233" s="33" t="n">
        <v>0.26350379355</v>
      </c>
    </row>
    <row r="234" ht="12.75" customHeight="1" s="8">
      <c r="A234" s="26" t="inlineStr">
        <is>
          <t>BR PARTNERS</t>
        </is>
      </c>
      <c r="B234" s="27" t="inlineStr">
        <is>
          <t>3º</t>
        </is>
      </c>
      <c r="C234" s="28" t="n">
        <v>1429769.82188</v>
      </c>
      <c r="D234" s="29" t="n">
        <v>0.12397545531</v>
      </c>
      <c r="E234" s="27" t="inlineStr">
        <is>
          <t>3º</t>
        </is>
      </c>
      <c r="F234" s="28" t="n">
        <v>836677.33536</v>
      </c>
      <c r="G234" s="29" t="n">
        <v>0.11192512889</v>
      </c>
      <c r="H234" s="27" t="inlineStr">
        <is>
          <t>3º</t>
        </is>
      </c>
      <c r="I234" s="28" t="n">
        <v>3132604.59159</v>
      </c>
      <c r="J234" s="29" t="n">
        <v>0.12126632291</v>
      </c>
    </row>
    <row r="235" ht="12.75" customHeight="1" s="8">
      <c r="A235" s="30" t="inlineStr">
        <is>
          <t>BTG PACTUAL</t>
        </is>
      </c>
      <c r="B235" s="31" t="inlineStr">
        <is>
          <t>4º</t>
        </is>
      </c>
      <c r="C235" s="32" t="n">
        <v>246922.9</v>
      </c>
      <c r="D235" s="33" t="n">
        <v>0.02141070436</v>
      </c>
      <c r="E235" s="31" t="n">
        <v/>
      </c>
      <c r="F235" s="32" t="n">
        <v>0</v>
      </c>
      <c r="G235" s="33" t="n">
        <v/>
      </c>
      <c r="H235" s="31" t="inlineStr">
        <is>
          <t>7º</t>
        </is>
      </c>
      <c r="I235" s="32" t="n">
        <v>290013.66666</v>
      </c>
      <c r="J235" s="33" t="n">
        <v>0.01122672521</v>
      </c>
    </row>
    <row r="236" ht="12.75" customHeight="1" s="8">
      <c r="A236" s="26" t="inlineStr">
        <is>
          <t>BRADESCO BBI</t>
        </is>
      </c>
      <c r="B236" s="27" t="inlineStr">
        <is>
          <t>5º</t>
        </is>
      </c>
      <c r="C236" s="28" t="n">
        <v>242762.8</v>
      </c>
      <c r="D236" s="29" t="n">
        <v>0.02104998175</v>
      </c>
      <c r="E236" s="27" t="inlineStr">
        <is>
          <t>4º</t>
        </is>
      </c>
      <c r="F236" s="28" t="n">
        <v>242762.8</v>
      </c>
      <c r="G236" s="29" t="n">
        <v>0.03247519268</v>
      </c>
      <c r="H236" s="27" t="inlineStr">
        <is>
          <t>4º</t>
        </is>
      </c>
      <c r="I236" s="28" t="n">
        <v>3132266.00179</v>
      </c>
      <c r="J236" s="29" t="n">
        <v>0.12125321576</v>
      </c>
    </row>
    <row r="237" ht="12.75" customHeight="1" s="8">
      <c r="A237" s="30" t="inlineStr">
        <is>
          <t>VOTORANTIM</t>
        </is>
      </c>
      <c r="B237" s="31" t="inlineStr">
        <is>
          <t>6º</t>
        </is>
      </c>
      <c r="C237" s="32" t="n">
        <v>169900</v>
      </c>
      <c r="D237" s="33" t="n">
        <v>0.01473204255</v>
      </c>
      <c r="E237" s="31" t="inlineStr">
        <is>
          <t>5º</t>
        </is>
      </c>
      <c r="F237" s="32" t="n">
        <v>169900</v>
      </c>
      <c r="G237" s="33" t="n">
        <v>0.02272809193</v>
      </c>
      <c r="H237" s="31" t="inlineStr">
        <is>
          <t>6º</t>
        </is>
      </c>
      <c r="I237" s="32" t="n">
        <v>394048.464</v>
      </c>
      <c r="J237" s="33" t="n">
        <v>0.01525401846</v>
      </c>
    </row>
    <row r="238" ht="12.75" customHeight="1" s="8">
      <c r="A238" s="26" t="inlineStr">
        <is>
          <t>M7 IB</t>
        </is>
      </c>
      <c r="B238" s="27" t="inlineStr">
        <is>
          <t>7º</t>
        </is>
      </c>
      <c r="C238" s="28" t="n">
        <v>105000</v>
      </c>
      <c r="D238" s="29" t="n">
        <v>0.009104558380000001</v>
      </c>
      <c r="E238" s="27" t="inlineStr">
        <is>
          <t>6º</t>
        </is>
      </c>
      <c r="F238" s="28" t="n">
        <v>105000</v>
      </c>
      <c r="G238" s="29" t="n">
        <v>0.01404620161</v>
      </c>
      <c r="H238" s="27" t="inlineStr">
        <is>
          <t>10º</t>
        </is>
      </c>
      <c r="I238" s="28" t="n">
        <v>105000</v>
      </c>
      <c r="J238" s="29" t="n">
        <v>0.00406465723</v>
      </c>
    </row>
    <row r="239" ht="12.75" customHeight="1" s="8">
      <c r="A239" s="30" t="inlineStr">
        <is>
          <t>ABC BRASIL</t>
        </is>
      </c>
      <c r="B239" s="31" t="inlineStr">
        <is>
          <t>8º</t>
        </is>
      </c>
      <c r="C239" s="32" t="n">
        <v>75000</v>
      </c>
      <c r="D239" s="33" t="n">
        <v>0.00650325598</v>
      </c>
      <c r="E239" s="31" t="n">
        <v/>
      </c>
      <c r="F239" s="32" t="n">
        <v>0</v>
      </c>
      <c r="G239" s="33" t="n">
        <v/>
      </c>
      <c r="H239" s="31" t="inlineStr">
        <is>
          <t>11º</t>
        </is>
      </c>
      <c r="I239" s="32" t="n">
        <v>75000</v>
      </c>
      <c r="J239" s="33" t="n">
        <v>0.00290332659</v>
      </c>
    </row>
    <row r="240" ht="12.75" customHeight="1" s="8">
      <c r="A240" s="26" t="inlineStr">
        <is>
          <t>FATOR</t>
        </is>
      </c>
      <c r="B240" s="27" t="inlineStr">
        <is>
          <t>9º</t>
        </is>
      </c>
      <c r="C240" s="28" t="n">
        <v>38232</v>
      </c>
      <c r="D240" s="29" t="n">
        <v>0.00331509977</v>
      </c>
      <c r="E240" s="27" t="inlineStr">
        <is>
          <t>7º</t>
        </is>
      </c>
      <c r="F240" s="28" t="n">
        <v>19750</v>
      </c>
      <c r="G240" s="29" t="n">
        <v>0.00264202364</v>
      </c>
      <c r="H240" s="27" t="inlineStr">
        <is>
          <t>14º</t>
        </is>
      </c>
      <c r="I240" s="28" t="n">
        <v>38232</v>
      </c>
      <c r="J240" s="29" t="n">
        <v>0.00147999976</v>
      </c>
    </row>
    <row r="241" ht="12.75" customHeight="1" s="8">
      <c r="A241" s="30" t="inlineStr">
        <is>
          <t>MAX CAPITAL MARKETS</t>
        </is>
      </c>
      <c r="B241" s="31" t="inlineStr">
        <is>
          <t>10º</t>
        </is>
      </c>
      <c r="C241" s="32" t="n">
        <v>10000</v>
      </c>
      <c r="D241" s="33" t="n">
        <v>0.0008671008</v>
      </c>
      <c r="E241" s="31" t="inlineStr">
        <is>
          <t>8º</t>
        </is>
      </c>
      <c r="F241" s="32" t="n">
        <v>10000</v>
      </c>
      <c r="G241" s="33" t="n">
        <v>0.00133773349</v>
      </c>
      <c r="H241" s="31" t="inlineStr">
        <is>
          <t>9º</t>
        </is>
      </c>
      <c r="I241" s="32" t="n">
        <v>134919.754</v>
      </c>
      <c r="J241" s="33" t="n">
        <v>0.00522288146</v>
      </c>
    </row>
    <row r="242" ht="12.75" customHeight="1" s="8">
      <c r="A242" s="26" t="inlineStr">
        <is>
          <t>RIO BRAVO</t>
        </is>
      </c>
      <c r="B242" s="27" t="inlineStr">
        <is>
          <t>11º</t>
        </is>
      </c>
      <c r="C242" s="28" t="n">
        <v>8071.533469999999</v>
      </c>
      <c r="D242" s="29" t="n">
        <v>0.0006998833099999999</v>
      </c>
      <c r="E242" s="27" t="n">
        <v/>
      </c>
      <c r="F242" s="28" t="n">
        <v>0</v>
      </c>
      <c r="G242" s="29" t="n">
        <v/>
      </c>
      <c r="H242" s="27" t="inlineStr">
        <is>
          <t>16º</t>
        </is>
      </c>
      <c r="I242" s="28" t="n">
        <v>8071.533469999999</v>
      </c>
      <c r="J242" s="29" t="n">
        <v>0.0003124573</v>
      </c>
    </row>
    <row r="243" ht="12.75" customHeight="1" s="8">
      <c r="A243" s="30" t="inlineStr">
        <is>
          <t>UBS BB</t>
        </is>
      </c>
      <c r="B243" s="31" t="n">
        <v/>
      </c>
      <c r="C243" s="32" t="n">
        <v>0</v>
      </c>
      <c r="D243" s="33" t="n">
        <v/>
      </c>
      <c r="E243" s="31" t="n">
        <v/>
      </c>
      <c r="F243" s="32" t="n">
        <v>0</v>
      </c>
      <c r="G243" s="33" t="n">
        <v/>
      </c>
      <c r="H243" s="31" t="inlineStr">
        <is>
          <t>5º</t>
        </is>
      </c>
      <c r="I243" s="32" t="n">
        <v>1020205.58202</v>
      </c>
      <c r="J243" s="33" t="n">
        <v>0.03949319997</v>
      </c>
    </row>
    <row r="244" ht="12.75" customHeight="1" s="8">
      <c r="A244" s="26" t="inlineStr">
        <is>
          <t>BB-BI</t>
        </is>
      </c>
      <c r="B244" s="27" t="n">
        <v/>
      </c>
      <c r="C244" s="28" t="n">
        <v>0</v>
      </c>
      <c r="D244" s="29" t="n">
        <v/>
      </c>
      <c r="E244" s="27" t="n">
        <v/>
      </c>
      <c r="F244" s="28" t="n">
        <v>0</v>
      </c>
      <c r="G244" s="29" t="n">
        <v/>
      </c>
      <c r="H244" s="27" t="inlineStr">
        <is>
          <t>8º</t>
        </is>
      </c>
      <c r="I244" s="28" t="n">
        <v>242397.03931</v>
      </c>
      <c r="J244" s="29" t="n">
        <v>0.00938343694</v>
      </c>
    </row>
    <row r="245" ht="12.75" customHeight="1" s="8">
      <c r="A245" s="30" t="inlineStr">
        <is>
          <t>SAFRA</t>
        </is>
      </c>
      <c r="B245" s="31" t="n">
        <v/>
      </c>
      <c r="C245" s="32" t="n">
        <v>0</v>
      </c>
      <c r="D245" s="33" t="n">
        <v/>
      </c>
      <c r="E245" s="31" t="n">
        <v/>
      </c>
      <c r="F245" s="32" t="n">
        <v>0</v>
      </c>
      <c r="G245" s="33" t="n">
        <v/>
      </c>
      <c r="H245" s="31" t="inlineStr">
        <is>
          <t>11º</t>
        </is>
      </c>
      <c r="I245" s="32" t="n">
        <v>75000</v>
      </c>
      <c r="J245" s="33" t="n">
        <v>0.00290332659</v>
      </c>
    </row>
    <row r="246" ht="12.75" customHeight="1" s="8">
      <c r="A246" s="26" t="inlineStr">
        <is>
          <t>ORIZ ASSESSORIA FINANCEIRA LTDA</t>
        </is>
      </c>
      <c r="B246" s="27" t="n">
        <v/>
      </c>
      <c r="C246" s="28" t="n">
        <v>0</v>
      </c>
      <c r="D246" s="29" t="n">
        <v/>
      </c>
      <c r="E246" s="27" t="n">
        <v/>
      </c>
      <c r="F246" s="28" t="n">
        <v>0</v>
      </c>
      <c r="G246" s="29" t="n">
        <v/>
      </c>
      <c r="H246" s="27" t="inlineStr">
        <is>
          <t>13º</t>
        </is>
      </c>
      <c r="I246" s="28" t="n">
        <v>43090.76665999999</v>
      </c>
      <c r="J246" s="29" t="n">
        <v>0.00166808758</v>
      </c>
    </row>
    <row r="247" ht="12.75" customHeight="1" s="8">
      <c r="A247" s="30" t="inlineStr">
        <is>
          <t>KEA CAPITAL MARKETS</t>
        </is>
      </c>
      <c r="B247" s="31" t="n">
        <v/>
      </c>
      <c r="C247" s="32" t="n">
        <v>0</v>
      </c>
      <c r="D247" s="33" t="n">
        <v/>
      </c>
      <c r="E247" s="31" t="n">
        <v/>
      </c>
      <c r="F247" s="32" t="n">
        <v>0</v>
      </c>
      <c r="G247" s="33" t="n">
        <v/>
      </c>
      <c r="H247" s="31" t="inlineStr">
        <is>
          <t>15º</t>
        </is>
      </c>
      <c r="I247" s="32" t="n">
        <v>37036.296</v>
      </c>
      <c r="J247" s="33" t="n">
        <v>0.00143371284</v>
      </c>
    </row>
    <row r="248" ht="12.75" customHeight="1" s="8">
      <c r="A248" s="34" t="inlineStr">
        <is>
          <t>Total</t>
        </is>
      </c>
      <c r="B248" s="35" t="n"/>
      <c r="C248" s="36">
        <f>SUM(C232:C247)</f>
        <v/>
      </c>
      <c r="D248" s="37">
        <f>_xlfn.ROUND(SUM(D232:D247), 1)</f>
        <v/>
      </c>
      <c r="E248" s="35" t="n"/>
      <c r="F248" s="36">
        <f>SUM(F232:F247)</f>
        <v/>
      </c>
      <c r="G248" s="37">
        <f>_xlfn.ROUND(SUM(G232:G247), 1)</f>
        <v/>
      </c>
      <c r="H248" s="35" t="n"/>
      <c r="I248" s="36">
        <f>SUM(I232:I247)</f>
        <v/>
      </c>
      <c r="J248" s="37">
        <f>_xlfn.ROUND(SUM(J232:J247), 1)</f>
        <v/>
      </c>
    </row>
    <row r="249" ht="12.75" customHeight="1" s="8"/>
    <row r="250" ht="12.75" customHeight="1" s="8"/>
    <row r="251" ht="12.75" customHeight="1" s="8">
      <c r="A251" s="22" t="inlineStr">
        <is>
          <t>Tipo 2.1. Títulos Conversíveis Permutáveis</t>
        </is>
      </c>
      <c r="J251" s="23" t="n"/>
    </row>
    <row r="252" ht="12.75" customHeight="1" s="8">
      <c r="A252" s="24" t="inlineStr">
        <is>
          <t>Coordenadores</t>
        </is>
      </c>
      <c r="B252" s="24" t="inlineStr">
        <is>
          <t>Acumulado 2026</t>
        </is>
      </c>
      <c r="C252" s="24" t="n"/>
      <c r="D252" s="24" t="n"/>
      <c r="E252" s="24" t="inlineStr">
        <is>
          <t>Últimos 3 meses</t>
        </is>
      </c>
      <c r="F252" s="24" t="n"/>
      <c r="G252" s="24" t="n"/>
      <c r="H252" s="24" t="inlineStr">
        <is>
          <t>Últimos 12 meses</t>
        </is>
      </c>
      <c r="I252" s="24" t="n"/>
      <c r="J252" s="25" t="n"/>
    </row>
    <row r="253" ht="12.75" customHeight="1" s="8">
      <c r="A253" s="24" t="n"/>
      <c r="B253" s="24" t="inlineStr">
        <is>
          <t>Ranking 2026</t>
        </is>
      </c>
      <c r="C253" s="24" t="inlineStr">
        <is>
          <t>Valor *</t>
        </is>
      </c>
      <c r="D253" s="24" t="inlineStr">
        <is>
          <t>Part.</t>
        </is>
      </c>
      <c r="E253" s="24" t="inlineStr">
        <is>
          <t>Ranking 3 meses</t>
        </is>
      </c>
      <c r="F253" s="24" t="inlineStr">
        <is>
          <t>Valor *</t>
        </is>
      </c>
      <c r="G253" s="24" t="inlineStr">
        <is>
          <t>Part.</t>
        </is>
      </c>
      <c r="H253" s="24" t="inlineStr">
        <is>
          <t>Ranking 12 meses</t>
        </is>
      </c>
      <c r="I253" s="24" t="inlineStr">
        <is>
          <t>Valor *</t>
        </is>
      </c>
      <c r="J253" s="25" t="inlineStr">
        <is>
          <t>Part.</t>
        </is>
      </c>
    </row>
    <row r="254" ht="12.75" customHeight="1" s="8">
      <c r="A254" s="26" t="inlineStr">
        <is>
          <t>UBS BB</t>
        </is>
      </c>
      <c r="B254" s="27" t="n">
        <v/>
      </c>
      <c r="C254" s="28" t="n">
        <v>0</v>
      </c>
      <c r="D254" s="29" t="n">
        <v/>
      </c>
      <c r="E254" s="27" t="n">
        <v/>
      </c>
      <c r="F254" s="28" t="n">
        <v>0</v>
      </c>
      <c r="G254" s="29" t="n">
        <v/>
      </c>
      <c r="H254" s="27" t="inlineStr">
        <is>
          <t>1º</t>
        </is>
      </c>
      <c r="I254" s="28" t="n">
        <v>1020205.58202</v>
      </c>
      <c r="J254" s="29" t="n">
        <v>0.5</v>
      </c>
    </row>
    <row r="255" ht="12.75" customHeight="1" s="8">
      <c r="A255" s="30" t="inlineStr">
        <is>
          <t>BRADESCO BBI</t>
        </is>
      </c>
      <c r="B255" s="31" t="n">
        <v/>
      </c>
      <c r="C255" s="32" t="n">
        <v>0</v>
      </c>
      <c r="D255" s="33" t="n">
        <v/>
      </c>
      <c r="E255" s="31" t="n">
        <v/>
      </c>
      <c r="F255" s="32" t="n">
        <v>0</v>
      </c>
      <c r="G255" s="33" t="n">
        <v/>
      </c>
      <c r="H255" s="31" t="inlineStr">
        <is>
          <t>1º</t>
        </is>
      </c>
      <c r="I255" s="32" t="n">
        <v>1020205.58202</v>
      </c>
      <c r="J255" s="33" t="n">
        <v>0.5</v>
      </c>
    </row>
    <row r="256" ht="12.75" customHeight="1" s="8">
      <c r="A256" s="34" t="inlineStr">
        <is>
          <t>Total</t>
        </is>
      </c>
      <c r="B256" s="35" t="n"/>
      <c r="C256" s="36">
        <f>SUM(C254:C255)</f>
        <v/>
      </c>
      <c r="D256" s="37">
        <f>_xlfn.ROUND(SUM(D254:D255), 1)</f>
        <v/>
      </c>
      <c r="E256" s="35" t="n"/>
      <c r="F256" s="36">
        <f>SUM(F254:F255)</f>
        <v/>
      </c>
      <c r="G256" s="37">
        <f>_xlfn.ROUND(SUM(G254:G255), 1)</f>
        <v/>
      </c>
      <c r="H256" s="35" t="n"/>
      <c r="I256" s="36">
        <f>SUM(I254:I255)</f>
        <v/>
      </c>
      <c r="J256" s="37">
        <f>_xlfn.ROUND(SUM(J254:J255), 1)</f>
        <v/>
      </c>
    </row>
    <row r="257" ht="12.75" customHeight="1" s="8"/>
    <row r="258" ht="12.75" customHeight="1" s="8"/>
    <row r="259" ht="12.75" customFormat="1" customHeight="1" s="21">
      <c r="A259" s="22" t="inlineStr">
        <is>
          <t>Tipo 2.2. Fundo de Investimento Imobiliário</t>
        </is>
      </c>
      <c r="J259" s="23" t="n"/>
    </row>
    <row r="260" ht="12.75" customFormat="1" customHeight="1" s="21">
      <c r="A260" s="24" t="inlineStr">
        <is>
          <t>Coordenadores</t>
        </is>
      </c>
      <c r="B260" s="24" t="inlineStr">
        <is>
          <t>Acumulado 2026</t>
        </is>
      </c>
      <c r="C260" s="24" t="n"/>
      <c r="D260" s="24" t="n"/>
      <c r="E260" s="24" t="inlineStr">
        <is>
          <t>Últimos 3 meses</t>
        </is>
      </c>
      <c r="F260" s="24" t="n"/>
      <c r="G260" s="24" t="n"/>
      <c r="H260" s="24" t="inlineStr">
        <is>
          <t>Últimos 12 meses</t>
        </is>
      </c>
      <c r="I260" s="24" t="n"/>
      <c r="J260" s="25" t="n"/>
    </row>
    <row r="261" ht="12.75" customHeight="1" s="8">
      <c r="A261" s="24" t="n"/>
      <c r="B261" s="24" t="inlineStr">
        <is>
          <t>Ranking 2026</t>
        </is>
      </c>
      <c r="C261" s="24" t="inlineStr">
        <is>
          <t>Valor *</t>
        </is>
      </c>
      <c r="D261" s="24" t="inlineStr">
        <is>
          <t>Part.</t>
        </is>
      </c>
      <c r="E261" s="24" t="inlineStr">
        <is>
          <t>Ranking 3 meses</t>
        </is>
      </c>
      <c r="F261" s="24" t="inlineStr">
        <is>
          <t>Valor *</t>
        </is>
      </c>
      <c r="G261" s="24" t="inlineStr">
        <is>
          <t>Part.</t>
        </is>
      </c>
      <c r="H261" s="24" t="inlineStr">
        <is>
          <t>Ranking 12 meses</t>
        </is>
      </c>
      <c r="I261" s="24" t="inlineStr">
        <is>
          <t>Valor *</t>
        </is>
      </c>
      <c r="J261" s="25" t="inlineStr">
        <is>
          <t>Part.</t>
        </is>
      </c>
    </row>
    <row r="262" ht="12.75" customHeight="1" s="8">
      <c r="A262" s="26" t="inlineStr">
        <is>
          <t>XP INVESTIMENTOS</t>
        </is>
      </c>
      <c r="B262" s="27" t="inlineStr">
        <is>
          <t>1º</t>
        </is>
      </c>
      <c r="C262" s="28" t="n">
        <v>2385708.29261</v>
      </c>
      <c r="D262" s="29" t="n">
        <v>0.49702903808</v>
      </c>
      <c r="E262" s="27" t="inlineStr">
        <is>
          <t>1º</t>
        </is>
      </c>
      <c r="F262" s="28" t="n">
        <v>1419632.6649</v>
      </c>
      <c r="G262" s="29" t="n">
        <v>0.54307311746</v>
      </c>
      <c r="H262" s="27" t="inlineStr">
        <is>
          <t>1º</t>
        </is>
      </c>
      <c r="I262" s="28" t="n">
        <v>4082479.29261</v>
      </c>
      <c r="J262" s="29" t="n">
        <v>0.29908772248</v>
      </c>
    </row>
    <row r="263" ht="12.75" customFormat="1" customHeight="1" s="21">
      <c r="A263" s="30" t="inlineStr">
        <is>
          <t>BR PARTNERS</t>
        </is>
      </c>
      <c r="B263" s="31" t="inlineStr">
        <is>
          <t>2º</t>
        </is>
      </c>
      <c r="C263" s="32" t="n">
        <v>1429769.82188</v>
      </c>
      <c r="D263" s="33" t="n">
        <v>0.29787259467</v>
      </c>
      <c r="E263" s="31" t="inlineStr">
        <is>
          <t>2º</t>
        </is>
      </c>
      <c r="F263" s="32" t="n">
        <v>836677.33536</v>
      </c>
      <c r="G263" s="33" t="n">
        <v>0.32006657782</v>
      </c>
      <c r="H263" s="31" t="inlineStr">
        <is>
          <t>3º</t>
        </is>
      </c>
      <c r="I263" s="32" t="n">
        <v>3132604.59159</v>
      </c>
      <c r="J263" s="33" t="n">
        <v>0.22949867117</v>
      </c>
    </row>
    <row r="264" ht="12.75" customHeight="1" s="8">
      <c r="A264" s="26" t="inlineStr">
        <is>
          <t>ITAU BBA</t>
        </is>
      </c>
      <c r="B264" s="27" t="inlineStr">
        <is>
          <t>3º</t>
        </is>
      </c>
      <c r="C264" s="28" t="n">
        <v>543625</v>
      </c>
      <c r="D264" s="29" t="n">
        <v>0.11325668426</v>
      </c>
      <c r="E264" s="27" t="n">
        <v/>
      </c>
      <c r="F264" s="28" t="n">
        <v>0</v>
      </c>
      <c r="G264" s="29" t="n">
        <v/>
      </c>
      <c r="H264" s="27" t="inlineStr">
        <is>
          <t>2º</t>
        </is>
      </c>
      <c r="I264" s="28" t="n">
        <v>3876418.82245</v>
      </c>
      <c r="J264" s="29" t="n">
        <v>0.28399146545</v>
      </c>
    </row>
    <row r="265" ht="12.75" customHeight="1" s="8">
      <c r="A265" s="30" t="inlineStr">
        <is>
          <t>BRADESCO BBI</t>
        </is>
      </c>
      <c r="B265" s="31" t="inlineStr">
        <is>
          <t>4º</t>
        </is>
      </c>
      <c r="C265" s="32" t="n">
        <v>242762.8</v>
      </c>
      <c r="D265" s="33" t="n">
        <v>0.05057624243</v>
      </c>
      <c r="E265" s="31" t="inlineStr">
        <is>
          <t>3º</t>
        </is>
      </c>
      <c r="F265" s="32" t="n">
        <v>242762.8</v>
      </c>
      <c r="G265" s="33" t="n">
        <v>0.09286765080999999</v>
      </c>
      <c r="H265" s="31" t="inlineStr">
        <is>
          <t>4º</t>
        </is>
      </c>
      <c r="I265" s="32" t="n">
        <v>2112060.41977</v>
      </c>
      <c r="J265" s="33" t="n">
        <v>0.15473228286</v>
      </c>
    </row>
    <row r="266" ht="12.75" customHeight="1" s="8">
      <c r="A266" s="26" t="inlineStr">
        <is>
          <t>M7 IB</t>
        </is>
      </c>
      <c r="B266" s="27" t="inlineStr">
        <is>
          <t>5º</t>
        </is>
      </c>
      <c r="C266" s="28" t="n">
        <v>105000</v>
      </c>
      <c r="D266" s="29" t="n">
        <v>0.02187528507</v>
      </c>
      <c r="E266" s="27" t="inlineStr">
        <is>
          <t>4º</t>
        </is>
      </c>
      <c r="F266" s="28" t="n">
        <v>105000</v>
      </c>
      <c r="G266" s="29" t="n">
        <v>0.04016720574</v>
      </c>
      <c r="H266" s="27" t="inlineStr">
        <is>
          <t>6º</t>
        </is>
      </c>
      <c r="I266" s="28" t="n">
        <v>105000</v>
      </c>
      <c r="J266" s="29" t="n">
        <v>0.00769243604</v>
      </c>
    </row>
    <row r="267" ht="12.75" customHeight="1" s="8">
      <c r="A267" s="30" t="inlineStr">
        <is>
          <t>ABC BRASIL</t>
        </is>
      </c>
      <c r="B267" s="31" t="inlineStr">
        <is>
          <t>6º</t>
        </is>
      </c>
      <c r="C267" s="32" t="n">
        <v>75000</v>
      </c>
      <c r="D267" s="33" t="n">
        <v>0.01562520362</v>
      </c>
      <c r="E267" s="31" t="n">
        <v/>
      </c>
      <c r="F267" s="32" t="n">
        <v>0</v>
      </c>
      <c r="G267" s="33" t="n">
        <v/>
      </c>
      <c r="H267" s="31" t="inlineStr">
        <is>
          <t>7º</t>
        </is>
      </c>
      <c r="I267" s="32" t="n">
        <v>75000</v>
      </c>
      <c r="J267" s="33" t="n">
        <v>0.00549459717</v>
      </c>
    </row>
    <row r="268" ht="12.75" customHeight="1" s="8">
      <c r="A268" s="26" t="inlineStr">
        <is>
          <t>MAX CAPITAL MARKETS</t>
        </is>
      </c>
      <c r="B268" s="27" t="inlineStr">
        <is>
          <t>7º</t>
        </is>
      </c>
      <c r="C268" s="28" t="n">
        <v>10000</v>
      </c>
      <c r="D268" s="29" t="n">
        <v>0.00208336048</v>
      </c>
      <c r="E268" s="27" t="inlineStr">
        <is>
          <t>5º</t>
        </is>
      </c>
      <c r="F268" s="28" t="n">
        <v>10000</v>
      </c>
      <c r="G268" s="29" t="n">
        <v>0.00382544817</v>
      </c>
      <c r="H268" s="27" t="inlineStr">
        <is>
          <t>5º</t>
        </is>
      </c>
      <c r="I268" s="28" t="n">
        <v>134919.754</v>
      </c>
      <c r="J268" s="29" t="n">
        <v>0.009884395989999999</v>
      </c>
    </row>
    <row r="269" ht="12.75" customHeight="1" s="8">
      <c r="A269" s="30" t="inlineStr">
        <is>
          <t>RIO BRAVO</t>
        </is>
      </c>
      <c r="B269" s="31" t="inlineStr">
        <is>
          <t>8º</t>
        </is>
      </c>
      <c r="C269" s="32" t="n">
        <v>8071.533469999999</v>
      </c>
      <c r="D269" s="33" t="n">
        <v>0.00168159139</v>
      </c>
      <c r="E269" s="31" t="n">
        <v/>
      </c>
      <c r="F269" s="32" t="n">
        <v>0</v>
      </c>
      <c r="G269" s="33" t="n">
        <v/>
      </c>
      <c r="H269" s="31" t="inlineStr">
        <is>
          <t>11º</t>
        </is>
      </c>
      <c r="I269" s="32" t="n">
        <v>8071.533469999999</v>
      </c>
      <c r="J269" s="33" t="n">
        <v>0.000591331</v>
      </c>
    </row>
    <row r="270" ht="12.75" customHeight="1" s="8">
      <c r="A270" s="26" t="inlineStr">
        <is>
          <t>BTG PACTUAL</t>
        </is>
      </c>
      <c r="B270" s="27" t="n">
        <v/>
      </c>
      <c r="C270" s="28" t="n">
        <v>0</v>
      </c>
      <c r="D270" s="29" t="n">
        <v/>
      </c>
      <c r="E270" s="27" t="n">
        <v/>
      </c>
      <c r="F270" s="28" t="n">
        <v>0</v>
      </c>
      <c r="G270" s="29" t="n">
        <v/>
      </c>
      <c r="H270" s="27" t="inlineStr">
        <is>
          <t>8º</t>
        </is>
      </c>
      <c r="I270" s="28" t="n">
        <v>43090.76665999999</v>
      </c>
      <c r="J270" s="29" t="n">
        <v>0.0031568854</v>
      </c>
    </row>
    <row r="271" ht="12.75" customHeight="1" s="8">
      <c r="A271" s="30" t="inlineStr">
        <is>
          <t>ORIZ ASSESSORIA FINANCEIRA LTDA</t>
        </is>
      </c>
      <c r="B271" s="31" t="n">
        <v/>
      </c>
      <c r="C271" s="32" t="n">
        <v>0</v>
      </c>
      <c r="D271" s="33" t="n">
        <v/>
      </c>
      <c r="E271" s="31" t="n">
        <v/>
      </c>
      <c r="F271" s="32" t="n">
        <v>0</v>
      </c>
      <c r="G271" s="33" t="n">
        <v/>
      </c>
      <c r="H271" s="31" t="inlineStr">
        <is>
          <t>8º</t>
        </is>
      </c>
      <c r="I271" s="32" t="n">
        <v>43090.76665999999</v>
      </c>
      <c r="J271" s="33" t="n">
        <v>0.0031568854</v>
      </c>
    </row>
    <row r="272" ht="12.75" customHeight="1" s="8">
      <c r="A272" s="26" t="inlineStr">
        <is>
          <t>KEA CAPITAL MARKETS</t>
        </is>
      </c>
      <c r="B272" s="27" t="n">
        <v/>
      </c>
      <c r="C272" s="28" t="n">
        <v>0</v>
      </c>
      <c r="D272" s="29" t="n">
        <v/>
      </c>
      <c r="E272" s="27" t="n">
        <v/>
      </c>
      <c r="F272" s="28" t="n">
        <v>0</v>
      </c>
      <c r="G272" s="29" t="n">
        <v/>
      </c>
      <c r="H272" s="27" t="inlineStr">
        <is>
          <t>10º</t>
        </is>
      </c>
      <c r="I272" s="28" t="n">
        <v>37036.296</v>
      </c>
      <c r="J272" s="29" t="n">
        <v>0.00271332703</v>
      </c>
    </row>
    <row r="273" ht="12.75" customHeight="1" s="8">
      <c r="A273" s="34" t="inlineStr">
        <is>
          <t>Total</t>
        </is>
      </c>
      <c r="B273" s="35" t="n"/>
      <c r="C273" s="36">
        <f>SUM(C262:C272)</f>
        <v/>
      </c>
      <c r="D273" s="37">
        <f>_xlfn.ROUND(SUM(D262:D272), 1)</f>
        <v/>
      </c>
      <c r="E273" s="35" t="n"/>
      <c r="F273" s="36">
        <f>SUM(F262:F272)</f>
        <v/>
      </c>
      <c r="G273" s="37">
        <f>_xlfn.ROUND(SUM(G262:G272), 1)</f>
        <v/>
      </c>
      <c r="H273" s="35" t="n"/>
      <c r="I273" s="36">
        <f>SUM(I262:I272)</f>
        <v/>
      </c>
      <c r="J273" s="37">
        <f>_xlfn.ROUND(SUM(J262:J272), 1)</f>
        <v/>
      </c>
    </row>
    <row r="274" ht="12.75" customHeight="1" s="8"/>
    <row r="275" ht="12.75" customHeight="1" s="8"/>
    <row r="276" ht="12.75" customHeight="1" s="8">
      <c r="A276" s="22" t="inlineStr">
        <is>
          <t>Tipo 2.3. Certificado de Potencial Adicional de Construção</t>
        </is>
      </c>
      <c r="J276" s="23" t="n"/>
    </row>
    <row r="277" ht="12.75" customHeight="1" s="8">
      <c r="A277" s="24" t="inlineStr">
        <is>
          <t>Coordenadores</t>
        </is>
      </c>
      <c r="B277" s="24" t="inlineStr">
        <is>
          <t>Acumulado 2026</t>
        </is>
      </c>
      <c r="C277" s="24" t="n"/>
      <c r="D277" s="24" t="n"/>
      <c r="E277" s="24" t="inlineStr">
        <is>
          <t>Últimos 3 meses</t>
        </is>
      </c>
      <c r="F277" s="24" t="n"/>
      <c r="G277" s="24" t="n"/>
      <c r="H277" s="24" t="inlineStr">
        <is>
          <t>Últimos 12 meses</t>
        </is>
      </c>
      <c r="I277" s="24" t="n"/>
      <c r="J277" s="25" t="n"/>
    </row>
    <row r="278" ht="12.75" customHeight="1" s="8">
      <c r="A278" s="24" t="n"/>
      <c r="B278" s="24" t="inlineStr">
        <is>
          <t>Ranking 2026</t>
        </is>
      </c>
      <c r="C278" s="24" t="inlineStr">
        <is>
          <t>Valor *</t>
        </is>
      </c>
      <c r="D278" s="24" t="inlineStr">
        <is>
          <t>Part.</t>
        </is>
      </c>
      <c r="E278" s="24" t="inlineStr">
        <is>
          <t>Ranking 3 meses</t>
        </is>
      </c>
      <c r="F278" s="24" t="inlineStr">
        <is>
          <t>Valor *</t>
        </is>
      </c>
      <c r="G278" s="24" t="inlineStr">
        <is>
          <t>Part.</t>
        </is>
      </c>
      <c r="H278" s="24" t="inlineStr">
        <is>
          <t>Ranking 12 meses</t>
        </is>
      </c>
      <c r="I278" s="24" t="inlineStr">
        <is>
          <t>Valor *</t>
        </is>
      </c>
      <c r="J278" s="25" t="inlineStr">
        <is>
          <t>Part.</t>
        </is>
      </c>
    </row>
    <row r="279" ht="12.75" customHeight="1" s="8">
      <c r="A279" s="26" t="inlineStr">
        <is>
          <t>BB-BI</t>
        </is>
      </c>
      <c r="B279" s="27" t="n">
        <v/>
      </c>
      <c r="C279" s="28" t="n">
        <v>0</v>
      </c>
      <c r="D279" s="29" t="n">
        <v/>
      </c>
      <c r="E279" s="27" t="n">
        <v/>
      </c>
      <c r="F279" s="28" t="n">
        <v>0</v>
      </c>
      <c r="G279" s="29" t="n">
        <v/>
      </c>
      <c r="H279" s="27" t="inlineStr">
        <is>
          <t>1º</t>
        </is>
      </c>
      <c r="I279" s="28" t="n">
        <v>242397.03931</v>
      </c>
      <c r="J279" s="29" t="n">
        <v>1</v>
      </c>
    </row>
    <row r="280" ht="12.75" customHeight="1" s="8">
      <c r="A280" s="34" t="inlineStr">
        <is>
          <t>Total</t>
        </is>
      </c>
      <c r="B280" s="35" t="n"/>
      <c r="C280" s="36">
        <f>SUM(C279:C279)</f>
        <v/>
      </c>
      <c r="D280" s="37">
        <f>_xlfn.ROUND(SUM(D279:D279), 1)</f>
        <v/>
      </c>
      <c r="E280" s="35" t="n"/>
      <c r="F280" s="36">
        <f>SUM(F279:F279)</f>
        <v/>
      </c>
      <c r="G280" s="37">
        <f>_xlfn.ROUND(SUM(G279:G279), 1)</f>
        <v/>
      </c>
      <c r="H280" s="35" t="n"/>
      <c r="I280" s="36">
        <f>SUM(I279:I279)</f>
        <v/>
      </c>
      <c r="J280" s="37">
        <f>_xlfn.ROUND(SUM(J279:J279), 1)</f>
        <v/>
      </c>
    </row>
    <row r="281" ht="12.75" customHeight="1" s="8"/>
    <row r="282" ht="12.75" customHeight="1" s="8"/>
    <row r="283" ht="12.75" customHeight="1" s="8">
      <c r="A283" s="22" t="inlineStr">
        <is>
          <t>Tipo 2.4. Fundo de Investimento em Participações de Infraestrutura</t>
        </is>
      </c>
      <c r="J283" s="23" t="n"/>
    </row>
    <row r="284" ht="12.75" customHeight="1" s="8">
      <c r="A284" s="24" t="inlineStr">
        <is>
          <t>Coordenadores</t>
        </is>
      </c>
      <c r="B284" s="24" t="inlineStr">
        <is>
          <t>Acumulado 2026</t>
        </is>
      </c>
      <c r="C284" s="24" t="n"/>
      <c r="D284" s="24" t="n"/>
      <c r="E284" s="24" t="inlineStr">
        <is>
          <t>Últimos 3 meses</t>
        </is>
      </c>
      <c r="F284" s="24" t="n"/>
      <c r="G284" s="24" t="n"/>
      <c r="H284" s="24" t="inlineStr">
        <is>
          <t>Últimos 12 meses</t>
        </is>
      </c>
      <c r="I284" s="24" t="n"/>
      <c r="J284" s="25" t="n"/>
    </row>
    <row r="285" ht="12.75" customHeight="1" s="8">
      <c r="A285" s="24" t="n"/>
      <c r="B285" s="24" t="inlineStr">
        <is>
          <t>Ranking 2026</t>
        </is>
      </c>
      <c r="C285" s="24" t="inlineStr">
        <is>
          <t>Valor *</t>
        </is>
      </c>
      <c r="D285" s="24" t="inlineStr">
        <is>
          <t>Part.</t>
        </is>
      </c>
      <c r="E285" s="24" t="inlineStr">
        <is>
          <t>Ranking 3 meses</t>
        </is>
      </c>
      <c r="F285" s="24" t="inlineStr">
        <is>
          <t>Valor *</t>
        </is>
      </c>
      <c r="G285" s="24" t="inlineStr">
        <is>
          <t>Part.</t>
        </is>
      </c>
      <c r="H285" s="24" t="inlineStr">
        <is>
          <t>Ranking 12 meses</t>
        </is>
      </c>
      <c r="I285" s="24" t="inlineStr">
        <is>
          <t>Valor *</t>
        </is>
      </c>
      <c r="J285" s="25" t="inlineStr">
        <is>
          <t>Part.</t>
        </is>
      </c>
    </row>
    <row r="286" ht="12.75" customHeight="1" s="8">
      <c r="A286" s="26" t="inlineStr">
        <is>
          <t>ITAU BBA</t>
        </is>
      </c>
      <c r="B286" s="27" t="inlineStr">
        <is>
          <t>1º</t>
        </is>
      </c>
      <c r="C286" s="28" t="n">
        <v>4000000</v>
      </c>
      <c r="D286" s="29" t="n">
        <v>0.74214587845</v>
      </c>
      <c r="E286" s="27" t="inlineStr">
        <is>
          <t>1º</t>
        </is>
      </c>
      <c r="F286" s="28" t="n">
        <v>4000000</v>
      </c>
      <c r="G286" s="29" t="n">
        <v>0.95669717128</v>
      </c>
      <c r="H286" s="27" t="inlineStr">
        <is>
          <t>1º</t>
        </is>
      </c>
      <c r="I286" s="28" t="n">
        <v>4198000</v>
      </c>
      <c r="J286" s="29" t="n">
        <v>0.64690474474</v>
      </c>
    </row>
    <row r="287" ht="12.75" customHeight="1" s="8">
      <c r="A287" s="30" t="inlineStr">
        <is>
          <t>XP INVESTIMENTOS</t>
        </is>
      </c>
      <c r="B287" s="31" t="inlineStr">
        <is>
          <t>2º</t>
        </is>
      </c>
      <c r="C287" s="32" t="n">
        <v>1142853.04048</v>
      </c>
      <c r="D287" s="33" t="n">
        <v>0.21204091842</v>
      </c>
      <c r="E287" s="31" t="inlineStr">
        <is>
          <t>2º</t>
        </is>
      </c>
      <c r="F287" s="32" t="n">
        <v>181051.35048</v>
      </c>
      <c r="G287" s="33" t="n">
        <v>0.04330282872</v>
      </c>
      <c r="H287" s="31" t="inlineStr">
        <is>
          <t>2º</t>
        </is>
      </c>
      <c r="I287" s="32" t="n">
        <v>2044440.54048</v>
      </c>
      <c r="J287" s="33" t="n">
        <v>0.31504485135</v>
      </c>
    </row>
    <row r="288" ht="12.75" customHeight="1" s="8">
      <c r="A288" s="26" t="inlineStr">
        <is>
          <t>BTG PACTUAL</t>
        </is>
      </c>
      <c r="B288" s="27" t="inlineStr">
        <is>
          <t>3º</t>
        </is>
      </c>
      <c r="C288" s="28" t="n">
        <v>246922.9</v>
      </c>
      <c r="D288" s="29" t="n">
        <v>0.04581320313</v>
      </c>
      <c r="E288" s="27" t="n">
        <v/>
      </c>
      <c r="F288" s="28" t="n">
        <v>0</v>
      </c>
      <c r="G288" s="29" t="n">
        <v/>
      </c>
      <c r="H288" s="27" t="inlineStr">
        <is>
          <t>3º</t>
        </is>
      </c>
      <c r="I288" s="28" t="n">
        <v>246922.9</v>
      </c>
      <c r="J288" s="29" t="n">
        <v>0.03805040391</v>
      </c>
    </row>
    <row r="289" ht="12.75" customHeight="1" s="8">
      <c r="A289" s="34" t="inlineStr">
        <is>
          <t>Total</t>
        </is>
      </c>
      <c r="B289" s="35" t="n"/>
      <c r="C289" s="36">
        <f>SUM(C286:C288)</f>
        <v/>
      </c>
      <c r="D289" s="37">
        <f>_xlfn.ROUND(SUM(D286:D288), 1)</f>
        <v/>
      </c>
      <c r="E289" s="35" t="n"/>
      <c r="F289" s="36">
        <f>SUM(F286:F288)</f>
        <v/>
      </c>
      <c r="G289" s="37">
        <f>_xlfn.ROUND(SUM(G286:G288), 1)</f>
        <v/>
      </c>
      <c r="H289" s="35" t="n"/>
      <c r="I289" s="36">
        <f>SUM(I286:I288)</f>
        <v/>
      </c>
      <c r="J289" s="37">
        <f>_xlfn.ROUND(SUM(J286:J288), 1)</f>
        <v/>
      </c>
    </row>
    <row r="290" ht="12.75" customHeight="1" s="8"/>
    <row r="291" ht="12.75" customHeight="1" s="8"/>
    <row r="292" ht="12.75" customHeight="1" s="8">
      <c r="A292" s="22" t="inlineStr">
        <is>
          <t>Tipo 2.5. Fundo de Investimento nas Cadeias Produtivas Agroindustriais</t>
        </is>
      </c>
      <c r="J292" s="23" t="n"/>
    </row>
    <row r="293" ht="12.75" customHeight="1" s="8">
      <c r="A293" s="24" t="inlineStr">
        <is>
          <t>Coordenadores</t>
        </is>
      </c>
      <c r="B293" s="24" t="inlineStr">
        <is>
          <t>Acumulado 2026</t>
        </is>
      </c>
      <c r="C293" s="24" t="n"/>
      <c r="D293" s="24" t="n"/>
      <c r="E293" s="24" t="inlineStr">
        <is>
          <t>Últimos 3 meses</t>
        </is>
      </c>
      <c r="F293" s="24" t="n"/>
      <c r="G293" s="24" t="n"/>
      <c r="H293" s="24" t="inlineStr">
        <is>
          <t>Últimos 12 meses</t>
        </is>
      </c>
      <c r="I293" s="24" t="n"/>
      <c r="J293" s="25" t="n"/>
    </row>
    <row r="294" ht="12.75" customHeight="1" s="8">
      <c r="A294" s="24" t="n"/>
      <c r="B294" s="24" t="inlineStr">
        <is>
          <t>Ranking 2026</t>
        </is>
      </c>
      <c r="C294" s="24" t="inlineStr">
        <is>
          <t>Valor *</t>
        </is>
      </c>
      <c r="D294" s="24" t="inlineStr">
        <is>
          <t>Part.</t>
        </is>
      </c>
      <c r="E294" s="24" t="inlineStr">
        <is>
          <t>Ranking 3 meses</t>
        </is>
      </c>
      <c r="F294" s="24" t="inlineStr">
        <is>
          <t>Valor *</t>
        </is>
      </c>
      <c r="G294" s="24" t="inlineStr">
        <is>
          <t>Part.</t>
        </is>
      </c>
      <c r="H294" s="24" t="inlineStr">
        <is>
          <t>Ranking 12 meses</t>
        </is>
      </c>
      <c r="I294" s="24" t="inlineStr">
        <is>
          <t>Valor *</t>
        </is>
      </c>
      <c r="J294" s="25" t="inlineStr">
        <is>
          <t>Part.</t>
        </is>
      </c>
    </row>
    <row r="295" ht="12.75" customHeight="1" s="8">
      <c r="A295" s="26" t="inlineStr">
        <is>
          <t>XP INVESTIMENTOS</t>
        </is>
      </c>
      <c r="B295" s="27" t="inlineStr">
        <is>
          <t>1º</t>
        </is>
      </c>
      <c r="C295" s="28" t="n">
        <v>680025.19287</v>
      </c>
      <c r="D295" s="29" t="n">
        <v>0.50635873389</v>
      </c>
      <c r="E295" s="27" t="inlineStr">
        <is>
          <t>1º</t>
        </is>
      </c>
      <c r="F295" s="28" t="n">
        <v>490556.4</v>
      </c>
      <c r="G295" s="29" t="n">
        <v>0.72118756895</v>
      </c>
      <c r="H295" s="27" t="inlineStr">
        <is>
          <t>2º</t>
        </is>
      </c>
      <c r="I295" s="28" t="n">
        <v>680025.19287</v>
      </c>
      <c r="J295" s="29" t="n">
        <v>0.19939207067</v>
      </c>
    </row>
    <row r="296" ht="12.75" customHeight="1" s="8">
      <c r="A296" s="30" t="inlineStr">
        <is>
          <t>ITAU BBA</t>
        </is>
      </c>
      <c r="B296" s="31" t="inlineStr">
        <is>
          <t>2º</t>
        </is>
      </c>
      <c r="C296" s="32" t="n">
        <v>454814</v>
      </c>
      <c r="D296" s="33" t="n">
        <v>0.3386625137</v>
      </c>
      <c r="E296" s="31" t="n">
        <v/>
      </c>
      <c r="F296" s="32" t="n">
        <v>0</v>
      </c>
      <c r="G296" s="33" t="n">
        <v/>
      </c>
      <c r="H296" s="31" t="inlineStr">
        <is>
          <t>1º</t>
        </is>
      </c>
      <c r="I296" s="32" t="n">
        <v>2223187</v>
      </c>
      <c r="J296" s="33" t="n">
        <v>0.65186681916</v>
      </c>
    </row>
    <row r="297" ht="12.75" customHeight="1" s="8">
      <c r="A297" s="26" t="inlineStr">
        <is>
          <t>VOTORANTIM</t>
        </is>
      </c>
      <c r="B297" s="27" t="inlineStr">
        <is>
          <t>3º</t>
        </is>
      </c>
      <c r="C297" s="28" t="n">
        <v>169900</v>
      </c>
      <c r="D297" s="29" t="n">
        <v>0.12651053195</v>
      </c>
      <c r="E297" s="27" t="inlineStr">
        <is>
          <t>2º</t>
        </is>
      </c>
      <c r="F297" s="28" t="n">
        <v>169900</v>
      </c>
      <c r="G297" s="29" t="n">
        <v>0.24977712647</v>
      </c>
      <c r="H297" s="27" t="inlineStr">
        <is>
          <t>3º</t>
        </is>
      </c>
      <c r="I297" s="28" t="n">
        <v>394048.464</v>
      </c>
      <c r="J297" s="29" t="n">
        <v>0.11554004176</v>
      </c>
    </row>
    <row r="298" ht="12.75" customHeight="1" s="8">
      <c r="A298" s="30" t="inlineStr">
        <is>
          <t>FATOR</t>
        </is>
      </c>
      <c r="B298" s="31" t="inlineStr">
        <is>
          <t>4º</t>
        </is>
      </c>
      <c r="C298" s="32" t="n">
        <v>38232</v>
      </c>
      <c r="D298" s="33" t="n">
        <v>0.02846822047</v>
      </c>
      <c r="E298" s="31" t="inlineStr">
        <is>
          <t>3º</t>
        </is>
      </c>
      <c r="F298" s="32" t="n">
        <v>19750</v>
      </c>
      <c r="G298" s="33" t="n">
        <v>0.02903530458</v>
      </c>
      <c r="H298" s="31" t="inlineStr">
        <is>
          <t>5º</t>
        </is>
      </c>
      <c r="I298" s="32" t="n">
        <v>38232</v>
      </c>
      <c r="J298" s="33" t="n">
        <v>0.01121011063</v>
      </c>
    </row>
    <row r="299" ht="12.75" customHeight="1" s="8">
      <c r="A299" s="26" t="inlineStr">
        <is>
          <t>SAFRA</t>
        </is>
      </c>
      <c r="B299" s="27" t="n">
        <v/>
      </c>
      <c r="C299" s="28" t="n">
        <v>0</v>
      </c>
      <c r="D299" s="29" t="n">
        <v/>
      </c>
      <c r="E299" s="27" t="n">
        <v/>
      </c>
      <c r="F299" s="28" t="n">
        <v>0</v>
      </c>
      <c r="G299" s="29" t="n">
        <v/>
      </c>
      <c r="H299" s="27" t="inlineStr">
        <is>
          <t>4º</t>
        </is>
      </c>
      <c r="I299" s="28" t="n">
        <v>75000</v>
      </c>
      <c r="J299" s="29" t="n">
        <v>0.02199095777</v>
      </c>
    </row>
    <row r="300" ht="12.75" customHeight="1" s="8">
      <c r="A300" s="34" t="inlineStr">
        <is>
          <t>Total</t>
        </is>
      </c>
      <c r="B300" s="35" t="n"/>
      <c r="C300" s="36">
        <f>SUM(C295:C299)</f>
        <v/>
      </c>
      <c r="D300" s="37">
        <f>_xlfn.ROUND(SUM(D295:D299), 1)</f>
        <v/>
      </c>
      <c r="E300" s="35" t="n"/>
      <c r="F300" s="36">
        <f>SUM(F295:F299)</f>
        <v/>
      </c>
      <c r="G300" s="37">
        <f>_xlfn.ROUND(SUM(G295:G299), 1)</f>
        <v/>
      </c>
      <c r="H300" s="35" t="n"/>
      <c r="I300" s="36">
        <f>SUM(I295:I299)</f>
        <v/>
      </c>
      <c r="J300" s="37">
        <f>_xlfn.ROUND(SUM(J295:J299), 1)</f>
        <v/>
      </c>
    </row>
    <row r="301" ht="12.75" customHeight="1" s="8"/>
    <row r="302" ht="12.75" customHeight="1" s="8"/>
    <row r="303" ht="12.75" customHeight="1" s="8">
      <c r="A303" s="22" t="inlineStr">
        <is>
          <t xml:space="preserve">Tipo 3: Operações de Empresas Ligadas </t>
        </is>
      </c>
      <c r="J303" s="23" t="n"/>
    </row>
    <row r="304" ht="12.75" customHeight="1" s="8">
      <c r="A304" s="24" t="inlineStr">
        <is>
          <t>Coordenadores</t>
        </is>
      </c>
      <c r="B304" s="24" t="inlineStr">
        <is>
          <t>Acumulado 2026</t>
        </is>
      </c>
      <c r="C304" s="24" t="n"/>
      <c r="D304" s="24" t="n"/>
      <c r="E304" s="24" t="inlineStr">
        <is>
          <t>Últimos 3 meses</t>
        </is>
      </c>
      <c r="F304" s="24" t="n"/>
      <c r="G304" s="24" t="n"/>
      <c r="H304" s="24" t="inlineStr">
        <is>
          <t>Últimos 12 meses</t>
        </is>
      </c>
      <c r="I304" s="24" t="n"/>
      <c r="J304" s="25" t="n"/>
    </row>
    <row r="305" ht="12.75" customHeight="1" s="8">
      <c r="A305" s="24" t="n"/>
      <c r="B305" s="24" t="inlineStr">
        <is>
          <t>Ranking 2026</t>
        </is>
      </c>
      <c r="C305" s="24" t="inlineStr">
        <is>
          <t>Valor *</t>
        </is>
      </c>
      <c r="D305" s="24" t="inlineStr">
        <is>
          <t>Part.</t>
        </is>
      </c>
      <c r="E305" s="24" t="inlineStr">
        <is>
          <t>Ranking 3 meses</t>
        </is>
      </c>
      <c r="F305" s="24" t="inlineStr">
        <is>
          <t>Valor *</t>
        </is>
      </c>
      <c r="G305" s="24" t="inlineStr">
        <is>
          <t>Part.</t>
        </is>
      </c>
      <c r="H305" s="24" t="inlineStr">
        <is>
          <t>Ranking 12 meses</t>
        </is>
      </c>
      <c r="I305" s="24" t="inlineStr">
        <is>
          <t>Valor *</t>
        </is>
      </c>
      <c r="J305" s="25" t="inlineStr">
        <is>
          <t>Part.</t>
        </is>
      </c>
    </row>
    <row r="306" ht="12.75" customHeight="1" s="8">
      <c r="A306" s="26" t="inlineStr">
        <is>
          <t>ITAU BBA</t>
        </is>
      </c>
      <c r="B306" s="27" t="inlineStr">
        <is>
          <t>1º</t>
        </is>
      </c>
      <c r="C306" s="28" t="n">
        <v>10724186.40147</v>
      </c>
      <c r="D306" s="29" t="n">
        <v>0.45576961364</v>
      </c>
      <c r="E306" s="27" t="inlineStr">
        <is>
          <t>2º</t>
        </is>
      </c>
      <c r="F306" s="28" t="n">
        <v>6074071.05</v>
      </c>
      <c r="G306" s="29" t="n">
        <v>0.40460945955</v>
      </c>
      <c r="H306" s="27" t="inlineStr">
        <is>
          <t>2º</t>
        </is>
      </c>
      <c r="I306" s="28" t="n">
        <v>19222500.04319</v>
      </c>
      <c r="J306" s="29" t="n">
        <v>0.27637295637</v>
      </c>
    </row>
    <row r="307" ht="12.75" customHeight="1" s="8">
      <c r="A307" s="30" t="inlineStr">
        <is>
          <t>XP INVESTIMENTOS</t>
        </is>
      </c>
      <c r="B307" s="31" t="inlineStr">
        <is>
          <t>2º</t>
        </is>
      </c>
      <c r="C307" s="32" t="n">
        <v>7649244.68013</v>
      </c>
      <c r="D307" s="33" t="n">
        <v>0.32508697275</v>
      </c>
      <c r="E307" s="31" t="inlineStr">
        <is>
          <t>1º</t>
        </is>
      </c>
      <c r="F307" s="32" t="n">
        <v>6545630.66413</v>
      </c>
      <c r="G307" s="33" t="n">
        <v>0.43602125553</v>
      </c>
      <c r="H307" s="31" t="inlineStr">
        <is>
          <t>1º</t>
        </is>
      </c>
      <c r="I307" s="32" t="n">
        <v>21270554.61621</v>
      </c>
      <c r="J307" s="33" t="n">
        <v>0.30581901676</v>
      </c>
    </row>
    <row r="308" ht="12.75" customHeight="1" s="8">
      <c r="A308" s="26" t="inlineStr">
        <is>
          <t>BTG PACTUAL</t>
        </is>
      </c>
      <c r="B308" s="27" t="inlineStr">
        <is>
          <t>3º</t>
        </is>
      </c>
      <c r="C308" s="28" t="n">
        <v>1736793.08029</v>
      </c>
      <c r="D308" s="29" t="n">
        <v>0.07381236034999999</v>
      </c>
      <c r="E308" s="27" t="inlineStr">
        <is>
          <t>6º</t>
        </is>
      </c>
      <c r="F308" s="28" t="n">
        <v>271695.6</v>
      </c>
      <c r="G308" s="29" t="n">
        <v>0.01809834112</v>
      </c>
      <c r="H308" s="27" t="inlineStr">
        <is>
          <t>4º</t>
        </is>
      </c>
      <c r="I308" s="28" t="n">
        <v>6596399.100899999</v>
      </c>
      <c r="J308" s="29" t="n">
        <v>0.09484022977000001</v>
      </c>
    </row>
    <row r="309" ht="12.75" customHeight="1" s="8">
      <c r="A309" s="30" t="inlineStr">
        <is>
          <t>SAFRA</t>
        </is>
      </c>
      <c r="B309" s="31" t="inlineStr">
        <is>
          <t>4º</t>
        </is>
      </c>
      <c r="C309" s="32" t="n">
        <v>1187516.666</v>
      </c>
      <c r="D309" s="33" t="n">
        <v>0.05046853829</v>
      </c>
      <c r="E309" s="31" t="inlineStr">
        <is>
          <t>4º</t>
        </is>
      </c>
      <c r="F309" s="32" t="n">
        <v>520850</v>
      </c>
      <c r="G309" s="33" t="n">
        <v>0.03469515507</v>
      </c>
      <c r="H309" s="31" t="inlineStr">
        <is>
          <t>5º</t>
        </is>
      </c>
      <c r="I309" s="32" t="n">
        <v>4427489.866</v>
      </c>
      <c r="J309" s="33" t="n">
        <v>0.06365657229</v>
      </c>
    </row>
    <row r="310" ht="12.75" customHeight="1" s="8">
      <c r="A310" s="26" t="inlineStr">
        <is>
          <t>INTER</t>
        </is>
      </c>
      <c r="B310" s="27" t="inlineStr">
        <is>
          <t>5º</t>
        </is>
      </c>
      <c r="C310" s="28" t="n">
        <v>827332.656</v>
      </c>
      <c r="D310" s="29" t="n">
        <v>0.03516099691</v>
      </c>
      <c r="E310" s="27" t="inlineStr">
        <is>
          <t>3º</t>
        </is>
      </c>
      <c r="F310" s="28" t="n">
        <v>825164</v>
      </c>
      <c r="G310" s="29" t="n">
        <v>0.05496629152</v>
      </c>
      <c r="H310" s="27" t="inlineStr">
        <is>
          <t>7º</t>
        </is>
      </c>
      <c r="I310" s="28" t="n">
        <v>2069455.19684</v>
      </c>
      <c r="J310" s="29" t="n">
        <v>0.02975374949</v>
      </c>
    </row>
    <row r="311" ht="12.75" customHeight="1" s="8">
      <c r="A311" s="30" t="inlineStr">
        <is>
          <t>SANTANDER</t>
        </is>
      </c>
      <c r="B311" s="31" t="inlineStr">
        <is>
          <t>6º</t>
        </is>
      </c>
      <c r="C311" s="32" t="n">
        <v>502000</v>
      </c>
      <c r="D311" s="33" t="n">
        <v>0.02133461108</v>
      </c>
      <c r="E311" s="31" t="inlineStr">
        <is>
          <t>5º</t>
        </is>
      </c>
      <c r="F311" s="32" t="n">
        <v>502000</v>
      </c>
      <c r="G311" s="33" t="n">
        <v>0.0334395082</v>
      </c>
      <c r="H311" s="31" t="inlineStr">
        <is>
          <t>3º</t>
        </is>
      </c>
      <c r="I311" s="32" t="n">
        <v>7662000</v>
      </c>
      <c r="J311" s="33" t="n">
        <v>0.11016098775</v>
      </c>
    </row>
    <row r="312" ht="12.75" customHeight="1" s="8">
      <c r="A312" s="26" t="inlineStr">
        <is>
          <t>BR PARTNERS</t>
        </is>
      </c>
      <c r="B312" s="27" t="inlineStr">
        <is>
          <t>7º</t>
        </is>
      </c>
      <c r="C312" s="28" t="n">
        <v>412383.44212</v>
      </c>
      <c r="D312" s="29" t="n">
        <v>0.0175259768</v>
      </c>
      <c r="E312" s="27" t="inlineStr">
        <is>
          <t>7º</t>
        </is>
      </c>
      <c r="F312" s="28" t="n">
        <v>212478.24304</v>
      </c>
      <c r="G312" s="29" t="n">
        <v>0.01415372102</v>
      </c>
      <c r="H312" s="27" t="inlineStr">
        <is>
          <t>10º</t>
        </is>
      </c>
      <c r="I312" s="28" t="n">
        <v>536816.44212</v>
      </c>
      <c r="J312" s="29" t="n">
        <v>0.00771811923</v>
      </c>
    </row>
    <row r="313" ht="12.75" customHeight="1" s="8">
      <c r="A313" s="30" t="inlineStr">
        <is>
          <t>VOTORANTIM</t>
        </is>
      </c>
      <c r="B313" s="31" t="inlineStr">
        <is>
          <t>8º</t>
        </is>
      </c>
      <c r="C313" s="32" t="n">
        <v>350000</v>
      </c>
      <c r="D313" s="33" t="n">
        <v>0.01487472884</v>
      </c>
      <c r="E313" s="31" t="n">
        <v/>
      </c>
      <c r="F313" s="32" t="n">
        <v>0</v>
      </c>
      <c r="G313" s="33" t="n">
        <v/>
      </c>
      <c r="H313" s="31" t="inlineStr">
        <is>
          <t>8º</t>
        </is>
      </c>
      <c r="I313" s="32" t="n">
        <v>2045820</v>
      </c>
      <c r="J313" s="33" t="n">
        <v>0.02941393265</v>
      </c>
    </row>
    <row r="314" ht="12.75" customHeight="1" s="8">
      <c r="A314" s="26" t="inlineStr">
        <is>
          <t>BRADESCO BBI</t>
        </is>
      </c>
      <c r="B314" s="27" t="inlineStr">
        <is>
          <t>9º</t>
        </is>
      </c>
      <c r="C314" s="28" t="n">
        <v>74006.81865</v>
      </c>
      <c r="D314" s="29" t="n">
        <v>0.00314523246</v>
      </c>
      <c r="E314" s="27" t="n">
        <v/>
      </c>
      <c r="F314" s="28" t="n">
        <v>0</v>
      </c>
      <c r="G314" s="29" t="n">
        <v/>
      </c>
      <c r="H314" s="27" t="inlineStr">
        <is>
          <t>6º</t>
        </is>
      </c>
      <c r="I314" s="28" t="n">
        <v>2886658.61582</v>
      </c>
      <c r="J314" s="29" t="n">
        <v>0.0415031538</v>
      </c>
    </row>
    <row r="315" ht="12.75" customHeight="1" s="8">
      <c r="A315" s="30" t="inlineStr">
        <is>
          <t>FATOR</t>
        </is>
      </c>
      <c r="B315" s="31" t="inlineStr">
        <is>
          <t>10º</t>
        </is>
      </c>
      <c r="C315" s="32" t="n">
        <v>43888.64792</v>
      </c>
      <c r="D315" s="33" t="n">
        <v>0.00186523353</v>
      </c>
      <c r="E315" s="31" t="inlineStr">
        <is>
          <t>8º</t>
        </is>
      </c>
      <c r="F315" s="32" t="n">
        <v>43888.64792</v>
      </c>
      <c r="G315" s="33" t="n">
        <v>0.00292353546</v>
      </c>
      <c r="H315" s="31" t="inlineStr">
        <is>
          <t>15º</t>
        </is>
      </c>
      <c r="I315" s="32" t="n">
        <v>43888.64792</v>
      </c>
      <c r="J315" s="33" t="n">
        <v>0.00063101237</v>
      </c>
    </row>
    <row r="316" ht="12.75" customHeight="1" s="8">
      <c r="A316" s="26" t="inlineStr">
        <is>
          <t>HEDGE DTVM</t>
        </is>
      </c>
      <c r="B316" s="27" t="inlineStr">
        <is>
          <t>11º</t>
        </is>
      </c>
      <c r="C316" s="28" t="n">
        <v>16404.3</v>
      </c>
      <c r="D316" s="29" t="n">
        <v>0.0006971700400000001</v>
      </c>
      <c r="E316" s="27" t="inlineStr">
        <is>
          <t>9º</t>
        </is>
      </c>
      <c r="F316" s="28" t="n">
        <v>16404.3</v>
      </c>
      <c r="G316" s="29" t="n">
        <v>0.00109273252</v>
      </c>
      <c r="H316" s="27" t="inlineStr">
        <is>
          <t>16º</t>
        </is>
      </c>
      <c r="I316" s="28" t="n">
        <v>16404.3</v>
      </c>
      <c r="J316" s="29" t="n">
        <v>0.00023585407</v>
      </c>
    </row>
    <row r="317" ht="12.75" customHeight="1" s="8">
      <c r="A317" s="30" t="inlineStr">
        <is>
          <t>GALAPAGOS CAPITAL INVESTIMENTOS E PARTICIPAÇÕES LTDA.</t>
        </is>
      </c>
      <c r="B317" s="31" t="inlineStr">
        <is>
          <t>12º</t>
        </is>
      </c>
      <c r="C317" s="32" t="n">
        <v>6084</v>
      </c>
      <c r="D317" s="33" t="n">
        <v>0.00025856529</v>
      </c>
      <c r="E317" s="31" t="n">
        <v/>
      </c>
      <c r="F317" s="32" t="n">
        <v>0</v>
      </c>
      <c r="G317" s="33" t="n">
        <v/>
      </c>
      <c r="H317" s="31" t="inlineStr">
        <is>
          <t>11º</t>
        </is>
      </c>
      <c r="I317" s="32" t="n">
        <v>381058</v>
      </c>
      <c r="J317" s="33" t="n">
        <v>0.00547869038</v>
      </c>
    </row>
    <row r="318" ht="12.75" customHeight="1" s="8">
      <c r="A318" s="26" t="inlineStr">
        <is>
          <t>UBS BB</t>
        </is>
      </c>
      <c r="B318" s="27" t="n">
        <v/>
      </c>
      <c r="C318" s="28" t="n">
        <v>0</v>
      </c>
      <c r="D318" s="29" t="n">
        <v/>
      </c>
      <c r="E318" s="27" t="n">
        <v/>
      </c>
      <c r="F318" s="28" t="n">
        <v>0</v>
      </c>
      <c r="G318" s="29" t="n">
        <v/>
      </c>
      <c r="H318" s="27" t="inlineStr">
        <is>
          <t>9º</t>
        </is>
      </c>
      <c r="I318" s="28" t="n">
        <v>1910000</v>
      </c>
      <c r="J318" s="29" t="n">
        <v>0.02746117027</v>
      </c>
    </row>
    <row r="319" ht="12.75" customHeight="1" s="8">
      <c r="A319" s="30" t="inlineStr">
        <is>
          <t>DAYCOVAL</t>
        </is>
      </c>
      <c r="B319" s="31" t="n">
        <v/>
      </c>
      <c r="C319" s="32" t="n">
        <v>0</v>
      </c>
      <c r="D319" s="33" t="n">
        <v/>
      </c>
      <c r="E319" s="31" t="n">
        <v/>
      </c>
      <c r="F319" s="32" t="n">
        <v>0</v>
      </c>
      <c r="G319" s="33" t="n">
        <v/>
      </c>
      <c r="H319" s="31" t="inlineStr">
        <is>
          <t>12º</t>
        </is>
      </c>
      <c r="I319" s="32" t="n">
        <v>288729.73016</v>
      </c>
      <c r="J319" s="33" t="n">
        <v>0.00415123366</v>
      </c>
    </row>
    <row r="320" ht="12.75" customHeight="1" s="8">
      <c r="A320" s="26" t="inlineStr">
        <is>
          <t>ORIZ ASSESSORIA FINANCEIRA LTDA</t>
        </is>
      </c>
      <c r="B320" s="27" t="n">
        <v/>
      </c>
      <c r="C320" s="28" t="n">
        <v>0</v>
      </c>
      <c r="D320" s="29" t="n">
        <v/>
      </c>
      <c r="E320" s="27" t="n">
        <v/>
      </c>
      <c r="F320" s="28" t="n">
        <v>0</v>
      </c>
      <c r="G320" s="29" t="n">
        <v/>
      </c>
      <c r="H320" s="27" t="inlineStr">
        <is>
          <t>13º</t>
        </is>
      </c>
      <c r="I320" s="28" t="n">
        <v>120895</v>
      </c>
      <c r="J320" s="29" t="n">
        <v>0.00173817706</v>
      </c>
    </row>
    <row r="321" ht="12.75" customHeight="1" s="8">
      <c r="A321" s="30" t="inlineStr">
        <is>
          <t>GENIAL CV</t>
        </is>
      </c>
      <c r="B321" s="31" t="n">
        <v/>
      </c>
      <c r="C321" s="32" t="n">
        <v>0</v>
      </c>
      <c r="D321" s="33" t="n">
        <v/>
      </c>
      <c r="E321" s="31" t="n">
        <v/>
      </c>
      <c r="F321" s="32" t="n">
        <v>0</v>
      </c>
      <c r="G321" s="33" t="n">
        <v/>
      </c>
      <c r="H321" s="31" t="inlineStr">
        <is>
          <t>14º</t>
        </is>
      </c>
      <c r="I321" s="32" t="n">
        <v>74083.704</v>
      </c>
      <c r="J321" s="33" t="n">
        <v>0.00106514409</v>
      </c>
    </row>
    <row r="322" ht="12.75" customHeight="1" s="8">
      <c r="A322" s="34" t="inlineStr">
        <is>
          <t>Total</t>
        </is>
      </c>
      <c r="B322" s="35" t="n"/>
      <c r="C322" s="36">
        <f>SUM(C306:C321)</f>
        <v/>
      </c>
      <c r="D322" s="37">
        <f>_xlfn.ROUND(SUM(D306:D321), 1)</f>
        <v/>
      </c>
      <c r="E322" s="35" t="n"/>
      <c r="F322" s="36">
        <f>SUM(F306:F321)</f>
        <v/>
      </c>
      <c r="G322" s="37">
        <f>_xlfn.ROUND(SUM(G306:G321), 1)</f>
        <v/>
      </c>
      <c r="H322" s="35" t="n"/>
      <c r="I322" s="36">
        <f>SUM(I306:I321)</f>
        <v/>
      </c>
      <c r="J322" s="37">
        <f>_xlfn.ROUND(SUM(J306:J321), 1)</f>
        <v/>
      </c>
    </row>
    <row r="323" ht="12.75" customHeight="1" s="8"/>
    <row r="324" ht="12.75" customHeight="1" s="8"/>
    <row r="325" ht="12.75" customHeight="1" s="8">
      <c r="A325" s="38" t="inlineStr">
        <is>
          <t>* Valores em R$ mil</t>
        </is>
      </c>
    </row>
    <row r="326" ht="12.75" customHeight="1" s="8"/>
    <row r="327" ht="12.75" customHeight="1" s="8"/>
    <row r="328" ht="12.75" customHeight="1" s="8"/>
    <row r="329" ht="12.75" customHeight="1" s="8"/>
    <row r="330" ht="12.75" customHeight="1" s="8"/>
    <row r="331" ht="12.75" customHeight="1" s="8"/>
    <row r="332" ht="12.75" customHeight="1" s="8"/>
    <row r="333" ht="12.75" customHeight="1" s="8"/>
    <row r="334" ht="12.75" customHeight="1" s="8"/>
    <row r="335" ht="12.75" customHeight="1" s="8"/>
    <row r="336" ht="12.75" customHeight="1" s="8"/>
    <row r="337" ht="12.75" customHeight="1" s="8"/>
    <row r="338" ht="12.75" customHeight="1" s="8"/>
    <row r="339" ht="12.75" customHeight="1" s="8"/>
    <row r="340" ht="12.75" customHeight="1" s="8"/>
    <row r="341" ht="12.75" customHeight="1" s="8"/>
    <row r="342" ht="12.75" customHeight="1" s="8"/>
    <row r="343" ht="12.75" customHeight="1" s="8"/>
    <row r="344" ht="12.75" customHeight="1" s="8"/>
    <row r="345" ht="12.75" customHeight="1" s="8"/>
    <row r="346" ht="12.75" customHeight="1" s="8"/>
    <row r="347" ht="12.75" customHeight="1" s="8"/>
    <row r="348" ht="12.75" customHeight="1" s="8"/>
    <row r="349" ht="12.75" customHeight="1" s="8"/>
    <row r="350" ht="12.75" customHeight="1" s="8"/>
    <row r="351" ht="12.75" customHeight="1" s="8"/>
    <row r="352" ht="12.75" customHeight="1" s="8"/>
    <row r="353" ht="12.75" customHeight="1" s="8"/>
    <row r="354" ht="12.75" customHeight="1" s="8"/>
    <row r="355" ht="12.75" customHeight="1" s="8"/>
    <row r="356" ht="12.75" customHeight="1" s="8"/>
    <row r="357" ht="12.75" customHeight="1" s="8"/>
    <row r="358" ht="12.75" customHeight="1" s="8"/>
    <row r="359" ht="12.75" customHeight="1" s="8"/>
    <row r="360" ht="12.75" customHeight="1" s="8"/>
    <row r="361" ht="12.75" customHeight="1" s="8"/>
    <row r="362" ht="12.75" customHeight="1" s="8"/>
    <row r="363" ht="12.75" customHeight="1" s="8"/>
    <row r="364" ht="12.75" customHeight="1" s="8"/>
    <row r="365" ht="12.75" customHeight="1" s="8"/>
    <row r="366" ht="12.75" customHeight="1" s="8"/>
    <row r="367" ht="12.75" customHeight="1" s="8"/>
    <row r="368" ht="12.75" customHeight="1" s="8"/>
    <row r="369" ht="12.75" customHeight="1" s="8"/>
    <row r="370" ht="12.75" customHeight="1" s="8"/>
    <row r="371" ht="12.75" customHeight="1" s="8"/>
    <row r="372" ht="12.75" customHeight="1" s="8"/>
    <row r="373" ht="12.75" customHeight="1" s="8"/>
    <row r="374" ht="12.75" customHeight="1" s="8"/>
    <row r="375" ht="12.75" customHeight="1" s="8"/>
    <row r="376" ht="12.75" customHeight="1" s="8"/>
    <row r="377" ht="12.75" customHeight="1" s="8"/>
    <row r="378" ht="12.75" customHeight="1" s="8"/>
    <row r="379" ht="12.75" customHeight="1" s="8"/>
    <row r="380" ht="12.75" customHeight="1" s="8"/>
    <row r="381" ht="12.75" customHeight="1" s="8"/>
    <row r="382" ht="12.75" customHeight="1" s="8"/>
    <row r="383" ht="12.75" customHeight="1" s="8"/>
    <row r="384" ht="12.75" customHeight="1" s="8"/>
    <row r="385" ht="12.75" customHeight="1" s="8"/>
    <row r="386" ht="12.75" customHeight="1" s="8"/>
    <row r="387" ht="12.75" customHeight="1" s="8"/>
    <row r="388" ht="12.75" customHeight="1" s="8"/>
    <row r="389" ht="12.75" customHeight="1" s="8"/>
    <row r="390" ht="12.75" customHeight="1" s="8"/>
    <row r="391" ht="12.75" customHeight="1" s="8"/>
    <row r="392" ht="12.75" customHeight="1" s="8"/>
    <row r="393" ht="12.75" customHeight="1" s="8"/>
    <row r="394" ht="12.75" customHeight="1" s="8"/>
    <row r="395" ht="12.75" customHeight="1" s="8"/>
    <row r="396" ht="12.75" customHeight="1" s="8"/>
    <row r="397" ht="12.75" customHeight="1" s="8"/>
    <row r="398" ht="12.75" customHeight="1" s="8"/>
    <row r="399" ht="12.75" customHeight="1" s="8"/>
    <row r="400" ht="12.75" customHeight="1" s="8"/>
    <row r="401" ht="12.75" customHeight="1" s="8"/>
    <row r="402" ht="12.75" customHeight="1" s="8"/>
    <row r="403" ht="12.75" customHeight="1" s="8"/>
    <row r="404" ht="12.75" customHeight="1" s="8"/>
    <row r="405" ht="12.75" customHeight="1" s="8"/>
    <row r="406" ht="12.75" customHeight="1" s="8"/>
    <row r="407" ht="12.75" customHeight="1" s="8"/>
    <row r="408" ht="12.75" customHeight="1" s="8"/>
    <row r="409" ht="12.75" customHeight="1" s="8"/>
    <row r="410" ht="12.75" customHeight="1" s="8"/>
    <row r="411" ht="12.75" customHeight="1" s="8"/>
    <row r="412" ht="12.75" customHeight="1" s="8"/>
    <row r="413" ht="12.75" customHeight="1" s="8"/>
    <row r="414" ht="12.75" customHeight="1" s="8"/>
    <row r="415" ht="12.75" customHeight="1" s="8"/>
    <row r="416" ht="12.75" customHeight="1" s="8"/>
    <row r="417" ht="12.75" customHeight="1" s="8"/>
    <row r="418" ht="12.75" customHeight="1" s="8"/>
    <row r="419" ht="12.75" customHeight="1" s="8"/>
    <row r="420" ht="12.75" customHeight="1" s="8"/>
    <row r="421" ht="12.75" customHeight="1" s="8"/>
    <row r="422" ht="12.75" customHeight="1" s="8"/>
    <row r="423" ht="12.75" customHeight="1" s="8"/>
    <row r="424" ht="12.75" customHeight="1" s="8"/>
    <row r="425" ht="12.75" customHeight="1" s="8"/>
    <row r="426" ht="12.75" customHeight="1" s="8"/>
    <row r="427" ht="12.75" customHeight="1" s="8"/>
    <row r="428" ht="12.75" customHeight="1" s="8"/>
    <row r="429" ht="12.75" customHeight="1" s="8"/>
    <row r="430" ht="12.75" customHeight="1" s="8"/>
    <row r="431" ht="12.75" customHeight="1" s="8"/>
    <row r="432" ht="12.75" customHeight="1" s="8"/>
    <row r="433" ht="12.75" customHeight="1" s="8"/>
    <row r="434" ht="12.75" customHeight="1" s="8"/>
    <row r="435" ht="12.75" customHeight="1" s="8"/>
    <row r="436" ht="12.75" customHeight="1" s="8"/>
    <row r="437" ht="12.75" customHeight="1" s="8"/>
    <row r="438" ht="12.75" customHeight="1" s="8"/>
    <row r="439" ht="12.75" customHeight="1" s="8"/>
    <row r="440" ht="12.75" customHeight="1" s="8"/>
    <row r="441" ht="12.75" customHeight="1" s="8"/>
    <row r="442" ht="12.75" customHeight="1" s="8"/>
    <row r="443" ht="12.75" customHeight="1" s="8"/>
    <row r="444" ht="12.75" customHeight="1" s="8"/>
    <row r="445" ht="12.75" customHeight="1" s="8"/>
    <row r="446" ht="12.75" customHeight="1" s="8"/>
    <row r="447" ht="12.75" customHeight="1" s="8"/>
    <row r="448" ht="12.75" customHeight="1" s="8"/>
    <row r="449" ht="12.75" customHeight="1" s="8"/>
    <row r="450" ht="12.75" customHeight="1" s="8"/>
    <row r="451" ht="12.75" customHeight="1" s="8"/>
    <row r="452" ht="12.75" customHeight="1" s="8"/>
    <row r="453" ht="12.75" customHeight="1" s="8"/>
    <row r="454" ht="12.75" customHeight="1" s="8"/>
    <row r="455" ht="12.75" customHeight="1" s="8"/>
    <row r="456" ht="12.75" customHeight="1" s="8"/>
    <row r="457" ht="12.75" customHeight="1" s="8"/>
    <row r="458" ht="12.75" customHeight="1" s="8"/>
    <row r="459" ht="12.75" customHeight="1" s="8"/>
    <row r="460" ht="12.75" customHeight="1" s="8"/>
    <row r="461" ht="12.75" customHeight="1" s="8"/>
    <row r="462" ht="12.75" customHeight="1" s="8"/>
    <row r="463" ht="12.75" customHeight="1" s="8"/>
    <row r="464" ht="12.75" customHeight="1" s="8"/>
    <row r="465" ht="12.75" customHeight="1" s="8"/>
    <row r="466" ht="12.75" customHeight="1" s="8"/>
    <row r="467" ht="12.75" customHeight="1" s="8"/>
    <row r="468" ht="12.75" customHeight="1" s="8"/>
    <row r="469" ht="12.75" customHeight="1" s="8"/>
    <row r="470" ht="12.75" customHeight="1" s="8"/>
    <row r="471" ht="12.75" customHeight="1" s="8"/>
    <row r="472" ht="12.75" customHeight="1" s="8"/>
    <row r="473" ht="12.75" customHeight="1" s="8"/>
    <row r="474" ht="12.75" customHeight="1" s="8"/>
    <row r="475" ht="12.75" customHeight="1" s="8"/>
    <row r="476" ht="12.75" customHeight="1" s="8"/>
    <row r="477" ht="12.75" customHeight="1" s="8"/>
    <row r="478" ht="12.75" customHeight="1" s="8"/>
    <row r="479" ht="12.75" customHeight="1" s="8"/>
    <row r="480" ht="12.75" customHeight="1" s="8"/>
    <row r="481" ht="12.75" customHeight="1" s="8"/>
    <row r="482" ht="12.75" customHeight="1" s="8"/>
    <row r="483" ht="12.75" customHeight="1" s="8"/>
    <row r="484" ht="12.75" customHeight="1" s="8"/>
    <row r="485" ht="12.75" customHeight="1" s="8"/>
    <row r="486" ht="12.75" customHeight="1" s="8"/>
    <row r="487" ht="12.75" customHeight="1" s="8"/>
    <row r="488" ht="12.75" customHeight="1" s="8"/>
    <row r="489" ht="12.75" customHeight="1" s="8"/>
    <row r="490" ht="12.75" customHeight="1" s="8"/>
    <row r="491" ht="12.75" customHeight="1" s="8"/>
    <row r="492" ht="12.75" customHeight="1" s="8"/>
    <row r="493" ht="12.75" customHeight="1" s="8"/>
    <row r="494" ht="12.75" customHeight="1" s="8"/>
    <row r="495" ht="12.75" customHeight="1" s="8"/>
    <row r="496" ht="12.75" customHeight="1" s="8"/>
    <row r="497" ht="12.75" customHeight="1" s="8"/>
    <row r="498" ht="12.75" customHeight="1" s="8"/>
    <row r="499" ht="12.75" customHeight="1" s="8"/>
    <row r="500" ht="12.75" customHeight="1" s="8"/>
    <row r="501" ht="12.75" customHeight="1" s="8"/>
    <row r="502" ht="12.75" customHeight="1" s="8"/>
    <row r="503" ht="12.75" customHeight="1" s="8"/>
    <row r="504" ht="12.75" customHeight="1" s="8"/>
    <row r="505" ht="12.75" customHeight="1" s="8"/>
    <row r="506" ht="12.75" customHeight="1" s="8"/>
    <row r="507" ht="12.75" customHeight="1" s="8"/>
    <row r="508" ht="12.75" customHeight="1" s="8"/>
    <row r="509" ht="12.75" customHeight="1" s="8"/>
    <row r="510" ht="12.75" customHeight="1" s="8"/>
    <row r="511" ht="12.75" customHeight="1" s="8"/>
    <row r="512" ht="12.75" customHeight="1" s="8"/>
    <row r="513" ht="12.75" customHeight="1" s="8"/>
    <row r="514" ht="12.75" customHeight="1" s="8"/>
    <row r="515" ht="12.75" customHeight="1" s="8"/>
    <row r="516" ht="12.75" customHeight="1" s="8"/>
    <row r="517" ht="12.75" customHeight="1" s="8"/>
    <row r="518" ht="12.75" customHeight="1" s="8"/>
    <row r="519" ht="12.75" customHeight="1" s="8"/>
    <row r="520" ht="12.75" customHeight="1" s="8"/>
    <row r="521" ht="12.75" customHeight="1" s="8"/>
    <row r="522" ht="12.75" customHeight="1" s="8"/>
    <row r="523" ht="12.75" customHeight="1" s="8"/>
    <row r="524" ht="12.75" customHeight="1" s="8"/>
    <row r="525" ht="12.75" customHeight="1" s="8"/>
    <row r="526" ht="12.75" customHeight="1" s="8"/>
    <row r="527" ht="12.75" customHeight="1" s="8"/>
    <row r="528" ht="12.75" customHeight="1" s="8"/>
    <row r="529" ht="12.75" customHeight="1" s="8"/>
    <row r="530" ht="12.75" customHeight="1" s="8"/>
    <row r="531" ht="12.75" customHeight="1" s="8"/>
    <row r="532" ht="12.75" customHeight="1" s="8"/>
    <row r="533" ht="12.75" customHeight="1" s="8"/>
    <row r="534" ht="12.75" customHeight="1" s="8"/>
    <row r="535" ht="12.75" customHeight="1" s="8"/>
    <row r="536" ht="12.75" customHeight="1" s="8"/>
    <row r="537" ht="12.75" customHeight="1" s="8"/>
    <row r="538" ht="12.75" customHeight="1" s="8"/>
    <row r="539" ht="12.75" customHeight="1" s="8"/>
    <row r="540" ht="12.75" customHeight="1" s="8"/>
    <row r="541" ht="12.75" customHeight="1" s="8"/>
    <row r="542" ht="12.75" customHeight="1" s="8"/>
    <row r="543" ht="12.75" customHeight="1" s="8"/>
    <row r="544" ht="12.75" customHeight="1" s="8"/>
    <row r="545" ht="12.75" customHeight="1" s="8"/>
    <row r="546" ht="12.75" customHeight="1" s="8"/>
    <row r="547" ht="12.75" customHeight="1" s="8"/>
    <row r="548" ht="12.75" customHeight="1" s="8"/>
    <row r="549" ht="12.75" customHeight="1" s="8"/>
    <row r="550" ht="12.75" customHeight="1" s="8"/>
    <row r="551" ht="12.75" customHeight="1" s="8"/>
    <row r="552" ht="12.75" customHeight="1" s="8"/>
    <row r="553" ht="12.75" customHeight="1" s="8"/>
    <row r="554" ht="12.75" customHeight="1" s="8"/>
    <row r="555" ht="12.75" customHeight="1" s="8"/>
    <row r="556" ht="12.75" customHeight="1" s="8"/>
    <row r="557" ht="12.75" customHeight="1" s="8"/>
    <row r="558" ht="12.75" customHeight="1" s="8"/>
    <row r="559" ht="12.75" customHeight="1" s="8"/>
    <row r="560" ht="12.75" customHeight="1" s="8"/>
    <row r="561" ht="12.75" customHeight="1" s="8"/>
    <row r="562" ht="12.75" customHeight="1" s="8"/>
    <row r="563" ht="12.75" customHeight="1" s="8"/>
    <row r="564" ht="12.75" customHeight="1" s="8"/>
    <row r="565" ht="12.75" customHeight="1" s="8"/>
    <row r="566" ht="12.75" customHeight="1" s="8"/>
    <row r="567" ht="12.75" customHeight="1" s="8"/>
    <row r="568" ht="12.75" customHeight="1" s="8"/>
    <row r="569" ht="12.75" customHeight="1" s="8"/>
    <row r="570" ht="12.75" customHeight="1" s="8"/>
    <row r="571" ht="12.75" customHeight="1" s="8"/>
    <row r="572" ht="12.75" customHeight="1" s="8"/>
    <row r="573" ht="12.75" customHeight="1" s="8"/>
    <row r="574" ht="12.75" customHeight="1" s="8"/>
    <row r="575" ht="12.75" customHeight="1" s="8"/>
    <row r="576" ht="12.75" customHeight="1" s="8"/>
    <row r="577" ht="12.75" customHeight="1" s="8"/>
    <row r="578" ht="12.75" customHeight="1" s="8"/>
    <row r="579" ht="12.75" customHeight="1" s="8"/>
    <row r="580" ht="12.75" customHeight="1" s="8"/>
    <row r="581" ht="12.75" customHeight="1" s="8"/>
    <row r="582" ht="12.75" customHeight="1" s="8"/>
    <row r="583" ht="12.75" customHeight="1" s="8"/>
    <row r="584" ht="12.75" customHeight="1" s="8"/>
    <row r="585" ht="12.75" customHeight="1" s="8"/>
    <row r="586" ht="12.75" customHeight="1" s="8"/>
    <row r="587" ht="12.75" customHeight="1" s="8"/>
    <row r="588" ht="12.75" customHeight="1" s="8"/>
    <row r="589" ht="12.75" customHeight="1" s="8"/>
    <row r="590" ht="12.75" customHeight="1" s="8"/>
    <row r="591" ht="12.75" customHeight="1" s="8"/>
    <row r="592" ht="12.75" customHeight="1" s="8"/>
    <row r="593" ht="12.75" customHeight="1" s="8"/>
    <row r="594" ht="12.75" customHeight="1" s="8"/>
    <row r="595" ht="12.75" customHeight="1" s="8"/>
    <row r="596" ht="12.75" customHeight="1" s="8"/>
    <row r="597" ht="12.75" customHeight="1" s="8"/>
    <row r="598" ht="12.75" customHeight="1" s="8"/>
    <row r="599" ht="12.75" customHeight="1" s="8"/>
    <row r="600" ht="12.75" customHeight="1" s="8"/>
    <row r="601" ht="12.75" customHeight="1" s="8"/>
    <row r="602" ht="12.75" customHeight="1" s="8"/>
    <row r="603" ht="12.75" customHeight="1" s="8"/>
    <row r="604" ht="12.75" customHeight="1" s="8"/>
    <row r="605" ht="12.75" customHeight="1" s="8"/>
    <row r="606" ht="12.75" customHeight="1" s="8"/>
    <row r="607" ht="12.75" customHeight="1" s="8"/>
    <row r="608" ht="12.75" customHeight="1" s="8"/>
    <row r="609" ht="12.75" customHeight="1" s="8"/>
    <row r="610" ht="12.75" customHeight="1" s="8"/>
    <row r="611" ht="12.75" customHeight="1" s="8"/>
    <row r="612" ht="12.75" customHeight="1" s="8"/>
    <row r="613" ht="12.75" customHeight="1" s="8"/>
    <row r="614" ht="12.75" customHeight="1" s="8"/>
    <row r="615" ht="12.75" customHeight="1" s="8"/>
    <row r="616" ht="12.75" customHeight="1" s="8"/>
    <row r="617" ht="12.75" customHeight="1" s="8"/>
    <row r="618" ht="12.75" customHeight="1" s="8"/>
    <row r="619" ht="12.75" customHeight="1" s="8"/>
    <row r="620" ht="12.75" customHeight="1" s="8"/>
    <row r="621" ht="12.75" customHeight="1" s="8"/>
    <row r="622" ht="12.75" customHeight="1" s="8"/>
    <row r="623" ht="12.75" customHeight="1" s="8"/>
    <row r="624" ht="12.75" customHeight="1" s="8"/>
    <row r="625" ht="12.75" customHeight="1" s="8"/>
    <row r="626" ht="12.75" customHeight="1" s="8"/>
    <row r="627" ht="12.75" customHeight="1" s="8"/>
    <row r="628" ht="12.75" customHeight="1" s="8"/>
    <row r="629" ht="12.75" customHeight="1" s="8"/>
    <row r="630" ht="12.75" customHeight="1" s="8"/>
    <row r="631" ht="12.75" customHeight="1" s="8"/>
    <row r="632" ht="12.75" customHeight="1" s="8"/>
    <row r="633" ht="12.75" customHeight="1" s="8"/>
    <row r="634" ht="12.75" customHeight="1" s="8"/>
    <row r="635" ht="12.75" customHeight="1" s="8"/>
    <row r="636" ht="12.75" customHeight="1" s="8"/>
    <row r="637" ht="12.75" customHeight="1" s="8"/>
    <row r="638" ht="12.75" customHeight="1" s="8"/>
    <row r="639" ht="12.75" customHeight="1" s="8"/>
    <row r="640" ht="12.75" customHeight="1" s="8"/>
    <row r="641" ht="12.75" customHeight="1" s="8"/>
    <row r="642" ht="12.75" customHeight="1" s="8"/>
    <row r="643" ht="12.75" customHeight="1" s="8"/>
    <row r="644" ht="12.75" customHeight="1" s="8"/>
    <row r="645" ht="12.75" customHeight="1" s="8"/>
    <row r="646" ht="12.75" customHeight="1" s="8"/>
    <row r="647" ht="12.75" customHeight="1" s="8"/>
    <row r="648" ht="12.75" customHeight="1" s="8"/>
    <row r="649" ht="12.75" customHeight="1" s="8"/>
    <row r="650" ht="12.75" customHeight="1" s="8"/>
    <row r="651" ht="12.75" customHeight="1" s="8"/>
    <row r="652" ht="12.75" customHeight="1" s="8"/>
    <row r="653" ht="12.75" customHeight="1" s="8"/>
    <row r="654" ht="12.75" customHeight="1" s="8"/>
    <row r="655" ht="12.75" customHeight="1" s="8"/>
    <row r="656" ht="12.75" customHeight="1" s="8"/>
    <row r="657" ht="12.75" customHeight="1" s="8"/>
    <row r="658" ht="12.75" customHeight="1" s="8"/>
    <row r="659" ht="12.75" customHeight="1" s="8"/>
    <row r="660" ht="12.75" customHeight="1" s="8"/>
    <row r="661" ht="12.75" customHeight="1" s="8"/>
    <row r="662" ht="12.75" customHeight="1" s="8"/>
    <row r="663" ht="12.75" customHeight="1" s="8"/>
    <row r="664" ht="12.75" customHeight="1" s="8"/>
    <row r="665" ht="12.75" customHeight="1" s="8"/>
    <row r="666" ht="12.75" customHeight="1" s="8"/>
    <row r="667" ht="12.75" customHeight="1" s="8"/>
    <row r="668" ht="12.75" customHeight="1" s="8"/>
    <row r="669" ht="12.75" customHeight="1" s="8"/>
    <row r="670" ht="12.75" customHeight="1" s="8"/>
    <row r="671" ht="12.75" customHeight="1" s="8"/>
    <row r="672" ht="12.75" customHeight="1" s="8"/>
    <row r="673" ht="12.75" customHeight="1" s="8"/>
    <row r="674" ht="12.75" customHeight="1" s="8"/>
    <row r="675" ht="12.75" customHeight="1" s="8"/>
    <row r="676" ht="12.75" customHeight="1" s="8"/>
    <row r="677" ht="12.75" customHeight="1" s="8"/>
    <row r="678" ht="12.75" customHeight="1" s="8"/>
    <row r="679" ht="12.75" customHeight="1" s="8"/>
    <row r="680" ht="12.75" customHeight="1" s="8"/>
    <row r="681" ht="12.75" customHeight="1" s="8"/>
    <row r="682" ht="12.75" customHeight="1" s="8"/>
    <row r="683" ht="12.75" customHeight="1" s="8"/>
    <row r="684" ht="12.75" customHeight="1" s="8"/>
    <row r="685" ht="12.75" customHeight="1" s="8"/>
    <row r="686" ht="12.75" customHeight="1" s="8"/>
    <row r="687" ht="12.75" customHeight="1" s="8"/>
    <row r="688" ht="12.75" customHeight="1" s="8"/>
    <row r="689" ht="12.75" customHeight="1" s="8"/>
    <row r="690" ht="12.75" customHeight="1" s="8"/>
    <row r="691" ht="12.75" customHeight="1" s="8"/>
    <row r="692" ht="12.75" customHeight="1" s="8"/>
    <row r="693" ht="12.75" customHeight="1" s="8"/>
    <row r="694" ht="12.75" customHeight="1" s="8"/>
    <row r="695" ht="12.75" customHeight="1" s="8"/>
    <row r="696" ht="12.75" customHeight="1" s="8"/>
    <row r="697" ht="12.75" customHeight="1" s="8"/>
    <row r="698" ht="12.75" customHeight="1" s="8"/>
    <row r="699" ht="12.75" customHeight="1" s="8"/>
    <row r="700" ht="12.75" customHeight="1" s="8"/>
    <row r="701" ht="12.75" customHeight="1" s="8"/>
    <row r="702" ht="12.75" customHeight="1" s="8"/>
    <row r="703" ht="12.75" customHeight="1" s="8"/>
    <row r="704" ht="12.75" customHeight="1" s="8"/>
    <row r="705" ht="12.75" customHeight="1" s="8"/>
    <row r="706" ht="12.75" customHeight="1" s="8"/>
    <row r="707" ht="12.75" customHeight="1" s="8"/>
    <row r="708" ht="12.75" customHeight="1" s="8"/>
    <row r="709" ht="12.75" customHeight="1" s="8"/>
    <row r="710" ht="12.75" customHeight="1" s="8"/>
    <row r="711" ht="12.75" customHeight="1" s="8"/>
    <row r="712" ht="12.75" customHeight="1" s="8"/>
    <row r="713" ht="12.75" customHeight="1" s="8"/>
    <row r="714" ht="12.75" customHeight="1" s="8"/>
    <row r="715" ht="12.75" customHeight="1" s="8"/>
    <row r="716" ht="12.75" customHeight="1" s="8"/>
    <row r="717" ht="12.75" customHeight="1" s="8"/>
    <row r="718" ht="12.75" customHeight="1" s="8"/>
    <row r="719" ht="12.75" customHeight="1" s="8"/>
    <row r="720" ht="12.75" customHeight="1" s="8"/>
    <row r="721" ht="12.75" customHeight="1" s="8"/>
    <row r="722" ht="12.75" customHeight="1" s="8"/>
    <row r="723" ht="12.75" customHeight="1" s="8"/>
    <row r="724" ht="12.75" customHeight="1" s="8"/>
    <row r="725" ht="12.75" customHeight="1" s="8"/>
    <row r="726" ht="12.75" customHeight="1" s="8"/>
    <row r="727" ht="12.75" customHeight="1" s="8"/>
    <row r="728" ht="12.75" customHeight="1" s="8"/>
    <row r="729" ht="12.75" customHeight="1" s="8"/>
    <row r="730" ht="12.75" customHeight="1" s="8"/>
    <row r="731" ht="12.75" customHeight="1" s="8"/>
    <row r="732" ht="12.75" customHeight="1" s="8"/>
    <row r="733" ht="12.75" customHeight="1" s="8"/>
    <row r="734" ht="12.75" customHeight="1" s="8"/>
    <row r="735" ht="12.75" customHeight="1" s="8"/>
    <row r="736" ht="12.75" customHeight="1" s="8"/>
    <row r="737" ht="12.75" customHeight="1" s="8"/>
    <row r="738" ht="12.75" customHeight="1" s="8"/>
    <row r="739" ht="12.75" customHeight="1" s="8"/>
    <row r="740" ht="12.75" customHeight="1" s="8"/>
    <row r="741" ht="12.75" customHeight="1" s="8"/>
    <row r="742" ht="12.75" customHeight="1" s="8"/>
    <row r="743" ht="12.75" customHeight="1" s="8"/>
    <row r="744" ht="12.75" customHeight="1" s="8"/>
    <row r="745" ht="12.75" customHeight="1" s="8"/>
    <row r="746" ht="12.75" customHeight="1" s="8"/>
    <row r="747" ht="12.75" customHeight="1" s="8"/>
    <row r="748" ht="12.75" customHeight="1" s="8"/>
    <row r="749" ht="12.75" customHeight="1" s="8"/>
    <row r="750" ht="12.75" customHeight="1" s="8"/>
    <row r="751" ht="12.75" customHeight="1" s="8"/>
    <row r="752" ht="12.75" customHeight="1" s="8"/>
    <row r="753" ht="12.75" customHeight="1" s="8"/>
    <row r="754" ht="12.75" customHeight="1" s="8"/>
    <row r="755" ht="12.75" customHeight="1" s="8"/>
    <row r="756" ht="12.75" customHeight="1" s="8"/>
    <row r="757" ht="12.75" customHeight="1" s="8"/>
    <row r="758" ht="12.75" customHeight="1" s="8"/>
    <row r="759" ht="12.75" customHeight="1" s="8"/>
    <row r="760" ht="12.75" customHeight="1" s="8"/>
    <row r="761" ht="12.75" customHeight="1" s="8"/>
    <row r="762" ht="12.75" customHeight="1" s="8"/>
    <row r="763" ht="12.75" customHeight="1" s="8"/>
    <row r="764" ht="12.75" customHeight="1" s="8"/>
    <row r="765" ht="12.75" customHeight="1" s="8"/>
    <row r="766" ht="12.75" customHeight="1" s="8"/>
    <row r="767" ht="12.75" customHeight="1" s="8"/>
    <row r="768" ht="12.75" customHeight="1" s="8"/>
    <row r="769" ht="12.75" customHeight="1" s="8"/>
    <row r="770" ht="12.75" customHeight="1" s="8"/>
    <row r="771" ht="12.75" customHeight="1" s="8"/>
    <row r="772" ht="12.75" customHeight="1" s="8"/>
    <row r="773" ht="12.75" customHeight="1" s="8"/>
    <row r="774" ht="12.75" customHeight="1" s="8"/>
    <row r="775" ht="12.75" customHeight="1" s="8"/>
    <row r="776" ht="12.75" customHeight="1" s="8"/>
    <row r="777" ht="12.75" customHeight="1" s="8"/>
    <row r="778" ht="12.75" customHeight="1" s="8"/>
    <row r="779" ht="12.75" customHeight="1" s="8"/>
    <row r="780" ht="12.75" customHeight="1" s="8"/>
    <row r="781" ht="12.75" customHeight="1" s="8"/>
    <row r="782" ht="12.75" customHeight="1" s="8"/>
    <row r="783" ht="12.75" customHeight="1" s="8"/>
    <row r="784" ht="12.75" customHeight="1" s="8"/>
    <row r="785" ht="12.75" customHeight="1" s="8"/>
    <row r="786" ht="12.75" customHeight="1" s="8"/>
    <row r="787" ht="12.75" customHeight="1" s="8"/>
    <row r="788" ht="12.75" customHeight="1" s="8"/>
    <row r="789" ht="12.75" customHeight="1" s="8"/>
    <row r="790" ht="12.75" customHeight="1" s="8"/>
    <row r="791" ht="12.75" customHeight="1" s="8"/>
    <row r="792" ht="12.75" customHeight="1" s="8"/>
    <row r="793" ht="12.75" customHeight="1" s="8"/>
    <row r="794" ht="12.75" customHeight="1" s="8"/>
    <row r="795" ht="12.75" customHeight="1" s="8"/>
    <row r="796" ht="12.75" customHeight="1" s="8"/>
    <row r="797" ht="12.75" customHeight="1" s="8"/>
    <row r="798" ht="12.75" customHeight="1" s="8"/>
    <row r="799" ht="12.75" customHeight="1" s="8"/>
    <row r="800" ht="12.75" customHeight="1" s="8"/>
    <row r="801" ht="12.75" customHeight="1" s="8"/>
    <row r="802" ht="12.75" customHeight="1" s="8"/>
    <row r="803" ht="12.75" customHeight="1" s="8"/>
    <row r="804" ht="12.75" customHeight="1" s="8"/>
    <row r="805" ht="12.75" customHeight="1" s="8"/>
    <row r="806" ht="12.75" customHeight="1" s="8"/>
    <row r="807" ht="12.75" customHeight="1" s="8"/>
    <row r="808" ht="12.75" customHeight="1" s="8"/>
    <row r="809" ht="12.75" customHeight="1" s="8"/>
    <row r="810" ht="12.75" customHeight="1" s="8"/>
    <row r="811" ht="12.75" customHeight="1" s="8"/>
    <row r="812" ht="12.75" customHeight="1" s="8"/>
    <row r="813" ht="12.75" customHeight="1" s="8"/>
    <row r="814" ht="12.75" customHeight="1" s="8"/>
    <row r="815" ht="12.75" customHeight="1" s="8"/>
    <row r="816" ht="12.75" customHeight="1" s="8"/>
    <row r="817" ht="12.75" customHeight="1" s="8"/>
    <row r="818" ht="12.75" customHeight="1" s="8"/>
    <row r="819" ht="12.75" customHeight="1" s="8"/>
    <row r="820" ht="12.75" customHeight="1" s="8"/>
    <row r="821" ht="12.75" customHeight="1" s="8"/>
    <row r="822" ht="12.75" customHeight="1" s="8"/>
    <row r="823" ht="12.75" customHeight="1" s="8"/>
    <row r="824" ht="12.75" customHeight="1" s="8"/>
    <row r="825" ht="12.75" customHeight="1" s="8"/>
    <row r="826" ht="12.75" customHeight="1" s="8"/>
    <row r="827" ht="12.75" customHeight="1" s="8"/>
    <row r="828" ht="12.75" customHeight="1" s="8"/>
    <row r="829" ht="12.75" customHeight="1" s="8"/>
    <row r="830" ht="12.75" customHeight="1" s="8"/>
    <row r="831" ht="12.75" customHeight="1" s="8"/>
    <row r="832" ht="12.75" customHeight="1" s="8"/>
    <row r="833" ht="12.75" customHeight="1" s="8"/>
    <row r="834" ht="12.75" customHeight="1" s="8"/>
    <row r="835" ht="12.75" customHeight="1" s="8"/>
    <row r="836" ht="12.75" customHeight="1" s="8"/>
    <row r="837" ht="12.75" customHeight="1" s="8"/>
    <row r="838" ht="12.75" customHeight="1" s="8"/>
    <row r="839" ht="12.75" customHeight="1" s="8"/>
    <row r="840" ht="12.75" customHeight="1" s="8"/>
    <row r="841" ht="12.75" customHeight="1" s="8"/>
    <row r="842" ht="12.75" customHeight="1" s="8"/>
    <row r="843" ht="12.75" customHeight="1" s="8"/>
    <row r="844" ht="12.75" customHeight="1" s="8"/>
    <row r="845" ht="12.75" customHeight="1" s="8"/>
    <row r="846" ht="12.75" customHeight="1" s="8"/>
    <row r="847" ht="12.75" customHeight="1" s="8"/>
    <row r="848" ht="12.75" customHeight="1" s="8"/>
    <row r="849" ht="12.75" customHeight="1" s="8"/>
    <row r="850" ht="12.75" customHeight="1" s="8"/>
    <row r="851" ht="12.75" customHeight="1" s="8"/>
    <row r="852" ht="12.75" customHeight="1" s="8"/>
    <row r="853" ht="12.75" customHeight="1" s="8"/>
    <row r="854" ht="12.75" customHeight="1" s="8"/>
    <row r="855" ht="12.75" customHeight="1" s="8"/>
    <row r="856" ht="12.75" customHeight="1" s="8"/>
    <row r="857" ht="12.75" customHeight="1" s="8"/>
    <row r="858" ht="12.75" customHeight="1" s="8"/>
    <row r="859" ht="12.75" customHeight="1" s="8"/>
    <row r="860" ht="12.75" customHeight="1" s="8"/>
    <row r="861" ht="12.75" customHeight="1" s="8"/>
    <row r="862" ht="12.75" customHeight="1" s="8"/>
    <row r="863" ht="12.75" customHeight="1" s="8"/>
    <row r="864" ht="12.75" customHeight="1" s="8"/>
    <row r="865" ht="12.75" customHeight="1" s="8"/>
    <row r="866" ht="12.75" customHeight="1" s="8"/>
    <row r="867" ht="12.75" customHeight="1" s="8"/>
    <row r="868" ht="12.75" customHeight="1" s="8"/>
    <row r="869" ht="12.75" customHeight="1" s="8"/>
    <row r="870" ht="12.75" customHeight="1" s="8"/>
    <row r="871" ht="12.75" customHeight="1" s="8"/>
    <row r="872" ht="12.75" customHeight="1" s="8"/>
    <row r="873" ht="12.75" customHeight="1" s="8"/>
    <row r="874" ht="12.75" customHeight="1" s="8"/>
    <row r="875" ht="12.75" customHeight="1" s="8"/>
    <row r="876" ht="12.75" customHeight="1" s="8"/>
    <row r="877" ht="12.75" customHeight="1" s="8"/>
    <row r="878" ht="12.75" customHeight="1" s="8"/>
    <row r="879" ht="12.75" customHeight="1" s="8"/>
    <row r="880" ht="12.75" customHeight="1" s="8"/>
    <row r="881" ht="12.75" customHeight="1" s="8"/>
    <row r="882" ht="12.75" customHeight="1" s="8"/>
    <row r="883" ht="12.75" customHeight="1" s="8"/>
    <row r="884" ht="12.75" customHeight="1" s="8"/>
    <row r="885" ht="12.75" customHeight="1" s="8"/>
    <row r="886" ht="12.75" customHeight="1" s="8"/>
    <row r="887" ht="12.75" customHeight="1" s="8"/>
    <row r="888" ht="12.75" customHeight="1" s="8"/>
    <row r="889" ht="12.75" customHeight="1" s="8"/>
    <row r="890" ht="12.75" customHeight="1" s="8"/>
    <row r="891" ht="12.75" customHeight="1" s="8"/>
    <row r="892" ht="12.75" customHeight="1" s="8"/>
    <row r="893" ht="12.75" customHeight="1" s="8"/>
    <row r="894" ht="12.75" customHeight="1" s="8"/>
    <row r="895" ht="12.75" customHeight="1" s="8"/>
    <row r="896" ht="12.75" customHeight="1" s="8"/>
    <row r="897" ht="12.75" customHeight="1" s="8"/>
    <row r="898" ht="12.75" customHeight="1" s="8"/>
    <row r="899" ht="12.75" customHeight="1" s="8"/>
    <row r="900" ht="12.75" customHeight="1" s="8"/>
    <row r="901" ht="12.75" customHeight="1" s="8"/>
    <row r="902" ht="12.75" customHeight="1" s="8"/>
    <row r="903" ht="12.75" customHeight="1" s="8"/>
    <row r="904" ht="12.75" customHeight="1" s="8"/>
    <row r="905" ht="12.75" customHeight="1" s="8"/>
    <row r="906" ht="12.75" customHeight="1" s="8"/>
    <row r="907" ht="12.75" customHeight="1" s="8"/>
    <row r="908" ht="12.75" customHeight="1" s="8"/>
    <row r="909" ht="12.75" customHeight="1" s="8"/>
    <row r="910" ht="12.75" customHeight="1" s="8"/>
    <row r="911" ht="12.75" customHeight="1" s="8"/>
    <row r="912" ht="12.75" customHeight="1" s="8"/>
    <row r="913" ht="12.75" customHeight="1" s="8"/>
    <row r="914" ht="12.75" customHeight="1" s="8"/>
    <row r="915" ht="12.75" customHeight="1" s="8"/>
    <row r="916" ht="12.75" customHeight="1" s="8"/>
    <row r="917" ht="12.75" customHeight="1" s="8"/>
    <row r="918" ht="12.75" customHeight="1" s="8"/>
    <row r="919" ht="12.75" customHeight="1" s="8"/>
    <row r="920" ht="12.75" customHeight="1" s="8"/>
    <row r="921" ht="12.75" customHeight="1" s="8"/>
    <row r="922" ht="12.75" customHeight="1" s="8"/>
    <row r="923" ht="12.75" customHeight="1" s="8"/>
    <row r="924" ht="12.75" customHeight="1" s="8"/>
    <row r="925" ht="12.75" customHeight="1" s="8"/>
    <row r="926" ht="12.75" customHeight="1" s="8"/>
    <row r="927" ht="12.75" customHeight="1" s="8"/>
    <row r="928" ht="12.75" customHeight="1" s="8"/>
    <row r="929" ht="12.75" customHeight="1" s="8"/>
    <row r="930" ht="12.75" customHeight="1" s="8"/>
    <row r="931" ht="12.75" customHeight="1" s="8"/>
    <row r="932" ht="12.75" customHeight="1" s="8"/>
    <row r="933" ht="12.75" customHeight="1" s="8"/>
    <row r="934" ht="12.75" customHeight="1" s="8"/>
    <row r="935" ht="12.75" customHeight="1" s="8"/>
    <row r="936" ht="12.75" customHeight="1" s="8"/>
    <row r="937" ht="12.75" customHeight="1" s="8"/>
    <row r="938" ht="12.75" customHeight="1" s="8"/>
    <row r="939" ht="12.75" customHeight="1" s="8"/>
    <row r="940" ht="12.75" customHeight="1" s="8"/>
    <row r="941" ht="12.75" customHeight="1" s="8"/>
    <row r="942" ht="12.75" customHeight="1" s="8"/>
    <row r="943" ht="12.75" customHeight="1" s="8"/>
    <row r="944" ht="12.75" customHeight="1" s="8"/>
    <row r="945" ht="12.75" customHeight="1" s="8"/>
    <row r="946" ht="12.75" customHeight="1" s="8"/>
    <row r="947" ht="12.75" customHeight="1" s="8"/>
    <row r="948" ht="12.75" customHeight="1" s="8"/>
    <row r="949" ht="12.75" customHeight="1" s="8"/>
    <row r="950" ht="12.75" customHeight="1" s="8"/>
    <row r="951" ht="12.75" customHeight="1" s="8"/>
    <row r="952" ht="12.75" customHeight="1" s="8"/>
    <row r="953" ht="12.75" customHeight="1" s="8"/>
    <row r="954" ht="12.75" customHeight="1" s="8"/>
    <row r="955" ht="12.75" customHeight="1" s="8"/>
    <row r="956" ht="12.75" customHeight="1" s="8"/>
    <row r="957" ht="12.75" customHeight="1" s="8"/>
    <row r="958" ht="12.75" customHeight="1" s="8"/>
    <row r="959" ht="12.75" customHeight="1" s="8"/>
    <row r="960" ht="12.75" customHeight="1" s="8"/>
    <row r="961" ht="12.75" customHeight="1" s="8"/>
    <row r="962" ht="12.75" customHeight="1" s="8"/>
    <row r="963" ht="12.75" customHeight="1" s="8"/>
    <row r="964" ht="12.75" customHeight="1" s="8"/>
    <row r="965" ht="12.75" customHeight="1" s="8"/>
    <row r="966" ht="12.75" customHeight="1" s="8"/>
    <row r="967" ht="12.75" customHeight="1" s="8"/>
    <row r="968" ht="12.75" customHeight="1" s="8"/>
    <row r="969" ht="12.75" customHeight="1" s="8"/>
    <row r="970" ht="12.75" customHeight="1" s="8"/>
    <row r="971" ht="12.75" customHeight="1" s="8"/>
    <row r="972" ht="12.75" customHeight="1" s="8"/>
    <row r="973" ht="12.75" customHeight="1" s="8"/>
    <row r="974" ht="12.75" customHeight="1" s="8"/>
    <row r="975" ht="12.75" customHeight="1" s="8"/>
    <row r="976" ht="12.75" customHeight="1" s="8"/>
    <row r="977" ht="12.75" customHeight="1" s="8"/>
    <row r="978" ht="12.75" customHeight="1" s="8"/>
    <row r="979" ht="12.75" customHeight="1" s="8"/>
    <row r="980" ht="12.75" customHeight="1" s="8"/>
    <row r="981" ht="12.75" customHeight="1" s="8"/>
    <row r="982" ht="12.75" customHeight="1" s="8"/>
    <row r="983" ht="12.75" customHeight="1" s="8"/>
    <row r="984" ht="12.75" customHeight="1" s="8"/>
    <row r="985" ht="12.75" customHeight="1" s="8"/>
    <row r="986" ht="12.75" customHeight="1" s="8"/>
    <row r="987" ht="12.75" customHeight="1" s="8"/>
    <row r="988" ht="12.75" customHeight="1" s="8"/>
    <row r="989" ht="12.75" customHeight="1" s="8"/>
    <row r="990" ht="12.75" customHeight="1" s="8"/>
    <row r="991" ht="12.75" customHeight="1" s="8"/>
    <row r="992" ht="12.75" customHeight="1" s="8"/>
    <row r="993" ht="12.75" customHeight="1" s="8"/>
    <row r="994" ht="12.75" customHeight="1" s="8"/>
    <row r="995" ht="12.75" customHeight="1" s="8"/>
    <row r="996" ht="12.75" customHeight="1" s="8"/>
    <row r="997" ht="12.75" customHeight="1" s="8"/>
    <row r="998" ht="12.75" customHeight="1" s="8"/>
    <row r="999" ht="12.75" customHeight="1" s="8"/>
    <row r="1000" ht="12.75" customHeight="1" s="8"/>
    <row r="1001" ht="12.75" customHeight="1" s="8"/>
    <row r="1002" ht="12.75" customHeight="1" s="8"/>
    <row r="1003" ht="12.75" customHeight="1" s="8"/>
    <row r="1004" ht="12.75" customHeight="1" s="8"/>
    <row r="1005" ht="12.75" customHeight="1" s="8"/>
    <row r="1006" ht="12.75" customHeight="1" s="8"/>
    <row r="1007" ht="12.75" customHeight="1" s="8"/>
    <row r="1008" ht="12.75" customHeight="1" s="8"/>
    <row r="1009" ht="12.75" customHeight="1" s="8"/>
    <row r="1010" ht="12.75" customHeight="1" s="8"/>
    <row r="1011" ht="12.75" customHeight="1" s="8"/>
    <row r="1012" ht="12.75" customHeight="1" s="8"/>
    <row r="1013" ht="12.75" customHeight="1" s="8"/>
    <row r="1014" ht="12.75" customHeight="1" s="8"/>
    <row r="1015" ht="12.75" customHeight="1" s="8"/>
    <row r="1016" ht="12.75" customHeight="1" s="8"/>
    <row r="1017" ht="12.75" customHeight="1" s="8"/>
    <row r="1018" ht="12.75" customHeight="1" s="8"/>
    <row r="1019" ht="12.75" customHeight="1" s="8"/>
    <row r="1020" ht="12.75" customHeight="1" s="8"/>
    <row r="1021" ht="12.75" customHeight="1" s="8"/>
    <row r="1022" ht="12.75" customHeight="1" s="8"/>
    <row r="1023" ht="12.75" customHeight="1" s="8"/>
    <row r="1024" ht="12.75" customHeight="1" s="8"/>
    <row r="1025" ht="12.75" customHeight="1" s="8"/>
    <row r="1026" ht="12.75" customHeight="1" s="8"/>
    <row r="1027" ht="12.75" customHeight="1" s="8"/>
    <row r="1028" ht="12.75" customHeight="1" s="8"/>
    <row r="1029" ht="12.75" customHeight="1" s="8"/>
    <row r="1030" ht="12.75" customHeight="1" s="8"/>
    <row r="1031" ht="12.75" customHeight="1" s="8"/>
    <row r="1032" ht="12.75" customHeight="1" s="8"/>
    <row r="1033" ht="12.75" customHeight="1" s="8"/>
    <row r="1034" ht="12.75" customHeight="1" s="8"/>
    <row r="1035" ht="12.75" customHeight="1" s="8"/>
    <row r="1036" ht="12.75" customHeight="1" s="8"/>
    <row r="1037" ht="12.75" customHeight="1" s="8"/>
    <row r="1038" ht="12.75" customHeight="1" s="8"/>
    <row r="1039" ht="12.75" customHeight="1" s="8"/>
    <row r="1040" ht="12.75" customHeight="1" s="8"/>
    <row r="1041" ht="12.75" customHeight="1" s="8"/>
    <row r="1042" ht="12.75" customHeight="1" s="8"/>
    <row r="1043" ht="12.75" customHeight="1" s="8"/>
    <row r="1044" ht="12.75" customHeight="1" s="8"/>
    <row r="1045" ht="12.75" customHeight="1" s="8"/>
    <row r="1046" ht="12.75" customHeight="1" s="8"/>
    <row r="1047" ht="12.75" customHeight="1" s="8"/>
    <row r="1048" ht="12.75" customHeight="1" s="8"/>
    <row r="1049" ht="12.75" customHeight="1" s="8"/>
    <row r="1050" ht="12.75" customHeight="1" s="8"/>
    <row r="1051" ht="12.75" customHeight="1" s="8"/>
    <row r="1052" ht="12.75" customHeight="1" s="8"/>
    <row r="1053" ht="12.75" customHeight="1" s="8"/>
    <row r="1054" ht="12.75" customHeight="1" s="8"/>
    <row r="1055" ht="12.75" customHeight="1" s="8"/>
    <row r="1056" ht="12.75" customHeight="1" s="8"/>
    <row r="1057" ht="12.75" customHeight="1" s="8"/>
    <row r="1058" ht="12.75" customHeight="1" s="8"/>
    <row r="1059" ht="12.75" customHeight="1" s="8"/>
    <row r="1060" ht="12.75" customHeight="1" s="8"/>
    <row r="1061" ht="12.75" customHeight="1" s="8"/>
    <row r="1062" ht="12.75" customHeight="1" s="8"/>
    <row r="1063" ht="12.75" customHeight="1" s="8"/>
    <row r="1064" ht="12.75" customHeight="1" s="8"/>
    <row r="1065" ht="12.75" customHeight="1" s="8"/>
    <row r="1066" ht="12.75" customHeight="1" s="8"/>
    <row r="1067" ht="12.75" customHeight="1" s="8"/>
    <row r="1068" ht="12.75" customHeight="1" s="8"/>
    <row r="1069" ht="12.75" customHeight="1" s="8"/>
    <row r="1070" ht="12.75" customHeight="1" s="8"/>
    <row r="1071" ht="12.75" customHeight="1" s="8"/>
    <row r="1072" ht="12.75" customHeight="1" s="8"/>
    <row r="1073" ht="12.75" customHeight="1" s="8"/>
    <row r="1074" ht="12.75" customHeight="1" s="8"/>
    <row r="1075" ht="12.75" customHeight="1" s="8"/>
    <row r="1076" ht="12.75" customHeight="1" s="8"/>
    <row r="1077" ht="12.75" customHeight="1" s="8"/>
    <row r="1078" ht="12.75" customHeight="1" s="8"/>
    <row r="1079" ht="12.75" customHeight="1" s="8"/>
    <row r="1080" ht="12.75" customHeight="1" s="8"/>
    <row r="1081" ht="12.75" customHeight="1" s="8"/>
    <row r="1082" ht="12.75" customHeight="1" s="8"/>
    <row r="1083" ht="12.75" customHeight="1" s="8"/>
    <row r="1084" ht="12.75" customHeight="1" s="8"/>
    <row r="1085" ht="12.75" customHeight="1" s="8"/>
    <row r="1086" ht="12.75" customHeight="1" s="8"/>
    <row r="1087" ht="12.75" customHeight="1" s="8"/>
    <row r="1088" ht="12.75" customHeight="1" s="8"/>
    <row r="1089" ht="12.75" customHeight="1" s="8"/>
    <row r="1090" ht="12.75" customHeight="1" s="8"/>
    <row r="1091" ht="12.75" customHeight="1" s="8"/>
    <row r="1092" ht="12.75" customHeight="1" s="8"/>
    <row r="1093" ht="12.75" customHeight="1" s="8"/>
    <row r="1094" ht="12.75" customHeight="1" s="8"/>
    <row r="1095" ht="12.75" customHeight="1" s="8"/>
    <row r="1096" ht="12.75" customHeight="1" s="8"/>
    <row r="1097" ht="12.75" customHeight="1" s="8"/>
    <row r="1098" ht="12.75" customHeight="1" s="8"/>
    <row r="1099" ht="12.75" customHeight="1" s="8"/>
    <row r="1100" ht="12.75" customHeight="1" s="8"/>
    <row r="1101" ht="12.75" customHeight="1" s="8"/>
    <row r="1102" ht="12.75" customHeight="1" s="8"/>
    <row r="1103" ht="12.75" customHeight="1" s="8"/>
    <row r="1104" ht="12.75" customHeight="1" s="8"/>
    <row r="1105" ht="12.75" customHeight="1" s="8"/>
    <row r="1106" ht="12.75" customHeight="1" s="8"/>
    <row r="1107" ht="12.75" customHeight="1" s="8"/>
    <row r="1108" ht="12.75" customHeight="1" s="8"/>
    <row r="1109" ht="12.75" customHeight="1" s="8"/>
    <row r="1110" ht="12.75" customHeight="1" s="8"/>
    <row r="1111" ht="12.75" customHeight="1" s="8"/>
    <row r="1112" ht="12.75" customHeight="1" s="8"/>
    <row r="1113" ht="12.75" customHeight="1" s="8"/>
    <row r="1114" ht="12.75" customHeight="1" s="8"/>
    <row r="1115" ht="12.75" customHeight="1" s="8"/>
    <row r="1116" ht="12.75" customHeight="1" s="8"/>
    <row r="1117" ht="12.75" customHeight="1" s="8"/>
    <row r="1118" ht="12.75" customHeight="1" s="8"/>
    <row r="1119" ht="12.75" customHeight="1" s="8"/>
    <row r="1120" ht="12.75" customHeight="1" s="8"/>
    <row r="1121" ht="12.75" customHeight="1" s="8"/>
    <row r="1122" ht="12.75" customHeight="1" s="8"/>
    <row r="1123" ht="12.75" customHeight="1" s="8"/>
    <row r="1124" ht="12.75" customHeight="1" s="8"/>
    <row r="1125" ht="12.75" customHeight="1" s="8"/>
    <row r="1126" ht="12.75" customHeight="1" s="8"/>
    <row r="1127" ht="12.75" customHeight="1" s="8"/>
    <row r="1128" ht="12.75" customHeight="1" s="8"/>
    <row r="1129" ht="12.75" customHeight="1" s="8"/>
    <row r="1130" ht="12.75" customHeight="1" s="8"/>
    <row r="1131" ht="12.75" customHeight="1" s="8"/>
    <row r="1132" ht="12.75" customHeight="1" s="8"/>
    <row r="1133" ht="12.75" customHeight="1" s="8"/>
    <row r="1134" ht="12.75" customHeight="1" s="8"/>
    <row r="1135" ht="12.75" customHeight="1" s="8"/>
    <row r="1136" ht="12.75" customHeight="1" s="8"/>
    <row r="1137" ht="12.75" customHeight="1" s="8"/>
    <row r="1138" ht="12.75" customHeight="1" s="8"/>
    <row r="1139" ht="12.75" customHeight="1" s="8"/>
    <row r="1140" ht="12.75" customHeight="1" s="8"/>
    <row r="1141" ht="12.75" customHeight="1" s="8"/>
    <row r="1142" ht="12.75" customHeight="1" s="8"/>
    <row r="1143" ht="12.75" customHeight="1" s="8"/>
    <row r="1144" ht="12.75" customHeight="1" s="8"/>
    <row r="1145" ht="12.75" customHeight="1" s="8"/>
    <row r="1146" ht="12.75" customHeight="1" s="8"/>
    <row r="1147" ht="12.75" customHeight="1" s="8"/>
    <row r="1148" ht="12.75" customHeight="1" s="8"/>
    <row r="1149" ht="12.75" customHeight="1" s="8"/>
    <row r="1150" ht="12.75" customHeight="1" s="8"/>
    <row r="1151" ht="12.75" customHeight="1" s="8"/>
    <row r="1152" ht="12.75" customHeight="1" s="8"/>
    <row r="1153" ht="12.75" customHeight="1" s="8"/>
    <row r="1154" ht="12.75" customHeight="1" s="8"/>
    <row r="1155" ht="12.75" customHeight="1" s="8"/>
    <row r="1156" ht="12.75" customHeight="1" s="8"/>
    <row r="1157" ht="12.75" customHeight="1" s="8"/>
    <row r="1158" ht="12.75" customHeight="1" s="8"/>
    <row r="1159" ht="12.75" customHeight="1" s="8"/>
    <row r="1160" ht="12.75" customHeight="1" s="8"/>
    <row r="1161" ht="12.75" customHeight="1" s="8"/>
    <row r="1162" ht="12.75" customHeight="1" s="8"/>
    <row r="1163" ht="12.75" customHeight="1" s="8"/>
    <row r="1164" ht="12.75" customHeight="1" s="8"/>
    <row r="1165" ht="12.75" customHeight="1" s="8"/>
    <row r="1166" ht="12.75" customHeight="1" s="8"/>
    <row r="1167" ht="12.75" customHeight="1" s="8"/>
    <row r="1168" ht="12.75" customHeight="1" s="8"/>
    <row r="1169" ht="12.75" customHeight="1" s="8"/>
    <row r="1170" ht="12.75" customHeight="1" s="8"/>
    <row r="1171" ht="12.75" customHeight="1" s="8"/>
    <row r="1172" ht="12.75" customHeight="1" s="8"/>
    <row r="1173" ht="12.75" customHeight="1" s="8"/>
    <row r="1174" ht="12.75" customHeight="1" s="8"/>
    <row r="1175" ht="12.75" customHeight="1" s="8"/>
    <row r="1176" ht="12.75" customHeight="1" s="8"/>
    <row r="1177" ht="12.75" customHeight="1" s="8"/>
    <row r="1178" ht="12.75" customHeight="1" s="8"/>
    <row r="1179" ht="12.75" customHeight="1" s="8"/>
    <row r="1180" ht="12.75" customHeight="1" s="8"/>
    <row r="1181" ht="12.75" customHeight="1" s="8"/>
    <row r="1182" ht="12.75" customHeight="1" s="8"/>
    <row r="1183" ht="12.75" customHeight="1" s="8"/>
    <row r="1184" ht="12.75" customHeight="1" s="8"/>
    <row r="1185" ht="12.75" customHeight="1" s="8"/>
    <row r="1186" ht="12.75" customHeight="1" s="8"/>
    <row r="1187" ht="12.75" customHeight="1" s="8"/>
    <row r="1188" ht="12.75" customHeight="1" s="8"/>
    <row r="1189" ht="12.75" customHeight="1" s="8"/>
    <row r="1190" ht="12.75" customHeight="1" s="8"/>
    <row r="1191" ht="12.75" customHeight="1" s="8"/>
    <row r="1192" ht="12.75" customHeight="1" s="8"/>
    <row r="1193" ht="12.75" customHeight="1" s="8"/>
    <row r="1194" ht="12.75" customHeight="1" s="8"/>
    <row r="1195" ht="12.75" customHeight="1" s="8"/>
    <row r="1196" ht="12.75" customHeight="1" s="8"/>
    <row r="1197" ht="12.75" customHeight="1" s="8"/>
    <row r="1198" ht="12.75" customHeight="1" s="8"/>
    <row r="1199" ht="12.75" customHeight="1" s="8"/>
    <row r="1200" ht="12.75" customHeight="1" s="8"/>
    <row r="1201" ht="12.75" customHeight="1" s="8"/>
    <row r="1202" ht="12.75" customHeight="1" s="8"/>
    <row r="1203" ht="12.75" customHeight="1" s="8"/>
    <row r="1204" ht="12.75" customHeight="1" s="8"/>
    <row r="1205" ht="12.75" customHeight="1" s="8"/>
    <row r="1206" ht="12.75" customHeight="1" s="8"/>
    <row r="1207" ht="12.75" customHeight="1" s="8"/>
    <row r="1208" ht="12.75" customHeight="1" s="8"/>
    <row r="1209" ht="12.75" customHeight="1" s="8"/>
    <row r="1210" ht="12.75" customHeight="1" s="8"/>
    <row r="1211" ht="12.75" customHeight="1" s="8"/>
  </sheetData>
  <mergeCells count="78">
    <mergeCell ref="A1:J1"/>
    <mergeCell ref="A2:J2"/>
    <mergeCell ref="A3:J3"/>
    <mergeCell ref="A6:J6"/>
    <mergeCell ref="A7:A8"/>
    <mergeCell ref="B7:D7"/>
    <mergeCell ref="E7:G7"/>
    <mergeCell ref="H7:J7"/>
    <mergeCell ref="A52:J52"/>
    <mergeCell ref="A53:A54"/>
    <mergeCell ref="B53:D53"/>
    <mergeCell ref="E53:G53"/>
    <mergeCell ref="H53:J53"/>
    <mergeCell ref="A66:J66"/>
    <mergeCell ref="A67:A68"/>
    <mergeCell ref="B67:D67"/>
    <mergeCell ref="E67:G67"/>
    <mergeCell ref="H67:J67"/>
    <mergeCell ref="A103:J103"/>
    <mergeCell ref="A104:A105"/>
    <mergeCell ref="B104:D104"/>
    <mergeCell ref="E104:G104"/>
    <mergeCell ref="H104:J104"/>
    <mergeCell ref="A141:J141"/>
    <mergeCell ref="A142:A143"/>
    <mergeCell ref="B142:D142"/>
    <mergeCell ref="E142:G142"/>
    <mergeCell ref="H142:J142"/>
    <mergeCell ref="A164:J164"/>
    <mergeCell ref="A165:A166"/>
    <mergeCell ref="B165:D165"/>
    <mergeCell ref="E165:G165"/>
    <mergeCell ref="H165:J165"/>
    <mergeCell ref="A190:J190"/>
    <mergeCell ref="A191:A192"/>
    <mergeCell ref="B191:D191"/>
    <mergeCell ref="E191:G191"/>
    <mergeCell ref="H191:J191"/>
    <mergeCell ref="A218:J218"/>
    <mergeCell ref="A219:A220"/>
    <mergeCell ref="B219:D219"/>
    <mergeCell ref="E219:G219"/>
    <mergeCell ref="H219:J219"/>
    <mergeCell ref="A229:J229"/>
    <mergeCell ref="A230:A231"/>
    <mergeCell ref="B230:D230"/>
    <mergeCell ref="E230:G230"/>
    <mergeCell ref="H230:J230"/>
    <mergeCell ref="A251:J251"/>
    <mergeCell ref="A252:A253"/>
    <mergeCell ref="B252:D252"/>
    <mergeCell ref="E252:G252"/>
    <mergeCell ref="H252:J252"/>
    <mergeCell ref="A259:J259"/>
    <mergeCell ref="A260:A261"/>
    <mergeCell ref="B260:D260"/>
    <mergeCell ref="E260:G260"/>
    <mergeCell ref="H260:J260"/>
    <mergeCell ref="A276:J276"/>
    <mergeCell ref="A277:A278"/>
    <mergeCell ref="B277:D277"/>
    <mergeCell ref="E277:G277"/>
    <mergeCell ref="H277:J277"/>
    <mergeCell ref="A283:J283"/>
    <mergeCell ref="A284:A285"/>
    <mergeCell ref="B284:D284"/>
    <mergeCell ref="E284:G284"/>
    <mergeCell ref="H284:J284"/>
    <mergeCell ref="A292:J292"/>
    <mergeCell ref="A293:A294"/>
    <mergeCell ref="B293:D293"/>
    <mergeCell ref="E293:G293"/>
    <mergeCell ref="H293:J293"/>
    <mergeCell ref="A303:J303"/>
    <mergeCell ref="A304:A305"/>
    <mergeCell ref="B304:D304"/>
    <mergeCell ref="E304:G304"/>
    <mergeCell ref="H304:J304"/>
  </mergeCell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4"/>
  <sheetViews>
    <sheetView showGridLines="0" showRowColHeaders="0" workbookViewId="0">
      <selection activeCell="A6" sqref="A6:K1016"/>
    </sheetView>
  </sheetViews>
  <sheetFormatPr baseColWidth="8" defaultColWidth="9.140625" defaultRowHeight="12.75" customHeight="1"/>
  <cols>
    <col width="42.85546875" bestFit="1" customWidth="1" style="21" min="1" max="1"/>
    <col width="18.85546875" bestFit="1" customWidth="1" style="21" min="2" max="2"/>
    <col width="22.5703125" bestFit="1" customWidth="1" style="21" min="3" max="3"/>
    <col width="23.85546875" bestFit="1" customWidth="1" style="21" min="4" max="4"/>
    <col width="22.5703125" bestFit="1" customWidth="1" style="21" min="5" max="5"/>
    <col width="25.140625" bestFit="1" customWidth="1" style="21" min="6" max="6"/>
    <col width="22.5703125" bestFit="1" customWidth="1" style="21" min="7" max="7"/>
    <col width="9.140625" customWidth="1" style="21" min="8" max="16384"/>
  </cols>
  <sheetData>
    <row r="1" ht="21" customHeight="1" s="8">
      <c r="A1" s="17" t="inlineStr">
        <is>
          <t>ANBIMA &gt;&gt; Mercado de Capitais | Rankings</t>
        </is>
      </c>
    </row>
    <row r="2" ht="25.5" customHeight="1" s="8">
      <c r="A2" s="19" t="inlineStr">
        <is>
          <t>Ranking Anbima de Renda Fixa e Híbridos - Originação</t>
        </is>
      </c>
    </row>
    <row r="3" ht="12" customHeight="1" s="8">
      <c r="A3" s="11" t="n"/>
    </row>
    <row r="4" ht="21" customHeight="1" s="8">
      <c r="A4" s="1" t="inlineStr">
        <is>
          <t>Número de Operações</t>
        </is>
      </c>
      <c r="G4" s="3" t="inlineStr">
        <is>
          <t>Junho/2026</t>
        </is>
      </c>
    </row>
    <row r="5" ht="9" customHeight="1" s="8">
      <c r="A5" s="9" t="n"/>
      <c r="G5" s="10" t="n"/>
    </row>
    <row r="6" ht="12.75" customHeight="1" s="8">
      <c r="A6" s="22" t="inlineStr">
        <is>
          <t>Tipo 1: Renda Fixa Consolidado</t>
        </is>
      </c>
      <c r="G6" s="23" t="n"/>
    </row>
    <row r="7" ht="12.75" customHeight="1" s="8">
      <c r="A7" s="24" t="inlineStr">
        <is>
          <t>Coordenadores</t>
        </is>
      </c>
      <c r="B7" s="24" t="inlineStr">
        <is>
          <t>Acumulado 2026</t>
        </is>
      </c>
      <c r="C7" s="24" t="n"/>
      <c r="D7" s="24" t="inlineStr">
        <is>
          <t>Últimos 3 meses</t>
        </is>
      </c>
      <c r="E7" s="24" t="n"/>
      <c r="F7" s="24" t="inlineStr">
        <is>
          <t>Últimos 12 meses</t>
        </is>
      </c>
      <c r="G7" s="25" t="n"/>
    </row>
    <row r="8" ht="12.75" customHeight="1" s="8">
      <c r="A8" s="24" t="n"/>
      <c r="B8" s="24" t="inlineStr">
        <is>
          <t>Ranking 2026</t>
        </is>
      </c>
      <c r="C8" s="24" t="inlineStr">
        <is>
          <t>Nº de Operações</t>
        </is>
      </c>
      <c r="D8" s="24" t="inlineStr">
        <is>
          <t>Ranking 3 meses</t>
        </is>
      </c>
      <c r="E8" s="24" t="inlineStr">
        <is>
          <t>Nº de Operações</t>
        </is>
      </c>
      <c r="F8" s="24" t="inlineStr">
        <is>
          <t>Ranking 12 meses</t>
        </is>
      </c>
      <c r="G8" s="25" t="inlineStr">
        <is>
          <t>Nº de Operações</t>
        </is>
      </c>
    </row>
    <row r="9" ht="12.75" customHeight="1" s="8">
      <c r="A9" s="26" t="inlineStr">
        <is>
          <t>ITAU BBA</t>
        </is>
      </c>
      <c r="B9" s="27" t="inlineStr">
        <is>
          <t>1º</t>
        </is>
      </c>
      <c r="C9" s="27" t="n">
        <v>154</v>
      </c>
      <c r="D9" s="27" t="inlineStr">
        <is>
          <t>2º</t>
        </is>
      </c>
      <c r="E9" s="27" t="n">
        <v>65</v>
      </c>
      <c r="F9" s="27" t="inlineStr">
        <is>
          <t>1º</t>
        </is>
      </c>
      <c r="G9" s="27" t="n">
        <v>471</v>
      </c>
    </row>
    <row r="10" ht="12.75" customHeight="1" s="8">
      <c r="A10" s="30" t="inlineStr">
        <is>
          <t>BRADESCO BBI</t>
        </is>
      </c>
      <c r="B10" s="31" t="inlineStr">
        <is>
          <t>2º</t>
        </is>
      </c>
      <c r="C10" s="31" t="n">
        <v>148</v>
      </c>
      <c r="D10" s="31" t="inlineStr">
        <is>
          <t>1º</t>
        </is>
      </c>
      <c r="E10" s="31" t="n">
        <v>69</v>
      </c>
      <c r="F10" s="31" t="inlineStr">
        <is>
          <t>2º</t>
        </is>
      </c>
      <c r="G10" s="31" t="n">
        <v>343</v>
      </c>
    </row>
    <row r="11" ht="12.75" customHeight="1" s="8">
      <c r="A11" s="26" t="inlineStr">
        <is>
          <t>SANTANDER</t>
        </is>
      </c>
      <c r="B11" s="27" t="inlineStr">
        <is>
          <t>3º</t>
        </is>
      </c>
      <c r="C11" s="27" t="n">
        <v>64</v>
      </c>
      <c r="D11" s="27" t="inlineStr">
        <is>
          <t>4º</t>
        </is>
      </c>
      <c r="E11" s="27" t="n">
        <v>22</v>
      </c>
      <c r="F11" s="27" t="inlineStr">
        <is>
          <t>3º</t>
        </is>
      </c>
      <c r="G11" s="27" t="n">
        <v>164</v>
      </c>
    </row>
    <row r="12" ht="12.75" customHeight="1" s="8">
      <c r="A12" s="30" t="inlineStr">
        <is>
          <t>XP INVESTIMENTOS</t>
        </is>
      </c>
      <c r="B12" s="31" t="inlineStr">
        <is>
          <t>4º</t>
        </is>
      </c>
      <c r="C12" s="31" t="n">
        <v>52</v>
      </c>
      <c r="D12" s="31" t="inlineStr">
        <is>
          <t>6º</t>
        </is>
      </c>
      <c r="E12" s="31" t="n">
        <v>15</v>
      </c>
      <c r="F12" s="31" t="inlineStr">
        <is>
          <t>4º</t>
        </is>
      </c>
      <c r="G12" s="31" t="n">
        <v>161</v>
      </c>
    </row>
    <row r="13" ht="12.75" customHeight="1" s="8">
      <c r="A13" s="26" t="inlineStr">
        <is>
          <t>UBS BB</t>
        </is>
      </c>
      <c r="B13" s="27" t="inlineStr">
        <is>
          <t>5º</t>
        </is>
      </c>
      <c r="C13" s="27" t="n">
        <v>44</v>
      </c>
      <c r="D13" s="27" t="inlineStr">
        <is>
          <t>3º</t>
        </is>
      </c>
      <c r="E13" s="27" t="n">
        <v>24</v>
      </c>
      <c r="F13" s="27" t="inlineStr">
        <is>
          <t>5º</t>
        </is>
      </c>
      <c r="G13" s="27" t="n">
        <v>139</v>
      </c>
    </row>
    <row r="14" ht="12.75" customHeight="1" s="8">
      <c r="A14" s="30" t="inlineStr">
        <is>
          <t>BTG PACTUAL</t>
        </is>
      </c>
      <c r="B14" s="31" t="inlineStr">
        <is>
          <t>6º</t>
        </is>
      </c>
      <c r="C14" s="31" t="n">
        <v>39</v>
      </c>
      <c r="D14" s="31" t="inlineStr">
        <is>
          <t>8º</t>
        </is>
      </c>
      <c r="E14" s="31" t="n">
        <v>12</v>
      </c>
      <c r="F14" s="31" t="inlineStr">
        <is>
          <t>6º</t>
        </is>
      </c>
      <c r="G14" s="31" t="n">
        <v>124</v>
      </c>
    </row>
    <row r="15" ht="12.75" customHeight="1" s="8">
      <c r="A15" s="26" t="inlineStr">
        <is>
          <t>CEF</t>
        </is>
      </c>
      <c r="B15" s="27" t="inlineStr">
        <is>
          <t>7º</t>
        </is>
      </c>
      <c r="C15" s="27" t="n">
        <v>26</v>
      </c>
      <c r="D15" s="27" t="inlineStr">
        <is>
          <t>5º</t>
        </is>
      </c>
      <c r="E15" s="27" t="n">
        <v>19</v>
      </c>
      <c r="F15" s="27" t="inlineStr">
        <is>
          <t>9º</t>
        </is>
      </c>
      <c r="G15" s="27" t="n">
        <v>59</v>
      </c>
    </row>
    <row r="16" ht="12.75" customHeight="1" s="8">
      <c r="A16" s="30" t="inlineStr">
        <is>
          <t>ABC BRASIL</t>
        </is>
      </c>
      <c r="B16" s="31" t="inlineStr">
        <is>
          <t>8º</t>
        </is>
      </c>
      <c r="C16" s="31" t="n">
        <v>22</v>
      </c>
      <c r="D16" s="31" t="inlineStr">
        <is>
          <t>9º</t>
        </is>
      </c>
      <c r="E16" s="31" t="n">
        <v>8</v>
      </c>
      <c r="F16" s="31" t="inlineStr">
        <is>
          <t>10º</t>
        </is>
      </c>
      <c r="G16" s="31" t="n">
        <v>54</v>
      </c>
    </row>
    <row r="17" ht="12.75" customHeight="1" s="8">
      <c r="A17" s="26" t="inlineStr">
        <is>
          <t>SAFRA</t>
        </is>
      </c>
      <c r="B17" s="27" t="inlineStr">
        <is>
          <t>9º</t>
        </is>
      </c>
      <c r="C17" s="27" t="n">
        <v>21</v>
      </c>
      <c r="D17" s="27" t="inlineStr">
        <is>
          <t>9º</t>
        </is>
      </c>
      <c r="E17" s="27" t="n">
        <v>8</v>
      </c>
      <c r="F17" s="27" t="inlineStr">
        <is>
          <t>7º</t>
        </is>
      </c>
      <c r="G17" s="27" t="n">
        <v>75</v>
      </c>
    </row>
    <row r="18" ht="12.75" customHeight="1" s="8">
      <c r="A18" s="30" t="inlineStr">
        <is>
          <t>VOTORANTIM</t>
        </is>
      </c>
      <c r="B18" s="31" t="inlineStr">
        <is>
          <t>10º</t>
        </is>
      </c>
      <c r="C18" s="31" t="n">
        <v>19</v>
      </c>
      <c r="D18" s="31" t="inlineStr">
        <is>
          <t>7º</t>
        </is>
      </c>
      <c r="E18" s="31" t="n">
        <v>13</v>
      </c>
      <c r="F18" s="31" t="inlineStr">
        <is>
          <t>8º</t>
        </is>
      </c>
      <c r="G18" s="31" t="n">
        <v>70</v>
      </c>
    </row>
    <row r="19" ht="12.75" customHeight="1" s="8">
      <c r="A19" s="26" t="inlineStr">
        <is>
          <t>BR PARTNERS</t>
        </is>
      </c>
      <c r="B19" s="27" t="inlineStr">
        <is>
          <t>11º</t>
        </is>
      </c>
      <c r="C19" s="27" t="n">
        <v>14</v>
      </c>
      <c r="D19" s="27" t="inlineStr">
        <is>
          <t>11º</t>
        </is>
      </c>
      <c r="E19" s="27" t="n">
        <v>7</v>
      </c>
      <c r="F19" s="27" t="inlineStr">
        <is>
          <t>11º</t>
        </is>
      </c>
      <c r="G19" s="27" t="n">
        <v>29</v>
      </c>
    </row>
    <row r="20" ht="12.75" customHeight="1" s="8">
      <c r="A20" s="30" t="inlineStr">
        <is>
          <t>DAYCOVAL</t>
        </is>
      </c>
      <c r="B20" s="31" t="inlineStr">
        <is>
          <t>12º</t>
        </is>
      </c>
      <c r="C20" s="31" t="n">
        <v>12</v>
      </c>
      <c r="D20" s="31" t="inlineStr">
        <is>
          <t>12º</t>
        </is>
      </c>
      <c r="E20" s="31" t="n">
        <v>4</v>
      </c>
      <c r="F20" s="31" t="inlineStr">
        <is>
          <t>12º</t>
        </is>
      </c>
      <c r="G20" s="31" t="n">
        <v>26</v>
      </c>
    </row>
    <row r="21" ht="12.75" customHeight="1" s="8">
      <c r="A21" s="26" t="inlineStr">
        <is>
          <t>CITIGROUP</t>
        </is>
      </c>
      <c r="B21" s="27" t="inlineStr">
        <is>
          <t>13º</t>
        </is>
      </c>
      <c r="C21" s="27" t="n">
        <v>11</v>
      </c>
      <c r="D21" s="27" t="inlineStr">
        <is>
          <t>14º</t>
        </is>
      </c>
      <c r="E21" s="27" t="n">
        <v>2</v>
      </c>
      <c r="F21" s="27" t="inlineStr">
        <is>
          <t>13º</t>
        </is>
      </c>
      <c r="G21" s="27" t="n">
        <v>21</v>
      </c>
    </row>
    <row r="22" ht="12.75" customHeight="1" s="8">
      <c r="A22" s="30" t="inlineStr">
        <is>
          <t>M7 IB</t>
        </is>
      </c>
      <c r="B22" s="31" t="inlineStr">
        <is>
          <t>14º</t>
        </is>
      </c>
      <c r="C22" s="31" t="n">
        <v>6</v>
      </c>
      <c r="D22" s="31" t="inlineStr">
        <is>
          <t>14º</t>
        </is>
      </c>
      <c r="E22" s="31" t="n">
        <v>2</v>
      </c>
      <c r="F22" s="31" t="inlineStr">
        <is>
          <t>20º</t>
        </is>
      </c>
      <c r="G22" s="31" t="n">
        <v>9</v>
      </c>
    </row>
    <row r="23" ht="12.75" customHeight="1" s="8">
      <c r="A23" s="26" t="inlineStr">
        <is>
          <t>BNDES</t>
        </is>
      </c>
      <c r="B23" s="27" t="inlineStr">
        <is>
          <t>15º</t>
        </is>
      </c>
      <c r="C23" s="27" t="n">
        <v>5</v>
      </c>
      <c r="D23" s="27" t="inlineStr">
        <is>
          <t>13º</t>
        </is>
      </c>
      <c r="E23" s="27" t="n">
        <v>3</v>
      </c>
      <c r="F23" s="27" t="inlineStr">
        <is>
          <t>16º</t>
        </is>
      </c>
      <c r="G23" s="27" t="n">
        <v>13</v>
      </c>
    </row>
    <row r="24" ht="12.75" customHeight="1" s="8">
      <c r="A24" s="30" t="inlineStr">
        <is>
          <t>BB-BI</t>
        </is>
      </c>
      <c r="B24" s="31" t="inlineStr">
        <is>
          <t>16º</t>
        </is>
      </c>
      <c r="C24" s="31" t="n">
        <v>3</v>
      </c>
      <c r="D24" s="31" t="inlineStr">
        <is>
          <t>14º</t>
        </is>
      </c>
      <c r="E24" s="31" t="n">
        <v>2</v>
      </c>
      <c r="F24" s="31" t="inlineStr">
        <is>
          <t>15º</t>
        </is>
      </c>
      <c r="G24" s="31" t="n">
        <v>14</v>
      </c>
    </row>
    <row r="25" ht="12.75" customHeight="1" s="8">
      <c r="A25" s="26" t="inlineStr">
        <is>
          <t>BOCOM BBM</t>
        </is>
      </c>
      <c r="B25" s="27" t="inlineStr">
        <is>
          <t>16º</t>
        </is>
      </c>
      <c r="C25" s="27" t="n">
        <v>3</v>
      </c>
      <c r="D25" s="27" t="inlineStr">
        <is>
          <t>14º</t>
        </is>
      </c>
      <c r="E25" s="27" t="n">
        <v>2</v>
      </c>
      <c r="F25" s="27" t="inlineStr">
        <is>
          <t>22º</t>
        </is>
      </c>
      <c r="G25" s="27" t="n">
        <v>7</v>
      </c>
    </row>
    <row r="26" ht="12.75" customHeight="1" s="8">
      <c r="A26" s="30" t="inlineStr">
        <is>
          <t>BNP PARIBAS</t>
        </is>
      </c>
      <c r="B26" s="31" t="inlineStr">
        <is>
          <t>16º</t>
        </is>
      </c>
      <c r="C26" s="31" t="n">
        <v>3</v>
      </c>
      <c r="D26" s="31" t="inlineStr">
        <is>
          <t>19º</t>
        </is>
      </c>
      <c r="E26" s="31" t="n">
        <v>1</v>
      </c>
      <c r="F26" s="31" t="inlineStr">
        <is>
          <t>18º</t>
        </is>
      </c>
      <c r="G26" s="31" t="n">
        <v>10</v>
      </c>
    </row>
    <row r="27" ht="12.75" customHeight="1" s="8">
      <c r="A27" s="26" t="inlineStr">
        <is>
          <t>One Corporate</t>
        </is>
      </c>
      <c r="B27" s="27" t="inlineStr">
        <is>
          <t>16º</t>
        </is>
      </c>
      <c r="C27" s="27" t="n">
        <v>3</v>
      </c>
      <c r="D27" s="27" t="inlineStr">
        <is>
          <t>19º</t>
        </is>
      </c>
      <c r="E27" s="27" t="n">
        <v>1</v>
      </c>
      <c r="F27" s="27" t="inlineStr">
        <is>
          <t>23º</t>
        </is>
      </c>
      <c r="G27" s="27" t="n">
        <v>5</v>
      </c>
    </row>
    <row r="28" ht="12.75" customHeight="1" s="8">
      <c r="A28" s="30" t="inlineStr">
        <is>
          <t>CANAL COMPANHIA DE SECURITIZAÇÃO</t>
        </is>
      </c>
      <c r="B28" s="31" t="inlineStr">
        <is>
          <t>16º</t>
        </is>
      </c>
      <c r="C28" s="31" t="n">
        <v>3</v>
      </c>
      <c r="D28" s="31" t="n">
        <v/>
      </c>
      <c r="E28" s="31" t="n">
        <v>0</v>
      </c>
      <c r="F28" s="31" t="inlineStr">
        <is>
          <t>14º</t>
        </is>
      </c>
      <c r="G28" s="31" t="n">
        <v>18</v>
      </c>
    </row>
    <row r="29" ht="12.75" customHeight="1" s="8">
      <c r="A29" s="26" t="inlineStr">
        <is>
          <t>RABOBANK</t>
        </is>
      </c>
      <c r="B29" s="27" t="inlineStr">
        <is>
          <t>16º</t>
        </is>
      </c>
      <c r="C29" s="27" t="n">
        <v>3</v>
      </c>
      <c r="D29" s="27" t="n">
        <v/>
      </c>
      <c r="E29" s="27" t="n">
        <v>0</v>
      </c>
      <c r="F29" s="27" t="inlineStr">
        <is>
          <t>24º</t>
        </is>
      </c>
      <c r="G29" s="27" t="n">
        <v>4</v>
      </c>
    </row>
    <row r="30" ht="12.75" customHeight="1" s="8">
      <c r="A30" s="30" t="inlineStr">
        <is>
          <t>INTER</t>
        </is>
      </c>
      <c r="B30" s="31" t="inlineStr">
        <is>
          <t>22º</t>
        </is>
      </c>
      <c r="C30" s="31" t="n">
        <v>2</v>
      </c>
      <c r="D30" s="31" t="inlineStr">
        <is>
          <t>14º</t>
        </is>
      </c>
      <c r="E30" s="31" t="n">
        <v>2</v>
      </c>
      <c r="F30" s="31" t="inlineStr">
        <is>
          <t>21º</t>
        </is>
      </c>
      <c r="G30" s="31" t="n">
        <v>8</v>
      </c>
    </row>
    <row r="31" ht="12.75" customHeight="1" s="8">
      <c r="A31" s="26" t="inlineStr">
        <is>
          <t>BAMBOO SEC</t>
        </is>
      </c>
      <c r="B31" s="27" t="inlineStr">
        <is>
          <t>22º</t>
        </is>
      </c>
      <c r="C31" s="27" t="n">
        <v>2</v>
      </c>
      <c r="D31" s="27" t="inlineStr">
        <is>
          <t>19º</t>
        </is>
      </c>
      <c r="E31" s="27" t="n">
        <v>1</v>
      </c>
      <c r="F31" s="27" t="inlineStr">
        <is>
          <t>27º</t>
        </is>
      </c>
      <c r="G31" s="27" t="n">
        <v>2</v>
      </c>
    </row>
    <row r="32" ht="12.75" customHeight="1" s="8">
      <c r="A32" s="30" t="inlineStr">
        <is>
          <t>OPEA SECURITIZADORA</t>
        </is>
      </c>
      <c r="B32" s="31" t="inlineStr">
        <is>
          <t>24º</t>
        </is>
      </c>
      <c r="C32" s="31" t="n">
        <v>1</v>
      </c>
      <c r="D32" s="31" t="inlineStr">
        <is>
          <t>19º</t>
        </is>
      </c>
      <c r="E32" s="31" t="n">
        <v>1</v>
      </c>
      <c r="F32" s="31" t="inlineStr">
        <is>
          <t>18º</t>
        </is>
      </c>
      <c r="G32" s="31" t="n">
        <v>10</v>
      </c>
    </row>
    <row r="33" ht="12.75" customHeight="1" s="8">
      <c r="A33" s="26" t="inlineStr">
        <is>
          <t>MAX CAPITAL MARKETS</t>
        </is>
      </c>
      <c r="B33" s="27" t="inlineStr">
        <is>
          <t>24º</t>
        </is>
      </c>
      <c r="C33" s="27" t="n">
        <v>1</v>
      </c>
      <c r="D33" s="27" t="inlineStr">
        <is>
          <t>19º</t>
        </is>
      </c>
      <c r="E33" s="27" t="n">
        <v>1</v>
      </c>
      <c r="F33" s="27" t="inlineStr">
        <is>
          <t>26º</t>
        </is>
      </c>
      <c r="G33" s="27" t="n">
        <v>3</v>
      </c>
    </row>
    <row r="34" ht="12.75" customHeight="1" s="8">
      <c r="A34" s="30" t="inlineStr">
        <is>
          <t>GENIAL CV</t>
        </is>
      </c>
      <c r="B34" s="31" t="inlineStr">
        <is>
          <t>24º</t>
        </is>
      </c>
      <c r="C34" s="31" t="n">
        <v>1</v>
      </c>
      <c r="D34" s="31" t="inlineStr">
        <is>
          <t>19º</t>
        </is>
      </c>
      <c r="E34" s="31" t="n">
        <v>1</v>
      </c>
      <c r="F34" s="31" t="inlineStr">
        <is>
          <t>27º</t>
        </is>
      </c>
      <c r="G34" s="31" t="n">
        <v>2</v>
      </c>
    </row>
    <row r="35" ht="12.75" customHeight="1" s="8">
      <c r="A35" s="26" t="inlineStr">
        <is>
          <t>JIVE HIGH YIELD GESTÃO DE RECURSOS LTDA.</t>
        </is>
      </c>
      <c r="B35" s="27" t="inlineStr">
        <is>
          <t>24º</t>
        </is>
      </c>
      <c r="C35" s="27" t="n">
        <v>1</v>
      </c>
      <c r="D35" s="27" t="inlineStr">
        <is>
          <t>19º</t>
        </is>
      </c>
      <c r="E35" s="27" t="n">
        <v>1</v>
      </c>
      <c r="F35" s="27" t="inlineStr">
        <is>
          <t>31º</t>
        </is>
      </c>
      <c r="G35" s="27" t="n">
        <v>1</v>
      </c>
    </row>
    <row r="36" ht="12.75" customHeight="1" s="8">
      <c r="A36" s="30" t="inlineStr">
        <is>
          <t>GALAPAGOS CAPITAL INVESTIMENTOS E PARTICIPAÇÕES LTDA.</t>
        </is>
      </c>
      <c r="B36" s="31" t="inlineStr">
        <is>
          <t>24º</t>
        </is>
      </c>
      <c r="C36" s="31" t="n">
        <v>1</v>
      </c>
      <c r="D36" s="31" t="n">
        <v/>
      </c>
      <c r="E36" s="31" t="n">
        <v>0</v>
      </c>
      <c r="F36" s="31" t="inlineStr">
        <is>
          <t>17º</t>
        </is>
      </c>
      <c r="G36" s="31" t="n">
        <v>11</v>
      </c>
    </row>
    <row r="37" ht="12.75" customHeight="1" s="8">
      <c r="A37" s="26" t="inlineStr">
        <is>
          <t>ASA ASSET 2 GESTÃO DE RECURSOS LTDA</t>
        </is>
      </c>
      <c r="B37" s="27" t="inlineStr">
        <is>
          <t>24º</t>
        </is>
      </c>
      <c r="C37" s="27" t="n">
        <v>1</v>
      </c>
      <c r="D37" s="27" t="n">
        <v/>
      </c>
      <c r="E37" s="27" t="n">
        <v>0</v>
      </c>
      <c r="F37" s="27" t="inlineStr">
        <is>
          <t>31º</t>
        </is>
      </c>
      <c r="G37" s="27" t="n">
        <v>1</v>
      </c>
    </row>
    <row r="38" ht="12.75" customHeight="1" s="8">
      <c r="A38" s="30" t="inlineStr">
        <is>
          <t>EQI Investimentos CTVM</t>
        </is>
      </c>
      <c r="B38" s="31" t="inlineStr">
        <is>
          <t>24º</t>
        </is>
      </c>
      <c r="C38" s="31" t="n">
        <v>1</v>
      </c>
      <c r="D38" s="31" t="n">
        <v/>
      </c>
      <c r="E38" s="31" t="n">
        <v>0</v>
      </c>
      <c r="F38" s="31" t="inlineStr">
        <is>
          <t>31º</t>
        </is>
      </c>
      <c r="G38" s="31" t="n">
        <v>1</v>
      </c>
    </row>
    <row r="39" ht="12.75" customHeight="1" s="8">
      <c r="A39" s="26" t="inlineStr">
        <is>
          <t>TERRA</t>
        </is>
      </c>
      <c r="B39" s="27" t="inlineStr">
        <is>
          <t>24º</t>
        </is>
      </c>
      <c r="C39" s="27" t="n">
        <v>1</v>
      </c>
      <c r="D39" s="27" t="n">
        <v/>
      </c>
      <c r="E39" s="27" t="n">
        <v>0</v>
      </c>
      <c r="F39" s="27" t="inlineStr">
        <is>
          <t>31º</t>
        </is>
      </c>
      <c r="G39" s="27" t="n">
        <v>1</v>
      </c>
    </row>
    <row r="40" ht="12.75" customHeight="1" s="8">
      <c r="A40" s="30" t="inlineStr">
        <is>
          <t>ARCHX CAPITAL</t>
        </is>
      </c>
      <c r="B40" s="31" t="n">
        <v/>
      </c>
      <c r="C40" s="31" t="n">
        <v>0</v>
      </c>
      <c r="D40" s="31" t="n">
        <v/>
      </c>
      <c r="E40" s="31" t="n">
        <v>0</v>
      </c>
      <c r="F40" s="31" t="inlineStr">
        <is>
          <t>24º</t>
        </is>
      </c>
      <c r="G40" s="31" t="n">
        <v>4</v>
      </c>
    </row>
    <row r="41" ht="12.75" customHeight="1" s="8">
      <c r="A41" s="26" t="inlineStr">
        <is>
          <t>BANCO BS2</t>
        </is>
      </c>
      <c r="B41" s="27" t="n">
        <v/>
      </c>
      <c r="C41" s="27" t="n">
        <v>0</v>
      </c>
      <c r="D41" s="27" t="n">
        <v/>
      </c>
      <c r="E41" s="27" t="n">
        <v>0</v>
      </c>
      <c r="F41" s="27" t="inlineStr">
        <is>
          <t>27º</t>
        </is>
      </c>
      <c r="G41" s="27" t="n">
        <v>2</v>
      </c>
    </row>
    <row r="42" ht="12.75" customFormat="1" customHeight="1" s="21">
      <c r="A42" s="30" t="inlineStr">
        <is>
          <t>ORIZ ASSESSORIA FINANCEIRA LTDA</t>
        </is>
      </c>
      <c r="B42" s="31" t="n">
        <v/>
      </c>
      <c r="C42" s="31" t="n">
        <v>0</v>
      </c>
      <c r="D42" s="31" t="n">
        <v/>
      </c>
      <c r="E42" s="31" t="n">
        <v>0</v>
      </c>
      <c r="F42" s="31" t="inlineStr">
        <is>
          <t>27º</t>
        </is>
      </c>
      <c r="G42" s="31" t="n">
        <v>2</v>
      </c>
    </row>
    <row r="43" ht="12.75" customFormat="1" customHeight="1" s="21">
      <c r="A43" s="26" t="inlineStr">
        <is>
          <t xml:space="preserve"> EXES SERVIÇOS FINANCEIROS</t>
        </is>
      </c>
      <c r="B43" s="27" t="n">
        <v/>
      </c>
      <c r="C43" s="27" t="n">
        <v>0</v>
      </c>
      <c r="D43" s="27" t="n">
        <v/>
      </c>
      <c r="E43" s="27" t="n">
        <v>0</v>
      </c>
      <c r="F43" s="27" t="inlineStr">
        <is>
          <t>31º</t>
        </is>
      </c>
      <c r="G43" s="27" t="n">
        <v>1</v>
      </c>
    </row>
    <row r="44" ht="12.75" customHeight="1" s="8">
      <c r="A44" s="30" t="inlineStr">
        <is>
          <t>BANCO SUMITOMO MITSUI BRASILEIRO</t>
        </is>
      </c>
      <c r="B44" s="31" t="n">
        <v/>
      </c>
      <c r="C44" s="31" t="n">
        <v>0</v>
      </c>
      <c r="D44" s="31" t="n">
        <v/>
      </c>
      <c r="E44" s="31" t="n">
        <v>0</v>
      </c>
      <c r="F44" s="31" t="inlineStr">
        <is>
          <t>31º</t>
        </is>
      </c>
      <c r="G44" s="31" t="n">
        <v>1</v>
      </c>
    </row>
    <row r="45" ht="12.75" customHeight="1" s="8">
      <c r="A45" s="26" t="inlineStr">
        <is>
          <t>CREDIT AGRICOLE</t>
        </is>
      </c>
      <c r="B45" s="27" t="n">
        <v/>
      </c>
      <c r="C45" s="27" t="n">
        <v>0</v>
      </c>
      <c r="D45" s="27" t="n">
        <v/>
      </c>
      <c r="E45" s="27" t="n">
        <v>0</v>
      </c>
      <c r="F45" s="27" t="inlineStr">
        <is>
          <t>31º</t>
        </is>
      </c>
      <c r="G45" s="27" t="n">
        <v>1</v>
      </c>
    </row>
    <row r="46" ht="12.75" customHeight="1" s="8">
      <c r="A46" s="30" t="inlineStr">
        <is>
          <t>JGP FINANCIAL ADVISORY</t>
        </is>
      </c>
      <c r="B46" s="31" t="n">
        <v/>
      </c>
      <c r="C46" s="31" t="n">
        <v>0</v>
      </c>
      <c r="D46" s="31" t="n">
        <v/>
      </c>
      <c r="E46" s="31" t="n">
        <v>0</v>
      </c>
      <c r="F46" s="31" t="inlineStr">
        <is>
          <t>31º</t>
        </is>
      </c>
      <c r="G46" s="31" t="n">
        <v>1</v>
      </c>
    </row>
    <row r="47" ht="12.75" customHeight="1" s="8">
      <c r="A47" s="26" t="inlineStr">
        <is>
          <t>JP MORGAN</t>
        </is>
      </c>
      <c r="B47" s="27" t="n">
        <v/>
      </c>
      <c r="C47" s="27" t="n">
        <v>0</v>
      </c>
      <c r="D47" s="27" t="n">
        <v/>
      </c>
      <c r="E47" s="27" t="n">
        <v>0</v>
      </c>
      <c r="F47" s="27" t="inlineStr">
        <is>
          <t>31º</t>
        </is>
      </c>
      <c r="G47" s="27" t="n">
        <v>1</v>
      </c>
    </row>
    <row r="48" ht="12.75" customHeight="1" s="8">
      <c r="A48" s="30" t="inlineStr">
        <is>
          <t>KEA CAPITAL MARKETS</t>
        </is>
      </c>
      <c r="B48" s="31" t="n">
        <v/>
      </c>
      <c r="C48" s="31" t="n">
        <v>0</v>
      </c>
      <c r="D48" s="31" t="n">
        <v/>
      </c>
      <c r="E48" s="31" t="n">
        <v>0</v>
      </c>
      <c r="F48" s="31" t="inlineStr">
        <is>
          <t>31º</t>
        </is>
      </c>
      <c r="G48" s="31" t="n">
        <v>1</v>
      </c>
    </row>
    <row r="49" ht="12.75" customHeight="1" s="8">
      <c r="A49" s="34" t="inlineStr">
        <is>
          <t>Total</t>
        </is>
      </c>
      <c r="B49" s="35" t="n"/>
      <c r="C49" s="35" t="inlineStr">
        <is>
          <t>430</t>
        </is>
      </c>
      <c r="D49" s="35" t="n"/>
      <c r="E49" s="35" t="inlineStr">
        <is>
          <t>202</t>
        </is>
      </c>
      <c r="F49" s="35" t="n"/>
      <c r="G49" s="35" t="inlineStr">
        <is>
          <t>1135</t>
        </is>
      </c>
    </row>
    <row r="50" ht="12.75" customHeight="1" s="8"/>
    <row r="51" ht="12.75" customHeight="1" s="8"/>
    <row r="52" ht="12.75" customHeight="1" s="8">
      <c r="A52" s="22" t="inlineStr">
        <is>
          <t>Tipo 1.1. Renda Fixa - Curto Prazo</t>
        </is>
      </c>
      <c r="G52" s="23" t="n"/>
    </row>
    <row r="53" ht="12.75" customHeight="1" s="8">
      <c r="A53" s="24" t="inlineStr">
        <is>
          <t>Coordenadores</t>
        </is>
      </c>
      <c r="B53" s="24" t="inlineStr">
        <is>
          <t>Acumulado 2026</t>
        </is>
      </c>
      <c r="C53" s="24" t="n"/>
      <c r="D53" s="24" t="inlineStr">
        <is>
          <t>Últimos 3 meses</t>
        </is>
      </c>
      <c r="E53" s="24" t="n"/>
      <c r="F53" s="24" t="inlineStr">
        <is>
          <t>Últimos 12 meses</t>
        </is>
      </c>
      <c r="G53" s="25" t="n"/>
    </row>
    <row r="54" ht="12.75" customHeight="1" s="8">
      <c r="A54" s="24" t="n"/>
      <c r="B54" s="24" t="inlineStr">
        <is>
          <t>Ranking 2026</t>
        </is>
      </c>
      <c r="C54" s="24" t="inlineStr">
        <is>
          <t>Nº de Operações</t>
        </is>
      </c>
      <c r="D54" s="24" t="inlineStr">
        <is>
          <t>Ranking 3 meses</t>
        </is>
      </c>
      <c r="E54" s="24" t="inlineStr">
        <is>
          <t>Nº de Operações</t>
        </is>
      </c>
      <c r="F54" s="24" t="inlineStr">
        <is>
          <t>Ranking 12 meses</t>
        </is>
      </c>
      <c r="G54" s="25" t="inlineStr">
        <is>
          <t>Nº de Operações</t>
        </is>
      </c>
    </row>
    <row r="55" ht="12.75" customHeight="1" s="8">
      <c r="A55" s="26" t="inlineStr">
        <is>
          <t>BRADESCO BBI</t>
        </is>
      </c>
      <c r="B55" s="27" t="inlineStr">
        <is>
          <t>1º</t>
        </is>
      </c>
      <c r="C55" s="27" t="n">
        <v>19</v>
      </c>
      <c r="D55" s="27" t="inlineStr">
        <is>
          <t>1º</t>
        </is>
      </c>
      <c r="E55" s="27" t="n">
        <v>8</v>
      </c>
      <c r="F55" s="27" t="inlineStr">
        <is>
          <t>1º</t>
        </is>
      </c>
      <c r="G55" s="27" t="n">
        <v>30</v>
      </c>
    </row>
    <row r="56" ht="12.75" customHeight="1" s="8">
      <c r="A56" s="30" t="inlineStr">
        <is>
          <t>ITAU BBA</t>
        </is>
      </c>
      <c r="B56" s="31" t="inlineStr">
        <is>
          <t>2º</t>
        </is>
      </c>
      <c r="C56" s="31" t="n">
        <v>3</v>
      </c>
      <c r="D56" s="31" t="inlineStr">
        <is>
          <t>2º</t>
        </is>
      </c>
      <c r="E56" s="31" t="n">
        <v>2</v>
      </c>
      <c r="F56" s="31" t="inlineStr">
        <is>
          <t>2º</t>
        </is>
      </c>
      <c r="G56" s="31" t="n">
        <v>21</v>
      </c>
    </row>
    <row r="57" ht="12.75" customHeight="1" s="8">
      <c r="A57" s="26" t="inlineStr">
        <is>
          <t>UBS BB</t>
        </is>
      </c>
      <c r="B57" s="27" t="inlineStr">
        <is>
          <t>3º</t>
        </is>
      </c>
      <c r="C57" s="27" t="n">
        <v>2</v>
      </c>
      <c r="D57" s="27" t="inlineStr">
        <is>
          <t>3º</t>
        </is>
      </c>
      <c r="E57" s="27" t="n">
        <v>1</v>
      </c>
      <c r="F57" s="27" t="inlineStr">
        <is>
          <t>3º</t>
        </is>
      </c>
      <c r="G57" s="27" t="n">
        <v>5</v>
      </c>
    </row>
    <row r="58" ht="12.75" customHeight="1" s="8">
      <c r="A58" s="30" t="inlineStr">
        <is>
          <t>BTG PACTUAL</t>
        </is>
      </c>
      <c r="B58" s="31" t="inlineStr">
        <is>
          <t>3º</t>
        </is>
      </c>
      <c r="C58" s="31" t="n">
        <v>2</v>
      </c>
      <c r="D58" s="31" t="inlineStr">
        <is>
          <t>3º</t>
        </is>
      </c>
      <c r="E58" s="31" t="n">
        <v>1</v>
      </c>
      <c r="F58" s="31" t="inlineStr">
        <is>
          <t>4º</t>
        </is>
      </c>
      <c r="G58" s="31" t="n">
        <v>2</v>
      </c>
    </row>
    <row r="59" ht="12.75" customHeight="1" s="8">
      <c r="A59" s="26" t="inlineStr">
        <is>
          <t>SANTANDER</t>
        </is>
      </c>
      <c r="B59" s="27" t="inlineStr">
        <is>
          <t>5º</t>
        </is>
      </c>
      <c r="C59" s="27" t="n">
        <v>1</v>
      </c>
      <c r="D59" s="27" t="inlineStr">
        <is>
          <t>3º</t>
        </is>
      </c>
      <c r="E59" s="27" t="n">
        <v>1</v>
      </c>
      <c r="F59" s="27" t="inlineStr">
        <is>
          <t>4º</t>
        </is>
      </c>
      <c r="G59" s="27" t="n">
        <v>2</v>
      </c>
    </row>
    <row r="60" ht="12.75" customHeight="1" s="8">
      <c r="A60" s="30" t="inlineStr">
        <is>
          <t>CEF</t>
        </is>
      </c>
      <c r="B60" s="31" t="inlineStr">
        <is>
          <t>5º</t>
        </is>
      </c>
      <c r="C60" s="31" t="n">
        <v>1</v>
      </c>
      <c r="D60" s="31" t="inlineStr">
        <is>
          <t>3º</t>
        </is>
      </c>
      <c r="E60" s="31" t="n">
        <v>1</v>
      </c>
      <c r="F60" s="31" t="inlineStr">
        <is>
          <t>6º</t>
        </is>
      </c>
      <c r="G60" s="31" t="n">
        <v>1</v>
      </c>
    </row>
    <row r="61" ht="12.75" customHeight="1" s="8">
      <c r="A61" s="26" t="inlineStr">
        <is>
          <t>DAYCOVAL</t>
        </is>
      </c>
      <c r="B61" s="27" t="n">
        <v/>
      </c>
      <c r="C61" s="27" t="n">
        <v>0</v>
      </c>
      <c r="D61" s="27" t="n">
        <v/>
      </c>
      <c r="E61" s="27" t="n">
        <v>0</v>
      </c>
      <c r="F61" s="27" t="inlineStr">
        <is>
          <t>6º</t>
        </is>
      </c>
      <c r="G61" s="27" t="n">
        <v>1</v>
      </c>
    </row>
    <row r="62" ht="12.75" customHeight="1" s="8">
      <c r="A62" s="30" t="inlineStr">
        <is>
          <t>XP INVESTIMENTOS</t>
        </is>
      </c>
      <c r="B62" s="31" t="n">
        <v/>
      </c>
      <c r="C62" s="31" t="n">
        <v>0</v>
      </c>
      <c r="D62" s="31" t="n">
        <v/>
      </c>
      <c r="E62" s="31" t="n">
        <v>0</v>
      </c>
      <c r="F62" s="31" t="inlineStr">
        <is>
          <t>6º</t>
        </is>
      </c>
      <c r="G62" s="31" t="n">
        <v>1</v>
      </c>
    </row>
    <row r="63" ht="12.75" customHeight="1" s="8">
      <c r="A63" s="34" t="inlineStr">
        <is>
          <t>Total</t>
        </is>
      </c>
      <c r="B63" s="35" t="n"/>
      <c r="C63" s="35" t="inlineStr">
        <is>
          <t>24</t>
        </is>
      </c>
      <c r="D63" s="35" t="n"/>
      <c r="E63" s="35" t="inlineStr">
        <is>
          <t>12</t>
        </is>
      </c>
      <c r="F63" s="35" t="n"/>
      <c r="G63" s="35" t="inlineStr">
        <is>
          <t>55</t>
        </is>
      </c>
    </row>
    <row r="64" ht="12.75" customHeight="1" s="8"/>
    <row r="65" ht="12.75" customHeight="1" s="8"/>
    <row r="66" ht="12.75" customHeight="1" s="8">
      <c r="A66" s="22" t="inlineStr">
        <is>
          <t>Tipo 1.2. Renda Fixa - Longo Prazo</t>
        </is>
      </c>
      <c r="G66" s="23" t="n"/>
    </row>
    <row r="67" ht="12.75" customHeight="1" s="8">
      <c r="A67" s="24" t="inlineStr">
        <is>
          <t>Coordenadores</t>
        </is>
      </c>
      <c r="B67" s="24" t="inlineStr">
        <is>
          <t>Acumulado 2026</t>
        </is>
      </c>
      <c r="C67" s="24" t="n"/>
      <c r="D67" s="24" t="inlineStr">
        <is>
          <t>Últimos 3 meses</t>
        </is>
      </c>
      <c r="E67" s="24" t="n"/>
      <c r="F67" s="24" t="inlineStr">
        <is>
          <t>Últimos 12 meses</t>
        </is>
      </c>
      <c r="G67" s="25" t="n"/>
    </row>
    <row r="68" ht="12.75" customHeight="1" s="8">
      <c r="A68" s="24" t="n"/>
      <c r="B68" s="24" t="inlineStr">
        <is>
          <t>Ranking 2026</t>
        </is>
      </c>
      <c r="C68" s="24" t="inlineStr">
        <is>
          <t>Nº de Operações</t>
        </is>
      </c>
      <c r="D68" s="24" t="inlineStr">
        <is>
          <t>Ranking 3 meses</t>
        </is>
      </c>
      <c r="E68" s="24" t="inlineStr">
        <is>
          <t>Nº de Operações</t>
        </is>
      </c>
      <c r="F68" s="24" t="inlineStr">
        <is>
          <t>Ranking 12 meses</t>
        </is>
      </c>
      <c r="G68" s="25" t="inlineStr">
        <is>
          <t>Nº de Operações</t>
        </is>
      </c>
    </row>
    <row r="69" ht="12.75" customHeight="1" s="8">
      <c r="A69" s="26" t="inlineStr">
        <is>
          <t>ITAU BBA</t>
        </is>
      </c>
      <c r="B69" s="27" t="inlineStr">
        <is>
          <t>1º</t>
        </is>
      </c>
      <c r="C69" s="27" t="n">
        <v>118</v>
      </c>
      <c r="D69" s="27" t="inlineStr">
        <is>
          <t>2º</t>
        </is>
      </c>
      <c r="E69" s="27" t="n">
        <v>46</v>
      </c>
      <c r="F69" s="27" t="inlineStr">
        <is>
          <t>1º</t>
        </is>
      </c>
      <c r="G69" s="27" t="n">
        <v>330</v>
      </c>
    </row>
    <row r="70" ht="12.75" customHeight="1" s="8">
      <c r="A70" s="30" t="inlineStr">
        <is>
          <t>BRADESCO BBI</t>
        </is>
      </c>
      <c r="B70" s="31" t="inlineStr">
        <is>
          <t>2º</t>
        </is>
      </c>
      <c r="C70" s="31" t="n">
        <v>109</v>
      </c>
      <c r="D70" s="31" t="inlineStr">
        <is>
          <t>1º</t>
        </is>
      </c>
      <c r="E70" s="31" t="n">
        <v>54</v>
      </c>
      <c r="F70" s="31" t="inlineStr">
        <is>
          <t>2º</t>
        </is>
      </c>
      <c r="G70" s="31" t="n">
        <v>252</v>
      </c>
    </row>
    <row r="71" ht="12.75" customHeight="1" s="8">
      <c r="A71" s="26" t="inlineStr">
        <is>
          <t>SANTANDER</t>
        </is>
      </c>
      <c r="B71" s="27" t="inlineStr">
        <is>
          <t>3º</t>
        </is>
      </c>
      <c r="C71" s="27" t="n">
        <v>55</v>
      </c>
      <c r="D71" s="27" t="inlineStr">
        <is>
          <t>4º</t>
        </is>
      </c>
      <c r="E71" s="27" t="n">
        <v>17</v>
      </c>
      <c r="F71" s="27" t="inlineStr">
        <is>
          <t>3º</t>
        </is>
      </c>
      <c r="G71" s="27" t="n">
        <v>135</v>
      </c>
    </row>
    <row r="72" ht="12.75" customHeight="1" s="8">
      <c r="A72" s="30" t="inlineStr">
        <is>
          <t>XP INVESTIMENTOS</t>
        </is>
      </c>
      <c r="B72" s="31" t="inlineStr">
        <is>
          <t>4º</t>
        </is>
      </c>
      <c r="C72" s="31" t="n">
        <v>40</v>
      </c>
      <c r="D72" s="31" t="inlineStr">
        <is>
          <t>6º</t>
        </is>
      </c>
      <c r="E72" s="31" t="n">
        <v>9</v>
      </c>
      <c r="F72" s="31" t="inlineStr">
        <is>
          <t>5º</t>
        </is>
      </c>
      <c r="G72" s="31" t="n">
        <v>100</v>
      </c>
    </row>
    <row r="73" ht="12.75" customHeight="1" s="8">
      <c r="A73" s="26" t="inlineStr">
        <is>
          <t>UBS BB</t>
        </is>
      </c>
      <c r="B73" s="27" t="inlineStr">
        <is>
          <t>5º</t>
        </is>
      </c>
      <c r="C73" s="27" t="n">
        <v>36</v>
      </c>
      <c r="D73" s="27" t="inlineStr">
        <is>
          <t>3º</t>
        </is>
      </c>
      <c r="E73" s="27" t="n">
        <v>21</v>
      </c>
      <c r="F73" s="27" t="inlineStr">
        <is>
          <t>4º</t>
        </is>
      </c>
      <c r="G73" s="27" t="n">
        <v>120</v>
      </c>
    </row>
    <row r="74" ht="12.75" customHeight="1" s="8">
      <c r="A74" s="30" t="inlineStr">
        <is>
          <t>BTG PACTUAL</t>
        </is>
      </c>
      <c r="B74" s="31" t="inlineStr">
        <is>
          <t>6º</t>
        </is>
      </c>
      <c r="C74" s="31" t="n">
        <v>29</v>
      </c>
      <c r="D74" s="31" t="inlineStr">
        <is>
          <t>8º</t>
        </is>
      </c>
      <c r="E74" s="31" t="n">
        <v>7</v>
      </c>
      <c r="F74" s="31" t="inlineStr">
        <is>
          <t>6º</t>
        </is>
      </c>
      <c r="G74" s="31" t="n">
        <v>93</v>
      </c>
    </row>
    <row r="75" ht="12.75" customHeight="1" s="8">
      <c r="A75" s="26" t="inlineStr">
        <is>
          <t>CEF</t>
        </is>
      </c>
      <c r="B75" s="27" t="inlineStr">
        <is>
          <t>7º</t>
        </is>
      </c>
      <c r="C75" s="27" t="n">
        <v>21</v>
      </c>
      <c r="D75" s="27" t="inlineStr">
        <is>
          <t>5º</t>
        </is>
      </c>
      <c r="E75" s="27" t="n">
        <v>15</v>
      </c>
      <c r="F75" s="27" t="inlineStr">
        <is>
          <t>8º</t>
        </is>
      </c>
      <c r="G75" s="27" t="n">
        <v>48</v>
      </c>
    </row>
    <row r="76" ht="12.75" customHeight="1" s="8">
      <c r="A76" s="30" t="inlineStr">
        <is>
          <t>ABC BRASIL</t>
        </is>
      </c>
      <c r="B76" s="31" t="inlineStr">
        <is>
          <t>8º</t>
        </is>
      </c>
      <c r="C76" s="31" t="n">
        <v>19</v>
      </c>
      <c r="D76" s="31" t="inlineStr">
        <is>
          <t>9º</t>
        </is>
      </c>
      <c r="E76" s="31" t="n">
        <v>6</v>
      </c>
      <c r="F76" s="31" t="inlineStr">
        <is>
          <t>10º</t>
        </is>
      </c>
      <c r="G76" s="31" t="n">
        <v>39</v>
      </c>
    </row>
    <row r="77" ht="12.75" customHeight="1" s="8">
      <c r="A77" s="26" t="inlineStr">
        <is>
          <t>SAFRA</t>
        </is>
      </c>
      <c r="B77" s="27" t="inlineStr">
        <is>
          <t>9º</t>
        </is>
      </c>
      <c r="C77" s="27" t="n">
        <v>17</v>
      </c>
      <c r="D77" s="27" t="inlineStr">
        <is>
          <t>10º</t>
        </is>
      </c>
      <c r="E77" s="27" t="n">
        <v>5</v>
      </c>
      <c r="F77" s="27" t="inlineStr">
        <is>
          <t>9º</t>
        </is>
      </c>
      <c r="G77" s="27" t="n">
        <v>45</v>
      </c>
    </row>
    <row r="78" ht="12.75" customHeight="1" s="8">
      <c r="A78" s="30" t="inlineStr">
        <is>
          <t>VOTORANTIM</t>
        </is>
      </c>
      <c r="B78" s="31" t="inlineStr">
        <is>
          <t>10º</t>
        </is>
      </c>
      <c r="C78" s="31" t="n">
        <v>14</v>
      </c>
      <c r="D78" s="31" t="inlineStr">
        <is>
          <t>6º</t>
        </is>
      </c>
      <c r="E78" s="31" t="n">
        <v>9</v>
      </c>
      <c r="F78" s="31" t="inlineStr">
        <is>
          <t>7º</t>
        </is>
      </c>
      <c r="G78" s="31" t="n">
        <v>52</v>
      </c>
    </row>
    <row r="79" ht="12.75" customHeight="1" s="8">
      <c r="A79" s="26" t="inlineStr">
        <is>
          <t>CITIGROUP</t>
        </is>
      </c>
      <c r="B79" s="27" t="inlineStr">
        <is>
          <t>11º</t>
        </is>
      </c>
      <c r="C79" s="27" t="n">
        <v>11</v>
      </c>
      <c r="D79" s="27" t="inlineStr">
        <is>
          <t>12º</t>
        </is>
      </c>
      <c r="E79" s="27" t="n">
        <v>2</v>
      </c>
      <c r="F79" s="27" t="inlineStr">
        <is>
          <t>11º</t>
        </is>
      </c>
      <c r="G79" s="27" t="n">
        <v>21</v>
      </c>
    </row>
    <row r="80" ht="12.75" customHeight="1" s="8">
      <c r="A80" s="30" t="inlineStr">
        <is>
          <t>DAYCOVAL</t>
        </is>
      </c>
      <c r="B80" s="31" t="inlineStr">
        <is>
          <t>12º</t>
        </is>
      </c>
      <c r="C80" s="31" t="n">
        <v>8</v>
      </c>
      <c r="D80" s="31" t="inlineStr">
        <is>
          <t>12º</t>
        </is>
      </c>
      <c r="E80" s="31" t="n">
        <v>2</v>
      </c>
      <c r="F80" s="31" t="inlineStr">
        <is>
          <t>12º</t>
        </is>
      </c>
      <c r="G80" s="31" t="n">
        <v>16</v>
      </c>
    </row>
    <row r="81" ht="12.75" customHeight="1" s="8">
      <c r="A81" s="26" t="inlineStr">
        <is>
          <t>BNDES</t>
        </is>
      </c>
      <c r="B81" s="27" t="inlineStr">
        <is>
          <t>13º</t>
        </is>
      </c>
      <c r="C81" s="27" t="n">
        <v>5</v>
      </c>
      <c r="D81" s="27" t="inlineStr">
        <is>
          <t>11º</t>
        </is>
      </c>
      <c r="E81" s="27" t="n">
        <v>3</v>
      </c>
      <c r="F81" s="27" t="inlineStr">
        <is>
          <t>13º</t>
        </is>
      </c>
      <c r="G81" s="27" t="n">
        <v>13</v>
      </c>
    </row>
    <row r="82" ht="12.75" customHeight="1" s="8">
      <c r="A82" s="30" t="inlineStr">
        <is>
          <t>M7 IB</t>
        </is>
      </c>
      <c r="B82" s="31" t="inlineStr">
        <is>
          <t>13º</t>
        </is>
      </c>
      <c r="C82" s="31" t="n">
        <v>5</v>
      </c>
      <c r="D82" s="31" t="inlineStr">
        <is>
          <t>12º</t>
        </is>
      </c>
      <c r="E82" s="31" t="n">
        <v>2</v>
      </c>
      <c r="F82" s="31" t="inlineStr">
        <is>
          <t>16º</t>
        </is>
      </c>
      <c r="G82" s="31" t="n">
        <v>7</v>
      </c>
    </row>
    <row r="83" ht="12.75" customHeight="1" s="8">
      <c r="A83" s="26" t="inlineStr">
        <is>
          <t>BR PARTNERS</t>
        </is>
      </c>
      <c r="B83" s="27" t="inlineStr">
        <is>
          <t>13º</t>
        </is>
      </c>
      <c r="C83" s="27" t="n">
        <v>5</v>
      </c>
      <c r="D83" s="27" t="n">
        <v/>
      </c>
      <c r="E83" s="27" t="n">
        <v>0</v>
      </c>
      <c r="F83" s="27" t="inlineStr">
        <is>
          <t>15º</t>
        </is>
      </c>
      <c r="G83" s="27" t="n">
        <v>8</v>
      </c>
    </row>
    <row r="84" ht="12.75" customHeight="1" s="8">
      <c r="A84" s="30" t="inlineStr">
        <is>
          <t>BNP PARIBAS</t>
        </is>
      </c>
      <c r="B84" s="31" t="inlineStr">
        <is>
          <t>16º</t>
        </is>
      </c>
      <c r="C84" s="31" t="n">
        <v>3</v>
      </c>
      <c r="D84" s="31" t="inlineStr">
        <is>
          <t>15º</t>
        </is>
      </c>
      <c r="E84" s="31" t="n">
        <v>1</v>
      </c>
      <c r="F84" s="31" t="inlineStr">
        <is>
          <t>14º</t>
        </is>
      </c>
      <c r="G84" s="31" t="n">
        <v>9</v>
      </c>
    </row>
    <row r="85" ht="12.75" customHeight="1" s="8">
      <c r="A85" s="26" t="inlineStr">
        <is>
          <t>RABOBANK</t>
        </is>
      </c>
      <c r="B85" s="27" t="inlineStr">
        <is>
          <t>16º</t>
        </is>
      </c>
      <c r="C85" s="27" t="n">
        <v>3</v>
      </c>
      <c r="D85" s="27" t="n">
        <v/>
      </c>
      <c r="E85" s="27" t="n">
        <v>0</v>
      </c>
      <c r="F85" s="27" t="inlineStr">
        <is>
          <t>20º</t>
        </is>
      </c>
      <c r="G85" s="27" t="n">
        <v>4</v>
      </c>
    </row>
    <row r="86" ht="12.75" customHeight="1" s="8">
      <c r="A86" s="30" t="inlineStr">
        <is>
          <t>BOCOM BBM</t>
        </is>
      </c>
      <c r="B86" s="31" t="inlineStr">
        <is>
          <t>18º</t>
        </is>
      </c>
      <c r="C86" s="31" t="n">
        <v>2</v>
      </c>
      <c r="D86" s="31" t="inlineStr">
        <is>
          <t>15º</t>
        </is>
      </c>
      <c r="E86" s="31" t="n">
        <v>1</v>
      </c>
      <c r="F86" s="31" t="inlineStr">
        <is>
          <t>17º</t>
        </is>
      </c>
      <c r="G86" s="31" t="n">
        <v>6</v>
      </c>
    </row>
    <row r="87" ht="12.75" customFormat="1" customHeight="1" s="21">
      <c r="A87" s="26" t="inlineStr">
        <is>
          <t>INTER</t>
        </is>
      </c>
      <c r="B87" s="27" t="inlineStr">
        <is>
          <t>19º</t>
        </is>
      </c>
      <c r="C87" s="27" t="n">
        <v>1</v>
      </c>
      <c r="D87" s="27" t="inlineStr">
        <is>
          <t>15º</t>
        </is>
      </c>
      <c r="E87" s="27" t="n">
        <v>1</v>
      </c>
      <c r="F87" s="27" t="inlineStr">
        <is>
          <t>18º</t>
        </is>
      </c>
      <c r="G87" s="27" t="n">
        <v>5</v>
      </c>
    </row>
    <row r="88" ht="12.75" customFormat="1" customHeight="1" s="21">
      <c r="A88" s="30" t="inlineStr">
        <is>
          <t>MAX CAPITAL MARKETS</t>
        </is>
      </c>
      <c r="B88" s="31" t="inlineStr">
        <is>
          <t>19º</t>
        </is>
      </c>
      <c r="C88" s="31" t="n">
        <v>1</v>
      </c>
      <c r="D88" s="31" t="inlineStr">
        <is>
          <t>15º</t>
        </is>
      </c>
      <c r="E88" s="31" t="n">
        <v>1</v>
      </c>
      <c r="F88" s="31" t="inlineStr">
        <is>
          <t>21º</t>
        </is>
      </c>
      <c r="G88" s="31" t="n">
        <v>2</v>
      </c>
    </row>
    <row r="89" ht="12.75" customFormat="1" customHeight="1" s="21">
      <c r="A89" s="26" t="inlineStr">
        <is>
          <t>JIVE HIGH YIELD GESTÃO DE RECURSOS LTDA.</t>
        </is>
      </c>
      <c r="B89" s="27" t="inlineStr">
        <is>
          <t>19º</t>
        </is>
      </c>
      <c r="C89" s="27" t="n">
        <v>1</v>
      </c>
      <c r="D89" s="27" t="inlineStr">
        <is>
          <t>15º</t>
        </is>
      </c>
      <c r="E89" s="27" t="n">
        <v>1</v>
      </c>
      <c r="F89" s="27" t="inlineStr">
        <is>
          <t>24º</t>
        </is>
      </c>
      <c r="G89" s="27" t="n">
        <v>1</v>
      </c>
    </row>
    <row r="90" ht="12.75" customFormat="1" customHeight="1" s="21">
      <c r="A90" s="30" t="inlineStr">
        <is>
          <t>BB-BI</t>
        </is>
      </c>
      <c r="B90" s="31" t="inlineStr">
        <is>
          <t>19º</t>
        </is>
      </c>
      <c r="C90" s="31" t="n">
        <v>1</v>
      </c>
      <c r="D90" s="31" t="n">
        <v/>
      </c>
      <c r="E90" s="31" t="n">
        <v>0</v>
      </c>
      <c r="F90" s="31" t="inlineStr">
        <is>
          <t>18º</t>
        </is>
      </c>
      <c r="G90" s="31" t="n">
        <v>5</v>
      </c>
    </row>
    <row r="91" ht="12.75" customHeight="1" s="8">
      <c r="A91" s="26" t="inlineStr">
        <is>
          <t>ARCHX CAPITAL</t>
        </is>
      </c>
      <c r="B91" s="27" t="n">
        <v/>
      </c>
      <c r="C91" s="27" t="n">
        <v>0</v>
      </c>
      <c r="D91" s="27" t="n">
        <v/>
      </c>
      <c r="E91" s="27" t="n">
        <v>0</v>
      </c>
      <c r="F91" s="27" t="inlineStr">
        <is>
          <t>21º</t>
        </is>
      </c>
      <c r="G91" s="27" t="n">
        <v>2</v>
      </c>
    </row>
    <row r="92" ht="12.75" customHeight="1" s="8">
      <c r="A92" s="30" t="inlineStr">
        <is>
          <t>GALAPAGOS CAPITAL INVESTIMENTOS E PARTICIPAÇÕES LTDA.</t>
        </is>
      </c>
      <c r="B92" s="31" t="n">
        <v/>
      </c>
      <c r="C92" s="31" t="n">
        <v>0</v>
      </c>
      <c r="D92" s="31" t="n">
        <v/>
      </c>
      <c r="E92" s="31" t="n">
        <v>0</v>
      </c>
      <c r="F92" s="31" t="inlineStr">
        <is>
          <t>21º</t>
        </is>
      </c>
      <c r="G92" s="31" t="n">
        <v>2</v>
      </c>
    </row>
    <row r="93" ht="12.75" customHeight="1" s="8">
      <c r="A93" s="26" t="inlineStr">
        <is>
          <t>BANCO BS2</t>
        </is>
      </c>
      <c r="B93" s="27" t="n">
        <v/>
      </c>
      <c r="C93" s="27" t="n">
        <v>0</v>
      </c>
      <c r="D93" s="27" t="n">
        <v/>
      </c>
      <c r="E93" s="27" t="n">
        <v>0</v>
      </c>
      <c r="F93" s="27" t="inlineStr">
        <is>
          <t>24º</t>
        </is>
      </c>
      <c r="G93" s="27" t="n">
        <v>1</v>
      </c>
    </row>
    <row r="94" ht="12.75" customHeight="1" s="8">
      <c r="A94" s="30" t="inlineStr">
        <is>
          <t>BANCO SUMITOMO MITSUI BRASILEIRO</t>
        </is>
      </c>
      <c r="B94" s="31" t="n">
        <v/>
      </c>
      <c r="C94" s="31" t="n">
        <v>0</v>
      </c>
      <c r="D94" s="31" t="n">
        <v/>
      </c>
      <c r="E94" s="31" t="n">
        <v>0</v>
      </c>
      <c r="F94" s="31" t="inlineStr">
        <is>
          <t>24º</t>
        </is>
      </c>
      <c r="G94" s="31" t="n">
        <v>1</v>
      </c>
    </row>
    <row r="95" ht="12.75" customHeight="1" s="8">
      <c r="A95" s="26" t="inlineStr">
        <is>
          <t>CREDIT AGRICOLE</t>
        </is>
      </c>
      <c r="B95" s="27" t="n">
        <v/>
      </c>
      <c r="C95" s="27" t="n">
        <v>0</v>
      </c>
      <c r="D95" s="27" t="n">
        <v/>
      </c>
      <c r="E95" s="27" t="n">
        <v>0</v>
      </c>
      <c r="F95" s="27" t="inlineStr">
        <is>
          <t>24º</t>
        </is>
      </c>
      <c r="G95" s="27" t="n">
        <v>1</v>
      </c>
    </row>
    <row r="96" ht="12.75" customHeight="1" s="8">
      <c r="A96" s="30" t="inlineStr">
        <is>
          <t>JGP FINANCIAL ADVISORY</t>
        </is>
      </c>
      <c r="B96" s="31" t="n">
        <v/>
      </c>
      <c r="C96" s="31" t="n">
        <v>0</v>
      </c>
      <c r="D96" s="31" t="n">
        <v/>
      </c>
      <c r="E96" s="31" t="n">
        <v>0</v>
      </c>
      <c r="F96" s="31" t="inlineStr">
        <is>
          <t>24º</t>
        </is>
      </c>
      <c r="G96" s="31" t="n">
        <v>1</v>
      </c>
    </row>
    <row r="97" ht="12.75" customHeight="1" s="8">
      <c r="A97" s="26" t="inlineStr">
        <is>
          <t>JP MORGAN</t>
        </is>
      </c>
      <c r="B97" s="27" t="n">
        <v/>
      </c>
      <c r="C97" s="27" t="n">
        <v>0</v>
      </c>
      <c r="D97" s="27" t="n">
        <v/>
      </c>
      <c r="E97" s="27" t="n">
        <v>0</v>
      </c>
      <c r="F97" s="27" t="inlineStr">
        <is>
          <t>24º</t>
        </is>
      </c>
      <c r="G97" s="27" t="n">
        <v>1</v>
      </c>
    </row>
    <row r="98" ht="12.75" customHeight="1" s="8">
      <c r="A98" s="30" t="inlineStr">
        <is>
          <t>ORIZ ASSESSORIA FINANCEIRA LTDA</t>
        </is>
      </c>
      <c r="B98" s="31" t="n">
        <v/>
      </c>
      <c r="C98" s="31" t="n">
        <v>0</v>
      </c>
      <c r="D98" s="31" t="n">
        <v/>
      </c>
      <c r="E98" s="31" t="n">
        <v>0</v>
      </c>
      <c r="F98" s="31" t="inlineStr">
        <is>
          <t>24º</t>
        </is>
      </c>
      <c r="G98" s="31" t="n">
        <v>1</v>
      </c>
    </row>
    <row r="99" ht="12.75" customHeight="1" s="8">
      <c r="A99" s="26" t="inlineStr">
        <is>
          <t>One Corporate</t>
        </is>
      </c>
      <c r="B99" s="27" t="n">
        <v/>
      </c>
      <c r="C99" s="27" t="n">
        <v>0</v>
      </c>
      <c r="D99" s="27" t="n">
        <v/>
      </c>
      <c r="E99" s="27" t="n">
        <v>0</v>
      </c>
      <c r="F99" s="27" t="inlineStr">
        <is>
          <t>24º</t>
        </is>
      </c>
      <c r="G99" s="27" t="n">
        <v>1</v>
      </c>
    </row>
    <row r="100" ht="12.75" customHeight="1" s="8">
      <c r="A100" s="34" t="inlineStr">
        <is>
          <t>Total</t>
        </is>
      </c>
      <c r="B100" s="35" t="n"/>
      <c r="C100" s="35" t="inlineStr">
        <is>
          <t>314</t>
        </is>
      </c>
      <c r="D100" s="35" t="n"/>
      <c r="E100" s="35" t="inlineStr">
        <is>
          <t>149</t>
        </is>
      </c>
      <c r="F100" s="35" t="n"/>
      <c r="G100" s="35" t="inlineStr">
        <is>
          <t>762</t>
        </is>
      </c>
    </row>
    <row r="101" ht="12.75" customHeight="1" s="8"/>
    <row r="102" ht="12.75" customHeight="1" s="8"/>
    <row r="103" ht="12.75" customHeight="1" s="8">
      <c r="A103" s="22" t="inlineStr">
        <is>
          <t>Tipo 1.3. Securitização</t>
        </is>
      </c>
      <c r="G103" s="23" t="n"/>
    </row>
    <row r="104" ht="12.75" customHeight="1" s="8">
      <c r="A104" s="24" t="inlineStr">
        <is>
          <t>Coordenadores</t>
        </is>
      </c>
      <c r="B104" s="24" t="inlineStr">
        <is>
          <t>Acumulado 2026</t>
        </is>
      </c>
      <c r="C104" s="24" t="n"/>
      <c r="D104" s="24" t="inlineStr">
        <is>
          <t>Últimos 3 meses</t>
        </is>
      </c>
      <c r="E104" s="24" t="n"/>
      <c r="F104" s="24" t="inlineStr">
        <is>
          <t>Últimos 12 meses</t>
        </is>
      </c>
      <c r="G104" s="25" t="n"/>
    </row>
    <row r="105" ht="12.75" customHeight="1" s="8">
      <c r="A105" s="24" t="n"/>
      <c r="B105" s="24" t="inlineStr">
        <is>
          <t>Ranking 2026</t>
        </is>
      </c>
      <c r="C105" s="24" t="inlineStr">
        <is>
          <t>Nº de Operações</t>
        </is>
      </c>
      <c r="D105" s="24" t="inlineStr">
        <is>
          <t>Ranking 3 meses</t>
        </is>
      </c>
      <c r="E105" s="24" t="inlineStr">
        <is>
          <t>Nº de Operações</t>
        </is>
      </c>
      <c r="F105" s="24" t="inlineStr">
        <is>
          <t>Ranking 12 meses</t>
        </is>
      </c>
      <c r="G105" s="25" t="inlineStr">
        <is>
          <t>Nº de Operações</t>
        </is>
      </c>
    </row>
    <row r="106" ht="12.75" customHeight="1" s="8">
      <c r="A106" s="26" t="inlineStr">
        <is>
          <t>ITAU BBA</t>
        </is>
      </c>
      <c r="B106" s="27" t="inlineStr">
        <is>
          <t>1º</t>
        </is>
      </c>
      <c r="C106" s="27" t="n">
        <v>33</v>
      </c>
      <c r="D106" s="27" t="inlineStr">
        <is>
          <t>1º</t>
        </is>
      </c>
      <c r="E106" s="27" t="n">
        <v>17</v>
      </c>
      <c r="F106" s="27" t="inlineStr">
        <is>
          <t>1º</t>
        </is>
      </c>
      <c r="G106" s="27" t="n">
        <v>120</v>
      </c>
    </row>
    <row r="107" ht="12.75" customHeight="1" s="8">
      <c r="A107" s="30" t="inlineStr">
        <is>
          <t>BRADESCO BBI</t>
        </is>
      </c>
      <c r="B107" s="31" t="inlineStr">
        <is>
          <t>2º</t>
        </is>
      </c>
      <c r="C107" s="31" t="n">
        <v>20</v>
      </c>
      <c r="D107" s="31" t="inlineStr">
        <is>
          <t>2º</t>
        </is>
      </c>
      <c r="E107" s="31" t="n">
        <v>7</v>
      </c>
      <c r="F107" s="31" t="inlineStr">
        <is>
          <t>2º</t>
        </is>
      </c>
      <c r="G107" s="31" t="n">
        <v>61</v>
      </c>
    </row>
    <row r="108" ht="12.75" customHeight="1" s="8">
      <c r="A108" s="26" t="inlineStr">
        <is>
          <t>XP INVESTIMENTOS</t>
        </is>
      </c>
      <c r="B108" s="27" t="inlineStr">
        <is>
          <t>3º</t>
        </is>
      </c>
      <c r="C108" s="27" t="n">
        <v>12</v>
      </c>
      <c r="D108" s="27" t="inlineStr">
        <is>
          <t>4º</t>
        </is>
      </c>
      <c r="E108" s="27" t="n">
        <v>6</v>
      </c>
      <c r="F108" s="27" t="inlineStr">
        <is>
          <t>3º</t>
        </is>
      </c>
      <c r="G108" s="27" t="n">
        <v>60</v>
      </c>
    </row>
    <row r="109" ht="12.75" customHeight="1" s="8">
      <c r="A109" s="30" t="inlineStr">
        <is>
          <t>BR PARTNERS</t>
        </is>
      </c>
      <c r="B109" s="31" t="inlineStr">
        <is>
          <t>4º</t>
        </is>
      </c>
      <c r="C109" s="31" t="n">
        <v>9</v>
      </c>
      <c r="D109" s="31" t="inlineStr">
        <is>
          <t>2º</t>
        </is>
      </c>
      <c r="E109" s="31" t="n">
        <v>7</v>
      </c>
      <c r="F109" s="31" t="inlineStr">
        <is>
          <t>7º</t>
        </is>
      </c>
      <c r="G109" s="31" t="n">
        <v>21</v>
      </c>
    </row>
    <row r="110" ht="12.75" customHeight="1" s="8">
      <c r="A110" s="26" t="inlineStr">
        <is>
          <t>BTG PACTUAL</t>
        </is>
      </c>
      <c r="B110" s="27" t="inlineStr">
        <is>
          <t>5º</t>
        </is>
      </c>
      <c r="C110" s="27" t="n">
        <v>8</v>
      </c>
      <c r="D110" s="27" t="inlineStr">
        <is>
          <t>5º</t>
        </is>
      </c>
      <c r="E110" s="27" t="n">
        <v>4</v>
      </c>
      <c r="F110" s="27" t="inlineStr">
        <is>
          <t>5º</t>
        </is>
      </c>
      <c r="G110" s="27" t="n">
        <v>29</v>
      </c>
    </row>
    <row r="111" ht="12.75" customHeight="1" s="8">
      <c r="A111" s="30" t="inlineStr">
        <is>
          <t>SANTANDER</t>
        </is>
      </c>
      <c r="B111" s="31" t="inlineStr">
        <is>
          <t>5º</t>
        </is>
      </c>
      <c r="C111" s="31" t="n">
        <v>8</v>
      </c>
      <c r="D111" s="31" t="inlineStr">
        <is>
          <t>5º</t>
        </is>
      </c>
      <c r="E111" s="31" t="n">
        <v>4</v>
      </c>
      <c r="F111" s="31" t="inlineStr">
        <is>
          <t>6º</t>
        </is>
      </c>
      <c r="G111" s="31" t="n">
        <v>27</v>
      </c>
    </row>
    <row r="112" ht="12.75" customHeight="1" s="8">
      <c r="A112" s="26" t="inlineStr">
        <is>
          <t>UBS BB</t>
        </is>
      </c>
      <c r="B112" s="27" t="inlineStr">
        <is>
          <t>7º</t>
        </is>
      </c>
      <c r="C112" s="27" t="n">
        <v>6</v>
      </c>
      <c r="D112" s="27" t="inlineStr">
        <is>
          <t>10º</t>
        </is>
      </c>
      <c r="E112" s="27" t="n">
        <v>2</v>
      </c>
      <c r="F112" s="27" t="inlineStr">
        <is>
          <t>11º</t>
        </is>
      </c>
      <c r="G112" s="27" t="n">
        <v>14</v>
      </c>
    </row>
    <row r="113" ht="12.75" customHeight="1" s="8">
      <c r="A113" s="30" t="inlineStr">
        <is>
          <t>VOTORANTIM</t>
        </is>
      </c>
      <c r="B113" s="31" t="inlineStr">
        <is>
          <t>8º</t>
        </is>
      </c>
      <c r="C113" s="31" t="n">
        <v>5</v>
      </c>
      <c r="D113" s="31" t="inlineStr">
        <is>
          <t>5º</t>
        </is>
      </c>
      <c r="E113" s="31" t="n">
        <v>4</v>
      </c>
      <c r="F113" s="31" t="inlineStr">
        <is>
          <t>8º</t>
        </is>
      </c>
      <c r="G113" s="31" t="n">
        <v>18</v>
      </c>
    </row>
    <row r="114" ht="12.75" customHeight="1" s="8">
      <c r="A114" s="26" t="inlineStr">
        <is>
          <t>SAFRA</t>
        </is>
      </c>
      <c r="B114" s="27" t="inlineStr">
        <is>
          <t>9º</t>
        </is>
      </c>
      <c r="C114" s="27" t="n">
        <v>4</v>
      </c>
      <c r="D114" s="27" t="inlineStr">
        <is>
          <t>8º</t>
        </is>
      </c>
      <c r="E114" s="27" t="n">
        <v>3</v>
      </c>
      <c r="F114" s="27" t="inlineStr">
        <is>
          <t>4º</t>
        </is>
      </c>
      <c r="G114" s="27" t="n">
        <v>30</v>
      </c>
    </row>
    <row r="115" ht="12.75" customHeight="1" s="8">
      <c r="A115" s="30" t="inlineStr">
        <is>
          <t>CEF</t>
        </is>
      </c>
      <c r="B115" s="31" t="inlineStr">
        <is>
          <t>9º</t>
        </is>
      </c>
      <c r="C115" s="31" t="n">
        <v>4</v>
      </c>
      <c r="D115" s="31" t="inlineStr">
        <is>
          <t>8º</t>
        </is>
      </c>
      <c r="E115" s="31" t="n">
        <v>3</v>
      </c>
      <c r="F115" s="31" t="inlineStr">
        <is>
          <t>12º</t>
        </is>
      </c>
      <c r="G115" s="31" t="n">
        <v>10</v>
      </c>
    </row>
    <row r="116" ht="12.75" customHeight="1" s="8">
      <c r="A116" s="26" t="inlineStr">
        <is>
          <t>DAYCOVAL</t>
        </is>
      </c>
      <c r="B116" s="27" t="inlineStr">
        <is>
          <t>9º</t>
        </is>
      </c>
      <c r="C116" s="27" t="n">
        <v>4</v>
      </c>
      <c r="D116" s="27" t="inlineStr">
        <is>
          <t>10º</t>
        </is>
      </c>
      <c r="E116" s="27" t="n">
        <v>2</v>
      </c>
      <c r="F116" s="27" t="inlineStr">
        <is>
          <t>14º</t>
        </is>
      </c>
      <c r="G116" s="27" t="n">
        <v>9</v>
      </c>
    </row>
    <row r="117" ht="12.75" customHeight="1" s="8">
      <c r="A117" s="30" t="inlineStr">
        <is>
          <t>ABC BRASIL</t>
        </is>
      </c>
      <c r="B117" s="31" t="inlineStr">
        <is>
          <t>12º</t>
        </is>
      </c>
      <c r="C117" s="31" t="n">
        <v>3</v>
      </c>
      <c r="D117" s="31" t="inlineStr">
        <is>
          <t>10º</t>
        </is>
      </c>
      <c r="E117" s="31" t="n">
        <v>2</v>
      </c>
      <c r="F117" s="31" t="inlineStr">
        <is>
          <t>10º</t>
        </is>
      </c>
      <c r="G117" s="31" t="n">
        <v>15</v>
      </c>
    </row>
    <row r="118" ht="12.75" customHeight="1" s="8">
      <c r="A118" s="26" t="inlineStr">
        <is>
          <t>One Corporate</t>
        </is>
      </c>
      <c r="B118" s="27" t="inlineStr">
        <is>
          <t>12º</t>
        </is>
      </c>
      <c r="C118" s="27" t="n">
        <v>3</v>
      </c>
      <c r="D118" s="27" t="inlineStr">
        <is>
          <t>14º</t>
        </is>
      </c>
      <c r="E118" s="27" t="n">
        <v>1</v>
      </c>
      <c r="F118" s="27" t="inlineStr">
        <is>
          <t>17º</t>
        </is>
      </c>
      <c r="G118" s="27" t="n">
        <v>4</v>
      </c>
    </row>
    <row r="119" ht="12.75" customHeight="1" s="8">
      <c r="A119" s="30" t="inlineStr">
        <is>
          <t>CANAL COMPANHIA DE SECURITIZAÇÃO</t>
        </is>
      </c>
      <c r="B119" s="31" t="inlineStr">
        <is>
          <t>12º</t>
        </is>
      </c>
      <c r="C119" s="31" t="n">
        <v>3</v>
      </c>
      <c r="D119" s="31" t="n">
        <v/>
      </c>
      <c r="E119" s="31" t="n">
        <v>0</v>
      </c>
      <c r="F119" s="31" t="inlineStr">
        <is>
          <t>8º</t>
        </is>
      </c>
      <c r="G119" s="31" t="n">
        <v>18</v>
      </c>
    </row>
    <row r="120" ht="12.75" customHeight="1" s="8">
      <c r="A120" s="26" t="inlineStr">
        <is>
          <t>BB-BI</t>
        </is>
      </c>
      <c r="B120" s="27" t="inlineStr">
        <is>
          <t>15º</t>
        </is>
      </c>
      <c r="C120" s="27" t="n">
        <v>2</v>
      </c>
      <c r="D120" s="27" t="inlineStr">
        <is>
          <t>10º</t>
        </is>
      </c>
      <c r="E120" s="27" t="n">
        <v>2</v>
      </c>
      <c r="F120" s="27" t="inlineStr">
        <is>
          <t>14º</t>
        </is>
      </c>
      <c r="G120" s="27" t="n">
        <v>9</v>
      </c>
    </row>
    <row r="121" ht="12.75" customHeight="1" s="8">
      <c r="A121" s="30" t="inlineStr">
        <is>
          <t>BAMBOO SEC</t>
        </is>
      </c>
      <c r="B121" s="31" t="inlineStr">
        <is>
          <t>15º</t>
        </is>
      </c>
      <c r="C121" s="31" t="n">
        <v>2</v>
      </c>
      <c r="D121" s="31" t="inlineStr">
        <is>
          <t>14º</t>
        </is>
      </c>
      <c r="E121" s="31" t="n">
        <v>1</v>
      </c>
      <c r="F121" s="31" t="inlineStr">
        <is>
          <t>19º</t>
        </is>
      </c>
      <c r="G121" s="31" t="n">
        <v>2</v>
      </c>
    </row>
    <row r="122" ht="12.75" customHeight="1" s="8">
      <c r="A122" s="26" t="inlineStr">
        <is>
          <t>OPEA SECURITIZADORA</t>
        </is>
      </c>
      <c r="B122" s="27" t="inlineStr">
        <is>
          <t>17º</t>
        </is>
      </c>
      <c r="C122" s="27" t="n">
        <v>1</v>
      </c>
      <c r="D122" s="27" t="inlineStr">
        <is>
          <t>14º</t>
        </is>
      </c>
      <c r="E122" s="27" t="n">
        <v>1</v>
      </c>
      <c r="F122" s="27" t="inlineStr">
        <is>
          <t>12º</t>
        </is>
      </c>
      <c r="G122" s="27" t="n">
        <v>10</v>
      </c>
    </row>
    <row r="123" ht="12.75" customHeight="1" s="8">
      <c r="A123" s="30" t="inlineStr">
        <is>
          <t>INTER</t>
        </is>
      </c>
      <c r="B123" s="31" t="inlineStr">
        <is>
          <t>17º</t>
        </is>
      </c>
      <c r="C123" s="31" t="n">
        <v>1</v>
      </c>
      <c r="D123" s="31" t="inlineStr">
        <is>
          <t>14º</t>
        </is>
      </c>
      <c r="E123" s="31" t="n">
        <v>1</v>
      </c>
      <c r="F123" s="31" t="inlineStr">
        <is>
          <t>18º</t>
        </is>
      </c>
      <c r="G123" s="31" t="n">
        <v>3</v>
      </c>
    </row>
    <row r="124" ht="12.75" customHeight="1" s="8">
      <c r="A124" s="26" t="inlineStr">
        <is>
          <t>GENIAL CV</t>
        </is>
      </c>
      <c r="B124" s="27" t="inlineStr">
        <is>
          <t>17º</t>
        </is>
      </c>
      <c r="C124" s="27" t="n">
        <v>1</v>
      </c>
      <c r="D124" s="27" t="inlineStr">
        <is>
          <t>14º</t>
        </is>
      </c>
      <c r="E124" s="27" t="n">
        <v>1</v>
      </c>
      <c r="F124" s="27" t="inlineStr">
        <is>
          <t>19º</t>
        </is>
      </c>
      <c r="G124" s="27" t="n">
        <v>2</v>
      </c>
    </row>
    <row r="125" ht="12.75" customHeight="1" s="8">
      <c r="A125" s="30" t="inlineStr">
        <is>
          <t>BOCOM BBM</t>
        </is>
      </c>
      <c r="B125" s="31" t="inlineStr">
        <is>
          <t>17º</t>
        </is>
      </c>
      <c r="C125" s="31" t="n">
        <v>1</v>
      </c>
      <c r="D125" s="31" t="inlineStr">
        <is>
          <t>14º</t>
        </is>
      </c>
      <c r="E125" s="31" t="n">
        <v>1</v>
      </c>
      <c r="F125" s="31" t="inlineStr">
        <is>
          <t>23º</t>
        </is>
      </c>
      <c r="G125" s="31" t="n">
        <v>1</v>
      </c>
    </row>
    <row r="126" ht="12.75" customHeight="1" s="8">
      <c r="A126" s="26" t="inlineStr">
        <is>
          <t>GALAPAGOS CAPITAL INVESTIMENTOS E PARTICIPAÇÕES LTDA.</t>
        </is>
      </c>
      <c r="B126" s="27" t="inlineStr">
        <is>
          <t>17º</t>
        </is>
      </c>
      <c r="C126" s="27" t="n">
        <v>1</v>
      </c>
      <c r="D126" s="27" t="n">
        <v/>
      </c>
      <c r="E126" s="27" t="n">
        <v>0</v>
      </c>
      <c r="F126" s="27" t="inlineStr">
        <is>
          <t>14º</t>
        </is>
      </c>
      <c r="G126" s="27" t="n">
        <v>9</v>
      </c>
    </row>
    <row r="127" ht="12.75" customHeight="1" s="8">
      <c r="A127" s="30" t="inlineStr">
        <is>
          <t>M7 IB</t>
        </is>
      </c>
      <c r="B127" s="31" t="inlineStr">
        <is>
          <t>17º</t>
        </is>
      </c>
      <c r="C127" s="31" t="n">
        <v>1</v>
      </c>
      <c r="D127" s="31" t="n">
        <v/>
      </c>
      <c r="E127" s="31" t="n">
        <v>0</v>
      </c>
      <c r="F127" s="31" t="inlineStr">
        <is>
          <t>19º</t>
        </is>
      </c>
      <c r="G127" s="31" t="n">
        <v>2</v>
      </c>
    </row>
    <row r="128" ht="12.75" customHeight="1" s="8">
      <c r="A128" s="26" t="inlineStr">
        <is>
          <t>ASA ASSET 2 GESTÃO DE RECURSOS LTDA</t>
        </is>
      </c>
      <c r="B128" s="27" t="inlineStr">
        <is>
          <t>17º</t>
        </is>
      </c>
      <c r="C128" s="27" t="n">
        <v>1</v>
      </c>
      <c r="D128" s="27" t="n">
        <v/>
      </c>
      <c r="E128" s="27" t="n">
        <v>0</v>
      </c>
      <c r="F128" s="27" t="inlineStr">
        <is>
          <t>23º</t>
        </is>
      </c>
      <c r="G128" s="27" t="n">
        <v>1</v>
      </c>
    </row>
    <row r="129" ht="12.75" customHeight="1" s="8">
      <c r="A129" s="30" t="inlineStr">
        <is>
          <t>EQI Investimentos CTVM</t>
        </is>
      </c>
      <c r="B129" s="31" t="inlineStr">
        <is>
          <t>17º</t>
        </is>
      </c>
      <c r="C129" s="31" t="n">
        <v>1</v>
      </c>
      <c r="D129" s="31" t="n">
        <v/>
      </c>
      <c r="E129" s="31" t="n">
        <v>0</v>
      </c>
      <c r="F129" s="31" t="inlineStr">
        <is>
          <t>23º</t>
        </is>
      </c>
      <c r="G129" s="31" t="n">
        <v>1</v>
      </c>
    </row>
    <row r="130" ht="12.75" customHeight="1" s="8">
      <c r="A130" s="26" t="inlineStr">
        <is>
          <t>TERRA</t>
        </is>
      </c>
      <c r="B130" s="27" t="inlineStr">
        <is>
          <t>17º</t>
        </is>
      </c>
      <c r="C130" s="27" t="n">
        <v>1</v>
      </c>
      <c r="D130" s="27" t="n">
        <v/>
      </c>
      <c r="E130" s="27" t="n">
        <v>0</v>
      </c>
      <c r="F130" s="27" t="inlineStr">
        <is>
          <t>23º</t>
        </is>
      </c>
      <c r="G130" s="27" t="n">
        <v>1</v>
      </c>
    </row>
    <row r="131" ht="12.75" customHeight="1" s="8">
      <c r="A131" s="30" t="inlineStr">
        <is>
          <t>ARCHX CAPITAL</t>
        </is>
      </c>
      <c r="B131" s="31" t="n">
        <v/>
      </c>
      <c r="C131" s="31" t="n">
        <v>0</v>
      </c>
      <c r="D131" s="31" t="n">
        <v/>
      </c>
      <c r="E131" s="31" t="n">
        <v>0</v>
      </c>
      <c r="F131" s="31" t="inlineStr">
        <is>
          <t>19º</t>
        </is>
      </c>
      <c r="G131" s="31" t="n">
        <v>2</v>
      </c>
    </row>
    <row r="132" ht="12.75" customHeight="1" s="8">
      <c r="A132" s="26" t="inlineStr">
        <is>
          <t xml:space="preserve"> EXES SERVIÇOS FINANCEIROS</t>
        </is>
      </c>
      <c r="B132" s="27" t="n">
        <v/>
      </c>
      <c r="C132" s="27" t="n">
        <v>0</v>
      </c>
      <c r="D132" s="27" t="n">
        <v/>
      </c>
      <c r="E132" s="27" t="n">
        <v>0</v>
      </c>
      <c r="F132" s="27" t="inlineStr">
        <is>
          <t>23º</t>
        </is>
      </c>
      <c r="G132" s="27" t="n">
        <v>1</v>
      </c>
    </row>
    <row r="133" ht="12.75" customHeight="1" s="8">
      <c r="A133" s="30" t="inlineStr">
        <is>
          <t>BANCO BS2</t>
        </is>
      </c>
      <c r="B133" s="31" t="n">
        <v/>
      </c>
      <c r="C133" s="31" t="n">
        <v>0</v>
      </c>
      <c r="D133" s="31" t="n">
        <v/>
      </c>
      <c r="E133" s="31" t="n">
        <v>0</v>
      </c>
      <c r="F133" s="31" t="inlineStr">
        <is>
          <t>23º</t>
        </is>
      </c>
      <c r="G133" s="31" t="n">
        <v>1</v>
      </c>
    </row>
    <row r="134" ht="12.75" customHeight="1" s="8">
      <c r="A134" s="26" t="inlineStr">
        <is>
          <t>BNP PARIBAS</t>
        </is>
      </c>
      <c r="B134" s="27" t="n">
        <v/>
      </c>
      <c r="C134" s="27" t="n">
        <v>0</v>
      </c>
      <c r="D134" s="27" t="n">
        <v/>
      </c>
      <c r="E134" s="27" t="n">
        <v>0</v>
      </c>
      <c r="F134" s="27" t="inlineStr">
        <is>
          <t>23º</t>
        </is>
      </c>
      <c r="G134" s="27" t="n">
        <v>1</v>
      </c>
    </row>
    <row r="135" ht="12.75" customHeight="1" s="8">
      <c r="A135" s="30" t="inlineStr">
        <is>
          <t>KEA CAPITAL MARKETS</t>
        </is>
      </c>
      <c r="B135" s="31" t="n">
        <v/>
      </c>
      <c r="C135" s="31" t="n">
        <v>0</v>
      </c>
      <c r="D135" s="31" t="n">
        <v/>
      </c>
      <c r="E135" s="31" t="n">
        <v>0</v>
      </c>
      <c r="F135" s="31" t="inlineStr">
        <is>
          <t>23º</t>
        </is>
      </c>
      <c r="G135" s="31" t="n">
        <v>1</v>
      </c>
    </row>
    <row r="136" ht="12.75" customFormat="1" customHeight="1" s="21">
      <c r="A136" s="26" t="inlineStr">
        <is>
          <t>MAX CAPITAL MARKETS</t>
        </is>
      </c>
      <c r="B136" s="27" t="n">
        <v/>
      </c>
      <c r="C136" s="27" t="n">
        <v>0</v>
      </c>
      <c r="D136" s="27" t="n">
        <v/>
      </c>
      <c r="E136" s="27" t="n">
        <v>0</v>
      </c>
      <c r="F136" s="27" t="inlineStr">
        <is>
          <t>23º</t>
        </is>
      </c>
      <c r="G136" s="27" t="n">
        <v>1</v>
      </c>
    </row>
    <row r="137" ht="12.75" customHeight="1" s="8">
      <c r="A137" s="30" t="inlineStr">
        <is>
          <t>ORIZ ASSESSORIA FINANCEIRA LTDA</t>
        </is>
      </c>
      <c r="B137" s="31" t="n">
        <v/>
      </c>
      <c r="C137" s="31" t="n">
        <v>0</v>
      </c>
      <c r="D137" s="31" t="n">
        <v/>
      </c>
      <c r="E137" s="31" t="n">
        <v>0</v>
      </c>
      <c r="F137" s="31" t="inlineStr">
        <is>
          <t>23º</t>
        </is>
      </c>
      <c r="G137" s="31" t="n">
        <v>1</v>
      </c>
    </row>
    <row r="138" ht="12.75" customHeight="1" s="8">
      <c r="A138" s="34" t="inlineStr">
        <is>
          <t>Total</t>
        </is>
      </c>
      <c r="B138" s="35" t="n"/>
      <c r="C138" s="35" t="inlineStr">
        <is>
          <t>92</t>
        </is>
      </c>
      <c r="D138" s="35" t="n"/>
      <c r="E138" s="35" t="inlineStr">
        <is>
          <t>41</t>
        </is>
      </c>
      <c r="F138" s="35" t="n"/>
      <c r="G138" s="35" t="inlineStr">
        <is>
          <t>318</t>
        </is>
      </c>
    </row>
    <row r="139" ht="12.75" customHeight="1" s="8"/>
    <row r="140" ht="12.75" customHeight="1" s="8"/>
    <row r="141" ht="12.75" customHeight="1" s="8">
      <c r="A141" s="22" t="inlineStr">
        <is>
          <t>Tipo 1.3.1. Emissão de Cotas Seniores e Subordinadas de FIDC</t>
        </is>
      </c>
      <c r="G141" s="23" t="n"/>
    </row>
    <row r="142" ht="12.75" customHeight="1" s="8">
      <c r="A142" s="24" t="inlineStr">
        <is>
          <t>Coordenadores</t>
        </is>
      </c>
      <c r="B142" s="24" t="inlineStr">
        <is>
          <t>Acumulado 2026</t>
        </is>
      </c>
      <c r="C142" s="24" t="n"/>
      <c r="D142" s="24" t="inlineStr">
        <is>
          <t>Últimos 3 meses</t>
        </is>
      </c>
      <c r="E142" s="24" t="n"/>
      <c r="F142" s="24" t="inlineStr">
        <is>
          <t>Últimos 12 meses</t>
        </is>
      </c>
      <c r="G142" s="25" t="n"/>
    </row>
    <row r="143" ht="12.75" customHeight="1" s="8">
      <c r="A143" s="24" t="n"/>
      <c r="B143" s="24" t="inlineStr">
        <is>
          <t>Ranking 2026</t>
        </is>
      </c>
      <c r="C143" s="24" t="inlineStr">
        <is>
          <t>Nº de Operações</t>
        </is>
      </c>
      <c r="D143" s="24" t="inlineStr">
        <is>
          <t>Ranking 3 meses</t>
        </is>
      </c>
      <c r="E143" s="24" t="inlineStr">
        <is>
          <t>Nº de Operações</t>
        </is>
      </c>
      <c r="F143" s="24" t="inlineStr">
        <is>
          <t>Ranking 12 meses</t>
        </is>
      </c>
      <c r="G143" s="25" t="inlineStr">
        <is>
          <t>Nº de Operações</t>
        </is>
      </c>
    </row>
    <row r="144" ht="12.75" customHeight="1" s="8">
      <c r="A144" s="26" t="inlineStr">
        <is>
          <t>ITAU BBA</t>
        </is>
      </c>
      <c r="B144" s="27" t="inlineStr">
        <is>
          <t>1º</t>
        </is>
      </c>
      <c r="C144" s="27" t="n">
        <v>19</v>
      </c>
      <c r="D144" s="27" t="inlineStr">
        <is>
          <t>1º</t>
        </is>
      </c>
      <c r="E144" s="27" t="n">
        <v>9</v>
      </c>
      <c r="F144" s="27" t="inlineStr">
        <is>
          <t>1º</t>
        </is>
      </c>
      <c r="G144" s="27" t="n">
        <v>45</v>
      </c>
    </row>
    <row r="145" ht="12.75" customHeight="1" s="8">
      <c r="A145" s="30" t="inlineStr">
        <is>
          <t>BRADESCO BBI</t>
        </is>
      </c>
      <c r="B145" s="31" t="inlineStr">
        <is>
          <t>2º</t>
        </is>
      </c>
      <c r="C145" s="31" t="n">
        <v>9</v>
      </c>
      <c r="D145" s="31" t="inlineStr">
        <is>
          <t>4º</t>
        </is>
      </c>
      <c r="E145" s="31" t="n">
        <v>2</v>
      </c>
      <c r="F145" s="31" t="inlineStr">
        <is>
          <t>2º</t>
        </is>
      </c>
      <c r="G145" s="31" t="n">
        <v>18</v>
      </c>
    </row>
    <row r="146" ht="12.75" customHeight="1" s="8">
      <c r="A146" s="26" t="inlineStr">
        <is>
          <t>BR PARTNERS</t>
        </is>
      </c>
      <c r="B146" s="27" t="inlineStr">
        <is>
          <t>3º</t>
        </is>
      </c>
      <c r="C146" s="27" t="n">
        <v>5</v>
      </c>
      <c r="D146" s="27" t="inlineStr">
        <is>
          <t>2º</t>
        </is>
      </c>
      <c r="E146" s="27" t="n">
        <v>4</v>
      </c>
      <c r="F146" s="27" t="inlineStr">
        <is>
          <t>4º</t>
        </is>
      </c>
      <c r="G146" s="27" t="n">
        <v>10</v>
      </c>
    </row>
    <row r="147" ht="12.75" customHeight="1" s="8">
      <c r="A147" s="30" t="inlineStr">
        <is>
          <t>UBS BB</t>
        </is>
      </c>
      <c r="B147" s="31" t="inlineStr">
        <is>
          <t>3º</t>
        </is>
      </c>
      <c r="C147" s="31" t="n">
        <v>5</v>
      </c>
      <c r="D147" s="31" t="inlineStr">
        <is>
          <t>4º</t>
        </is>
      </c>
      <c r="E147" s="31" t="n">
        <v>2</v>
      </c>
      <c r="F147" s="31" t="inlineStr">
        <is>
          <t>6º</t>
        </is>
      </c>
      <c r="G147" s="31" t="n">
        <v>7</v>
      </c>
    </row>
    <row r="148" ht="12.75" customHeight="1" s="8">
      <c r="A148" s="26" t="inlineStr">
        <is>
          <t>VOTORANTIM</t>
        </is>
      </c>
      <c r="B148" s="27" t="inlineStr">
        <is>
          <t>5º</t>
        </is>
      </c>
      <c r="C148" s="27" t="n">
        <v>4</v>
      </c>
      <c r="D148" s="27" t="inlineStr">
        <is>
          <t>3º</t>
        </is>
      </c>
      <c r="E148" s="27" t="n">
        <v>3</v>
      </c>
      <c r="F148" s="27" t="inlineStr">
        <is>
          <t>3º</t>
        </is>
      </c>
      <c r="G148" s="27" t="n">
        <v>14</v>
      </c>
    </row>
    <row r="149" ht="12.75" customHeight="1" s="8">
      <c r="A149" s="30" t="inlineStr">
        <is>
          <t>ABC BRASIL</t>
        </is>
      </c>
      <c r="B149" s="31" t="inlineStr">
        <is>
          <t>6º</t>
        </is>
      </c>
      <c r="C149" s="31" t="n">
        <v>3</v>
      </c>
      <c r="D149" s="31" t="inlineStr">
        <is>
          <t>4º</t>
        </is>
      </c>
      <c r="E149" s="31" t="n">
        <v>2</v>
      </c>
      <c r="F149" s="31" t="inlineStr">
        <is>
          <t>5º</t>
        </is>
      </c>
      <c r="G149" s="31" t="n">
        <v>9</v>
      </c>
    </row>
    <row r="150" ht="12.75" customHeight="1" s="8">
      <c r="A150" s="26" t="inlineStr">
        <is>
          <t>XP INVESTIMENTOS</t>
        </is>
      </c>
      <c r="B150" s="27" t="inlineStr">
        <is>
          <t>7º</t>
        </is>
      </c>
      <c r="C150" s="27" t="n">
        <v>2</v>
      </c>
      <c r="D150" s="27" t="inlineStr">
        <is>
          <t>7º</t>
        </is>
      </c>
      <c r="E150" s="27" t="n">
        <v>1</v>
      </c>
      <c r="F150" s="27" t="inlineStr">
        <is>
          <t>8º</t>
        </is>
      </c>
      <c r="G150" s="27" t="n">
        <v>6</v>
      </c>
    </row>
    <row r="151" ht="12.75" customHeight="1" s="8">
      <c r="A151" s="30" t="inlineStr">
        <is>
          <t>BAMBOO SEC</t>
        </is>
      </c>
      <c r="B151" s="31" t="inlineStr">
        <is>
          <t>7º</t>
        </is>
      </c>
      <c r="C151" s="31" t="n">
        <v>2</v>
      </c>
      <c r="D151" s="31" t="inlineStr">
        <is>
          <t>7º</t>
        </is>
      </c>
      <c r="E151" s="31" t="n">
        <v>1</v>
      </c>
      <c r="F151" s="31" t="inlineStr">
        <is>
          <t>9º</t>
        </is>
      </c>
      <c r="G151" s="31" t="n">
        <v>2</v>
      </c>
    </row>
    <row r="152" ht="12.75" customHeight="1" s="8">
      <c r="A152" s="26" t="inlineStr">
        <is>
          <t>DAYCOVAL</t>
        </is>
      </c>
      <c r="B152" s="27" t="inlineStr">
        <is>
          <t>7º</t>
        </is>
      </c>
      <c r="C152" s="27" t="n">
        <v>2</v>
      </c>
      <c r="D152" s="27" t="n">
        <v/>
      </c>
      <c r="E152" s="27" t="n">
        <v>0</v>
      </c>
      <c r="F152" s="27" t="inlineStr">
        <is>
          <t>9º</t>
        </is>
      </c>
      <c r="G152" s="27" t="n">
        <v>2</v>
      </c>
    </row>
    <row r="153" ht="12.75" customHeight="1" s="8">
      <c r="A153" s="30" t="inlineStr">
        <is>
          <t>BTG PACTUAL</t>
        </is>
      </c>
      <c r="B153" s="31" t="inlineStr">
        <is>
          <t>10º</t>
        </is>
      </c>
      <c r="C153" s="31" t="n">
        <v>1</v>
      </c>
      <c r="D153" s="31" t="inlineStr">
        <is>
          <t>7º</t>
        </is>
      </c>
      <c r="E153" s="31" t="n">
        <v>1</v>
      </c>
      <c r="F153" s="31" t="inlineStr">
        <is>
          <t>9º</t>
        </is>
      </c>
      <c r="G153" s="31" t="n">
        <v>2</v>
      </c>
    </row>
    <row r="154" ht="12.75" customHeight="1" s="8">
      <c r="A154" s="26" t="inlineStr">
        <is>
          <t>SAFRA</t>
        </is>
      </c>
      <c r="B154" s="27" t="inlineStr">
        <is>
          <t>10º</t>
        </is>
      </c>
      <c r="C154" s="27" t="n">
        <v>1</v>
      </c>
      <c r="D154" s="27" t="inlineStr">
        <is>
          <t>7º</t>
        </is>
      </c>
      <c r="E154" s="27" t="n">
        <v>1</v>
      </c>
      <c r="F154" s="27" t="inlineStr">
        <is>
          <t>9º</t>
        </is>
      </c>
      <c r="G154" s="27" t="n">
        <v>2</v>
      </c>
    </row>
    <row r="155" ht="12.75" customHeight="1" s="8">
      <c r="A155" s="30" t="inlineStr">
        <is>
          <t>SANTANDER</t>
        </is>
      </c>
      <c r="B155" s="31" t="n">
        <v/>
      </c>
      <c r="C155" s="31" t="n">
        <v>0</v>
      </c>
      <c r="D155" s="31" t="n">
        <v/>
      </c>
      <c r="E155" s="31" t="n">
        <v>0</v>
      </c>
      <c r="F155" s="31" t="inlineStr">
        <is>
          <t>6º</t>
        </is>
      </c>
      <c r="G155" s="31" t="n">
        <v>7</v>
      </c>
    </row>
    <row r="156" ht="12.75" customHeight="1" s="8">
      <c r="A156" s="26" t="inlineStr">
        <is>
          <t>ARCHX CAPITAL</t>
        </is>
      </c>
      <c r="B156" s="27" t="n">
        <v/>
      </c>
      <c r="C156" s="27" t="n">
        <v>0</v>
      </c>
      <c r="D156" s="27" t="n">
        <v/>
      </c>
      <c r="E156" s="27" t="n">
        <v>0</v>
      </c>
      <c r="F156" s="27" t="inlineStr">
        <is>
          <t>13º</t>
        </is>
      </c>
      <c r="G156" s="27" t="n">
        <v>1</v>
      </c>
    </row>
    <row r="157" ht="12.75" customHeight="1" s="8">
      <c r="A157" s="30" t="inlineStr">
        <is>
          <t>BNP PARIBAS</t>
        </is>
      </c>
      <c r="B157" s="31" t="n">
        <v/>
      </c>
      <c r="C157" s="31" t="n">
        <v>0</v>
      </c>
      <c r="D157" s="31" t="n">
        <v/>
      </c>
      <c r="E157" s="31" t="n">
        <v>0</v>
      </c>
      <c r="F157" s="31" t="inlineStr">
        <is>
          <t>13º</t>
        </is>
      </c>
      <c r="G157" s="31" t="n">
        <v>1</v>
      </c>
    </row>
    <row r="158" ht="12.75" customHeight="1" s="8">
      <c r="A158" s="26" t="inlineStr">
        <is>
          <t>CEF</t>
        </is>
      </c>
      <c r="B158" s="27" t="n">
        <v/>
      </c>
      <c r="C158" s="27" t="n">
        <v>0</v>
      </c>
      <c r="D158" s="27" t="n">
        <v/>
      </c>
      <c r="E158" s="27" t="n">
        <v>0</v>
      </c>
      <c r="F158" s="27" t="inlineStr">
        <is>
          <t>13º</t>
        </is>
      </c>
      <c r="G158" s="27" t="n">
        <v>1</v>
      </c>
    </row>
    <row r="159" ht="12.75" customHeight="1" s="8">
      <c r="A159" s="30" t="inlineStr">
        <is>
          <t>KEA CAPITAL MARKETS</t>
        </is>
      </c>
      <c r="B159" s="31" t="n">
        <v/>
      </c>
      <c r="C159" s="31" t="n">
        <v>0</v>
      </c>
      <c r="D159" s="31" t="n">
        <v/>
      </c>
      <c r="E159" s="31" t="n">
        <v>0</v>
      </c>
      <c r="F159" s="31" t="inlineStr">
        <is>
          <t>13º</t>
        </is>
      </c>
      <c r="G159" s="31" t="n">
        <v>1</v>
      </c>
    </row>
    <row r="160" ht="12.75" customHeight="1" s="8">
      <c r="A160" s="26" t="inlineStr">
        <is>
          <t>ORIZ ASSESSORIA FINANCEIRA LTDA</t>
        </is>
      </c>
      <c r="B160" s="27" t="n">
        <v/>
      </c>
      <c r="C160" s="27" t="n">
        <v>0</v>
      </c>
      <c r="D160" s="27" t="n">
        <v/>
      </c>
      <c r="E160" s="27" t="n">
        <v>0</v>
      </c>
      <c r="F160" s="27" t="inlineStr">
        <is>
          <t>13º</t>
        </is>
      </c>
      <c r="G160" s="27" t="n">
        <v>1</v>
      </c>
    </row>
    <row r="161" ht="12.75" customHeight="1" s="8">
      <c r="A161" s="34" t="inlineStr">
        <is>
          <t>Total</t>
        </is>
      </c>
      <c r="B161" s="35" t="n"/>
      <c r="C161" s="35" t="inlineStr">
        <is>
          <t>43</t>
        </is>
      </c>
      <c r="D161" s="35" t="n"/>
      <c r="E161" s="35" t="inlineStr">
        <is>
          <t>19</t>
        </is>
      </c>
      <c r="F161" s="35" t="n"/>
      <c r="G161" s="35" t="inlineStr">
        <is>
          <t>107</t>
        </is>
      </c>
    </row>
    <row r="162" ht="12.75" customHeight="1" s="8"/>
    <row r="163" ht="12.75" customFormat="1" customHeight="1" s="21"/>
    <row r="164" ht="12.75" customFormat="1" customHeight="1" s="21">
      <c r="A164" s="22" t="inlineStr">
        <is>
          <t>Tipo 1.3.2. Emissão de Certificados de Recebíveis Imobiliários</t>
        </is>
      </c>
      <c r="G164" s="23" t="n"/>
    </row>
    <row r="165" ht="12.75" customHeight="1" s="8">
      <c r="A165" s="24" t="inlineStr">
        <is>
          <t>Coordenadores</t>
        </is>
      </c>
      <c r="B165" s="24" t="inlineStr">
        <is>
          <t>Acumulado 2026</t>
        </is>
      </c>
      <c r="C165" s="24" t="n"/>
      <c r="D165" s="24" t="inlineStr">
        <is>
          <t>Últimos 3 meses</t>
        </is>
      </c>
      <c r="E165" s="24" t="n"/>
      <c r="F165" s="24" t="inlineStr">
        <is>
          <t>Últimos 12 meses</t>
        </is>
      </c>
      <c r="G165" s="25" t="n"/>
    </row>
    <row r="166" ht="12.75" customHeight="1" s="8">
      <c r="A166" s="24" t="n"/>
      <c r="B166" s="24" t="inlineStr">
        <is>
          <t>Ranking 2026</t>
        </is>
      </c>
      <c r="C166" s="24" t="inlineStr">
        <is>
          <t>Nº de Operações</t>
        </is>
      </c>
      <c r="D166" s="24" t="inlineStr">
        <is>
          <t>Ranking 3 meses</t>
        </is>
      </c>
      <c r="E166" s="24" t="inlineStr">
        <is>
          <t>Nº de Operações</t>
        </is>
      </c>
      <c r="F166" s="24" t="inlineStr">
        <is>
          <t>Ranking 12 meses</t>
        </is>
      </c>
      <c r="G166" s="25" t="inlineStr">
        <is>
          <t>Nº de Operações</t>
        </is>
      </c>
    </row>
    <row r="167" ht="12.75" customHeight="1" s="8">
      <c r="A167" s="26" t="inlineStr">
        <is>
          <t>ITAU BBA</t>
        </is>
      </c>
      <c r="B167" s="27" t="inlineStr">
        <is>
          <t>1º</t>
        </is>
      </c>
      <c r="C167" s="27" t="n">
        <v>7</v>
      </c>
      <c r="D167" s="27" t="inlineStr">
        <is>
          <t>1º</t>
        </is>
      </c>
      <c r="E167" s="27" t="n">
        <v>5</v>
      </c>
      <c r="F167" s="27" t="inlineStr">
        <is>
          <t>2º</t>
        </is>
      </c>
      <c r="G167" s="27" t="n">
        <v>28</v>
      </c>
    </row>
    <row r="168" ht="12.75" customHeight="1" s="8">
      <c r="A168" s="30" t="inlineStr">
        <is>
          <t>XP INVESTIMENTOS</t>
        </is>
      </c>
      <c r="B168" s="31" t="inlineStr">
        <is>
          <t>1º</t>
        </is>
      </c>
      <c r="C168" s="31" t="n">
        <v>7</v>
      </c>
      <c r="D168" s="31" t="inlineStr">
        <is>
          <t>2º</t>
        </is>
      </c>
      <c r="E168" s="31" t="n">
        <v>3</v>
      </c>
      <c r="F168" s="31" t="inlineStr">
        <is>
          <t>1º</t>
        </is>
      </c>
      <c r="G168" s="31" t="n">
        <v>29</v>
      </c>
    </row>
    <row r="169" ht="12.75" customHeight="1" s="8">
      <c r="A169" s="26" t="inlineStr">
        <is>
          <t>BR PARTNERS</t>
        </is>
      </c>
      <c r="B169" s="27" t="inlineStr">
        <is>
          <t>3º</t>
        </is>
      </c>
      <c r="C169" s="27" t="n">
        <v>4</v>
      </c>
      <c r="D169" s="27" t="inlineStr">
        <is>
          <t>2º</t>
        </is>
      </c>
      <c r="E169" s="27" t="n">
        <v>3</v>
      </c>
      <c r="F169" s="27" t="inlineStr">
        <is>
          <t>6º</t>
        </is>
      </c>
      <c r="G169" s="27" t="n">
        <v>9</v>
      </c>
    </row>
    <row r="170" ht="12.75" customHeight="1" s="8">
      <c r="A170" s="30" t="inlineStr">
        <is>
          <t>SANTANDER</t>
        </is>
      </c>
      <c r="B170" s="31" t="inlineStr">
        <is>
          <t>3º</t>
        </is>
      </c>
      <c r="C170" s="31" t="n">
        <v>4</v>
      </c>
      <c r="D170" s="31" t="inlineStr">
        <is>
          <t>5º</t>
        </is>
      </c>
      <c r="E170" s="31" t="n">
        <v>2</v>
      </c>
      <c r="F170" s="31" t="inlineStr">
        <is>
          <t>9º</t>
        </is>
      </c>
      <c r="G170" s="31" t="n">
        <v>7</v>
      </c>
    </row>
    <row r="171" ht="12.75" customHeight="1" s="8">
      <c r="A171" s="26" t="inlineStr">
        <is>
          <t>CEF</t>
        </is>
      </c>
      <c r="B171" s="27" t="inlineStr">
        <is>
          <t>5º</t>
        </is>
      </c>
      <c r="C171" s="27" t="n">
        <v>3</v>
      </c>
      <c r="D171" s="27" t="inlineStr">
        <is>
          <t>2º</t>
        </is>
      </c>
      <c r="E171" s="27" t="n">
        <v>3</v>
      </c>
      <c r="F171" s="27" t="inlineStr">
        <is>
          <t>11º</t>
        </is>
      </c>
      <c r="G171" s="27" t="n">
        <v>6</v>
      </c>
    </row>
    <row r="172" ht="12.75" customHeight="1" s="8">
      <c r="A172" s="30" t="inlineStr">
        <is>
          <t>BTG PACTUAL</t>
        </is>
      </c>
      <c r="B172" s="31" t="inlineStr">
        <is>
          <t>5º</t>
        </is>
      </c>
      <c r="C172" s="31" t="n">
        <v>3</v>
      </c>
      <c r="D172" s="31" t="inlineStr">
        <is>
          <t>5º</t>
        </is>
      </c>
      <c r="E172" s="31" t="n">
        <v>2</v>
      </c>
      <c r="F172" s="31" t="inlineStr">
        <is>
          <t>6º</t>
        </is>
      </c>
      <c r="G172" s="31" t="n">
        <v>9</v>
      </c>
    </row>
    <row r="173" ht="12.75" customHeight="1" s="8">
      <c r="A173" s="26" t="inlineStr">
        <is>
          <t>BRADESCO BBI</t>
        </is>
      </c>
      <c r="B173" s="27" t="inlineStr">
        <is>
          <t>7º</t>
        </is>
      </c>
      <c r="C173" s="27" t="n">
        <v>2</v>
      </c>
      <c r="D173" s="27" t="inlineStr">
        <is>
          <t>7º</t>
        </is>
      </c>
      <c r="E173" s="27" t="n">
        <v>1</v>
      </c>
      <c r="F173" s="27" t="inlineStr">
        <is>
          <t>4º</t>
        </is>
      </c>
      <c r="G173" s="27" t="n">
        <v>12</v>
      </c>
    </row>
    <row r="174" ht="12.75" customHeight="1" s="8">
      <c r="A174" s="30" t="inlineStr">
        <is>
          <t>CANAL COMPANHIA DE SECURITIZAÇÃO</t>
        </is>
      </c>
      <c r="B174" s="31" t="inlineStr">
        <is>
          <t>7º</t>
        </is>
      </c>
      <c r="C174" s="31" t="n">
        <v>2</v>
      </c>
      <c r="D174" s="31" t="n">
        <v/>
      </c>
      <c r="E174" s="31" t="n">
        <v>0</v>
      </c>
      <c r="F174" s="31" t="inlineStr">
        <is>
          <t>3º</t>
        </is>
      </c>
      <c r="G174" s="31" t="n">
        <v>16</v>
      </c>
    </row>
    <row r="175" ht="12.75" customHeight="1" s="8">
      <c r="A175" s="26" t="inlineStr">
        <is>
          <t>SAFRA</t>
        </is>
      </c>
      <c r="B175" s="27" t="inlineStr">
        <is>
          <t>9º</t>
        </is>
      </c>
      <c r="C175" s="27" t="n">
        <v>1</v>
      </c>
      <c r="D175" s="27" t="inlineStr">
        <is>
          <t>7º</t>
        </is>
      </c>
      <c r="E175" s="27" t="n">
        <v>1</v>
      </c>
      <c r="F175" s="27" t="inlineStr">
        <is>
          <t>5º</t>
        </is>
      </c>
      <c r="G175" s="27" t="n">
        <v>11</v>
      </c>
    </row>
    <row r="176" ht="12.75" customHeight="1" s="8">
      <c r="A176" s="30" t="inlineStr">
        <is>
          <t>OPEA SECURITIZADORA</t>
        </is>
      </c>
      <c r="B176" s="31" t="inlineStr">
        <is>
          <t>9º</t>
        </is>
      </c>
      <c r="C176" s="31" t="n">
        <v>1</v>
      </c>
      <c r="D176" s="31" t="inlineStr">
        <is>
          <t>7º</t>
        </is>
      </c>
      <c r="E176" s="31" t="n">
        <v>1</v>
      </c>
      <c r="F176" s="31" t="inlineStr">
        <is>
          <t>9º</t>
        </is>
      </c>
      <c r="G176" s="31" t="n">
        <v>7</v>
      </c>
    </row>
    <row r="177" ht="12.75" customHeight="1" s="8">
      <c r="A177" s="26" t="inlineStr">
        <is>
          <t>VOTORANTIM</t>
        </is>
      </c>
      <c r="B177" s="27" t="inlineStr">
        <is>
          <t>9º</t>
        </is>
      </c>
      <c r="C177" s="27" t="n">
        <v>1</v>
      </c>
      <c r="D177" s="27" t="inlineStr">
        <is>
          <t>7º</t>
        </is>
      </c>
      <c r="E177" s="27" t="n">
        <v>1</v>
      </c>
      <c r="F177" s="27" t="inlineStr">
        <is>
          <t>12º</t>
        </is>
      </c>
      <c r="G177" s="27" t="n">
        <v>4</v>
      </c>
    </row>
    <row r="178" ht="12.75" customHeight="1" s="8">
      <c r="A178" s="30" t="inlineStr">
        <is>
          <t>GALAPAGOS CAPITAL INVESTIMENTOS E PARTICIPAÇÕES LTDA.</t>
        </is>
      </c>
      <c r="B178" s="31" t="inlineStr">
        <is>
          <t>9º</t>
        </is>
      </c>
      <c r="C178" s="31" t="n">
        <v>1</v>
      </c>
      <c r="D178" s="31" t="n">
        <v/>
      </c>
      <c r="E178" s="31" t="n">
        <v>0</v>
      </c>
      <c r="F178" s="31" t="inlineStr">
        <is>
          <t>8º</t>
        </is>
      </c>
      <c r="G178" s="31" t="n">
        <v>8</v>
      </c>
    </row>
    <row r="179" ht="12.75" customHeight="1" s="8">
      <c r="A179" s="26" t="inlineStr">
        <is>
          <t>One Corporate</t>
        </is>
      </c>
      <c r="B179" s="27" t="inlineStr">
        <is>
          <t>9º</t>
        </is>
      </c>
      <c r="C179" s="27" t="n">
        <v>1</v>
      </c>
      <c r="D179" s="27" t="n">
        <v/>
      </c>
      <c r="E179" s="27" t="n">
        <v>0</v>
      </c>
      <c r="F179" s="27" t="inlineStr">
        <is>
          <t>15º</t>
        </is>
      </c>
      <c r="G179" s="27" t="n">
        <v>2</v>
      </c>
    </row>
    <row r="180" ht="12.75" customHeight="1" s="8">
      <c r="A180" s="30" t="inlineStr">
        <is>
          <t>ASA ASSET 2 GESTÃO DE RECURSOS LTDA</t>
        </is>
      </c>
      <c r="B180" s="31" t="inlineStr">
        <is>
          <t>9º</t>
        </is>
      </c>
      <c r="C180" s="31" t="n">
        <v>1</v>
      </c>
      <c r="D180" s="31" t="n">
        <v/>
      </c>
      <c r="E180" s="31" t="n">
        <v>0</v>
      </c>
      <c r="F180" s="31" t="inlineStr">
        <is>
          <t>17º</t>
        </is>
      </c>
      <c r="G180" s="31" t="n">
        <v>1</v>
      </c>
    </row>
    <row r="181" ht="12.75" customHeight="1" s="8">
      <c r="A181" s="26" t="inlineStr">
        <is>
          <t>EQI Investimentos CTVM</t>
        </is>
      </c>
      <c r="B181" s="27" t="inlineStr">
        <is>
          <t>9º</t>
        </is>
      </c>
      <c r="C181" s="27" t="n">
        <v>1</v>
      </c>
      <c r="D181" s="27" t="n">
        <v/>
      </c>
      <c r="E181" s="27" t="n">
        <v>0</v>
      </c>
      <c r="F181" s="27" t="inlineStr">
        <is>
          <t>17º</t>
        </is>
      </c>
      <c r="G181" s="27" t="n">
        <v>1</v>
      </c>
    </row>
    <row r="182" ht="12.75" customHeight="1" s="8">
      <c r="A182" s="30" t="inlineStr">
        <is>
          <t>ABC BRASIL</t>
        </is>
      </c>
      <c r="B182" s="31" t="n">
        <v/>
      </c>
      <c r="C182" s="31" t="n">
        <v>0</v>
      </c>
      <c r="D182" s="31" t="n">
        <v/>
      </c>
      <c r="E182" s="31" t="n">
        <v>0</v>
      </c>
      <c r="F182" s="31" t="inlineStr">
        <is>
          <t>13º</t>
        </is>
      </c>
      <c r="G182" s="31" t="n">
        <v>3</v>
      </c>
    </row>
    <row r="183" ht="12.75" customHeight="1" s="8">
      <c r="A183" s="26" t="inlineStr">
        <is>
          <t>DAYCOVAL</t>
        </is>
      </c>
      <c r="B183" s="27" t="n">
        <v/>
      </c>
      <c r="C183" s="27" t="n">
        <v>0</v>
      </c>
      <c r="D183" s="27" t="n">
        <v/>
      </c>
      <c r="E183" s="27" t="n">
        <v>0</v>
      </c>
      <c r="F183" s="27" t="inlineStr">
        <is>
          <t>13º</t>
        </is>
      </c>
      <c r="G183" s="27" t="n">
        <v>3</v>
      </c>
    </row>
    <row r="184" ht="12.75" customHeight="1" s="8">
      <c r="A184" s="30" t="inlineStr">
        <is>
          <t>UBS BB</t>
        </is>
      </c>
      <c r="B184" s="31" t="n">
        <v/>
      </c>
      <c r="C184" s="31" t="n">
        <v>0</v>
      </c>
      <c r="D184" s="31" t="n">
        <v/>
      </c>
      <c r="E184" s="31" t="n">
        <v>0</v>
      </c>
      <c r="F184" s="31" t="inlineStr">
        <is>
          <t>15º</t>
        </is>
      </c>
      <c r="G184" s="31" t="n">
        <v>2</v>
      </c>
    </row>
    <row r="185" ht="12.75" customHeight="1" s="8">
      <c r="A185" s="26" t="inlineStr">
        <is>
          <t>BANCO BS2</t>
        </is>
      </c>
      <c r="B185" s="27" t="n">
        <v/>
      </c>
      <c r="C185" s="27" t="n">
        <v>0</v>
      </c>
      <c r="D185" s="27" t="n">
        <v/>
      </c>
      <c r="E185" s="27" t="n">
        <v>0</v>
      </c>
      <c r="F185" s="27" t="inlineStr">
        <is>
          <t>17º</t>
        </is>
      </c>
      <c r="G185" s="27" t="n">
        <v>1</v>
      </c>
    </row>
    <row r="186" ht="12.75" customHeight="1" s="8">
      <c r="A186" s="30" t="inlineStr">
        <is>
          <t>MAX CAPITAL MARKETS</t>
        </is>
      </c>
      <c r="B186" s="31" t="n">
        <v/>
      </c>
      <c r="C186" s="31" t="n">
        <v>0</v>
      </c>
      <c r="D186" s="31" t="n">
        <v/>
      </c>
      <c r="E186" s="31" t="n">
        <v>0</v>
      </c>
      <c r="F186" s="31" t="inlineStr">
        <is>
          <t>17º</t>
        </is>
      </c>
      <c r="G186" s="31" t="n">
        <v>1</v>
      </c>
    </row>
    <row r="187" ht="12.75" customFormat="1" customHeight="1" s="21">
      <c r="A187" s="34" t="inlineStr">
        <is>
          <t>Total</t>
        </is>
      </c>
      <c r="B187" s="35" t="n"/>
      <c r="C187" s="35" t="inlineStr">
        <is>
          <t>30</t>
        </is>
      </c>
      <c r="D187" s="35" t="n"/>
      <c r="E187" s="35" t="inlineStr">
        <is>
          <t>15</t>
        </is>
      </c>
      <c r="F187" s="35" t="n"/>
      <c r="G187" s="35" t="inlineStr">
        <is>
          <t>122</t>
        </is>
      </c>
    </row>
    <row r="188" ht="12.75" customHeight="1" s="8"/>
    <row r="189" ht="12.75" customHeight="1" s="8"/>
    <row r="190" ht="12.75" customHeight="1" s="8">
      <c r="A190" s="22" t="inlineStr">
        <is>
          <t>Tipo 1.3.3. Emissão de Certificados de Recebíveis do Agronegócio</t>
        </is>
      </c>
      <c r="G190" s="23" t="n"/>
    </row>
    <row r="191" ht="12.75" customHeight="1" s="8">
      <c r="A191" s="24" t="inlineStr">
        <is>
          <t>Coordenadores</t>
        </is>
      </c>
      <c r="B191" s="24" t="inlineStr">
        <is>
          <t>Acumulado 2026</t>
        </is>
      </c>
      <c r="C191" s="24" t="n"/>
      <c r="D191" s="24" t="inlineStr">
        <is>
          <t>Últimos 3 meses</t>
        </is>
      </c>
      <c r="E191" s="24" t="n"/>
      <c r="F191" s="24" t="inlineStr">
        <is>
          <t>Últimos 12 meses</t>
        </is>
      </c>
      <c r="G191" s="25" t="n"/>
    </row>
    <row r="192" ht="12.75" customHeight="1" s="8">
      <c r="A192" s="24" t="n"/>
      <c r="B192" s="24" t="inlineStr">
        <is>
          <t>Ranking 2026</t>
        </is>
      </c>
      <c r="C192" s="24" t="inlineStr">
        <is>
          <t>Nº de Operações</t>
        </is>
      </c>
      <c r="D192" s="24" t="inlineStr">
        <is>
          <t>Ranking 3 meses</t>
        </is>
      </c>
      <c r="E192" s="24" t="inlineStr">
        <is>
          <t>Nº de Operações</t>
        </is>
      </c>
      <c r="F192" s="24" t="inlineStr">
        <is>
          <t>Ranking 12 meses</t>
        </is>
      </c>
      <c r="G192" s="25" t="inlineStr">
        <is>
          <t>Nº de Operações</t>
        </is>
      </c>
    </row>
    <row r="193" ht="12.75" customHeight="1" s="8">
      <c r="A193" s="26" t="inlineStr">
        <is>
          <t>BRADESCO BBI</t>
        </is>
      </c>
      <c r="B193" s="27" t="inlineStr">
        <is>
          <t>1º</t>
        </is>
      </c>
      <c r="C193" s="27" t="n">
        <v>8</v>
      </c>
      <c r="D193" s="27" t="inlineStr">
        <is>
          <t>1º</t>
        </is>
      </c>
      <c r="E193" s="27" t="n">
        <v>3</v>
      </c>
      <c r="F193" s="27" t="inlineStr">
        <is>
          <t>2º</t>
        </is>
      </c>
      <c r="G193" s="27" t="n">
        <v>30</v>
      </c>
    </row>
    <row r="194" ht="12.75" customHeight="1" s="8">
      <c r="A194" s="30" t="inlineStr">
        <is>
          <t>ITAU BBA</t>
        </is>
      </c>
      <c r="B194" s="31" t="inlineStr">
        <is>
          <t>2º</t>
        </is>
      </c>
      <c r="C194" s="31" t="n">
        <v>7</v>
      </c>
      <c r="D194" s="31" t="inlineStr">
        <is>
          <t>1º</t>
        </is>
      </c>
      <c r="E194" s="31" t="n">
        <v>3</v>
      </c>
      <c r="F194" s="31" t="inlineStr">
        <is>
          <t>1º</t>
        </is>
      </c>
      <c r="G194" s="31" t="n">
        <v>39</v>
      </c>
    </row>
    <row r="195" ht="12.75" customHeight="1" s="8">
      <c r="A195" s="26" t="inlineStr">
        <is>
          <t>SANTANDER</t>
        </is>
      </c>
      <c r="B195" s="27" t="inlineStr">
        <is>
          <t>3º</t>
        </is>
      </c>
      <c r="C195" s="27" t="n">
        <v>4</v>
      </c>
      <c r="D195" s="27" t="inlineStr">
        <is>
          <t>3º</t>
        </is>
      </c>
      <c r="E195" s="27" t="n">
        <v>2</v>
      </c>
      <c r="F195" s="27" t="inlineStr">
        <is>
          <t>6º</t>
        </is>
      </c>
      <c r="G195" s="27" t="n">
        <v>13</v>
      </c>
    </row>
    <row r="196" ht="12.75" customHeight="1" s="8">
      <c r="A196" s="30" t="inlineStr">
        <is>
          <t>BTG PACTUAL</t>
        </is>
      </c>
      <c r="B196" s="31" t="inlineStr">
        <is>
          <t>3º</t>
        </is>
      </c>
      <c r="C196" s="31" t="n">
        <v>4</v>
      </c>
      <c r="D196" s="31" t="inlineStr">
        <is>
          <t>7º</t>
        </is>
      </c>
      <c r="E196" s="31" t="n">
        <v>1</v>
      </c>
      <c r="F196" s="31" t="inlineStr">
        <is>
          <t>4º</t>
        </is>
      </c>
      <c r="G196" s="31" t="n">
        <v>18</v>
      </c>
    </row>
    <row r="197" ht="12.75" customHeight="1" s="8">
      <c r="A197" s="26" t="inlineStr">
        <is>
          <t>XP INVESTIMENTOS</t>
        </is>
      </c>
      <c r="B197" s="27" t="inlineStr">
        <is>
          <t>5º</t>
        </is>
      </c>
      <c r="C197" s="27" t="n">
        <v>3</v>
      </c>
      <c r="D197" s="27" t="inlineStr">
        <is>
          <t>3º</t>
        </is>
      </c>
      <c r="E197" s="27" t="n">
        <v>2</v>
      </c>
      <c r="F197" s="27" t="inlineStr">
        <is>
          <t>3º</t>
        </is>
      </c>
      <c r="G197" s="27" t="n">
        <v>25</v>
      </c>
    </row>
    <row r="198" ht="12.75" customHeight="1" s="8">
      <c r="A198" s="30" t="inlineStr">
        <is>
          <t>BB-BI</t>
        </is>
      </c>
      <c r="B198" s="31" t="inlineStr">
        <is>
          <t>6º</t>
        </is>
      </c>
      <c r="C198" s="31" t="n">
        <v>2</v>
      </c>
      <c r="D198" s="31" t="inlineStr">
        <is>
          <t>3º</t>
        </is>
      </c>
      <c r="E198" s="31" t="n">
        <v>2</v>
      </c>
      <c r="F198" s="31" t="inlineStr">
        <is>
          <t>7º</t>
        </is>
      </c>
      <c r="G198" s="31" t="n">
        <v>9</v>
      </c>
    </row>
    <row r="199" ht="12.75" customHeight="1" s="8">
      <c r="A199" s="26" t="inlineStr">
        <is>
          <t>DAYCOVAL</t>
        </is>
      </c>
      <c r="B199" s="27" t="inlineStr">
        <is>
          <t>6º</t>
        </is>
      </c>
      <c r="C199" s="27" t="n">
        <v>2</v>
      </c>
      <c r="D199" s="27" t="inlineStr">
        <is>
          <t>3º</t>
        </is>
      </c>
      <c r="E199" s="27" t="n">
        <v>2</v>
      </c>
      <c r="F199" s="27" t="inlineStr">
        <is>
          <t>9º</t>
        </is>
      </c>
      <c r="G199" s="27" t="n">
        <v>4</v>
      </c>
    </row>
    <row r="200" ht="12.75" customHeight="1" s="8">
      <c r="A200" s="30" t="inlineStr">
        <is>
          <t>SAFRA</t>
        </is>
      </c>
      <c r="B200" s="31" t="inlineStr">
        <is>
          <t>6º</t>
        </is>
      </c>
      <c r="C200" s="31" t="n">
        <v>2</v>
      </c>
      <c r="D200" s="31" t="inlineStr">
        <is>
          <t>7º</t>
        </is>
      </c>
      <c r="E200" s="31" t="n">
        <v>1</v>
      </c>
      <c r="F200" s="31" t="inlineStr">
        <is>
          <t>5º</t>
        </is>
      </c>
      <c r="G200" s="31" t="n">
        <v>17</v>
      </c>
    </row>
    <row r="201" ht="12.75" customHeight="1" s="8">
      <c r="A201" s="26" t="inlineStr">
        <is>
          <t>One Corporate</t>
        </is>
      </c>
      <c r="B201" s="27" t="inlineStr">
        <is>
          <t>6º</t>
        </is>
      </c>
      <c r="C201" s="27" t="n">
        <v>2</v>
      </c>
      <c r="D201" s="27" t="inlineStr">
        <is>
          <t>7º</t>
        </is>
      </c>
      <c r="E201" s="27" t="n">
        <v>1</v>
      </c>
      <c r="F201" s="27" t="inlineStr">
        <is>
          <t>13º</t>
        </is>
      </c>
      <c r="G201" s="27" t="n">
        <v>2</v>
      </c>
    </row>
    <row r="202" ht="12.75" customHeight="1" s="8">
      <c r="A202" s="30" t="inlineStr">
        <is>
          <t>INTER</t>
        </is>
      </c>
      <c r="B202" s="31" t="inlineStr">
        <is>
          <t>10º</t>
        </is>
      </c>
      <c r="C202" s="31" t="n">
        <v>1</v>
      </c>
      <c r="D202" s="31" t="inlineStr">
        <is>
          <t>7º</t>
        </is>
      </c>
      <c r="E202" s="31" t="n">
        <v>1</v>
      </c>
      <c r="F202" s="31" t="inlineStr">
        <is>
          <t>10º</t>
        </is>
      </c>
      <c r="G202" s="31" t="n">
        <v>3</v>
      </c>
    </row>
    <row r="203" ht="12.75" customHeight="1" s="8">
      <c r="A203" s="26" t="inlineStr">
        <is>
          <t>GENIAL CV</t>
        </is>
      </c>
      <c r="B203" s="27" t="inlineStr">
        <is>
          <t>10º</t>
        </is>
      </c>
      <c r="C203" s="27" t="n">
        <v>1</v>
      </c>
      <c r="D203" s="27" t="inlineStr">
        <is>
          <t>7º</t>
        </is>
      </c>
      <c r="E203" s="27" t="n">
        <v>1</v>
      </c>
      <c r="F203" s="27" t="inlineStr">
        <is>
          <t>13º</t>
        </is>
      </c>
      <c r="G203" s="27" t="n">
        <v>2</v>
      </c>
    </row>
    <row r="204" ht="12.75" customHeight="1" s="8">
      <c r="A204" s="30" t="inlineStr">
        <is>
          <t>BOCOM BBM</t>
        </is>
      </c>
      <c r="B204" s="31" t="inlineStr">
        <is>
          <t>10º</t>
        </is>
      </c>
      <c r="C204" s="31" t="n">
        <v>1</v>
      </c>
      <c r="D204" s="31" t="inlineStr">
        <is>
          <t>7º</t>
        </is>
      </c>
      <c r="E204" s="31" t="n">
        <v>1</v>
      </c>
      <c r="F204" s="31" t="inlineStr">
        <is>
          <t>18º</t>
        </is>
      </c>
      <c r="G204" s="31" t="n">
        <v>1</v>
      </c>
    </row>
    <row r="205" ht="12.75" customHeight="1" s="8">
      <c r="A205" s="26" t="inlineStr">
        <is>
          <t>UBS BB</t>
        </is>
      </c>
      <c r="B205" s="27" t="inlineStr">
        <is>
          <t>10º</t>
        </is>
      </c>
      <c r="C205" s="27" t="n">
        <v>1</v>
      </c>
      <c r="D205" s="27" t="n">
        <v/>
      </c>
      <c r="E205" s="27" t="n">
        <v>0</v>
      </c>
      <c r="F205" s="27" t="inlineStr">
        <is>
          <t>8º</t>
        </is>
      </c>
      <c r="G205" s="27" t="n">
        <v>5</v>
      </c>
    </row>
    <row r="206" ht="12.75" customHeight="1" s="8">
      <c r="A206" s="30" t="inlineStr">
        <is>
          <t>CEF</t>
        </is>
      </c>
      <c r="B206" s="31" t="inlineStr">
        <is>
          <t>10º</t>
        </is>
      </c>
      <c r="C206" s="31" t="n">
        <v>1</v>
      </c>
      <c r="D206" s="31" t="n">
        <v/>
      </c>
      <c r="E206" s="31" t="n">
        <v>0</v>
      </c>
      <c r="F206" s="31" t="inlineStr">
        <is>
          <t>10º</t>
        </is>
      </c>
      <c r="G206" s="31" t="n">
        <v>3</v>
      </c>
    </row>
    <row r="207" ht="12.75" customHeight="1" s="8">
      <c r="A207" s="26" t="inlineStr">
        <is>
          <t>CANAL COMPANHIA DE SECURITIZAÇÃO</t>
        </is>
      </c>
      <c r="B207" s="27" t="inlineStr">
        <is>
          <t>10º</t>
        </is>
      </c>
      <c r="C207" s="27" t="n">
        <v>1</v>
      </c>
      <c r="D207" s="27" t="n">
        <v/>
      </c>
      <c r="E207" s="27" t="n">
        <v>0</v>
      </c>
      <c r="F207" s="27" t="inlineStr">
        <is>
          <t>13º</t>
        </is>
      </c>
      <c r="G207" s="27" t="n">
        <v>2</v>
      </c>
    </row>
    <row r="208" ht="12.75" customFormat="1" customHeight="1" s="21">
      <c r="A208" s="30" t="inlineStr">
        <is>
          <t>M7 IB</t>
        </is>
      </c>
      <c r="B208" s="31" t="inlineStr">
        <is>
          <t>10º</t>
        </is>
      </c>
      <c r="C208" s="31" t="n">
        <v>1</v>
      </c>
      <c r="D208" s="31" t="n">
        <v/>
      </c>
      <c r="E208" s="31" t="n">
        <v>0</v>
      </c>
      <c r="F208" s="31" t="inlineStr">
        <is>
          <t>18º</t>
        </is>
      </c>
      <c r="G208" s="31" t="n">
        <v>1</v>
      </c>
    </row>
    <row r="209" ht="12.75" customFormat="1" customHeight="1" s="21">
      <c r="A209" s="26" t="inlineStr">
        <is>
          <t>TERRA</t>
        </is>
      </c>
      <c r="B209" s="27" t="inlineStr">
        <is>
          <t>10º</t>
        </is>
      </c>
      <c r="C209" s="27" t="n">
        <v>1</v>
      </c>
      <c r="D209" s="27" t="n">
        <v/>
      </c>
      <c r="E209" s="27" t="n">
        <v>0</v>
      </c>
      <c r="F209" s="27" t="inlineStr">
        <is>
          <t>18º</t>
        </is>
      </c>
      <c r="G209" s="27" t="n">
        <v>1</v>
      </c>
    </row>
    <row r="210" ht="12.75" customHeight="1" s="8">
      <c r="A210" s="30" t="inlineStr">
        <is>
          <t>OPEA SECURITIZADORA</t>
        </is>
      </c>
      <c r="B210" s="31" t="n">
        <v/>
      </c>
      <c r="C210" s="31" t="n">
        <v>0</v>
      </c>
      <c r="D210" s="31" t="n">
        <v/>
      </c>
      <c r="E210" s="31" t="n">
        <v>0</v>
      </c>
      <c r="F210" s="31" t="inlineStr">
        <is>
          <t>10º</t>
        </is>
      </c>
      <c r="G210" s="31" t="n">
        <v>3</v>
      </c>
    </row>
    <row r="211" ht="12.75" customHeight="1" s="8">
      <c r="A211" s="26" t="inlineStr">
        <is>
          <t>ABC BRASIL</t>
        </is>
      </c>
      <c r="B211" s="27" t="n">
        <v/>
      </c>
      <c r="C211" s="27" t="n">
        <v>0</v>
      </c>
      <c r="D211" s="27" t="n">
        <v/>
      </c>
      <c r="E211" s="27" t="n">
        <v>0</v>
      </c>
      <c r="F211" s="27" t="inlineStr">
        <is>
          <t>13º</t>
        </is>
      </c>
      <c r="G211" s="27" t="n">
        <v>2</v>
      </c>
    </row>
    <row r="212" ht="12.75" customHeight="1" s="8">
      <c r="A212" s="30" t="inlineStr">
        <is>
          <t>BR PARTNERS</t>
        </is>
      </c>
      <c r="B212" s="31" t="n">
        <v/>
      </c>
      <c r="C212" s="31" t="n">
        <v>0</v>
      </c>
      <c r="D212" s="31" t="n">
        <v/>
      </c>
      <c r="E212" s="31" t="n">
        <v>0</v>
      </c>
      <c r="F212" s="31" t="inlineStr">
        <is>
          <t>13º</t>
        </is>
      </c>
      <c r="G212" s="31" t="n">
        <v>2</v>
      </c>
    </row>
    <row r="213" ht="12.75" customHeight="1" s="8">
      <c r="A213" s="26" t="inlineStr">
        <is>
          <t xml:space="preserve"> EXES SERVIÇOS FINANCEIROS</t>
        </is>
      </c>
      <c r="B213" s="27" t="n">
        <v/>
      </c>
      <c r="C213" s="27" t="n">
        <v>0</v>
      </c>
      <c r="D213" s="27" t="n">
        <v/>
      </c>
      <c r="E213" s="27" t="n">
        <v>0</v>
      </c>
      <c r="F213" s="27" t="inlineStr">
        <is>
          <t>18º</t>
        </is>
      </c>
      <c r="G213" s="27" t="n">
        <v>1</v>
      </c>
    </row>
    <row r="214" ht="12.75" customHeight="1" s="8">
      <c r="A214" s="30" t="inlineStr">
        <is>
          <t>GALAPAGOS CAPITAL INVESTIMENTOS E PARTICIPAÇÕES LTDA.</t>
        </is>
      </c>
      <c r="B214" s="31" t="n">
        <v/>
      </c>
      <c r="C214" s="31" t="n">
        <v>0</v>
      </c>
      <c r="D214" s="31" t="n">
        <v/>
      </c>
      <c r="E214" s="31" t="n">
        <v>0</v>
      </c>
      <c r="F214" s="31" t="inlineStr">
        <is>
          <t>18º</t>
        </is>
      </c>
      <c r="G214" s="31" t="n">
        <v>1</v>
      </c>
    </row>
    <row r="215" ht="12.75" customHeight="1" s="8">
      <c r="A215" s="34" t="inlineStr">
        <is>
          <t>Total</t>
        </is>
      </c>
      <c r="B215" s="35" t="n"/>
      <c r="C215" s="35" t="inlineStr">
        <is>
          <t>18</t>
        </is>
      </c>
      <c r="D215" s="35" t="n"/>
      <c r="E215" s="35" t="inlineStr">
        <is>
          <t>6</t>
        </is>
      </c>
      <c r="F215" s="35" t="n"/>
      <c r="G215" s="35" t="inlineStr">
        <is>
          <t>77</t>
        </is>
      </c>
    </row>
    <row r="216" ht="12.75" customHeight="1" s="8"/>
    <row r="217" ht="12.75" customHeight="1" s="8"/>
    <row r="218" ht="12.75" customHeight="1" s="8">
      <c r="A218" s="22" t="inlineStr">
        <is>
          <t>Tipo 1.3.4. Emissão de Certificados de Recebíveis</t>
        </is>
      </c>
      <c r="G218" s="23" t="n"/>
    </row>
    <row r="219" ht="12.75" customHeight="1" s="8">
      <c r="A219" s="24" t="inlineStr">
        <is>
          <t>Coordenadores</t>
        </is>
      </c>
      <c r="B219" s="24" t="inlineStr">
        <is>
          <t>Acumulado 2026</t>
        </is>
      </c>
      <c r="C219" s="24" t="n"/>
      <c r="D219" s="24" t="inlineStr">
        <is>
          <t>Últimos 3 meses</t>
        </is>
      </c>
      <c r="E219" s="24" t="n"/>
      <c r="F219" s="24" t="inlineStr">
        <is>
          <t>Últimos 12 meses</t>
        </is>
      </c>
      <c r="G219" s="25" t="n"/>
    </row>
    <row r="220" ht="12.75" customHeight="1" s="8">
      <c r="A220" s="24" t="n"/>
      <c r="B220" s="24" t="inlineStr">
        <is>
          <t>Ranking 2026</t>
        </is>
      </c>
      <c r="C220" s="24" t="inlineStr">
        <is>
          <t>Nº de Operações</t>
        </is>
      </c>
      <c r="D220" s="24" t="inlineStr">
        <is>
          <t>Ranking 3 meses</t>
        </is>
      </c>
      <c r="E220" s="24" t="inlineStr">
        <is>
          <t>Nº de Operações</t>
        </is>
      </c>
      <c r="F220" s="24" t="inlineStr">
        <is>
          <t>Ranking 12 meses</t>
        </is>
      </c>
      <c r="G220" s="25" t="inlineStr">
        <is>
          <t>Nº de Operações</t>
        </is>
      </c>
    </row>
    <row r="221" ht="12.75" customHeight="1" s="8">
      <c r="A221" s="26" t="inlineStr">
        <is>
          <t>BRADESCO BBI</t>
        </is>
      </c>
      <c r="B221" s="27" t="inlineStr">
        <is>
          <t>1º</t>
        </is>
      </c>
      <c r="C221" s="27" t="n">
        <v>1</v>
      </c>
      <c r="D221" s="27" t="inlineStr">
        <is>
          <t>1º</t>
        </is>
      </c>
      <c r="E221" s="27" t="n">
        <v>1</v>
      </c>
      <c r="F221" s="27" t="inlineStr">
        <is>
          <t>2º</t>
        </is>
      </c>
      <c r="G221" s="27" t="n">
        <v>1</v>
      </c>
    </row>
    <row r="222" ht="12.75" customHeight="1" s="8">
      <c r="A222" s="30" t="inlineStr">
        <is>
          <t>ITAU BBA</t>
        </is>
      </c>
      <c r="B222" s="31" t="n">
        <v/>
      </c>
      <c r="C222" s="31" t="n">
        <v>0</v>
      </c>
      <c r="D222" s="31" t="n">
        <v/>
      </c>
      <c r="E222" s="31" t="n">
        <v>0</v>
      </c>
      <c r="F222" s="31" t="inlineStr">
        <is>
          <t>1º</t>
        </is>
      </c>
      <c r="G222" s="31" t="n">
        <v>8</v>
      </c>
    </row>
    <row r="223" ht="12.75" customHeight="1" s="8">
      <c r="A223" s="26" t="inlineStr">
        <is>
          <t>ABC BRASIL</t>
        </is>
      </c>
      <c r="B223" s="27" t="n">
        <v/>
      </c>
      <c r="C223" s="27" t="n">
        <v>0</v>
      </c>
      <c r="D223" s="27" t="n">
        <v/>
      </c>
      <c r="E223" s="27" t="n">
        <v>0</v>
      </c>
      <c r="F223" s="27" t="inlineStr">
        <is>
          <t>2º</t>
        </is>
      </c>
      <c r="G223" s="27" t="n">
        <v>1</v>
      </c>
    </row>
    <row r="224" ht="12.75" customHeight="1" s="8">
      <c r="A224" s="30" t="inlineStr">
        <is>
          <t>ARCHX CAPITAL</t>
        </is>
      </c>
      <c r="B224" s="31" t="n">
        <v/>
      </c>
      <c r="C224" s="31" t="n">
        <v>0</v>
      </c>
      <c r="D224" s="31" t="n">
        <v/>
      </c>
      <c r="E224" s="31" t="n">
        <v>0</v>
      </c>
      <c r="F224" s="31" t="inlineStr">
        <is>
          <t>2º</t>
        </is>
      </c>
      <c r="G224" s="31" t="n">
        <v>1</v>
      </c>
    </row>
    <row r="225" ht="12.75" customHeight="1" s="8">
      <c r="A225" s="26" t="inlineStr">
        <is>
          <t>M7 IB</t>
        </is>
      </c>
      <c r="B225" s="27" t="n">
        <v/>
      </c>
      <c r="C225" s="27" t="n">
        <v>0</v>
      </c>
      <c r="D225" s="27" t="n">
        <v/>
      </c>
      <c r="E225" s="27" t="n">
        <v>0</v>
      </c>
      <c r="F225" s="27" t="inlineStr">
        <is>
          <t>2º</t>
        </is>
      </c>
      <c r="G225" s="27" t="n">
        <v>1</v>
      </c>
    </row>
    <row r="226" ht="12.75" customHeight="1" s="8">
      <c r="A226" s="34" t="inlineStr">
        <is>
          <t>Total</t>
        </is>
      </c>
      <c r="B226" s="35" t="n"/>
      <c r="C226" s="35" t="inlineStr">
        <is>
          <t>1</t>
        </is>
      </c>
      <c r="D226" s="35" t="n"/>
      <c r="E226" s="35" t="inlineStr">
        <is>
          <t>1</t>
        </is>
      </c>
      <c r="F226" s="35" t="n"/>
      <c r="G226" s="35" t="inlineStr">
        <is>
          <t>12</t>
        </is>
      </c>
    </row>
    <row r="227" ht="12.75" customHeight="1" s="8"/>
    <row r="228" ht="12.75" customHeight="1" s="8"/>
    <row r="229" ht="12.75" customHeight="1" s="8">
      <c r="A229" s="22" t="inlineStr">
        <is>
          <t>Tipo 2: Operações Híbridas</t>
        </is>
      </c>
      <c r="G229" s="23" t="n"/>
    </row>
    <row r="230" ht="12.75" customHeight="1" s="8">
      <c r="A230" s="24" t="inlineStr">
        <is>
          <t>Coordenadores</t>
        </is>
      </c>
      <c r="B230" s="24" t="inlineStr">
        <is>
          <t>Acumulado 2026</t>
        </is>
      </c>
      <c r="C230" s="24" t="n"/>
      <c r="D230" s="24" t="inlineStr">
        <is>
          <t>Últimos 3 meses</t>
        </is>
      </c>
      <c r="E230" s="24" t="n"/>
      <c r="F230" s="24" t="inlineStr">
        <is>
          <t>Últimos 12 meses</t>
        </is>
      </c>
      <c r="G230" s="25" t="n"/>
    </row>
    <row r="231" ht="12.75" customHeight="1" s="8">
      <c r="A231" s="24" t="n"/>
      <c r="B231" s="24" t="inlineStr">
        <is>
          <t>Ranking 2026</t>
        </is>
      </c>
      <c r="C231" s="24" t="inlineStr">
        <is>
          <t>Nº de Operações</t>
        </is>
      </c>
      <c r="D231" s="24" t="inlineStr">
        <is>
          <t>Ranking 3 meses</t>
        </is>
      </c>
      <c r="E231" s="24" t="inlineStr">
        <is>
          <t>Nº de Operações</t>
        </is>
      </c>
      <c r="F231" s="24" t="inlineStr">
        <is>
          <t>Ranking 12 meses</t>
        </is>
      </c>
      <c r="G231" s="25" t="inlineStr">
        <is>
          <t>Nº de Operações</t>
        </is>
      </c>
    </row>
    <row r="232" ht="12.75" customHeight="1" s="8">
      <c r="A232" s="26" t="inlineStr">
        <is>
          <t>XP INVESTIMENTOS</t>
        </is>
      </c>
      <c r="B232" s="27" t="inlineStr">
        <is>
          <t>1º</t>
        </is>
      </c>
      <c r="C232" s="27" t="n">
        <v>17</v>
      </c>
      <c r="D232" s="27" t="inlineStr">
        <is>
          <t>1º</t>
        </is>
      </c>
      <c r="E232" s="27" t="n">
        <v>11</v>
      </c>
      <c r="F232" s="27" t="inlineStr">
        <is>
          <t>1º</t>
        </is>
      </c>
      <c r="G232" s="27" t="n">
        <v>24</v>
      </c>
    </row>
    <row r="233" ht="12.75" customHeight="1" s="8">
      <c r="A233" s="30" t="inlineStr">
        <is>
          <t>BR PARTNERS</t>
        </is>
      </c>
      <c r="B233" s="31" t="inlineStr">
        <is>
          <t>2º</t>
        </is>
      </c>
      <c r="C233" s="31" t="n">
        <v>8</v>
      </c>
      <c r="D233" s="31" t="inlineStr">
        <is>
          <t>2º</t>
        </is>
      </c>
      <c r="E233" s="31" t="n">
        <v>3</v>
      </c>
      <c r="F233" s="31" t="inlineStr">
        <is>
          <t>3º</t>
        </is>
      </c>
      <c r="G233" s="31" t="n">
        <v>12</v>
      </c>
    </row>
    <row r="234" ht="12.75" customHeight="1" s="8">
      <c r="A234" s="26" t="inlineStr">
        <is>
          <t>ITAU BBA</t>
        </is>
      </c>
      <c r="B234" s="27" t="inlineStr">
        <is>
          <t>2º</t>
        </is>
      </c>
      <c r="C234" s="27" t="n">
        <v>8</v>
      </c>
      <c r="D234" s="27" t="inlineStr">
        <is>
          <t>3º</t>
        </is>
      </c>
      <c r="E234" s="27" t="n">
        <v>1</v>
      </c>
      <c r="F234" s="27" t="inlineStr">
        <is>
          <t>2º</t>
        </is>
      </c>
      <c r="G234" s="27" t="n">
        <v>19</v>
      </c>
    </row>
    <row r="235" ht="12.75" customHeight="1" s="8">
      <c r="A235" s="30" t="inlineStr">
        <is>
          <t>FATOR</t>
        </is>
      </c>
      <c r="B235" s="31" t="inlineStr">
        <is>
          <t>4º</t>
        </is>
      </c>
      <c r="C235" s="31" t="n">
        <v>2</v>
      </c>
      <c r="D235" s="31" t="inlineStr">
        <is>
          <t>3º</t>
        </is>
      </c>
      <c r="E235" s="31" t="n">
        <v>1</v>
      </c>
      <c r="F235" s="31" t="inlineStr">
        <is>
          <t>7º</t>
        </is>
      </c>
      <c r="G235" s="31" t="n">
        <v>2</v>
      </c>
    </row>
    <row r="236" ht="12.75" customFormat="1" customHeight="1" s="21">
      <c r="A236" s="26" t="inlineStr">
        <is>
          <t>BRADESCO BBI</t>
        </is>
      </c>
      <c r="B236" s="27" t="inlineStr">
        <is>
          <t>5º</t>
        </is>
      </c>
      <c r="C236" s="27" t="n">
        <v>1</v>
      </c>
      <c r="D236" s="27" t="inlineStr">
        <is>
          <t>3º</t>
        </is>
      </c>
      <c r="E236" s="27" t="n">
        <v>1</v>
      </c>
      <c r="F236" s="27" t="inlineStr">
        <is>
          <t>4º</t>
        </is>
      </c>
      <c r="G236" s="27" t="n">
        <v>4</v>
      </c>
    </row>
    <row r="237" ht="12.75" customHeight="1" s="8">
      <c r="A237" s="30" t="inlineStr">
        <is>
          <t>VOTORANTIM</t>
        </is>
      </c>
      <c r="B237" s="31" t="inlineStr">
        <is>
          <t>5º</t>
        </is>
      </c>
      <c r="C237" s="31" t="n">
        <v>1</v>
      </c>
      <c r="D237" s="31" t="inlineStr">
        <is>
          <t>3º</t>
        </is>
      </c>
      <c r="E237" s="31" t="n">
        <v>1</v>
      </c>
      <c r="F237" s="31" t="inlineStr">
        <is>
          <t>4º</t>
        </is>
      </c>
      <c r="G237" s="31" t="n">
        <v>4</v>
      </c>
    </row>
    <row r="238" ht="12.75" customHeight="1" s="8">
      <c r="A238" s="26" t="inlineStr">
        <is>
          <t>MAX CAPITAL MARKETS</t>
        </is>
      </c>
      <c r="B238" s="27" t="inlineStr">
        <is>
          <t>5º</t>
        </is>
      </c>
      <c r="C238" s="27" t="n">
        <v>1</v>
      </c>
      <c r="D238" s="27" t="inlineStr">
        <is>
          <t>3º</t>
        </is>
      </c>
      <c r="E238" s="27" t="n">
        <v>1</v>
      </c>
      <c r="F238" s="27" t="inlineStr">
        <is>
          <t>6º</t>
        </is>
      </c>
      <c r="G238" s="27" t="n">
        <v>3</v>
      </c>
    </row>
    <row r="239" ht="12.75" customHeight="1" s="8">
      <c r="A239" s="30" t="inlineStr">
        <is>
          <t>M7 IB</t>
        </is>
      </c>
      <c r="B239" s="31" t="inlineStr">
        <is>
          <t>5º</t>
        </is>
      </c>
      <c r="C239" s="31" t="n">
        <v>1</v>
      </c>
      <c r="D239" s="31" t="inlineStr">
        <is>
          <t>3º</t>
        </is>
      </c>
      <c r="E239" s="31" t="n">
        <v>1</v>
      </c>
      <c r="F239" s="31" t="inlineStr">
        <is>
          <t>9º</t>
        </is>
      </c>
      <c r="G239" s="31" t="n">
        <v>1</v>
      </c>
    </row>
    <row r="240" ht="12.75" customHeight="1" s="8">
      <c r="A240" s="26" t="inlineStr">
        <is>
          <t>BTG PACTUAL</t>
        </is>
      </c>
      <c r="B240" s="27" t="inlineStr">
        <is>
          <t>5º</t>
        </is>
      </c>
      <c r="C240" s="27" t="n">
        <v>1</v>
      </c>
      <c r="D240" s="27" t="n">
        <v/>
      </c>
      <c r="E240" s="27" t="n">
        <v>0</v>
      </c>
      <c r="F240" s="27" t="inlineStr">
        <is>
          <t>7º</t>
        </is>
      </c>
      <c r="G240" s="27" t="n">
        <v>2</v>
      </c>
    </row>
    <row r="241" ht="12.75" customHeight="1" s="8">
      <c r="A241" s="30" t="inlineStr">
        <is>
          <t>ABC BRASIL</t>
        </is>
      </c>
      <c r="B241" s="31" t="inlineStr">
        <is>
          <t>5º</t>
        </is>
      </c>
      <c r="C241" s="31" t="n">
        <v>1</v>
      </c>
      <c r="D241" s="31" t="n">
        <v/>
      </c>
      <c r="E241" s="31" t="n">
        <v>0</v>
      </c>
      <c r="F241" s="31" t="inlineStr">
        <is>
          <t>9º</t>
        </is>
      </c>
      <c r="G241" s="31" t="n">
        <v>1</v>
      </c>
    </row>
    <row r="242" ht="12.75" customHeight="1" s="8">
      <c r="A242" s="26" t="inlineStr">
        <is>
          <t>RIO BRAVO</t>
        </is>
      </c>
      <c r="B242" s="27" t="inlineStr">
        <is>
          <t>5º</t>
        </is>
      </c>
      <c r="C242" s="27" t="n">
        <v>1</v>
      </c>
      <c r="D242" s="27" t="n">
        <v/>
      </c>
      <c r="E242" s="27" t="n">
        <v>0</v>
      </c>
      <c r="F242" s="27" t="inlineStr">
        <is>
          <t>9º</t>
        </is>
      </c>
      <c r="G242" s="27" t="n">
        <v>1</v>
      </c>
    </row>
    <row r="243" ht="12.75" customHeight="1" s="8">
      <c r="A243" s="30" t="inlineStr">
        <is>
          <t>BB-BI</t>
        </is>
      </c>
      <c r="B243" s="31" t="n">
        <v/>
      </c>
      <c r="C243" s="31" t="n">
        <v>0</v>
      </c>
      <c r="D243" s="31" t="n">
        <v/>
      </c>
      <c r="E243" s="31" t="n">
        <v>0</v>
      </c>
      <c r="F243" s="31" t="inlineStr">
        <is>
          <t>9º</t>
        </is>
      </c>
      <c r="G243" s="31" t="n">
        <v>1</v>
      </c>
    </row>
    <row r="244" ht="12.75" customHeight="1" s="8">
      <c r="A244" s="26" t="inlineStr">
        <is>
          <t>KEA CAPITAL MARKETS</t>
        </is>
      </c>
      <c r="B244" s="27" t="n">
        <v/>
      </c>
      <c r="C244" s="27" t="n">
        <v>0</v>
      </c>
      <c r="D244" s="27" t="n">
        <v/>
      </c>
      <c r="E244" s="27" t="n">
        <v>0</v>
      </c>
      <c r="F244" s="27" t="inlineStr">
        <is>
          <t>9º</t>
        </is>
      </c>
      <c r="G244" s="27" t="n">
        <v>1</v>
      </c>
    </row>
    <row r="245" ht="12.75" customHeight="1" s="8">
      <c r="A245" s="30" t="inlineStr">
        <is>
          <t>ORIZ ASSESSORIA FINANCEIRA LTDA</t>
        </is>
      </c>
      <c r="B245" s="31" t="n">
        <v/>
      </c>
      <c r="C245" s="31" t="n">
        <v>0</v>
      </c>
      <c r="D245" s="31" t="n">
        <v/>
      </c>
      <c r="E245" s="31" t="n">
        <v>0</v>
      </c>
      <c r="F245" s="31" t="inlineStr">
        <is>
          <t>9º</t>
        </is>
      </c>
      <c r="G245" s="31" t="n">
        <v>1</v>
      </c>
    </row>
    <row r="246" ht="12.75" customHeight="1" s="8">
      <c r="A246" s="26" t="inlineStr">
        <is>
          <t>SAFRA</t>
        </is>
      </c>
      <c r="B246" s="27" t="n">
        <v/>
      </c>
      <c r="C246" s="27" t="n">
        <v>0</v>
      </c>
      <c r="D246" s="27" t="n">
        <v/>
      </c>
      <c r="E246" s="27" t="n">
        <v>0</v>
      </c>
      <c r="F246" s="27" t="inlineStr">
        <is>
          <t>9º</t>
        </is>
      </c>
      <c r="G246" s="27" t="n">
        <v>1</v>
      </c>
    </row>
    <row r="247" ht="12.75" customHeight="1" s="8">
      <c r="A247" s="30" t="inlineStr">
        <is>
          <t>UBS BB</t>
        </is>
      </c>
      <c r="B247" s="31" t="n">
        <v/>
      </c>
      <c r="C247" s="31" t="n">
        <v>0</v>
      </c>
      <c r="D247" s="31" t="n">
        <v/>
      </c>
      <c r="E247" s="31" t="n">
        <v>0</v>
      </c>
      <c r="F247" s="31" t="inlineStr">
        <is>
          <t>9º</t>
        </is>
      </c>
      <c r="G247" s="31" t="n">
        <v>1</v>
      </c>
    </row>
    <row r="248" ht="12.75" customHeight="1" s="8">
      <c r="A248" s="34" t="inlineStr">
        <is>
          <t>Total</t>
        </is>
      </c>
      <c r="B248" s="35" t="n"/>
      <c r="C248" s="35" t="inlineStr">
        <is>
          <t>41</t>
        </is>
      </c>
      <c r="D248" s="35" t="n"/>
      <c r="E248" s="35" t="inlineStr">
        <is>
          <t>20</t>
        </is>
      </c>
      <c r="F248" s="35" t="n"/>
      <c r="G248" s="35" t="inlineStr">
        <is>
          <t>72</t>
        </is>
      </c>
    </row>
    <row r="249" ht="12.75" customHeight="1" s="8"/>
    <row r="250" ht="12.75" customHeight="1" s="8"/>
    <row r="251" ht="12.75" customHeight="1" s="8">
      <c r="A251" s="22" t="inlineStr">
        <is>
          <t>Tipo 2.1. Títulos Conversíveis Permutáveis</t>
        </is>
      </c>
      <c r="G251" s="23" t="n"/>
    </row>
    <row r="252" ht="12.75" customHeight="1" s="8">
      <c r="A252" s="24" t="inlineStr">
        <is>
          <t>Coordenadores</t>
        </is>
      </c>
      <c r="B252" s="24" t="inlineStr">
        <is>
          <t>Acumulado 2026</t>
        </is>
      </c>
      <c r="C252" s="24" t="n"/>
      <c r="D252" s="24" t="inlineStr">
        <is>
          <t>Últimos 3 meses</t>
        </is>
      </c>
      <c r="E252" s="24" t="n"/>
      <c r="F252" s="24" t="inlineStr">
        <is>
          <t>Últimos 12 meses</t>
        </is>
      </c>
      <c r="G252" s="25" t="n"/>
    </row>
    <row r="253" ht="12.75" customHeight="1" s="8">
      <c r="A253" s="24" t="n"/>
      <c r="B253" s="24" t="inlineStr">
        <is>
          <t>Ranking 2026</t>
        </is>
      </c>
      <c r="C253" s="24" t="inlineStr">
        <is>
          <t>Nº de Operações</t>
        </is>
      </c>
      <c r="D253" s="24" t="inlineStr">
        <is>
          <t>Ranking 3 meses</t>
        </is>
      </c>
      <c r="E253" s="24" t="inlineStr">
        <is>
          <t>Nº de Operações</t>
        </is>
      </c>
      <c r="F253" s="24" t="inlineStr">
        <is>
          <t>Ranking 12 meses</t>
        </is>
      </c>
      <c r="G253" s="25" t="inlineStr">
        <is>
          <t>Nº de Operações</t>
        </is>
      </c>
    </row>
    <row r="254" ht="12.75" customHeight="1" s="8">
      <c r="A254" s="26" t="inlineStr">
        <is>
          <t>BRADESCO BBI</t>
        </is>
      </c>
      <c r="B254" s="27" t="n">
        <v/>
      </c>
      <c r="C254" s="27" t="n">
        <v>0</v>
      </c>
      <c r="D254" s="27" t="n">
        <v/>
      </c>
      <c r="E254" s="27" t="n">
        <v>0</v>
      </c>
      <c r="F254" s="27" t="inlineStr">
        <is>
          <t>1º</t>
        </is>
      </c>
      <c r="G254" s="27" t="n">
        <v>1</v>
      </c>
    </row>
    <row r="255" ht="12.75" customHeight="1" s="8">
      <c r="A255" s="30" t="inlineStr">
        <is>
          <t>UBS BB</t>
        </is>
      </c>
      <c r="B255" s="31" t="n">
        <v/>
      </c>
      <c r="C255" s="31" t="n">
        <v>0</v>
      </c>
      <c r="D255" s="31" t="n">
        <v/>
      </c>
      <c r="E255" s="31" t="n">
        <v>0</v>
      </c>
      <c r="F255" s="31" t="inlineStr">
        <is>
          <t>1º</t>
        </is>
      </c>
      <c r="G255" s="31" t="n">
        <v>1</v>
      </c>
    </row>
    <row r="256" ht="12.75" customHeight="1" s="8">
      <c r="A256" s="34" t="inlineStr">
        <is>
          <t>Total</t>
        </is>
      </c>
      <c r="B256" s="35" t="n"/>
      <c r="C256" s="35" t="inlineStr">
        <is>
          <t>0</t>
        </is>
      </c>
      <c r="D256" s="35" t="n"/>
      <c r="E256" s="35" t="inlineStr">
        <is>
          <t>0</t>
        </is>
      </c>
      <c r="F256" s="35" t="n"/>
      <c r="G256" s="35" t="inlineStr">
        <is>
          <t>1</t>
        </is>
      </c>
    </row>
    <row r="257" ht="12.75" customHeight="1" s="8"/>
    <row r="258" ht="12.75" customHeight="1" s="8"/>
    <row r="259" ht="12.75" customFormat="1" customHeight="1" s="21">
      <c r="A259" s="22" t="inlineStr">
        <is>
          <t>Tipo 2.2. Fundo de Investimento Imobiliário</t>
        </is>
      </c>
      <c r="G259" s="23" t="n"/>
    </row>
    <row r="260" ht="12.75" customFormat="1" customHeight="1" s="21">
      <c r="A260" s="24" t="inlineStr">
        <is>
          <t>Coordenadores</t>
        </is>
      </c>
      <c r="B260" s="24" t="inlineStr">
        <is>
          <t>Acumulado 2026</t>
        </is>
      </c>
      <c r="C260" s="24" t="n"/>
      <c r="D260" s="24" t="inlineStr">
        <is>
          <t>Últimos 3 meses</t>
        </is>
      </c>
      <c r="E260" s="24" t="n"/>
      <c r="F260" s="24" t="inlineStr">
        <is>
          <t>Últimos 12 meses</t>
        </is>
      </c>
      <c r="G260" s="25" t="n"/>
    </row>
    <row r="261" ht="12.75" customHeight="1" s="8">
      <c r="A261" s="24" t="n"/>
      <c r="B261" s="24" t="inlineStr">
        <is>
          <t>Ranking 2026</t>
        </is>
      </c>
      <c r="C261" s="24" t="inlineStr">
        <is>
          <t>Nº de Operações</t>
        </is>
      </c>
      <c r="D261" s="24" t="inlineStr">
        <is>
          <t>Ranking 3 meses</t>
        </is>
      </c>
      <c r="E261" s="24" t="inlineStr">
        <is>
          <t>Nº de Operações</t>
        </is>
      </c>
      <c r="F261" s="24" t="inlineStr">
        <is>
          <t>Ranking 12 meses</t>
        </is>
      </c>
      <c r="G261" s="25" t="inlineStr">
        <is>
          <t>Nº de Operações</t>
        </is>
      </c>
    </row>
    <row r="262" ht="12.75" customHeight="1" s="8">
      <c r="A262" s="26" t="inlineStr">
        <is>
          <t>XP INVESTIMENTOS</t>
        </is>
      </c>
      <c r="B262" s="27" t="inlineStr">
        <is>
          <t>1º</t>
        </is>
      </c>
      <c r="C262" s="27" t="n">
        <v>10</v>
      </c>
      <c r="D262" s="27" t="inlineStr">
        <is>
          <t>1º</t>
        </is>
      </c>
      <c r="E262" s="27" t="n">
        <v>7</v>
      </c>
      <c r="F262" s="27" t="inlineStr">
        <is>
          <t>1º</t>
        </is>
      </c>
      <c r="G262" s="27" t="n">
        <v>15</v>
      </c>
    </row>
    <row r="263" ht="12.75" customHeight="1" s="8">
      <c r="A263" s="30" t="inlineStr">
        <is>
          <t>BR PARTNERS</t>
        </is>
      </c>
      <c r="B263" s="31" t="inlineStr">
        <is>
          <t>2º</t>
        </is>
      </c>
      <c r="C263" s="31" t="n">
        <v>8</v>
      </c>
      <c r="D263" s="31" t="inlineStr">
        <is>
          <t>2º</t>
        </is>
      </c>
      <c r="E263" s="31" t="n">
        <v>3</v>
      </c>
      <c r="F263" s="31" t="inlineStr">
        <is>
          <t>2º</t>
        </is>
      </c>
      <c r="G263" s="31" t="n">
        <v>12</v>
      </c>
    </row>
    <row r="264" ht="12.75" customHeight="1" s="8">
      <c r="A264" s="26" t="inlineStr">
        <is>
          <t>ITAU BBA</t>
        </is>
      </c>
      <c r="B264" s="27" t="inlineStr">
        <is>
          <t>3º</t>
        </is>
      </c>
      <c r="C264" s="27" t="n">
        <v>2</v>
      </c>
      <c r="D264" s="27" t="n">
        <v/>
      </c>
      <c r="E264" s="27" t="n">
        <v>0</v>
      </c>
      <c r="F264" s="27" t="inlineStr">
        <is>
          <t>3º</t>
        </is>
      </c>
      <c r="G264" s="27" t="n">
        <v>7</v>
      </c>
    </row>
    <row r="265" ht="12.75" customHeight="1" s="8">
      <c r="A265" s="30" t="inlineStr">
        <is>
          <t>BRADESCO BBI</t>
        </is>
      </c>
      <c r="B265" s="31" t="inlineStr">
        <is>
          <t>4º</t>
        </is>
      </c>
      <c r="C265" s="31" t="n">
        <v>1</v>
      </c>
      <c r="D265" s="31" t="inlineStr">
        <is>
          <t>3º</t>
        </is>
      </c>
      <c r="E265" s="31" t="n">
        <v>1</v>
      </c>
      <c r="F265" s="31" t="inlineStr">
        <is>
          <t>4º</t>
        </is>
      </c>
      <c r="G265" s="31" t="n">
        <v>3</v>
      </c>
    </row>
    <row r="266" ht="12.75" customHeight="1" s="8">
      <c r="A266" s="26" t="inlineStr">
        <is>
          <t>MAX CAPITAL MARKETS</t>
        </is>
      </c>
      <c r="B266" s="27" t="inlineStr">
        <is>
          <t>4º</t>
        </is>
      </c>
      <c r="C266" s="27" t="n">
        <v>1</v>
      </c>
      <c r="D266" s="27" t="inlineStr">
        <is>
          <t>3º</t>
        </is>
      </c>
      <c r="E266" s="27" t="n">
        <v>1</v>
      </c>
      <c r="F266" s="27" t="inlineStr">
        <is>
          <t>4º</t>
        </is>
      </c>
      <c r="G266" s="27" t="n">
        <v>3</v>
      </c>
    </row>
    <row r="267" ht="12.75" customHeight="1" s="8">
      <c r="A267" s="30" t="inlineStr">
        <is>
          <t>M7 IB</t>
        </is>
      </c>
      <c r="B267" s="31" t="inlineStr">
        <is>
          <t>4º</t>
        </is>
      </c>
      <c r="C267" s="31" t="n">
        <v>1</v>
      </c>
      <c r="D267" s="31" t="inlineStr">
        <is>
          <t>3º</t>
        </is>
      </c>
      <c r="E267" s="31" t="n">
        <v>1</v>
      </c>
      <c r="F267" s="31" t="inlineStr">
        <is>
          <t>6º</t>
        </is>
      </c>
      <c r="G267" s="31" t="n">
        <v>1</v>
      </c>
    </row>
    <row r="268" ht="12.75" customHeight="1" s="8">
      <c r="A268" s="26" t="inlineStr">
        <is>
          <t>ABC BRASIL</t>
        </is>
      </c>
      <c r="B268" s="27" t="inlineStr">
        <is>
          <t>4º</t>
        </is>
      </c>
      <c r="C268" s="27" t="n">
        <v>1</v>
      </c>
      <c r="D268" s="27" t="n">
        <v/>
      </c>
      <c r="E268" s="27" t="n">
        <v>0</v>
      </c>
      <c r="F268" s="27" t="inlineStr">
        <is>
          <t>6º</t>
        </is>
      </c>
      <c r="G268" s="27" t="n">
        <v>1</v>
      </c>
    </row>
    <row r="269" ht="12.75" customHeight="1" s="8">
      <c r="A269" s="30" t="inlineStr">
        <is>
          <t>RIO BRAVO</t>
        </is>
      </c>
      <c r="B269" s="31" t="inlineStr">
        <is>
          <t>4º</t>
        </is>
      </c>
      <c r="C269" s="31" t="n">
        <v>1</v>
      </c>
      <c r="D269" s="31" t="n">
        <v/>
      </c>
      <c r="E269" s="31" t="n">
        <v>0</v>
      </c>
      <c r="F269" s="31" t="inlineStr">
        <is>
          <t>6º</t>
        </is>
      </c>
      <c r="G269" s="31" t="n">
        <v>1</v>
      </c>
    </row>
    <row r="270" ht="12.75" customHeight="1" s="8">
      <c r="A270" s="26" t="inlineStr">
        <is>
          <t>BTG PACTUAL</t>
        </is>
      </c>
      <c r="B270" s="27" t="n">
        <v/>
      </c>
      <c r="C270" s="27" t="n">
        <v>0</v>
      </c>
      <c r="D270" s="27" t="n">
        <v/>
      </c>
      <c r="E270" s="27" t="n">
        <v>0</v>
      </c>
      <c r="F270" s="27" t="inlineStr">
        <is>
          <t>6º</t>
        </is>
      </c>
      <c r="G270" s="27" t="n">
        <v>1</v>
      </c>
    </row>
    <row r="271" ht="12.75" customHeight="1" s="8">
      <c r="A271" s="30" t="inlineStr">
        <is>
          <t>KEA CAPITAL MARKETS</t>
        </is>
      </c>
      <c r="B271" s="31" t="n">
        <v/>
      </c>
      <c r="C271" s="31" t="n">
        <v>0</v>
      </c>
      <c r="D271" s="31" t="n">
        <v/>
      </c>
      <c r="E271" s="31" t="n">
        <v>0</v>
      </c>
      <c r="F271" s="31" t="inlineStr">
        <is>
          <t>6º</t>
        </is>
      </c>
      <c r="G271" s="31" t="n">
        <v>1</v>
      </c>
    </row>
    <row r="272" ht="12.75" customHeight="1" s="8">
      <c r="A272" s="26" t="inlineStr">
        <is>
          <t>ORIZ ASSESSORIA FINANCEIRA LTDA</t>
        </is>
      </c>
      <c r="B272" s="27" t="n">
        <v/>
      </c>
      <c r="C272" s="27" t="n">
        <v>0</v>
      </c>
      <c r="D272" s="27" t="n">
        <v/>
      </c>
      <c r="E272" s="27" t="n">
        <v>0</v>
      </c>
      <c r="F272" s="27" t="inlineStr">
        <is>
          <t>6º</t>
        </is>
      </c>
      <c r="G272" s="27" t="n">
        <v>1</v>
      </c>
    </row>
    <row r="273" ht="12.75" customHeight="1" s="8">
      <c r="A273" s="34" t="inlineStr">
        <is>
          <t>Total</t>
        </is>
      </c>
      <c r="B273" s="35" t="n"/>
      <c r="C273" s="35" t="inlineStr">
        <is>
          <t>24</t>
        </is>
      </c>
      <c r="D273" s="35" t="n"/>
      <c r="E273" s="35" t="inlineStr">
        <is>
          <t>13</t>
        </is>
      </c>
      <c r="F273" s="35" t="n"/>
      <c r="G273" s="35" t="inlineStr">
        <is>
          <t>41</t>
        </is>
      </c>
    </row>
    <row r="274" ht="12.75" customHeight="1" s="8"/>
    <row r="275" ht="12.75" customHeight="1" s="8"/>
    <row r="276" ht="12.75" customHeight="1" s="8">
      <c r="A276" s="22" t="inlineStr">
        <is>
          <t>Tipo 2.3. Certificado de Potencial Adicional de Construção</t>
        </is>
      </c>
      <c r="G276" s="23" t="n"/>
    </row>
    <row r="277" ht="12.75" customHeight="1" s="8">
      <c r="A277" s="24" t="inlineStr">
        <is>
          <t>Coordenadores</t>
        </is>
      </c>
      <c r="B277" s="24" t="inlineStr">
        <is>
          <t>Acumulado 2026</t>
        </is>
      </c>
      <c r="C277" s="24" t="n"/>
      <c r="D277" s="24" t="inlineStr">
        <is>
          <t>Últimos 3 meses</t>
        </is>
      </c>
      <c r="E277" s="24" t="n"/>
      <c r="F277" s="24" t="inlineStr">
        <is>
          <t>Últimos 12 meses</t>
        </is>
      </c>
      <c r="G277" s="25" t="n"/>
    </row>
    <row r="278" ht="12.75" customHeight="1" s="8">
      <c r="A278" s="24" t="n"/>
      <c r="B278" s="24" t="inlineStr">
        <is>
          <t>Ranking 2026</t>
        </is>
      </c>
      <c r="C278" s="24" t="inlineStr">
        <is>
          <t>Nº de Operações</t>
        </is>
      </c>
      <c r="D278" s="24" t="inlineStr">
        <is>
          <t>Ranking 3 meses</t>
        </is>
      </c>
      <c r="E278" s="24" t="inlineStr">
        <is>
          <t>Nº de Operações</t>
        </is>
      </c>
      <c r="F278" s="24" t="inlineStr">
        <is>
          <t>Ranking 12 meses</t>
        </is>
      </c>
      <c r="G278" s="25" t="inlineStr">
        <is>
          <t>Nº de Operações</t>
        </is>
      </c>
    </row>
    <row r="279" ht="12.75" customHeight="1" s="8">
      <c r="A279" s="26" t="inlineStr">
        <is>
          <t>BB-BI</t>
        </is>
      </c>
      <c r="B279" s="27" t="n">
        <v/>
      </c>
      <c r="C279" s="27" t="n">
        <v>0</v>
      </c>
      <c r="D279" s="27" t="n">
        <v/>
      </c>
      <c r="E279" s="27" t="n">
        <v>0</v>
      </c>
      <c r="F279" s="27" t="inlineStr">
        <is>
          <t>1º</t>
        </is>
      </c>
      <c r="G279" s="27" t="n">
        <v>1</v>
      </c>
    </row>
    <row r="280" ht="12.75" customHeight="1" s="8">
      <c r="A280" s="34" t="inlineStr">
        <is>
          <t>Total</t>
        </is>
      </c>
      <c r="B280" s="35" t="n"/>
      <c r="C280" s="35" t="inlineStr">
        <is>
          <t>0</t>
        </is>
      </c>
      <c r="D280" s="35" t="n"/>
      <c r="E280" s="35" t="inlineStr">
        <is>
          <t>0</t>
        </is>
      </c>
      <c r="F280" s="35" t="n"/>
      <c r="G280" s="35" t="inlineStr">
        <is>
          <t>1</t>
        </is>
      </c>
    </row>
    <row r="281" ht="12.75" customHeight="1" s="8"/>
    <row r="282" ht="12.75" customHeight="1" s="8"/>
    <row r="283" ht="12.75" customHeight="1" s="8">
      <c r="A283" s="22" t="inlineStr">
        <is>
          <t>Tipo 2.4. Fundo de Investimento em Participações de Infraestrutura</t>
        </is>
      </c>
      <c r="G283" s="23" t="n"/>
    </row>
    <row r="284" ht="12.75" customHeight="1" s="8">
      <c r="A284" s="24" t="inlineStr">
        <is>
          <t>Coordenadores</t>
        </is>
      </c>
      <c r="B284" s="24" t="inlineStr">
        <is>
          <t>Acumulado 2026</t>
        </is>
      </c>
      <c r="C284" s="24" t="n"/>
      <c r="D284" s="24" t="inlineStr">
        <is>
          <t>Últimos 3 meses</t>
        </is>
      </c>
      <c r="E284" s="24" t="n"/>
      <c r="F284" s="24" t="inlineStr">
        <is>
          <t>Últimos 12 meses</t>
        </is>
      </c>
      <c r="G284" s="25" t="n"/>
    </row>
    <row r="285" ht="12.75" customHeight="1" s="8">
      <c r="A285" s="24" t="n"/>
      <c r="B285" s="24" t="inlineStr">
        <is>
          <t>Ranking 2026</t>
        </is>
      </c>
      <c r="C285" s="24" t="inlineStr">
        <is>
          <t>Nº de Operações</t>
        </is>
      </c>
      <c r="D285" s="24" t="inlineStr">
        <is>
          <t>Ranking 3 meses</t>
        </is>
      </c>
      <c r="E285" s="24" t="inlineStr">
        <is>
          <t>Nº de Operações</t>
        </is>
      </c>
      <c r="F285" s="24" t="inlineStr">
        <is>
          <t>Ranking 12 meses</t>
        </is>
      </c>
      <c r="G285" s="25" t="inlineStr">
        <is>
          <t>Nº de Operações</t>
        </is>
      </c>
    </row>
    <row r="286" ht="12.75" customHeight="1" s="8">
      <c r="A286" s="26" t="inlineStr">
        <is>
          <t>XP INVESTIMENTOS</t>
        </is>
      </c>
      <c r="B286" s="27" t="inlineStr">
        <is>
          <t>1º</t>
        </is>
      </c>
      <c r="C286" s="27" t="n">
        <v>3</v>
      </c>
      <c r="D286" s="27" t="inlineStr">
        <is>
          <t>1º</t>
        </is>
      </c>
      <c r="E286" s="27" t="n">
        <v>1</v>
      </c>
      <c r="F286" s="27" t="inlineStr">
        <is>
          <t>1º</t>
        </is>
      </c>
      <c r="G286" s="27" t="n">
        <v>5</v>
      </c>
    </row>
    <row r="287" ht="12.75" customHeight="1" s="8">
      <c r="A287" s="30" t="inlineStr">
        <is>
          <t>ITAU BBA</t>
        </is>
      </c>
      <c r="B287" s="31" t="inlineStr">
        <is>
          <t>2º</t>
        </is>
      </c>
      <c r="C287" s="31" t="n">
        <v>1</v>
      </c>
      <c r="D287" s="31" t="inlineStr">
        <is>
          <t>1º</t>
        </is>
      </c>
      <c r="E287" s="31" t="n">
        <v>1</v>
      </c>
      <c r="F287" s="31" t="inlineStr">
        <is>
          <t>2º</t>
        </is>
      </c>
      <c r="G287" s="31" t="n">
        <v>2</v>
      </c>
    </row>
    <row r="288" ht="12.75" customHeight="1" s="8">
      <c r="A288" s="26" t="inlineStr">
        <is>
          <t>BTG PACTUAL</t>
        </is>
      </c>
      <c r="B288" s="27" t="inlineStr">
        <is>
          <t>2º</t>
        </is>
      </c>
      <c r="C288" s="27" t="n">
        <v>1</v>
      </c>
      <c r="D288" s="27" t="n">
        <v/>
      </c>
      <c r="E288" s="27" t="n">
        <v>0</v>
      </c>
      <c r="F288" s="27" t="inlineStr">
        <is>
          <t>3º</t>
        </is>
      </c>
      <c r="G288" s="27" t="n">
        <v>1</v>
      </c>
    </row>
    <row r="289" ht="12.75" customHeight="1" s="8">
      <c r="A289" s="34" t="inlineStr">
        <is>
          <t>Total</t>
        </is>
      </c>
      <c r="B289" s="35" t="n"/>
      <c r="C289" s="35" t="inlineStr">
        <is>
          <t>5</t>
        </is>
      </c>
      <c r="D289" s="35" t="n"/>
      <c r="E289" s="35" t="inlineStr">
        <is>
          <t>2</t>
        </is>
      </c>
      <c r="F289" s="35" t="n"/>
      <c r="G289" s="35" t="inlineStr">
        <is>
          <t>8</t>
        </is>
      </c>
    </row>
    <row r="290" ht="12.75" customHeight="1" s="8"/>
    <row r="291" ht="12.75" customHeight="1" s="8"/>
    <row r="292" ht="12.75" customHeight="1" s="8">
      <c r="A292" s="22" t="inlineStr">
        <is>
          <t>Tipo 2.5. Fundo de Investimento nas Cadeias Produtivas Agroindustriais</t>
        </is>
      </c>
      <c r="G292" s="23" t="n"/>
    </row>
    <row r="293" ht="12.75" customHeight="1" s="8">
      <c r="A293" s="24" t="inlineStr">
        <is>
          <t>Coordenadores</t>
        </is>
      </c>
      <c r="B293" s="24" t="inlineStr">
        <is>
          <t>Acumulado 2026</t>
        </is>
      </c>
      <c r="C293" s="24" t="n"/>
      <c r="D293" s="24" t="inlineStr">
        <is>
          <t>Últimos 3 meses</t>
        </is>
      </c>
      <c r="E293" s="24" t="n"/>
      <c r="F293" s="24" t="inlineStr">
        <is>
          <t>Últimos 12 meses</t>
        </is>
      </c>
      <c r="G293" s="25" t="n"/>
    </row>
    <row r="294" ht="12.75" customHeight="1" s="8">
      <c r="A294" s="24" t="n"/>
      <c r="B294" s="24" t="inlineStr">
        <is>
          <t>Ranking 2026</t>
        </is>
      </c>
      <c r="C294" s="24" t="inlineStr">
        <is>
          <t>Nº de Operações</t>
        </is>
      </c>
      <c r="D294" s="24" t="inlineStr">
        <is>
          <t>Ranking 3 meses</t>
        </is>
      </c>
      <c r="E294" s="24" t="inlineStr">
        <is>
          <t>Nº de Operações</t>
        </is>
      </c>
      <c r="F294" s="24" t="inlineStr">
        <is>
          <t>Ranking 12 meses</t>
        </is>
      </c>
      <c r="G294" s="25" t="inlineStr">
        <is>
          <t>Nº de Operações</t>
        </is>
      </c>
    </row>
    <row r="295" ht="12.75" customHeight="1" s="8">
      <c r="A295" s="26" t="inlineStr">
        <is>
          <t>ITAU BBA</t>
        </is>
      </c>
      <c r="B295" s="27" t="inlineStr">
        <is>
          <t>1º</t>
        </is>
      </c>
      <c r="C295" s="27" t="n">
        <v>5</v>
      </c>
      <c r="D295" s="27" t="n">
        <v/>
      </c>
      <c r="E295" s="27" t="n">
        <v>0</v>
      </c>
      <c r="F295" s="27" t="inlineStr">
        <is>
          <t>1º</t>
        </is>
      </c>
      <c r="G295" s="27" t="n">
        <v>10</v>
      </c>
    </row>
    <row r="296" ht="12.75" customHeight="1" s="8">
      <c r="A296" s="30" t="inlineStr">
        <is>
          <t>XP INVESTIMENTOS</t>
        </is>
      </c>
      <c r="B296" s="31" t="inlineStr">
        <is>
          <t>2º</t>
        </is>
      </c>
      <c r="C296" s="31" t="n">
        <v>4</v>
      </c>
      <c r="D296" s="31" t="inlineStr">
        <is>
          <t>1º</t>
        </is>
      </c>
      <c r="E296" s="31" t="n">
        <v>3</v>
      </c>
      <c r="F296" s="31" t="inlineStr">
        <is>
          <t>2º</t>
        </is>
      </c>
      <c r="G296" s="31" t="n">
        <v>4</v>
      </c>
    </row>
    <row r="297" ht="12.75" customHeight="1" s="8">
      <c r="A297" s="26" t="inlineStr">
        <is>
          <t>FATOR</t>
        </is>
      </c>
      <c r="B297" s="27" t="inlineStr">
        <is>
          <t>3º</t>
        </is>
      </c>
      <c r="C297" s="27" t="n">
        <v>2</v>
      </c>
      <c r="D297" s="27" t="inlineStr">
        <is>
          <t>2º</t>
        </is>
      </c>
      <c r="E297" s="27" t="n">
        <v>1</v>
      </c>
      <c r="F297" s="27" t="inlineStr">
        <is>
          <t>4º</t>
        </is>
      </c>
      <c r="G297" s="27" t="n">
        <v>2</v>
      </c>
    </row>
    <row r="298" ht="12.75" customHeight="1" s="8">
      <c r="A298" s="30" t="inlineStr">
        <is>
          <t>VOTORANTIM</t>
        </is>
      </c>
      <c r="B298" s="31" t="inlineStr">
        <is>
          <t>4º</t>
        </is>
      </c>
      <c r="C298" s="31" t="n">
        <v>1</v>
      </c>
      <c r="D298" s="31" t="inlineStr">
        <is>
          <t>2º</t>
        </is>
      </c>
      <c r="E298" s="31" t="n">
        <v>1</v>
      </c>
      <c r="F298" s="31" t="inlineStr">
        <is>
          <t>2º</t>
        </is>
      </c>
      <c r="G298" s="31" t="n">
        <v>4</v>
      </c>
    </row>
    <row r="299" ht="12.75" customHeight="1" s="8">
      <c r="A299" s="26" t="inlineStr">
        <is>
          <t>SAFRA</t>
        </is>
      </c>
      <c r="B299" s="27" t="n">
        <v/>
      </c>
      <c r="C299" s="27" t="n">
        <v>0</v>
      </c>
      <c r="D299" s="27" t="n">
        <v/>
      </c>
      <c r="E299" s="27" t="n">
        <v>0</v>
      </c>
      <c r="F299" s="27" t="inlineStr">
        <is>
          <t>5º</t>
        </is>
      </c>
      <c r="G299" s="27" t="n">
        <v>1</v>
      </c>
    </row>
    <row r="300" ht="12.75" customHeight="1" s="8">
      <c r="A300" s="34" t="inlineStr">
        <is>
          <t>Total</t>
        </is>
      </c>
      <c r="B300" s="35" t="n"/>
      <c r="C300" s="35" t="inlineStr">
        <is>
          <t>12</t>
        </is>
      </c>
      <c r="D300" s="35" t="n"/>
      <c r="E300" s="35" t="inlineStr">
        <is>
          <t>5</t>
        </is>
      </c>
      <c r="F300" s="35" t="n"/>
      <c r="G300" s="35" t="inlineStr">
        <is>
          <t>21</t>
        </is>
      </c>
    </row>
    <row r="301" ht="12.75" customHeight="1" s="8"/>
    <row r="302" ht="12.75" customHeight="1" s="8"/>
    <row r="303" ht="12.75" customHeight="1" s="8">
      <c r="A303" s="22" t="inlineStr">
        <is>
          <t xml:space="preserve">Tipo 3: Operações de Empresas Ligadas </t>
        </is>
      </c>
      <c r="G303" s="23" t="n"/>
    </row>
    <row r="304" ht="12.75" customHeight="1" s="8">
      <c r="A304" s="24" t="inlineStr">
        <is>
          <t>Coordenadores</t>
        </is>
      </c>
      <c r="B304" s="24" t="inlineStr">
        <is>
          <t>Acumulado 2026</t>
        </is>
      </c>
      <c r="C304" s="24" t="n"/>
      <c r="D304" s="24" t="inlineStr">
        <is>
          <t>Últimos 3 meses</t>
        </is>
      </c>
      <c r="E304" s="24" t="n"/>
      <c r="F304" s="24" t="inlineStr">
        <is>
          <t>Últimos 12 meses</t>
        </is>
      </c>
      <c r="G304" s="25" t="n"/>
    </row>
    <row r="305" ht="12.75" customHeight="1" s="8">
      <c r="A305" s="24" t="n"/>
      <c r="B305" s="24" t="inlineStr">
        <is>
          <t>Ranking 2026</t>
        </is>
      </c>
      <c r="C305" s="24" t="inlineStr">
        <is>
          <t>Nº de Operações</t>
        </is>
      </c>
      <c r="D305" s="24" t="inlineStr">
        <is>
          <t>Ranking 3 meses</t>
        </is>
      </c>
      <c r="E305" s="24" t="inlineStr">
        <is>
          <t>Nº de Operações</t>
        </is>
      </c>
      <c r="F305" s="24" t="inlineStr">
        <is>
          <t>Ranking 12 meses</t>
        </is>
      </c>
      <c r="G305" s="25" t="inlineStr">
        <is>
          <t>Nº de Operações</t>
        </is>
      </c>
    </row>
    <row r="306" ht="12.75" customHeight="1" s="8">
      <c r="A306" s="26" t="inlineStr">
        <is>
          <t>XP INVESTIMENTOS</t>
        </is>
      </c>
      <c r="B306" s="27" t="inlineStr">
        <is>
          <t>1º</t>
        </is>
      </c>
      <c r="C306" s="27" t="n">
        <v>11</v>
      </c>
      <c r="D306" s="27" t="inlineStr">
        <is>
          <t>1º</t>
        </is>
      </c>
      <c r="E306" s="27" t="n">
        <v>9</v>
      </c>
      <c r="F306" s="27" t="inlineStr">
        <is>
          <t>1º</t>
        </is>
      </c>
      <c r="G306" s="27" t="n">
        <v>39</v>
      </c>
    </row>
    <row r="307" ht="12.75" customHeight="1" s="8">
      <c r="A307" s="30" t="inlineStr">
        <is>
          <t>ITAU BBA</t>
        </is>
      </c>
      <c r="B307" s="31" t="inlineStr">
        <is>
          <t>2º</t>
        </is>
      </c>
      <c r="C307" s="31" t="n">
        <v>10</v>
      </c>
      <c r="D307" s="31" t="inlineStr">
        <is>
          <t>3º</t>
        </is>
      </c>
      <c r="E307" s="31" t="n">
        <v>5</v>
      </c>
      <c r="F307" s="31" t="inlineStr">
        <is>
          <t>2º</t>
        </is>
      </c>
      <c r="G307" s="31" t="n">
        <v>24</v>
      </c>
    </row>
    <row r="308" ht="12.75" customHeight="1" s="8">
      <c r="A308" s="26" t="inlineStr">
        <is>
          <t>INTER</t>
        </is>
      </c>
      <c r="B308" s="27" t="inlineStr">
        <is>
          <t>3º</t>
        </is>
      </c>
      <c r="C308" s="27" t="n">
        <v>8</v>
      </c>
      <c r="D308" s="27" t="inlineStr">
        <is>
          <t>2º</t>
        </is>
      </c>
      <c r="E308" s="27" t="n">
        <v>7</v>
      </c>
      <c r="F308" s="27" t="inlineStr">
        <is>
          <t>3º</t>
        </is>
      </c>
      <c r="G308" s="27" t="n">
        <v>18</v>
      </c>
    </row>
    <row r="309" ht="12.75" customHeight="1" s="8">
      <c r="A309" s="30" t="inlineStr">
        <is>
          <t>BTG PACTUAL</t>
        </is>
      </c>
      <c r="B309" s="31" t="inlineStr">
        <is>
          <t>4º</t>
        </is>
      </c>
      <c r="C309" s="31" t="n">
        <v>5</v>
      </c>
      <c r="D309" s="31" t="inlineStr">
        <is>
          <t>7º</t>
        </is>
      </c>
      <c r="E309" s="31" t="n">
        <v>1</v>
      </c>
      <c r="F309" s="31" t="inlineStr">
        <is>
          <t>4º</t>
        </is>
      </c>
      <c r="G309" s="31" t="n">
        <v>13</v>
      </c>
    </row>
    <row r="310" ht="12.75" customHeight="1" s="8">
      <c r="A310" s="26" t="inlineStr">
        <is>
          <t>SAFRA</t>
        </is>
      </c>
      <c r="B310" s="27" t="inlineStr">
        <is>
          <t>5º</t>
        </is>
      </c>
      <c r="C310" s="27" t="n">
        <v>3</v>
      </c>
      <c r="D310" s="27" t="inlineStr">
        <is>
          <t>4º</t>
        </is>
      </c>
      <c r="E310" s="27" t="n">
        <v>2</v>
      </c>
      <c r="F310" s="27" t="inlineStr">
        <is>
          <t>6º</t>
        </is>
      </c>
      <c r="G310" s="27" t="n">
        <v>7</v>
      </c>
    </row>
    <row r="311" ht="12.75" customHeight="1" s="8">
      <c r="A311" s="30" t="inlineStr">
        <is>
          <t>BR PARTNERS</t>
        </is>
      </c>
      <c r="B311" s="31" t="inlineStr">
        <is>
          <t>5º</t>
        </is>
      </c>
      <c r="C311" s="31" t="n">
        <v>3</v>
      </c>
      <c r="D311" s="31" t="inlineStr">
        <is>
          <t>4º</t>
        </is>
      </c>
      <c r="E311" s="31" t="n">
        <v>2</v>
      </c>
      <c r="F311" s="31" t="inlineStr">
        <is>
          <t>8º</t>
        </is>
      </c>
      <c r="G311" s="31" t="n">
        <v>4</v>
      </c>
    </row>
    <row r="312" ht="12.75" customHeight="1" s="8">
      <c r="A312" s="26" t="inlineStr">
        <is>
          <t>FATOR</t>
        </is>
      </c>
      <c r="B312" s="27" t="inlineStr">
        <is>
          <t>7º</t>
        </is>
      </c>
      <c r="C312" s="27" t="n">
        <v>2</v>
      </c>
      <c r="D312" s="27" t="inlineStr">
        <is>
          <t>4º</t>
        </is>
      </c>
      <c r="E312" s="27" t="n">
        <v>2</v>
      </c>
      <c r="F312" s="27" t="inlineStr">
        <is>
          <t>12º</t>
        </is>
      </c>
      <c r="G312" s="27" t="n">
        <v>2</v>
      </c>
    </row>
    <row r="313" ht="12.75" customHeight="1" s="8">
      <c r="A313" s="30" t="inlineStr">
        <is>
          <t>SANTANDER</t>
        </is>
      </c>
      <c r="B313" s="31" t="inlineStr">
        <is>
          <t>8º</t>
        </is>
      </c>
      <c r="C313" s="31" t="n">
        <v>1</v>
      </c>
      <c r="D313" s="31" t="inlineStr">
        <is>
          <t>7º</t>
        </is>
      </c>
      <c r="E313" s="31" t="n">
        <v>1</v>
      </c>
      <c r="F313" s="31" t="inlineStr">
        <is>
          <t>9º</t>
        </is>
      </c>
      <c r="G313" s="31" t="n">
        <v>3</v>
      </c>
    </row>
    <row r="314" ht="12.75" customHeight="1" s="8">
      <c r="A314" s="26" t="inlineStr">
        <is>
          <t>HEDGE DTVM</t>
        </is>
      </c>
      <c r="B314" s="27" t="inlineStr">
        <is>
          <t>8º</t>
        </is>
      </c>
      <c r="C314" s="27" t="n">
        <v>1</v>
      </c>
      <c r="D314" s="27" t="inlineStr">
        <is>
          <t>7º</t>
        </is>
      </c>
      <c r="E314" s="27" t="n">
        <v>1</v>
      </c>
      <c r="F314" s="27" t="inlineStr">
        <is>
          <t>14º</t>
        </is>
      </c>
      <c r="G314" s="27" t="n">
        <v>1</v>
      </c>
    </row>
    <row r="315" ht="12.75" customHeight="1" s="8">
      <c r="A315" s="30" t="inlineStr">
        <is>
          <t>BRADESCO BBI</t>
        </is>
      </c>
      <c r="B315" s="31" t="inlineStr">
        <is>
          <t>8º</t>
        </is>
      </c>
      <c r="C315" s="31" t="n">
        <v>1</v>
      </c>
      <c r="D315" s="31" t="n">
        <v/>
      </c>
      <c r="E315" s="31" t="n">
        <v>0</v>
      </c>
      <c r="F315" s="31" t="inlineStr">
        <is>
          <t>5º</t>
        </is>
      </c>
      <c r="G315" s="31" t="n">
        <v>9</v>
      </c>
    </row>
    <row r="316" ht="12.75" customHeight="1" s="8">
      <c r="A316" s="26" t="inlineStr">
        <is>
          <t>GALAPAGOS CAPITAL INVESTIMENTOS E PARTICIPAÇÕES LTDA.</t>
        </is>
      </c>
      <c r="B316" s="27" t="inlineStr">
        <is>
          <t>8º</t>
        </is>
      </c>
      <c r="C316" s="27" t="n">
        <v>1</v>
      </c>
      <c r="D316" s="27" t="n">
        <v/>
      </c>
      <c r="E316" s="27" t="n">
        <v>0</v>
      </c>
      <c r="F316" s="27" t="inlineStr">
        <is>
          <t>7º</t>
        </is>
      </c>
      <c r="G316" s="27" t="n">
        <v>6</v>
      </c>
    </row>
    <row r="317" ht="12.75" customHeight="1" s="8">
      <c r="A317" s="30" t="inlineStr">
        <is>
          <t>VOTORANTIM</t>
        </is>
      </c>
      <c r="B317" s="31" t="inlineStr">
        <is>
          <t>8º</t>
        </is>
      </c>
      <c r="C317" s="31" t="n">
        <v>1</v>
      </c>
      <c r="D317" s="31" t="n">
        <v/>
      </c>
      <c r="E317" s="31" t="n">
        <v>0</v>
      </c>
      <c r="F317" s="31" t="inlineStr">
        <is>
          <t>9º</t>
        </is>
      </c>
      <c r="G317" s="31" t="n">
        <v>3</v>
      </c>
    </row>
    <row r="318" ht="12.75" customHeight="1" s="8">
      <c r="A318" s="26" t="inlineStr">
        <is>
          <t>UBS BB</t>
        </is>
      </c>
      <c r="B318" s="27" t="n">
        <v/>
      </c>
      <c r="C318" s="27" t="n">
        <v>0</v>
      </c>
      <c r="D318" s="27" t="n">
        <v/>
      </c>
      <c r="E318" s="27" t="n">
        <v>0</v>
      </c>
      <c r="F318" s="27" t="inlineStr">
        <is>
          <t>9º</t>
        </is>
      </c>
      <c r="G318" s="27" t="n">
        <v>3</v>
      </c>
    </row>
    <row r="319" ht="12.75" customHeight="1" s="8">
      <c r="A319" s="30" t="inlineStr">
        <is>
          <t>DAYCOVAL</t>
        </is>
      </c>
      <c r="B319" s="31" t="n">
        <v/>
      </c>
      <c r="C319" s="31" t="n">
        <v>0</v>
      </c>
      <c r="D319" s="31" t="n">
        <v/>
      </c>
      <c r="E319" s="31" t="n">
        <v>0</v>
      </c>
      <c r="F319" s="31" t="inlineStr">
        <is>
          <t>12º</t>
        </is>
      </c>
      <c r="G319" s="31" t="n">
        <v>2</v>
      </c>
    </row>
    <row r="320" ht="12.75" customHeight="1" s="8">
      <c r="A320" s="26" t="inlineStr">
        <is>
          <t>GENIAL CV</t>
        </is>
      </c>
      <c r="B320" s="27" t="n">
        <v/>
      </c>
      <c r="C320" s="27" t="n">
        <v>0</v>
      </c>
      <c r="D320" s="27" t="n">
        <v/>
      </c>
      <c r="E320" s="27" t="n">
        <v>0</v>
      </c>
      <c r="F320" s="27" t="inlineStr">
        <is>
          <t>14º</t>
        </is>
      </c>
      <c r="G320" s="27" t="n">
        <v>1</v>
      </c>
    </row>
    <row r="321" ht="12.75" customHeight="1" s="8">
      <c r="A321" s="30" t="inlineStr">
        <is>
          <t>ORIZ ASSESSORIA FINANCEIRA LTDA</t>
        </is>
      </c>
      <c r="B321" s="31" t="n">
        <v/>
      </c>
      <c r="C321" s="31" t="n">
        <v>0</v>
      </c>
      <c r="D321" s="31" t="n">
        <v/>
      </c>
      <c r="E321" s="31" t="n">
        <v>0</v>
      </c>
      <c r="F321" s="31" t="inlineStr">
        <is>
          <t>14º</t>
        </is>
      </c>
      <c r="G321" s="31" t="n">
        <v>1</v>
      </c>
    </row>
    <row r="322" ht="12.75" customHeight="1" s="8">
      <c r="A322" s="34" t="inlineStr">
        <is>
          <t>Total</t>
        </is>
      </c>
      <c r="B322" s="35" t="n"/>
      <c r="C322" s="35" t="inlineStr">
        <is>
          <t>45</t>
        </is>
      </c>
      <c r="D322" s="35" t="n"/>
      <c r="E322" s="35" t="inlineStr">
        <is>
          <t>30</t>
        </is>
      </c>
      <c r="F322" s="35" t="n"/>
      <c r="G322" s="35" t="inlineStr">
        <is>
          <t>130</t>
        </is>
      </c>
    </row>
    <row r="323" ht="12.75" customHeight="1" s="8"/>
    <row r="324" ht="12.75" customHeight="1" s="8"/>
    <row r="325" ht="12.75" customHeight="1" s="8"/>
    <row r="326" ht="12.75" customHeight="1" s="8"/>
    <row r="327" ht="12.75" customHeight="1" s="8"/>
    <row r="328" ht="12.75" customHeight="1" s="8"/>
    <row r="329" ht="12.75" customHeight="1" s="8"/>
    <row r="330" ht="12.75" customHeight="1" s="8"/>
    <row r="331" ht="12.75" customHeight="1" s="8"/>
    <row r="332" ht="12.75" customHeight="1" s="8"/>
    <row r="333" ht="12.75" customHeight="1" s="8"/>
    <row r="334" ht="12.75" customHeight="1" s="8"/>
    <row r="335" ht="12.75" customHeight="1" s="8"/>
    <row r="336" ht="12.75" customHeight="1" s="8"/>
    <row r="337" ht="12.75" customHeight="1" s="8"/>
    <row r="338" ht="12.75" customHeight="1" s="8"/>
    <row r="339" ht="12.75" customHeight="1" s="8"/>
    <row r="340" ht="12.75" customHeight="1" s="8"/>
    <row r="341" ht="12.75" customHeight="1" s="8"/>
    <row r="342" ht="12.75" customHeight="1" s="8"/>
    <row r="343" ht="12.75" customHeight="1" s="8"/>
    <row r="344" ht="12.75" customHeight="1" s="8"/>
    <row r="345" ht="12.75" customHeight="1" s="8"/>
    <row r="346" ht="12.75" customHeight="1" s="8"/>
    <row r="347" ht="12.75" customHeight="1" s="8"/>
    <row r="348" ht="12.75" customHeight="1" s="8"/>
    <row r="349" ht="12.75" customHeight="1" s="8"/>
    <row r="350" ht="12.75" customHeight="1" s="8"/>
    <row r="351" ht="12.75" customHeight="1" s="8"/>
    <row r="352" ht="12.75" customHeight="1" s="8"/>
    <row r="353" ht="12.75" customHeight="1" s="8"/>
    <row r="354" ht="12.75" customHeight="1" s="8"/>
    <row r="355" ht="12.75" customHeight="1" s="8"/>
    <row r="356" ht="12.75" customHeight="1" s="8"/>
    <row r="357" ht="12.75" customHeight="1" s="8"/>
    <row r="358" ht="12.75" customHeight="1" s="8"/>
    <row r="359" ht="12.75" customHeight="1" s="8"/>
    <row r="360" ht="12.75" customHeight="1" s="8"/>
    <row r="361" ht="12.75" customHeight="1" s="8"/>
    <row r="362" ht="12.75" customHeight="1" s="8"/>
    <row r="363" ht="12.75" customHeight="1" s="8"/>
    <row r="364" ht="12.75" customHeight="1" s="8"/>
    <row r="365" ht="12.75" customHeight="1" s="8"/>
    <row r="366" ht="12.75" customHeight="1" s="8"/>
    <row r="367" ht="12.75" customHeight="1" s="8"/>
    <row r="368" ht="12.75" customHeight="1" s="8"/>
    <row r="369" ht="12.75" customHeight="1" s="8"/>
    <row r="370" ht="12.75" customHeight="1" s="8"/>
    <row r="371" ht="12.75" customHeight="1" s="8"/>
    <row r="372" ht="12.75" customHeight="1" s="8"/>
    <row r="373" ht="12.75" customHeight="1" s="8"/>
    <row r="374" ht="12.75" customHeight="1" s="8"/>
    <row r="375" ht="12.75" customHeight="1" s="8"/>
    <row r="376" ht="12.75" customHeight="1" s="8"/>
    <row r="377" ht="12.75" customHeight="1" s="8"/>
    <row r="378" ht="12.75" customHeight="1" s="8"/>
    <row r="379" ht="12.75" customHeight="1" s="8"/>
    <row r="380" ht="12.75" customHeight="1" s="8"/>
    <row r="381" ht="12.75" customHeight="1" s="8"/>
    <row r="382" ht="12.75" customHeight="1" s="8"/>
    <row r="383" ht="12.75" customHeight="1" s="8"/>
    <row r="384" ht="12.75" customHeight="1" s="8"/>
    <row r="385" ht="12.75" customHeight="1" s="8"/>
    <row r="386" ht="12.75" customHeight="1" s="8"/>
    <row r="387" ht="12.75" customHeight="1" s="8"/>
    <row r="388" ht="12.75" customHeight="1" s="8"/>
    <row r="389" ht="12.75" customHeight="1" s="8"/>
    <row r="390" ht="12.75" customHeight="1" s="8"/>
    <row r="391" ht="12.75" customHeight="1" s="8"/>
    <row r="392" ht="12.75" customHeight="1" s="8"/>
    <row r="393" ht="12.75" customHeight="1" s="8"/>
    <row r="394" ht="12.75" customHeight="1" s="8"/>
    <row r="395" ht="12.75" customHeight="1" s="8"/>
    <row r="396" ht="12.75" customHeight="1" s="8"/>
    <row r="397" ht="12.75" customHeight="1" s="8"/>
    <row r="398" ht="12.75" customHeight="1" s="8"/>
    <row r="399" ht="12.75" customHeight="1" s="8"/>
    <row r="400" ht="12.75" customHeight="1" s="8"/>
    <row r="401" ht="12.75" customHeight="1" s="8"/>
    <row r="402" ht="12.75" customHeight="1" s="8"/>
    <row r="403" ht="12.75" customHeight="1" s="8"/>
    <row r="404" ht="12.75" customHeight="1" s="8"/>
    <row r="405" ht="12.75" customHeight="1" s="8"/>
    <row r="406" ht="12.75" customHeight="1" s="8"/>
    <row r="407" ht="12.75" customHeight="1" s="8"/>
    <row r="408" ht="12.75" customHeight="1" s="8"/>
    <row r="409" ht="12.75" customHeight="1" s="8"/>
    <row r="410" ht="12.75" customHeight="1" s="8"/>
    <row r="411" ht="12.75" customHeight="1" s="8"/>
    <row r="412" ht="12.75" customHeight="1" s="8"/>
    <row r="413" ht="12.75" customHeight="1" s="8"/>
    <row r="414" ht="12.75" customHeight="1" s="8"/>
    <row r="415" ht="12.75" customHeight="1" s="8"/>
    <row r="416" ht="12.75" customHeight="1" s="8"/>
    <row r="417" ht="12.75" customHeight="1" s="8"/>
    <row r="418" ht="12.75" customHeight="1" s="8"/>
    <row r="419" ht="12.75" customHeight="1" s="8"/>
    <row r="420" ht="12.75" customHeight="1" s="8"/>
    <row r="421" ht="12.75" customHeight="1" s="8"/>
    <row r="422" ht="12.75" customHeight="1" s="8"/>
    <row r="423" ht="12.75" customHeight="1" s="8"/>
    <row r="424" ht="12.75" customHeight="1" s="8"/>
    <row r="425" ht="12.75" customHeight="1" s="8"/>
    <row r="426" ht="12.75" customHeight="1" s="8"/>
    <row r="427" ht="12.75" customHeight="1" s="8"/>
    <row r="428" ht="12.75" customHeight="1" s="8"/>
    <row r="429" ht="12.75" customHeight="1" s="8"/>
    <row r="430" ht="12.75" customHeight="1" s="8"/>
    <row r="431" ht="12.75" customHeight="1" s="8"/>
    <row r="432" ht="12.75" customHeight="1" s="8"/>
    <row r="433" ht="12.75" customHeight="1" s="8"/>
    <row r="434" ht="12.75" customHeight="1" s="8"/>
    <row r="435" ht="12.75" customHeight="1" s="8"/>
    <row r="436" ht="12.75" customHeight="1" s="8"/>
    <row r="437" ht="12.75" customHeight="1" s="8"/>
    <row r="438" ht="12.75" customHeight="1" s="8"/>
    <row r="439" ht="12.75" customHeight="1" s="8"/>
    <row r="440" ht="12.75" customHeight="1" s="8"/>
    <row r="441" ht="12.75" customHeight="1" s="8"/>
    <row r="442" ht="12.75" customHeight="1" s="8"/>
    <row r="443" ht="12.75" customHeight="1" s="8"/>
    <row r="444" ht="12.75" customHeight="1" s="8"/>
    <row r="445" ht="12.75" customHeight="1" s="8"/>
    <row r="446" ht="12.75" customHeight="1" s="8"/>
    <row r="447" ht="12.75" customHeight="1" s="8"/>
    <row r="448" ht="12.75" customHeight="1" s="8"/>
    <row r="449" ht="12.75" customHeight="1" s="8"/>
    <row r="450" ht="12.75" customHeight="1" s="8"/>
    <row r="451" ht="12.75" customHeight="1" s="8"/>
    <row r="452" ht="12.75" customHeight="1" s="8"/>
    <row r="453" ht="12.75" customHeight="1" s="8"/>
    <row r="454" ht="12.75" customHeight="1" s="8"/>
    <row r="455" ht="12.75" customHeight="1" s="8"/>
    <row r="456" ht="12.75" customHeight="1" s="8"/>
    <row r="457" ht="12.75" customHeight="1" s="8"/>
    <row r="458" ht="12.75" customHeight="1" s="8"/>
    <row r="459" ht="12.75" customHeight="1" s="8"/>
    <row r="460" ht="12.75" customHeight="1" s="8"/>
    <row r="461" ht="12.75" customHeight="1" s="8"/>
    <row r="462" ht="12.75" customHeight="1" s="8"/>
    <row r="463" ht="12.75" customHeight="1" s="8"/>
    <row r="464" ht="12.75" customHeight="1" s="8"/>
    <row r="465" ht="12.75" customHeight="1" s="8"/>
    <row r="466" ht="12.75" customHeight="1" s="8"/>
    <row r="467" ht="12.75" customHeight="1" s="8"/>
    <row r="468" ht="12.75" customHeight="1" s="8"/>
    <row r="469" ht="12.75" customHeight="1" s="8"/>
    <row r="470" ht="12.75" customHeight="1" s="8"/>
    <row r="471" ht="12.75" customHeight="1" s="8"/>
    <row r="472" ht="12.75" customHeight="1" s="8"/>
    <row r="473" ht="12.75" customHeight="1" s="8"/>
    <row r="474" ht="12.75" customHeight="1" s="8"/>
    <row r="475" ht="12.75" customHeight="1" s="8"/>
    <row r="476" ht="12.75" customHeight="1" s="8"/>
    <row r="477" ht="12.75" customHeight="1" s="8"/>
    <row r="478" ht="12.75" customHeight="1" s="8"/>
    <row r="479" ht="12.75" customHeight="1" s="8"/>
    <row r="480" ht="12.75" customHeight="1" s="8"/>
    <row r="481" ht="12.75" customHeight="1" s="8"/>
    <row r="482" ht="12.75" customHeight="1" s="8"/>
    <row r="483" ht="12.75" customHeight="1" s="8"/>
    <row r="484" ht="12.75" customHeight="1" s="8"/>
    <row r="485" ht="12.75" customHeight="1" s="8"/>
    <row r="486" ht="12.75" customHeight="1" s="8"/>
    <row r="487" ht="12.75" customHeight="1" s="8"/>
    <row r="488" ht="12.75" customHeight="1" s="8"/>
    <row r="489" ht="12.75" customHeight="1" s="8"/>
    <row r="490" ht="12.75" customHeight="1" s="8"/>
    <row r="491" ht="12.75" customHeight="1" s="8"/>
    <row r="492" ht="12.75" customHeight="1" s="8"/>
    <row r="493" ht="12.75" customHeight="1" s="8"/>
    <row r="494" ht="12.75" customHeight="1" s="8"/>
    <row r="495" ht="12.75" customHeight="1" s="8"/>
    <row r="496" ht="12.75" customHeight="1" s="8"/>
    <row r="497" ht="12.75" customHeight="1" s="8"/>
    <row r="498" ht="12.75" customHeight="1" s="8"/>
    <row r="499" ht="12.75" customHeight="1" s="8"/>
    <row r="500" ht="12.75" customHeight="1" s="8"/>
    <row r="501" ht="12.75" customHeight="1" s="8"/>
    <row r="502" ht="12.75" customHeight="1" s="8"/>
    <row r="503" ht="12.75" customHeight="1" s="8"/>
    <row r="504" ht="12.75" customHeight="1" s="8"/>
    <row r="505" ht="12.75" customHeight="1" s="8"/>
    <row r="506" ht="12.75" customHeight="1" s="8"/>
    <row r="507" ht="12.75" customHeight="1" s="8"/>
    <row r="508" ht="12.75" customHeight="1" s="8"/>
    <row r="509" ht="12.75" customHeight="1" s="8"/>
    <row r="510" ht="12.75" customHeight="1" s="8"/>
    <row r="511" ht="12.75" customHeight="1" s="8"/>
    <row r="512" ht="12.75" customHeight="1" s="8"/>
    <row r="513" ht="12.75" customHeight="1" s="8"/>
    <row r="514" ht="12.75" customHeight="1" s="8"/>
    <row r="515" ht="12.75" customHeight="1" s="8"/>
    <row r="516" ht="12.75" customHeight="1" s="8"/>
    <row r="517" ht="12.75" customHeight="1" s="8"/>
    <row r="518" ht="12.75" customHeight="1" s="8"/>
    <row r="519" ht="12.75" customHeight="1" s="8"/>
    <row r="520" ht="12.75" customHeight="1" s="8"/>
    <row r="521" ht="12.75" customHeight="1" s="8"/>
    <row r="522" ht="12.75" customHeight="1" s="8"/>
    <row r="523" ht="12.75" customHeight="1" s="8"/>
    <row r="524" ht="12.75" customHeight="1" s="8"/>
    <row r="525" ht="12.75" customHeight="1" s="8"/>
    <row r="526" ht="12.75" customHeight="1" s="8"/>
    <row r="527" ht="12.75" customHeight="1" s="8"/>
    <row r="528" ht="12.75" customHeight="1" s="8"/>
    <row r="529" ht="12.75" customHeight="1" s="8"/>
    <row r="530" ht="12.75" customHeight="1" s="8"/>
    <row r="531" ht="12.75" customHeight="1" s="8"/>
    <row r="532" ht="12.75" customHeight="1" s="8"/>
    <row r="533" ht="12.75" customHeight="1" s="8"/>
    <row r="534" ht="12.75" customHeight="1" s="8"/>
    <row r="535" ht="12.75" customHeight="1" s="8"/>
    <row r="536" ht="12.75" customHeight="1" s="8"/>
    <row r="537" ht="12.75" customHeight="1" s="8"/>
    <row r="538" ht="12.75" customHeight="1" s="8"/>
    <row r="539" ht="12.75" customHeight="1" s="8"/>
    <row r="540" ht="12.75" customHeight="1" s="8"/>
    <row r="541" ht="12.75" customHeight="1" s="8"/>
    <row r="542" ht="12.75" customHeight="1" s="8"/>
    <row r="543" ht="12.75" customHeight="1" s="8"/>
    <row r="544" ht="12.75" customHeight="1" s="8"/>
    <row r="545" ht="12.75" customHeight="1" s="8"/>
    <row r="546" ht="12.75" customHeight="1" s="8"/>
    <row r="547" ht="12.75" customHeight="1" s="8"/>
    <row r="548" ht="12.75" customHeight="1" s="8"/>
    <row r="549" ht="12.75" customHeight="1" s="8"/>
    <row r="550" ht="12.75" customHeight="1" s="8"/>
    <row r="551" ht="12.75" customHeight="1" s="8"/>
    <row r="552" ht="12.75" customHeight="1" s="8"/>
    <row r="553" ht="12.75" customHeight="1" s="8"/>
    <row r="554" ht="12.75" customHeight="1" s="8"/>
    <row r="555" ht="12.75" customHeight="1" s="8"/>
    <row r="556" ht="12.75" customHeight="1" s="8"/>
    <row r="557" ht="12.75" customHeight="1" s="8"/>
    <row r="558" ht="12.75" customHeight="1" s="8"/>
    <row r="559" ht="12.75" customHeight="1" s="8"/>
    <row r="560" ht="12.75" customHeight="1" s="8"/>
    <row r="561" ht="12.75" customHeight="1" s="8"/>
    <row r="562" ht="12.75" customHeight="1" s="8"/>
    <row r="563" ht="12.75" customHeight="1" s="8"/>
    <row r="564" ht="12.75" customHeight="1" s="8"/>
    <row r="565" ht="12.75" customHeight="1" s="8"/>
    <row r="566" ht="12.75" customHeight="1" s="8"/>
    <row r="567" ht="12.75" customHeight="1" s="8"/>
    <row r="568" ht="12.75" customHeight="1" s="8"/>
    <row r="569" ht="12.75" customHeight="1" s="8"/>
    <row r="570" ht="12.75" customHeight="1" s="8"/>
    <row r="571" ht="12.75" customHeight="1" s="8"/>
    <row r="572" ht="12.75" customHeight="1" s="8"/>
    <row r="573" ht="12.75" customHeight="1" s="8"/>
    <row r="574" ht="12.75" customHeight="1" s="8"/>
    <row r="575" ht="12.75" customHeight="1" s="8"/>
    <row r="576" ht="12.75" customHeight="1" s="8"/>
    <row r="577" ht="12.75" customHeight="1" s="8"/>
    <row r="578" ht="12.75" customHeight="1" s="8"/>
    <row r="579" ht="12.75" customHeight="1" s="8"/>
    <row r="580" ht="12.75" customHeight="1" s="8"/>
    <row r="581" ht="12.75" customHeight="1" s="8"/>
    <row r="582" ht="12.75" customHeight="1" s="8"/>
    <row r="583" ht="12.75" customHeight="1" s="8"/>
    <row r="584" ht="12.75" customHeight="1" s="8"/>
    <row r="585" ht="12.75" customHeight="1" s="8"/>
    <row r="586" ht="12.75" customHeight="1" s="8"/>
    <row r="587" ht="12.75" customHeight="1" s="8"/>
    <row r="588" ht="12.75" customHeight="1" s="8"/>
    <row r="589" ht="12.75" customHeight="1" s="8"/>
    <row r="590" ht="12.75" customHeight="1" s="8"/>
    <row r="591" ht="12.75" customHeight="1" s="8"/>
    <row r="592" ht="12.75" customHeight="1" s="8"/>
    <row r="593" ht="12.75" customHeight="1" s="8"/>
    <row r="594" ht="12.75" customHeight="1" s="8"/>
    <row r="595" ht="12.75" customHeight="1" s="8"/>
    <row r="596" ht="12.75" customHeight="1" s="8"/>
    <row r="597" ht="12.75" customHeight="1" s="8"/>
    <row r="598" ht="12.75" customHeight="1" s="8"/>
    <row r="599" ht="12.75" customHeight="1" s="8"/>
    <row r="600" ht="12.75" customHeight="1" s="8"/>
    <row r="601" ht="12.75" customHeight="1" s="8"/>
    <row r="602" ht="12.75" customHeight="1" s="8"/>
    <row r="603" ht="12.75" customHeight="1" s="8"/>
    <row r="604" ht="12.75" customHeight="1" s="8"/>
    <row r="605" ht="12.75" customHeight="1" s="8"/>
    <row r="606" ht="12.75" customHeight="1" s="8"/>
    <row r="607" ht="12.75" customHeight="1" s="8"/>
    <row r="608" ht="12.75" customHeight="1" s="8"/>
    <row r="609" ht="12.75" customHeight="1" s="8"/>
    <row r="610" ht="12.75" customHeight="1" s="8"/>
    <row r="611" ht="12.75" customHeight="1" s="8"/>
    <row r="612" ht="12.75" customHeight="1" s="8"/>
    <row r="613" ht="12.75" customHeight="1" s="8"/>
    <row r="614" ht="12.75" customHeight="1" s="8"/>
    <row r="615" ht="12.75" customHeight="1" s="8"/>
    <row r="616" ht="12.75" customHeight="1" s="8"/>
    <row r="617" ht="12.75" customHeight="1" s="8"/>
    <row r="618" ht="12.75" customHeight="1" s="8"/>
    <row r="619" ht="12.75" customHeight="1" s="8"/>
    <row r="620" ht="12.75" customHeight="1" s="8"/>
    <row r="621" ht="12.75" customHeight="1" s="8"/>
    <row r="622" ht="12.75" customHeight="1" s="8"/>
    <row r="623" ht="12.75" customHeight="1" s="8"/>
    <row r="624" ht="12.75" customHeight="1" s="8"/>
    <row r="625" ht="12.75" customHeight="1" s="8"/>
    <row r="626" ht="12.75" customHeight="1" s="8"/>
    <row r="627" ht="12.75" customHeight="1" s="8"/>
    <row r="628" ht="12.75" customHeight="1" s="8"/>
    <row r="629" ht="12.75" customHeight="1" s="8"/>
    <row r="630" ht="12.75" customHeight="1" s="8"/>
    <row r="631" ht="12.75" customHeight="1" s="8"/>
    <row r="632" ht="12.75" customHeight="1" s="8"/>
    <row r="633" ht="12.75" customHeight="1" s="8"/>
    <row r="634" ht="12.75" customHeight="1" s="8"/>
    <row r="635" ht="12.75" customHeight="1" s="8"/>
    <row r="636" ht="12.75" customHeight="1" s="8"/>
    <row r="637" ht="12.75" customHeight="1" s="8"/>
    <row r="638" ht="12.75" customHeight="1" s="8"/>
    <row r="639" ht="12.75" customHeight="1" s="8"/>
    <row r="640" ht="12.75" customHeight="1" s="8"/>
    <row r="641" ht="12.75" customHeight="1" s="8"/>
    <row r="642" ht="12.75" customHeight="1" s="8"/>
    <row r="643" ht="12.75" customHeight="1" s="8"/>
    <row r="644" ht="12.75" customHeight="1" s="8"/>
    <row r="645" ht="12.75" customHeight="1" s="8"/>
    <row r="646" ht="12.75" customHeight="1" s="8"/>
    <row r="647" ht="12.75" customHeight="1" s="8"/>
    <row r="648" ht="12.75" customHeight="1" s="8"/>
    <row r="649" ht="12.75" customHeight="1" s="8"/>
    <row r="650" ht="12.75" customHeight="1" s="8"/>
    <row r="651" ht="12.75" customHeight="1" s="8"/>
    <row r="652" ht="12.75" customHeight="1" s="8"/>
    <row r="653" ht="12.75" customHeight="1" s="8"/>
    <row r="654" ht="12.75" customHeight="1" s="8"/>
    <row r="655" ht="12.75" customHeight="1" s="8"/>
    <row r="656" ht="12.75" customHeight="1" s="8"/>
    <row r="657" ht="12.75" customHeight="1" s="8"/>
    <row r="658" ht="12.75" customHeight="1" s="8"/>
    <row r="659" ht="12.75" customHeight="1" s="8"/>
    <row r="660" ht="12.75" customHeight="1" s="8"/>
    <row r="661" ht="12.75" customHeight="1" s="8"/>
    <row r="662" ht="12.75" customHeight="1" s="8"/>
    <row r="663" ht="12.75" customHeight="1" s="8"/>
    <row r="664" ht="12.75" customHeight="1" s="8"/>
    <row r="665" ht="12.75" customHeight="1" s="8"/>
    <row r="666" ht="12.75" customHeight="1" s="8"/>
    <row r="667" ht="12.75" customHeight="1" s="8"/>
    <row r="668" ht="12.75" customHeight="1" s="8"/>
    <row r="669" ht="12.75" customHeight="1" s="8"/>
    <row r="670" ht="12.75" customHeight="1" s="8"/>
    <row r="671" ht="12.75" customHeight="1" s="8"/>
    <row r="672" ht="12.75" customHeight="1" s="8"/>
    <row r="673" ht="12.75" customHeight="1" s="8"/>
    <row r="674" ht="12.75" customHeight="1" s="8"/>
    <row r="675" ht="12.75" customHeight="1" s="8"/>
    <row r="676" ht="12.75" customHeight="1" s="8"/>
    <row r="677" ht="12.75" customHeight="1" s="8"/>
    <row r="678" ht="12.75" customHeight="1" s="8"/>
    <row r="679" ht="12.75" customHeight="1" s="8"/>
    <row r="680" ht="12.75" customHeight="1" s="8"/>
    <row r="681" ht="12.75" customHeight="1" s="8"/>
    <row r="682" ht="12.75" customHeight="1" s="8"/>
    <row r="683" ht="12.75" customHeight="1" s="8"/>
    <row r="684" ht="12.75" customHeight="1" s="8"/>
    <row r="685" ht="12.75" customHeight="1" s="8"/>
    <row r="686" ht="12.75" customHeight="1" s="8"/>
    <row r="687" ht="12.75" customHeight="1" s="8"/>
    <row r="688" ht="12.75" customHeight="1" s="8"/>
    <row r="689" ht="12.75" customHeight="1" s="8"/>
    <row r="690" ht="12.75" customHeight="1" s="8"/>
    <row r="691" ht="12.75" customHeight="1" s="8"/>
    <row r="692" ht="12.75" customHeight="1" s="8"/>
    <row r="693" ht="12.75" customHeight="1" s="8"/>
    <row r="694" ht="12.75" customHeight="1" s="8"/>
    <row r="695" ht="12.75" customHeight="1" s="8"/>
    <row r="696" ht="12.75" customHeight="1" s="8"/>
    <row r="697" ht="12.75" customHeight="1" s="8"/>
    <row r="698" ht="12.75" customHeight="1" s="8"/>
    <row r="699" ht="12.75" customHeight="1" s="8"/>
    <row r="700" ht="12.75" customHeight="1" s="8"/>
    <row r="701" ht="12.75" customHeight="1" s="8"/>
    <row r="702" ht="12.75" customHeight="1" s="8"/>
    <row r="703" ht="12.75" customHeight="1" s="8"/>
    <row r="704" ht="12.75" customHeight="1" s="8"/>
    <row r="705" ht="12.75" customHeight="1" s="8"/>
    <row r="706" ht="12.75" customHeight="1" s="8"/>
    <row r="707" ht="12.75" customHeight="1" s="8"/>
    <row r="708" ht="12.75" customHeight="1" s="8"/>
    <row r="709" ht="12.75" customHeight="1" s="8"/>
    <row r="710" ht="12.75" customHeight="1" s="8"/>
    <row r="711" ht="12.75" customHeight="1" s="8"/>
    <row r="712" ht="12.75" customHeight="1" s="8"/>
    <row r="713" ht="12.75" customHeight="1" s="8"/>
    <row r="714" ht="12.75" customHeight="1" s="8"/>
    <row r="715" ht="12.75" customHeight="1" s="8"/>
    <row r="716" ht="12.75" customHeight="1" s="8"/>
    <row r="717" ht="12.75" customHeight="1" s="8"/>
    <row r="718" ht="12.75" customHeight="1" s="8"/>
    <row r="719" ht="12.75" customHeight="1" s="8"/>
    <row r="720" ht="12.75" customHeight="1" s="8"/>
    <row r="721" ht="12.75" customHeight="1" s="8"/>
    <row r="722" ht="12.75" customHeight="1" s="8"/>
    <row r="723" ht="12.75" customHeight="1" s="8"/>
    <row r="724" ht="12.75" customHeight="1" s="8"/>
    <row r="725" ht="12.75" customHeight="1" s="8"/>
    <row r="726" ht="12.75" customHeight="1" s="8"/>
    <row r="727" ht="12.75" customHeight="1" s="8"/>
    <row r="728" ht="12.75" customHeight="1" s="8"/>
    <row r="729" ht="12.75" customHeight="1" s="8"/>
    <row r="730" ht="12.75" customHeight="1" s="8"/>
    <row r="731" ht="12.75" customHeight="1" s="8"/>
    <row r="732" ht="12.75" customHeight="1" s="8"/>
    <row r="733" ht="12.75" customHeight="1" s="8"/>
    <row r="734" ht="12.75" customHeight="1" s="8"/>
    <row r="735" ht="12.75" customHeight="1" s="8"/>
    <row r="736" ht="12.75" customHeight="1" s="8"/>
    <row r="737" ht="12.75" customHeight="1" s="8"/>
    <row r="738" ht="12.75" customHeight="1" s="8"/>
    <row r="739" ht="12.75" customHeight="1" s="8"/>
    <row r="740" ht="12.75" customHeight="1" s="8"/>
    <row r="741" ht="12.75" customHeight="1" s="8"/>
    <row r="742" ht="12.75" customHeight="1" s="8"/>
    <row r="743" ht="12.75" customHeight="1" s="8"/>
    <row r="744" ht="12.75" customHeight="1" s="8"/>
    <row r="745" ht="12.75" customHeight="1" s="8"/>
    <row r="746" ht="12.75" customHeight="1" s="8"/>
    <row r="747" ht="12.75" customHeight="1" s="8"/>
    <row r="748" ht="12.75" customHeight="1" s="8"/>
    <row r="749" ht="12.75" customHeight="1" s="8"/>
    <row r="750" ht="12.75" customHeight="1" s="8"/>
    <row r="751" ht="12.75" customHeight="1" s="8"/>
    <row r="752" ht="12.75" customHeight="1" s="8"/>
    <row r="753" ht="12.75" customHeight="1" s="8"/>
    <row r="754" ht="12.75" customHeight="1" s="8"/>
    <row r="755" ht="12.75" customHeight="1" s="8"/>
    <row r="756" ht="12.75" customHeight="1" s="8"/>
    <row r="757" ht="12.75" customHeight="1" s="8"/>
    <row r="758" ht="12.75" customHeight="1" s="8"/>
    <row r="759" ht="12.75" customHeight="1" s="8"/>
    <row r="760" ht="12.75" customHeight="1" s="8"/>
    <row r="761" ht="12.75" customHeight="1" s="8"/>
    <row r="762" ht="12.75" customHeight="1" s="8"/>
    <row r="763" ht="12.75" customHeight="1" s="8"/>
    <row r="764" ht="12.75" customHeight="1" s="8"/>
    <row r="765" ht="12.75" customHeight="1" s="8"/>
    <row r="766" ht="12.75" customHeight="1" s="8"/>
    <row r="767" ht="12.75" customHeight="1" s="8"/>
    <row r="768" ht="12.75" customHeight="1" s="8"/>
    <row r="769" ht="12.75" customHeight="1" s="8"/>
    <row r="770" ht="12.75" customHeight="1" s="8"/>
    <row r="771" ht="12.75" customHeight="1" s="8"/>
    <row r="772" ht="12.75" customHeight="1" s="8"/>
    <row r="773" ht="12.75" customHeight="1" s="8"/>
    <row r="774" ht="12.75" customHeight="1" s="8"/>
    <row r="775" ht="12.75" customHeight="1" s="8"/>
    <row r="776" ht="12.75" customHeight="1" s="8"/>
    <row r="777" ht="12.75" customHeight="1" s="8"/>
    <row r="778" ht="12.75" customHeight="1" s="8"/>
    <row r="779" ht="12.75" customHeight="1" s="8"/>
    <row r="780" ht="12.75" customHeight="1" s="8"/>
    <row r="781" ht="12.75" customHeight="1" s="8"/>
    <row r="782" ht="12.75" customHeight="1" s="8"/>
    <row r="783" ht="12.75" customHeight="1" s="8"/>
    <row r="784" ht="12.75" customHeight="1" s="8"/>
    <row r="785" ht="12.75" customHeight="1" s="8"/>
    <row r="786" ht="12.75" customHeight="1" s="8"/>
    <row r="787" ht="12.75" customHeight="1" s="8"/>
    <row r="788" ht="12.75" customHeight="1" s="8"/>
    <row r="789" ht="12.75" customHeight="1" s="8"/>
    <row r="790" ht="12.75" customHeight="1" s="8"/>
    <row r="791" ht="12.75" customHeight="1" s="8"/>
    <row r="792" ht="12.75" customHeight="1" s="8"/>
    <row r="793" ht="12.75" customHeight="1" s="8"/>
    <row r="794" ht="12.75" customHeight="1" s="8"/>
    <row r="795" ht="12.75" customHeight="1" s="8"/>
    <row r="796" ht="12.75" customHeight="1" s="8"/>
    <row r="797" ht="12.75" customHeight="1" s="8"/>
    <row r="798" ht="12.75" customHeight="1" s="8"/>
    <row r="799" ht="12.75" customHeight="1" s="8"/>
    <row r="800" ht="12.75" customHeight="1" s="8"/>
    <row r="801" ht="12.75" customHeight="1" s="8"/>
    <row r="802" ht="12.75" customHeight="1" s="8"/>
    <row r="803" ht="12.75" customHeight="1" s="8"/>
    <row r="804" ht="12.75" customHeight="1" s="8"/>
    <row r="805" ht="12.75" customHeight="1" s="8"/>
    <row r="806" ht="12.75" customHeight="1" s="8"/>
    <row r="807" ht="12.75" customHeight="1" s="8"/>
    <row r="808" ht="12.75" customHeight="1" s="8"/>
    <row r="809" ht="12.75" customHeight="1" s="8"/>
    <row r="810" ht="12.75" customHeight="1" s="8"/>
    <row r="811" ht="12.75" customHeight="1" s="8"/>
    <row r="812" ht="12.75" customHeight="1" s="8"/>
    <row r="813" ht="12.75" customHeight="1" s="8"/>
    <row r="814" ht="12.75" customHeight="1" s="8"/>
    <row r="815" ht="12.75" customHeight="1" s="8"/>
    <row r="816" ht="12.75" customHeight="1" s="8"/>
    <row r="817" ht="12.75" customHeight="1" s="8"/>
    <row r="818" ht="12.75" customHeight="1" s="8"/>
    <row r="819" ht="12.75" customHeight="1" s="8"/>
    <row r="820" ht="12.75" customHeight="1" s="8"/>
    <row r="821" ht="12.75" customHeight="1" s="8"/>
    <row r="822" ht="12.75" customHeight="1" s="8"/>
    <row r="823" ht="12.75" customHeight="1" s="8"/>
    <row r="824" ht="12.75" customHeight="1" s="8"/>
    <row r="825" ht="12.75" customHeight="1" s="8"/>
    <row r="826" ht="12.75" customHeight="1" s="8"/>
    <row r="827" ht="12.75" customHeight="1" s="8"/>
    <row r="828" ht="12.75" customHeight="1" s="8"/>
    <row r="829" ht="12.75" customHeight="1" s="8"/>
    <row r="830" ht="12.75" customHeight="1" s="8"/>
    <row r="831" ht="12.75" customHeight="1" s="8"/>
    <row r="832" ht="12.75" customHeight="1" s="8"/>
    <row r="833" ht="12.75" customHeight="1" s="8"/>
    <row r="834" ht="12.75" customHeight="1" s="8"/>
    <row r="835" ht="12.75" customHeight="1" s="8"/>
    <row r="836" ht="12.75" customHeight="1" s="8"/>
    <row r="837" ht="12.75" customHeight="1" s="8"/>
    <row r="838" ht="12.75" customHeight="1" s="8"/>
    <row r="839" ht="12.75" customHeight="1" s="8"/>
    <row r="840" ht="12.75" customHeight="1" s="8"/>
    <row r="841" ht="12.75" customHeight="1" s="8"/>
    <row r="842" ht="12.75" customHeight="1" s="8"/>
    <row r="843" ht="12.75" customHeight="1" s="8"/>
    <row r="844" ht="12.75" customHeight="1" s="8"/>
    <row r="845" ht="12.75" customHeight="1" s="8"/>
    <row r="846" ht="12.75" customHeight="1" s="8"/>
    <row r="847" ht="12.75" customHeight="1" s="8"/>
    <row r="848" ht="12.75" customHeight="1" s="8"/>
    <row r="849" ht="12.75" customHeight="1" s="8"/>
    <row r="850" ht="12.75" customHeight="1" s="8"/>
    <row r="851" ht="12.75" customHeight="1" s="8"/>
    <row r="852" ht="12.75" customHeight="1" s="8"/>
    <row r="853" ht="12.75" customHeight="1" s="8"/>
    <row r="854" ht="12.75" customHeight="1" s="8"/>
    <row r="855" ht="12.75" customHeight="1" s="8"/>
    <row r="856" ht="12.75" customHeight="1" s="8"/>
    <row r="857" ht="12.75" customHeight="1" s="8"/>
    <row r="858" ht="12.75" customHeight="1" s="8"/>
    <row r="859" ht="12.75" customHeight="1" s="8"/>
    <row r="860" ht="12.75" customHeight="1" s="8"/>
    <row r="861" ht="12.75" customHeight="1" s="8"/>
    <row r="862" ht="12.75" customHeight="1" s="8"/>
    <row r="863" ht="12.75" customHeight="1" s="8"/>
    <row r="864" ht="12.75" customHeight="1" s="8"/>
    <row r="865" ht="12.75" customHeight="1" s="8"/>
    <row r="866" ht="12.75" customHeight="1" s="8"/>
    <row r="867" ht="12.75" customHeight="1" s="8"/>
    <row r="868" ht="12.75" customHeight="1" s="8"/>
    <row r="869" ht="12.75" customHeight="1" s="8"/>
    <row r="870" ht="12.75" customHeight="1" s="8"/>
    <row r="871" ht="12.75" customHeight="1" s="8"/>
    <row r="872" ht="12.75" customHeight="1" s="8"/>
    <row r="873" ht="12.75" customHeight="1" s="8"/>
    <row r="874" ht="12.75" customHeight="1" s="8"/>
    <row r="875" ht="12.75" customHeight="1" s="8"/>
    <row r="876" ht="12.75" customHeight="1" s="8"/>
    <row r="877" ht="12.75" customHeight="1" s="8"/>
    <row r="878" ht="12.75" customHeight="1" s="8"/>
    <row r="879" ht="12.75" customHeight="1" s="8"/>
    <row r="880" ht="12.75" customHeight="1" s="8"/>
    <row r="881" ht="12.75" customHeight="1" s="8"/>
    <row r="882" ht="12.75" customHeight="1" s="8"/>
    <row r="883" ht="12.75" customHeight="1" s="8"/>
    <row r="884" ht="12.75" customHeight="1" s="8"/>
    <row r="885" ht="12.75" customHeight="1" s="8"/>
    <row r="886" ht="12.75" customHeight="1" s="8"/>
    <row r="887" ht="12.75" customHeight="1" s="8"/>
    <row r="888" ht="12.75" customHeight="1" s="8"/>
    <row r="889" ht="12.75" customHeight="1" s="8"/>
    <row r="890" ht="12.75" customHeight="1" s="8"/>
    <row r="891" ht="12.75" customHeight="1" s="8"/>
    <row r="892" ht="12.75" customHeight="1" s="8"/>
    <row r="893" ht="12.75" customHeight="1" s="8"/>
    <row r="894" ht="12.75" customHeight="1" s="8"/>
    <row r="895" ht="12.75" customHeight="1" s="8"/>
    <row r="896" ht="12.75" customHeight="1" s="8"/>
    <row r="897" ht="12.75" customHeight="1" s="8"/>
    <row r="898" ht="12.75" customHeight="1" s="8"/>
    <row r="899" ht="12.75" customHeight="1" s="8"/>
    <row r="900" ht="12.75" customHeight="1" s="8"/>
    <row r="901" ht="12.75" customHeight="1" s="8"/>
    <row r="902" ht="12.75" customHeight="1" s="8"/>
    <row r="903" ht="12.75" customHeight="1" s="8"/>
    <row r="904" ht="12.75" customHeight="1" s="8"/>
    <row r="905" ht="12.75" customHeight="1" s="8"/>
    <row r="906" ht="12.75" customHeight="1" s="8"/>
    <row r="907" ht="12.75" customHeight="1" s="8"/>
    <row r="908" ht="12.75" customHeight="1" s="8"/>
    <row r="909" ht="12.75" customHeight="1" s="8"/>
    <row r="910" ht="12.75" customHeight="1" s="8"/>
    <row r="911" ht="12.75" customHeight="1" s="8"/>
    <row r="912" ht="12.75" customHeight="1" s="8"/>
    <row r="913" ht="12.75" customHeight="1" s="8"/>
    <row r="914" ht="12.75" customHeight="1" s="8"/>
    <row r="915" ht="12.75" customHeight="1" s="8"/>
    <row r="916" ht="12.75" customHeight="1" s="8"/>
    <row r="917" ht="12.75" customHeight="1" s="8"/>
    <row r="918" ht="12.75" customHeight="1" s="8"/>
    <row r="919" ht="12.75" customHeight="1" s="8"/>
    <row r="920" ht="12.75" customHeight="1" s="8"/>
    <row r="921" ht="12.75" customHeight="1" s="8"/>
    <row r="922" ht="12.75" customHeight="1" s="8"/>
    <row r="923" ht="12.75" customHeight="1" s="8"/>
    <row r="924" ht="12.75" customHeight="1" s="8"/>
    <row r="925" ht="12.75" customHeight="1" s="8"/>
    <row r="926" ht="12.75" customHeight="1" s="8"/>
    <row r="927" ht="12.75" customHeight="1" s="8"/>
    <row r="928" ht="12.75" customHeight="1" s="8"/>
    <row r="929" ht="12.75" customHeight="1" s="8"/>
    <row r="930" ht="12.75" customHeight="1" s="8"/>
    <row r="931" ht="12.75" customHeight="1" s="8"/>
    <row r="932" ht="12.75" customHeight="1" s="8"/>
    <row r="933" ht="12.75" customHeight="1" s="8"/>
    <row r="934" ht="12.75" customHeight="1" s="8"/>
    <row r="935" ht="12.75" customHeight="1" s="8"/>
    <row r="936" ht="12.75" customHeight="1" s="8"/>
    <row r="937" ht="12.75" customHeight="1" s="8"/>
    <row r="938" ht="12.75" customHeight="1" s="8"/>
    <row r="939" ht="12.75" customHeight="1" s="8"/>
    <row r="940" ht="12.75" customHeight="1" s="8"/>
    <row r="941" ht="12.75" customHeight="1" s="8"/>
    <row r="942" ht="12.75" customHeight="1" s="8"/>
    <row r="943" ht="12.75" customHeight="1" s="8"/>
    <row r="944" ht="12.75" customHeight="1" s="8"/>
    <row r="945" ht="12.75" customHeight="1" s="8"/>
    <row r="946" ht="12.75" customHeight="1" s="8"/>
    <row r="947" ht="12.75" customHeight="1" s="8"/>
    <row r="948" ht="12.75" customHeight="1" s="8"/>
    <row r="949" ht="12.75" customHeight="1" s="8"/>
    <row r="950" ht="12.75" customHeight="1" s="8"/>
    <row r="951" ht="12.75" customHeight="1" s="8"/>
    <row r="952" ht="12.75" customHeight="1" s="8"/>
    <row r="953" ht="12.75" customHeight="1" s="8"/>
    <row r="954" ht="12.75" customHeight="1" s="8"/>
    <row r="955" ht="12.75" customHeight="1" s="8"/>
    <row r="956" ht="12.75" customHeight="1" s="8"/>
    <row r="957" ht="12.75" customHeight="1" s="8"/>
    <row r="958" ht="12.75" customHeight="1" s="8"/>
    <row r="959" ht="12.75" customHeight="1" s="8"/>
    <row r="960" ht="12.75" customHeight="1" s="8"/>
    <row r="961" ht="12.75" customHeight="1" s="8"/>
    <row r="962" ht="12.75" customHeight="1" s="8"/>
    <row r="963" ht="12.75" customHeight="1" s="8"/>
    <row r="964" ht="12.75" customHeight="1" s="8"/>
    <row r="965" ht="12.75" customHeight="1" s="8"/>
    <row r="966" ht="12.75" customHeight="1" s="8"/>
    <row r="967" ht="12.75" customHeight="1" s="8"/>
    <row r="968" ht="12.75" customHeight="1" s="8"/>
    <row r="969" ht="12.75" customHeight="1" s="8"/>
    <row r="970" ht="12.75" customHeight="1" s="8"/>
    <row r="971" ht="12.75" customHeight="1" s="8"/>
    <row r="972" ht="12.75" customHeight="1" s="8"/>
    <row r="973" ht="12.75" customHeight="1" s="8"/>
    <row r="974" ht="12.75" customHeight="1" s="8"/>
    <row r="975" ht="12.75" customHeight="1" s="8"/>
    <row r="976" ht="12.75" customHeight="1" s="8"/>
    <row r="977" ht="12.75" customHeight="1" s="8"/>
    <row r="978" ht="12.75" customHeight="1" s="8"/>
    <row r="979" ht="12.75" customHeight="1" s="8"/>
    <row r="980" ht="12.75" customHeight="1" s="8"/>
    <row r="981" ht="12.75" customHeight="1" s="8"/>
    <row r="982" ht="12.75" customHeight="1" s="8"/>
    <row r="983" ht="12.75" customHeight="1" s="8"/>
    <row r="984" ht="12.75" customHeight="1" s="8"/>
    <row r="985" ht="12.75" customHeight="1" s="8"/>
    <row r="986" ht="12.75" customHeight="1" s="8"/>
    <row r="987" ht="12.75" customHeight="1" s="8"/>
    <row r="988" ht="12.75" customHeight="1" s="8"/>
    <row r="989" ht="12.75" customHeight="1" s="8"/>
    <row r="990" ht="12.75" customHeight="1" s="8"/>
    <row r="991" ht="12.75" customHeight="1" s="8"/>
    <row r="992" ht="12.75" customHeight="1" s="8"/>
    <row r="993" ht="12.75" customHeight="1" s="8"/>
    <row r="994" ht="12.75" customHeight="1" s="8"/>
    <row r="995" ht="12.75" customHeight="1" s="8"/>
    <row r="996" ht="12.75" customHeight="1" s="8"/>
    <row r="997" ht="12.75" customHeight="1" s="8"/>
    <row r="998" ht="12.75" customHeight="1" s="8"/>
    <row r="999" ht="12.75" customHeight="1" s="8"/>
    <row r="1000" ht="12.75" customHeight="1" s="8"/>
    <row r="1001" ht="12.75" customHeight="1" s="8"/>
    <row r="1002" ht="12.75" customHeight="1" s="8"/>
    <row r="1003" ht="12.75" customHeight="1" s="8"/>
    <row r="1004" ht="12.75" customHeight="1" s="8"/>
    <row r="1005" ht="12.75" customHeight="1" s="8"/>
    <row r="1006" ht="12.75" customHeight="1" s="8"/>
    <row r="1007" ht="12.75" customHeight="1" s="8"/>
    <row r="1008" ht="12.75" customHeight="1" s="8"/>
    <row r="1009" ht="12.75" customHeight="1" s="8"/>
    <row r="1010" ht="12.75" customHeight="1" s="8"/>
    <row r="1011" ht="12.75" customHeight="1" s="8"/>
    <row r="1012" ht="12.75" customHeight="1" s="8"/>
    <row r="1013" ht="12.75" customHeight="1" s="8"/>
    <row r="1014" ht="12.75" customHeight="1" s="8"/>
    <row r="1015" ht="12.75" customHeight="1" s="8"/>
    <row r="1016" ht="12.75" customHeight="1" s="8"/>
    <row r="1017" ht="12.75" customHeight="1" s="8"/>
    <row r="1018" ht="12.75" customHeight="1" s="8"/>
    <row r="1019" ht="12.75" customHeight="1" s="8"/>
    <row r="1020" ht="12.75" customHeight="1" s="8"/>
    <row r="1021" ht="12.75" customHeight="1" s="8"/>
    <row r="1022" ht="12.75" customHeight="1" s="8"/>
    <row r="1023" ht="12.75" customHeight="1" s="8"/>
    <row r="1024" ht="12.75" customHeight="1" s="8"/>
  </sheetData>
  <mergeCells count="77">
    <mergeCell ref="A1:G1"/>
    <mergeCell ref="A2:G2"/>
    <mergeCell ref="A6:G6"/>
    <mergeCell ref="A7:A8"/>
    <mergeCell ref="B7:C7"/>
    <mergeCell ref="D7:E7"/>
    <mergeCell ref="F7:G7"/>
    <mergeCell ref="A52:G52"/>
    <mergeCell ref="A53:A54"/>
    <mergeCell ref="B53:C53"/>
    <mergeCell ref="D53:E53"/>
    <mergeCell ref="F53:G53"/>
    <mergeCell ref="A66:G66"/>
    <mergeCell ref="A67:A68"/>
    <mergeCell ref="B67:C67"/>
    <mergeCell ref="D67:E67"/>
    <mergeCell ref="F67:G67"/>
    <mergeCell ref="A103:G103"/>
    <mergeCell ref="A104:A105"/>
    <mergeCell ref="B104:C104"/>
    <mergeCell ref="D104:E104"/>
    <mergeCell ref="F104:G104"/>
    <mergeCell ref="A141:G141"/>
    <mergeCell ref="A142:A143"/>
    <mergeCell ref="B142:C142"/>
    <mergeCell ref="D142:E142"/>
    <mergeCell ref="F142:G142"/>
    <mergeCell ref="A164:G164"/>
    <mergeCell ref="A165:A166"/>
    <mergeCell ref="B165:C165"/>
    <mergeCell ref="D165:E165"/>
    <mergeCell ref="F165:G165"/>
    <mergeCell ref="A190:G190"/>
    <mergeCell ref="A191:A192"/>
    <mergeCell ref="B191:C191"/>
    <mergeCell ref="D191:E191"/>
    <mergeCell ref="F191:G191"/>
    <mergeCell ref="A218:G218"/>
    <mergeCell ref="A219:A220"/>
    <mergeCell ref="B219:C219"/>
    <mergeCell ref="D219:E219"/>
    <mergeCell ref="F219:G219"/>
    <mergeCell ref="A229:G229"/>
    <mergeCell ref="A230:A231"/>
    <mergeCell ref="B230:C230"/>
    <mergeCell ref="D230:E230"/>
    <mergeCell ref="F230:G230"/>
    <mergeCell ref="A251:G251"/>
    <mergeCell ref="A252:A253"/>
    <mergeCell ref="B252:C252"/>
    <mergeCell ref="D252:E252"/>
    <mergeCell ref="F252:G252"/>
    <mergeCell ref="A259:G259"/>
    <mergeCell ref="A260:A261"/>
    <mergeCell ref="B260:C260"/>
    <mergeCell ref="D260:E260"/>
    <mergeCell ref="F260:G260"/>
    <mergeCell ref="A276:G276"/>
    <mergeCell ref="A277:A278"/>
    <mergeCell ref="B277:C277"/>
    <mergeCell ref="D277:E277"/>
    <mergeCell ref="F277:G277"/>
    <mergeCell ref="A283:G283"/>
    <mergeCell ref="A284:A285"/>
    <mergeCell ref="B284:C284"/>
    <mergeCell ref="D284:E284"/>
    <mergeCell ref="F284:G284"/>
    <mergeCell ref="A292:G292"/>
    <mergeCell ref="A293:A294"/>
    <mergeCell ref="B293:C293"/>
    <mergeCell ref="D293:E293"/>
    <mergeCell ref="F293:G293"/>
    <mergeCell ref="A303:G303"/>
    <mergeCell ref="A304:A305"/>
    <mergeCell ref="B304:C304"/>
    <mergeCell ref="D304:E304"/>
    <mergeCell ref="F304:G304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2"/>
  <sheetViews>
    <sheetView showGridLines="0" showRowColHeaders="0" tabSelected="1" workbookViewId="0">
      <selection activeCell="A8" sqref="A8"/>
    </sheetView>
  </sheetViews>
  <sheetFormatPr baseColWidth="8" defaultRowHeight="12.75" customHeight="1"/>
  <cols>
    <col width="42.85546875" bestFit="1" customWidth="1" style="21" min="1" max="1"/>
    <col width="20.140625" bestFit="1" customWidth="1" style="21" min="2" max="2"/>
    <col width="22.5703125" bestFit="1" customWidth="1" style="21" min="3" max="3"/>
    <col width="10" bestFit="1" customWidth="1" style="21" min="4" max="4"/>
    <col width="23.85546875" bestFit="1" customWidth="1" style="21" min="5" max="5"/>
    <col width="22.5703125" bestFit="1" customWidth="1" style="21" min="6" max="6"/>
    <col width="10" bestFit="1" customWidth="1" style="21" min="7" max="7"/>
    <col width="25.140625" bestFit="1" customWidth="1" style="21" min="8" max="8"/>
    <col width="22.5703125" bestFit="1" customWidth="1" style="21" min="9" max="9"/>
    <col width="10" bestFit="1" customWidth="1" style="21" min="10" max="10"/>
  </cols>
  <sheetData>
    <row r="1" ht="21" customHeight="1" s="8">
      <c r="A1" s="17" t="inlineStr">
        <is>
          <t>ANBIMA &gt;&gt; Mercado de Capitais | Rankings</t>
        </is>
      </c>
    </row>
    <row r="2" ht="25.5" customHeight="1" s="8">
      <c r="A2" s="19" t="inlineStr">
        <is>
          <t>Ranking Anbima de Renda Fixa e Híbridos - Distribuição</t>
        </is>
      </c>
      <c r="H2" s="19" t="n"/>
    </row>
    <row r="3" ht="12" customHeight="1" s="8">
      <c r="A3" s="11" t="n"/>
    </row>
    <row r="4" ht="21" customFormat="1" customHeight="1" s="21">
      <c r="A4" s="1" t="inlineStr">
        <is>
          <t>Valor</t>
        </is>
      </c>
      <c r="C4" s="16" t="n"/>
      <c r="J4" s="3" t="inlineStr">
        <is>
          <t>Junho/2026</t>
        </is>
      </c>
    </row>
    <row r="5" ht="11.25" customHeight="1" s="8">
      <c r="A5" s="9" t="n"/>
      <c r="J5" s="10" t="n"/>
    </row>
    <row r="6" ht="12.75" customHeight="1" s="8">
      <c r="A6" s="22" t="inlineStr">
        <is>
          <t>Tipo 1: Renda Fixa Consolidado</t>
        </is>
      </c>
      <c r="J6" s="23" t="n"/>
    </row>
    <row r="7" ht="12.75" customHeight="1" s="8">
      <c r="A7" s="24" t="inlineStr">
        <is>
          <t>Distribuidores</t>
        </is>
      </c>
      <c r="B7" s="24" t="inlineStr">
        <is>
          <t>Acumulado 2026</t>
        </is>
      </c>
      <c r="C7" s="24" t="n"/>
      <c r="D7" s="24" t="n"/>
      <c r="E7" s="24" t="inlineStr">
        <is>
          <t>Últimos 3 meses</t>
        </is>
      </c>
      <c r="F7" s="24" t="n"/>
      <c r="G7" s="24" t="n"/>
      <c r="H7" s="24" t="inlineStr">
        <is>
          <t>Últimos 12 meses</t>
        </is>
      </c>
      <c r="I7" s="24" t="n"/>
      <c r="J7" s="25" t="n"/>
    </row>
    <row r="8" ht="12.75" customHeight="1" s="8">
      <c r="A8" s="24" t="n"/>
      <c r="B8" s="24" t="inlineStr">
        <is>
          <t>Ranking 2026</t>
        </is>
      </c>
      <c r="C8" s="24" t="inlineStr">
        <is>
          <t>Valor *</t>
        </is>
      </c>
      <c r="D8" s="24" t="inlineStr">
        <is>
          <t>Part.</t>
        </is>
      </c>
      <c r="E8" s="24" t="inlineStr">
        <is>
          <t>Ranking 3 meses</t>
        </is>
      </c>
      <c r="F8" s="24" t="inlineStr">
        <is>
          <t>Valor *</t>
        </is>
      </c>
      <c r="G8" s="24" t="inlineStr">
        <is>
          <t>Part.</t>
        </is>
      </c>
      <c r="H8" s="24" t="inlineStr">
        <is>
          <t>Ranking 12 meses</t>
        </is>
      </c>
      <c r="I8" s="24" t="inlineStr">
        <is>
          <t>Valor *</t>
        </is>
      </c>
      <c r="J8" s="25" t="inlineStr">
        <is>
          <t>Part.</t>
        </is>
      </c>
    </row>
    <row r="9" ht="12.75" customHeight="1" s="8">
      <c r="A9" s="26" t="inlineStr">
        <is>
          <t>ITAU BBA</t>
        </is>
      </c>
      <c r="B9" s="27" t="inlineStr">
        <is>
          <t>1º</t>
        </is>
      </c>
      <c r="C9" s="28" t="n">
        <v>21946898.95023</v>
      </c>
      <c r="D9" s="29" t="n">
        <v>0.26599103078</v>
      </c>
      <c r="E9" s="27" t="inlineStr">
        <is>
          <t>1º</t>
        </is>
      </c>
      <c r="F9" s="28" t="n">
        <v>6040720.17349</v>
      </c>
      <c r="G9" s="29" t="n">
        <v>0.21767289026</v>
      </c>
      <c r="H9" s="27" t="inlineStr">
        <is>
          <t>1º</t>
        </is>
      </c>
      <c r="I9" s="28" t="n">
        <v>63243877.24748</v>
      </c>
      <c r="J9" s="29" t="n">
        <v>0.24625711518</v>
      </c>
    </row>
    <row r="10" ht="12.75" customHeight="1" s="8">
      <c r="A10" s="30" t="inlineStr">
        <is>
          <t>BRADESCO BBI</t>
        </is>
      </c>
      <c r="B10" s="31" t="inlineStr">
        <is>
          <t>2º</t>
        </is>
      </c>
      <c r="C10" s="32" t="n">
        <v>14744386.68029</v>
      </c>
      <c r="D10" s="33" t="n">
        <v>0.17869834915</v>
      </c>
      <c r="E10" s="31" t="inlineStr">
        <is>
          <t>2º</t>
        </is>
      </c>
      <c r="F10" s="32" t="n">
        <v>5975145.75242</v>
      </c>
      <c r="G10" s="33" t="n">
        <v>0.21530996442</v>
      </c>
      <c r="H10" s="31" t="inlineStr">
        <is>
          <t>2º</t>
        </is>
      </c>
      <c r="I10" s="32" t="n">
        <v>41748429.79295001</v>
      </c>
      <c r="J10" s="33" t="n">
        <v>0.16255878564</v>
      </c>
    </row>
    <row r="11" ht="12.75" customHeight="1" s="8">
      <c r="A11" s="26" t="inlineStr">
        <is>
          <t>BTG PACTUAL</t>
        </is>
      </c>
      <c r="B11" s="27" t="inlineStr">
        <is>
          <t>3º</t>
        </is>
      </c>
      <c r="C11" s="28" t="n">
        <v>12795175.03858</v>
      </c>
      <c r="D11" s="29" t="n">
        <v>0.15507438227</v>
      </c>
      <c r="E11" s="27" t="inlineStr">
        <is>
          <t>3º</t>
        </is>
      </c>
      <c r="F11" s="28" t="n">
        <v>2198720.0436</v>
      </c>
      <c r="G11" s="29" t="n">
        <v>0.07922925297</v>
      </c>
      <c r="H11" s="27" t="inlineStr">
        <is>
          <t>3º</t>
        </is>
      </c>
      <c r="I11" s="28" t="n">
        <v>41171196.80758002</v>
      </c>
      <c r="J11" s="29" t="n">
        <v>0.16031117313</v>
      </c>
    </row>
    <row r="12" ht="12.75" customHeight="1" s="8">
      <c r="A12" s="30" t="inlineStr">
        <is>
          <t>XP INVESTIMENTOS</t>
        </is>
      </c>
      <c r="B12" s="31" t="inlineStr">
        <is>
          <t>4º</t>
        </is>
      </c>
      <c r="C12" s="32" t="n">
        <v>6064532.493559999</v>
      </c>
      <c r="D12" s="33" t="n">
        <v>0.07350064594</v>
      </c>
      <c r="E12" s="31" t="inlineStr">
        <is>
          <t>8º</t>
        </is>
      </c>
      <c r="F12" s="32" t="n">
        <v>1402000.92249</v>
      </c>
      <c r="G12" s="33" t="n">
        <v>0.05052006784</v>
      </c>
      <c r="H12" s="31" t="inlineStr">
        <is>
          <t>4º</t>
        </is>
      </c>
      <c r="I12" s="32" t="n">
        <v>21531971.41436</v>
      </c>
      <c r="J12" s="33" t="n">
        <v>0.08384054545</v>
      </c>
    </row>
    <row r="13" ht="12.75" customHeight="1" s="8">
      <c r="A13" s="26" t="inlineStr">
        <is>
          <t>SANTANDER</t>
        </is>
      </c>
      <c r="B13" s="27" t="inlineStr">
        <is>
          <t>5º</t>
        </is>
      </c>
      <c r="C13" s="28" t="n">
        <v>5896399.172610001</v>
      </c>
      <c r="D13" s="29" t="n">
        <v>0.07146291134</v>
      </c>
      <c r="E13" s="27" t="inlineStr">
        <is>
          <t>9º</t>
        </is>
      </c>
      <c r="F13" s="28" t="n">
        <v>1379304.05416</v>
      </c>
      <c r="G13" s="29" t="n">
        <v>0.04970220295</v>
      </c>
      <c r="H13" s="27" t="inlineStr">
        <is>
          <t>5º</t>
        </is>
      </c>
      <c r="I13" s="28" t="n">
        <v>20279371.31501</v>
      </c>
      <c r="J13" s="29" t="n">
        <v>0.0789632087</v>
      </c>
    </row>
    <row r="14" ht="12.75" customHeight="1" s="8">
      <c r="A14" s="30" t="inlineStr">
        <is>
          <t>UBS BB</t>
        </is>
      </c>
      <c r="B14" s="31" t="inlineStr">
        <is>
          <t>6º</t>
        </is>
      </c>
      <c r="C14" s="32" t="n">
        <v>4635954.076700001</v>
      </c>
      <c r="D14" s="33" t="n">
        <v>0.05618662601</v>
      </c>
      <c r="E14" s="31" t="inlineStr">
        <is>
          <t>5º</t>
        </is>
      </c>
      <c r="F14" s="32" t="n">
        <v>1739719.42148</v>
      </c>
      <c r="G14" s="33" t="n">
        <v>0.06268950453</v>
      </c>
      <c r="H14" s="31" t="inlineStr">
        <is>
          <t>6º</t>
        </is>
      </c>
      <c r="I14" s="32" t="n">
        <v>16498856.89964</v>
      </c>
      <c r="J14" s="33" t="n">
        <v>0.06424275488</v>
      </c>
    </row>
    <row r="15" ht="12.75" customHeight="1" s="8">
      <c r="A15" s="26" t="inlineStr">
        <is>
          <t>CEF</t>
        </is>
      </c>
      <c r="B15" s="27" t="inlineStr">
        <is>
          <t>7º</t>
        </is>
      </c>
      <c r="C15" s="28" t="n">
        <v>2425725</v>
      </c>
      <c r="D15" s="29" t="n">
        <v>0.02939919187</v>
      </c>
      <c r="E15" s="27" t="inlineStr">
        <is>
          <t>4º</t>
        </is>
      </c>
      <c r="F15" s="28" t="n">
        <v>2008100</v>
      </c>
      <c r="G15" s="29" t="n">
        <v>0.07236040048</v>
      </c>
      <c r="H15" s="27" t="inlineStr">
        <is>
          <t>10º</t>
        </is>
      </c>
      <c r="I15" s="28" t="n">
        <v>4553499.8</v>
      </c>
      <c r="J15" s="29" t="n">
        <v>0.01773028115</v>
      </c>
    </row>
    <row r="16" ht="12.75" customHeight="1" s="8">
      <c r="A16" s="30" t="inlineStr">
        <is>
          <t>ABC BRASIL</t>
        </is>
      </c>
      <c r="B16" s="31" t="inlineStr">
        <is>
          <t>8º</t>
        </is>
      </c>
      <c r="C16" s="32" t="n">
        <v>2357068.91819</v>
      </c>
      <c r="D16" s="33" t="n">
        <v>0.028567097</v>
      </c>
      <c r="E16" s="31" t="inlineStr">
        <is>
          <t>7º</t>
        </is>
      </c>
      <c r="F16" s="32" t="n">
        <v>1453425</v>
      </c>
      <c r="G16" s="33" t="n">
        <v>0.05237309649</v>
      </c>
      <c r="H16" s="31" t="inlineStr">
        <is>
          <t>9º</t>
        </is>
      </c>
      <c r="I16" s="32" t="n">
        <v>4760577.7805</v>
      </c>
      <c r="J16" s="33" t="n">
        <v>0.01853659519</v>
      </c>
    </row>
    <row r="17" ht="12.75" customHeight="1" s="8">
      <c r="A17" s="26" t="inlineStr">
        <is>
          <t>SAFRA</t>
        </is>
      </c>
      <c r="B17" s="27" t="inlineStr">
        <is>
          <t>9º</t>
        </is>
      </c>
      <c r="C17" s="28" t="n">
        <v>2166564.47733</v>
      </c>
      <c r="D17" s="29" t="n">
        <v>0.02625822992</v>
      </c>
      <c r="E17" s="27" t="inlineStr">
        <is>
          <t>10º</t>
        </is>
      </c>
      <c r="F17" s="28" t="n">
        <v>1134576.52587</v>
      </c>
      <c r="G17" s="29" t="n">
        <v>0.0408836272</v>
      </c>
      <c r="H17" s="27" t="inlineStr">
        <is>
          <t>7º</t>
        </is>
      </c>
      <c r="I17" s="28" t="n">
        <v>11860631.26056</v>
      </c>
      <c r="J17" s="29" t="n">
        <v>0.0461825708</v>
      </c>
    </row>
    <row r="18" ht="12.75" customHeight="1" s="8">
      <c r="A18" s="30" t="inlineStr">
        <is>
          <t>BR PARTNERS</t>
        </is>
      </c>
      <c r="B18" s="31" t="inlineStr">
        <is>
          <t>10º</t>
        </is>
      </c>
      <c r="C18" s="32" t="n">
        <v>1799511.98756</v>
      </c>
      <c r="D18" s="33" t="n">
        <v>0.02180964379</v>
      </c>
      <c r="E18" s="31" t="inlineStr">
        <is>
          <t>13º</t>
        </is>
      </c>
      <c r="F18" s="32" t="n">
        <v>377203.78848</v>
      </c>
      <c r="G18" s="33" t="n">
        <v>0.01359225995</v>
      </c>
      <c r="H18" s="31" t="inlineStr">
        <is>
          <t>12º</t>
        </is>
      </c>
      <c r="I18" s="32" t="n">
        <v>2743429.75741</v>
      </c>
      <c r="J18" s="33" t="n">
        <v>0.01068228463</v>
      </c>
    </row>
    <row r="19" ht="12.75" customHeight="1" s="8">
      <c r="A19" s="26" t="inlineStr">
        <is>
          <t>VOTORANTIM</t>
        </is>
      </c>
      <c r="B19" s="27" t="inlineStr">
        <is>
          <t>11º</t>
        </is>
      </c>
      <c r="C19" s="28" t="n">
        <v>1745111.842</v>
      </c>
      <c r="D19" s="29" t="n">
        <v>0.02115032738</v>
      </c>
      <c r="E19" s="27" t="inlineStr">
        <is>
          <t>6º</t>
        </is>
      </c>
      <c r="F19" s="28" t="n">
        <v>1591056.842</v>
      </c>
      <c r="G19" s="29" t="n">
        <v>0.05733255827</v>
      </c>
      <c r="H19" s="27" t="inlineStr">
        <is>
          <t>8º</t>
        </is>
      </c>
      <c r="I19" s="28" t="n">
        <v>9213277.582339998</v>
      </c>
      <c r="J19" s="29" t="n">
        <v>0.03587438433</v>
      </c>
    </row>
    <row r="20" ht="12.75" customHeight="1" s="8">
      <c r="A20" s="30" t="inlineStr">
        <is>
          <t>CITIGROUP</t>
        </is>
      </c>
      <c r="B20" s="31" t="inlineStr">
        <is>
          <t>12º</t>
        </is>
      </c>
      <c r="C20" s="32" t="n">
        <v>1413200.92039</v>
      </c>
      <c r="D20" s="33" t="n">
        <v>0.01712764844</v>
      </c>
      <c r="E20" s="31" t="n">
        <v/>
      </c>
      <c r="F20" s="32" t="n">
        <v>0</v>
      </c>
      <c r="G20" s="33" t="n">
        <v/>
      </c>
      <c r="H20" s="31" t="inlineStr">
        <is>
          <t>14º</t>
        </is>
      </c>
      <c r="I20" s="32" t="n">
        <v>1984837.40039</v>
      </c>
      <c r="J20" s="33" t="n">
        <v>0.00772850043</v>
      </c>
    </row>
    <row r="21" ht="12.75" customHeight="1" s="8">
      <c r="A21" s="26" t="inlineStr">
        <is>
          <t>BB-BI</t>
        </is>
      </c>
      <c r="B21" s="27" t="inlineStr">
        <is>
          <t>13º</t>
        </is>
      </c>
      <c r="C21" s="28" t="n">
        <v>1367166.61927</v>
      </c>
      <c r="D21" s="29" t="n">
        <v>0.016569724</v>
      </c>
      <c r="E21" s="27" t="inlineStr">
        <is>
          <t>11º</t>
        </is>
      </c>
      <c r="F21" s="28" t="n">
        <v>914617.4192699998</v>
      </c>
      <c r="G21" s="29" t="n">
        <v>0.03295756324</v>
      </c>
      <c r="H21" s="27" t="inlineStr">
        <is>
          <t>11º</t>
        </is>
      </c>
      <c r="I21" s="28" t="n">
        <v>3883726.24511</v>
      </c>
      <c r="J21" s="29" t="n">
        <v>0.01512233694</v>
      </c>
    </row>
    <row r="22" ht="12.75" customHeight="1" s="8">
      <c r="A22" s="30" t="inlineStr">
        <is>
          <t>M7 IB</t>
        </is>
      </c>
      <c r="B22" s="31" t="inlineStr">
        <is>
          <t>14º</t>
        </is>
      </c>
      <c r="C22" s="32" t="n">
        <v>757443.687</v>
      </c>
      <c r="D22" s="33" t="n">
        <v>0.00918003165</v>
      </c>
      <c r="E22" s="31" t="inlineStr">
        <is>
          <t>14º</t>
        </is>
      </c>
      <c r="F22" s="32" t="n">
        <v>236443.687</v>
      </c>
      <c r="G22" s="33" t="n">
        <v>0.00852007364</v>
      </c>
      <c r="H22" s="31" t="inlineStr">
        <is>
          <t>18º</t>
        </is>
      </c>
      <c r="I22" s="32" t="n">
        <v>1164405.061</v>
      </c>
      <c r="J22" s="33" t="n">
        <v>0.00453392555</v>
      </c>
    </row>
    <row r="23" ht="12.75" customHeight="1" s="8">
      <c r="A23" s="26" t="inlineStr">
        <is>
          <t>INTER</t>
        </is>
      </c>
      <c r="B23" s="27" t="inlineStr">
        <is>
          <t>15º</t>
        </is>
      </c>
      <c r="C23" s="28" t="n">
        <v>586385.5025400001</v>
      </c>
      <c r="D23" s="29" t="n">
        <v>0.00710684843</v>
      </c>
      <c r="E23" s="27" t="inlineStr">
        <is>
          <t>12º</t>
        </is>
      </c>
      <c r="F23" s="28" t="n">
        <v>583767.15873</v>
      </c>
      <c r="G23" s="29" t="n">
        <v>0.02103561844</v>
      </c>
      <c r="H23" s="27" t="inlineStr">
        <is>
          <t>16º</t>
        </is>
      </c>
      <c r="I23" s="28" t="n">
        <v>1543020.56819</v>
      </c>
      <c r="J23" s="29" t="n">
        <v>0.00600816728</v>
      </c>
    </row>
    <row r="24" ht="12.75" customHeight="1" s="8">
      <c r="A24" s="30" t="inlineStr">
        <is>
          <t>DAYCOVAL</t>
        </is>
      </c>
      <c r="B24" s="31" t="inlineStr">
        <is>
          <t>16º</t>
        </is>
      </c>
      <c r="C24" s="32" t="n">
        <v>551925.36457</v>
      </c>
      <c r="D24" s="33" t="n">
        <v>0.00668920001</v>
      </c>
      <c r="E24" s="31" t="inlineStr">
        <is>
          <t>16º</t>
        </is>
      </c>
      <c r="F24" s="32" t="n">
        <v>147072.86457</v>
      </c>
      <c r="G24" s="33" t="n">
        <v>0.00529966206</v>
      </c>
      <c r="H24" s="31" t="inlineStr">
        <is>
          <t>15º</t>
        </is>
      </c>
      <c r="I24" s="32" t="n">
        <v>1785777.4627</v>
      </c>
      <c r="J24" s="33" t="n">
        <v>0.0069534068</v>
      </c>
    </row>
    <row r="25" ht="12.75" customHeight="1" s="8">
      <c r="A25" s="26" t="inlineStr">
        <is>
          <t>BOCOM BBM</t>
        </is>
      </c>
      <c r="B25" s="27" t="inlineStr">
        <is>
          <t>17º</t>
        </is>
      </c>
      <c r="C25" s="28" t="n">
        <v>282265.50666</v>
      </c>
      <c r="D25" s="29" t="n">
        <v>0.00342098869</v>
      </c>
      <c r="E25" s="27" t="inlineStr">
        <is>
          <t>15º</t>
        </is>
      </c>
      <c r="F25" s="28" t="n">
        <v>232719.50666</v>
      </c>
      <c r="G25" s="29" t="n">
        <v>0.00838587555</v>
      </c>
      <c r="H25" s="27" t="inlineStr">
        <is>
          <t>19º</t>
        </is>
      </c>
      <c r="I25" s="28" t="n">
        <v>725802.50666</v>
      </c>
      <c r="J25" s="29" t="n">
        <v>0.00282610806</v>
      </c>
    </row>
    <row r="26" ht="12.75" customHeight="1" s="8">
      <c r="A26" s="30" t="inlineStr">
        <is>
          <t>ASA ASSET 2 GESTÃO DE RECURSOS LTDA</t>
        </is>
      </c>
      <c r="B26" s="31" t="inlineStr">
        <is>
          <t>18º</t>
        </is>
      </c>
      <c r="C26" s="32" t="n">
        <v>204234</v>
      </c>
      <c r="D26" s="33" t="n">
        <v>0.00247526597</v>
      </c>
      <c r="E26" s="31" t="n">
        <v/>
      </c>
      <c r="F26" s="32" t="n">
        <v>0</v>
      </c>
      <c r="G26" s="33" t="n">
        <v/>
      </c>
      <c r="H26" s="31" t="inlineStr">
        <is>
          <t>29º</t>
        </is>
      </c>
      <c r="I26" s="32" t="n">
        <v>204234</v>
      </c>
      <c r="J26" s="33" t="n">
        <v>0.00079524023</v>
      </c>
    </row>
    <row r="27" ht="12.75" customHeight="1" s="8">
      <c r="A27" s="26" t="inlineStr">
        <is>
          <t>One Corporate</t>
        </is>
      </c>
      <c r="B27" s="27" t="inlineStr">
        <is>
          <t>19º</t>
        </is>
      </c>
      <c r="C27" s="28" t="n">
        <v>175298.477</v>
      </c>
      <c r="D27" s="29" t="n">
        <v>0.00212457453</v>
      </c>
      <c r="E27" s="27" t="inlineStr">
        <is>
          <t>19º</t>
        </is>
      </c>
      <c r="F27" s="28" t="n">
        <v>67841.31</v>
      </c>
      <c r="G27" s="29" t="n">
        <v>0.0024446115</v>
      </c>
      <c r="H27" s="27" t="inlineStr">
        <is>
          <t>27º</t>
        </is>
      </c>
      <c r="I27" s="28" t="n">
        <v>264298.477</v>
      </c>
      <c r="J27" s="29" t="n">
        <v>0.00102911749</v>
      </c>
    </row>
    <row r="28" ht="12.75" customHeight="1" s="8">
      <c r="A28" s="30" t="inlineStr">
        <is>
          <t>BNDES</t>
        </is>
      </c>
      <c r="B28" s="31" t="inlineStr">
        <is>
          <t>20º</t>
        </is>
      </c>
      <c r="C28" s="32" t="n">
        <v>130000</v>
      </c>
      <c r="D28" s="33" t="n">
        <v>0.00157556811</v>
      </c>
      <c r="E28" s="31" t="inlineStr">
        <is>
          <t>17º</t>
        </is>
      </c>
      <c r="F28" s="32" t="n">
        <v>130000</v>
      </c>
      <c r="G28" s="33" t="n">
        <v>0.00468445399</v>
      </c>
      <c r="H28" s="31" t="inlineStr">
        <is>
          <t>20º</t>
        </is>
      </c>
      <c r="I28" s="32" t="n">
        <v>605000</v>
      </c>
      <c r="J28" s="33" t="n">
        <v>0.00235573088</v>
      </c>
    </row>
    <row r="29" ht="12.75" customHeight="1" s="8">
      <c r="A29" s="26" t="inlineStr">
        <is>
          <t>MAX CAPITAL MARKETS</t>
        </is>
      </c>
      <c r="B29" s="27" t="inlineStr">
        <is>
          <t>21º</t>
        </is>
      </c>
      <c r="C29" s="28" t="n">
        <v>100000</v>
      </c>
      <c r="D29" s="29" t="n">
        <v>0.00121197547</v>
      </c>
      <c r="E29" s="27" t="inlineStr">
        <is>
          <t>18º</t>
        </is>
      </c>
      <c r="F29" s="28" t="n">
        <v>100000</v>
      </c>
      <c r="G29" s="29" t="n">
        <v>0.00360342615</v>
      </c>
      <c r="H29" s="27" t="inlineStr">
        <is>
          <t>23º</t>
        </is>
      </c>
      <c r="I29" s="28" t="n">
        <v>302088</v>
      </c>
      <c r="J29" s="29" t="n">
        <v>0.00117626121</v>
      </c>
    </row>
    <row r="30" ht="12.75" customHeight="1" s="8">
      <c r="A30" s="30" t="inlineStr">
        <is>
          <t>BAMBOO SEC</t>
        </is>
      </c>
      <c r="B30" s="31" t="inlineStr">
        <is>
          <t>22º</t>
        </is>
      </c>
      <c r="C30" s="32" t="n">
        <v>65000</v>
      </c>
      <c r="D30" s="33" t="n">
        <v>0.00078778405</v>
      </c>
      <c r="E30" s="31" t="inlineStr">
        <is>
          <t>20º</t>
        </is>
      </c>
      <c r="F30" s="32" t="n">
        <v>20000</v>
      </c>
      <c r="G30" s="33" t="n">
        <v>0.00072068523</v>
      </c>
      <c r="H30" s="31" t="inlineStr">
        <is>
          <t>35º</t>
        </is>
      </c>
      <c r="I30" s="32" t="n">
        <v>65000</v>
      </c>
      <c r="J30" s="33" t="n">
        <v>0.00025309505</v>
      </c>
    </row>
    <row r="31" ht="12.75" customHeight="1" s="8">
      <c r="A31" s="26" t="inlineStr">
        <is>
          <t>TERRA</t>
        </is>
      </c>
      <c r="B31" s="27" t="inlineStr">
        <is>
          <t>23º</t>
        </is>
      </c>
      <c r="C31" s="28" t="n">
        <v>59847.0925</v>
      </c>
      <c r="D31" s="29" t="n">
        <v>0.00072533208</v>
      </c>
      <c r="E31" s="27" t="n">
        <v/>
      </c>
      <c r="F31" s="28" t="n">
        <v>0</v>
      </c>
      <c r="G31" s="29" t="n">
        <v/>
      </c>
      <c r="H31" s="27" t="inlineStr">
        <is>
          <t>36º</t>
        </is>
      </c>
      <c r="I31" s="28" t="n">
        <v>60056.09249</v>
      </c>
      <c r="J31" s="29" t="n">
        <v>0.00023384461</v>
      </c>
    </row>
    <row r="32" ht="12.75" customHeight="1" s="8">
      <c r="A32" s="30" t="inlineStr">
        <is>
          <t>EQI Investimentos CTVM</t>
        </is>
      </c>
      <c r="B32" s="31" t="inlineStr">
        <is>
          <t>24º</t>
        </is>
      </c>
      <c r="C32" s="32" t="n">
        <v>58087</v>
      </c>
      <c r="D32" s="33" t="n">
        <v>0.00070400019</v>
      </c>
      <c r="E32" s="31" t="n">
        <v/>
      </c>
      <c r="F32" s="32" t="n">
        <v>0</v>
      </c>
      <c r="G32" s="33" t="n">
        <v/>
      </c>
      <c r="H32" s="31" t="inlineStr">
        <is>
          <t>37º</t>
        </is>
      </c>
      <c r="I32" s="32" t="n">
        <v>58087</v>
      </c>
      <c r="J32" s="33" t="n">
        <v>0.00022617742</v>
      </c>
    </row>
    <row r="33" ht="12.75" customHeight="1" s="8">
      <c r="A33" s="26" t="inlineStr">
        <is>
          <t>BANCO BS2</t>
        </is>
      </c>
      <c r="B33" s="27" t="inlineStr">
        <is>
          <t>25º</t>
        </is>
      </c>
      <c r="C33" s="28" t="n">
        <v>50000</v>
      </c>
      <c r="D33" s="29" t="n">
        <v>0.00060598773</v>
      </c>
      <c r="E33" s="27" t="n">
        <v/>
      </c>
      <c r="F33" s="28" t="n">
        <v>0</v>
      </c>
      <c r="G33" s="29" t="n">
        <v/>
      </c>
      <c r="H33" s="27" t="inlineStr">
        <is>
          <t>34º</t>
        </is>
      </c>
      <c r="I33" s="28" t="n">
        <v>71463.41463</v>
      </c>
      <c r="J33" s="29" t="n">
        <v>0.0002782621</v>
      </c>
    </row>
    <row r="34" ht="12.75" customHeight="1" s="8">
      <c r="A34" s="30" t="inlineStr">
        <is>
          <t>BNP PARIBAS</t>
        </is>
      </c>
      <c r="B34" s="31" t="inlineStr">
        <is>
          <t>26º</t>
        </is>
      </c>
      <c r="C34" s="32" t="n">
        <v>37200</v>
      </c>
      <c r="D34" s="33" t="n">
        <v>0.00045085487</v>
      </c>
      <c r="E34" s="31" t="n">
        <v/>
      </c>
      <c r="F34" s="32" t="n">
        <v>0</v>
      </c>
      <c r="G34" s="33" t="n">
        <v/>
      </c>
      <c r="H34" s="31" t="inlineStr">
        <is>
          <t>17º</t>
        </is>
      </c>
      <c r="I34" s="32" t="n">
        <v>1425530.75</v>
      </c>
      <c r="J34" s="33" t="n">
        <v>0.00555068894</v>
      </c>
    </row>
    <row r="35" ht="12.75" customHeight="1" s="8">
      <c r="A35" s="26" t="inlineStr">
        <is>
          <t>CANAL COMPANHIA DE SECURITIZAÇÃO</t>
        </is>
      </c>
      <c r="B35" s="27" t="inlineStr">
        <is>
          <t>27º</t>
        </is>
      </c>
      <c r="C35" s="28" t="n">
        <v>25000</v>
      </c>
      <c r="D35" s="29" t="n">
        <v>0.00030299387</v>
      </c>
      <c r="E35" s="27" t="n">
        <v/>
      </c>
      <c r="F35" s="28" t="n">
        <v>0</v>
      </c>
      <c r="G35" s="29" t="n">
        <v/>
      </c>
      <c r="H35" s="27" t="inlineStr">
        <is>
          <t>21º</t>
        </is>
      </c>
      <c r="I35" s="28" t="n">
        <v>451849</v>
      </c>
      <c r="J35" s="29" t="n">
        <v>0.0017593961</v>
      </c>
    </row>
    <row r="36" ht="12.75" customHeight="1" s="8">
      <c r="A36" s="30" t="inlineStr">
        <is>
          <t>GALAPAGOS CAPITAL INVESTIMENTOS E PARTICIPAÇÕES LTDA.</t>
        </is>
      </c>
      <c r="B36" s="31" t="inlineStr">
        <is>
          <t>28º</t>
        </is>
      </c>
      <c r="C36" s="32" t="n">
        <v>20787</v>
      </c>
      <c r="D36" s="33" t="n">
        <v>0.00025193334</v>
      </c>
      <c r="E36" s="31" t="n">
        <v/>
      </c>
      <c r="F36" s="32" t="n">
        <v>0</v>
      </c>
      <c r="G36" s="33" t="n">
        <v/>
      </c>
      <c r="H36" s="31" t="inlineStr">
        <is>
          <t>13º</t>
        </is>
      </c>
      <c r="I36" s="32" t="n">
        <v>2620330</v>
      </c>
      <c r="J36" s="33" t="n">
        <v>0.01020296248</v>
      </c>
    </row>
    <row r="37" ht="12.75" customHeight="1" s="8">
      <c r="A37" s="26" t="inlineStr">
        <is>
          <t>RB CAPITAL DTVM</t>
        </is>
      </c>
      <c r="B37" s="27" t="inlineStr">
        <is>
          <t>29º</t>
        </is>
      </c>
      <c r="C37" s="28" t="n">
        <v>17397.19305</v>
      </c>
      <c r="D37" s="29" t="n">
        <v>0.00021084971</v>
      </c>
      <c r="E37" s="27" t="n">
        <v/>
      </c>
      <c r="F37" s="28" t="n">
        <v>0</v>
      </c>
      <c r="G37" s="29" t="n">
        <v/>
      </c>
      <c r="H37" s="27" t="inlineStr">
        <is>
          <t>30º</t>
        </is>
      </c>
      <c r="I37" s="28" t="n">
        <v>173199.19302</v>
      </c>
      <c r="J37" s="29" t="n">
        <v>0.00067439783</v>
      </c>
    </row>
    <row r="38" ht="12.75" customHeight="1" s="8">
      <c r="A38" s="30" t="inlineStr">
        <is>
          <t>GENIAL CV</t>
        </is>
      </c>
      <c r="B38" s="31" t="inlineStr">
        <is>
          <t>30º</t>
        </is>
      </c>
      <c r="C38" s="32" t="n">
        <v>13995.55165</v>
      </c>
      <c r="D38" s="33" t="n">
        <v>0.00016962265</v>
      </c>
      <c r="E38" s="31" t="inlineStr">
        <is>
          <t>21º</t>
        </is>
      </c>
      <c r="F38" s="32" t="n">
        <v>8881.55168</v>
      </c>
      <c r="G38" s="33" t="n">
        <v>0.00032004016</v>
      </c>
      <c r="H38" s="31" t="inlineStr">
        <is>
          <t>33º</t>
        </is>
      </c>
      <c r="I38" s="32" t="n">
        <v>79191.20284</v>
      </c>
      <c r="J38" s="33" t="n">
        <v>0.00030835233</v>
      </c>
    </row>
    <row r="39" ht="12.75" customHeight="1" s="8">
      <c r="A39" s="26" t="inlineStr">
        <is>
          <t>RABOBANK</t>
        </is>
      </c>
      <c r="B39" s="27" t="inlineStr">
        <is>
          <t>31º</t>
        </is>
      </c>
      <c r="C39" s="28" t="n">
        <v>6462.9361</v>
      </c>
      <c r="D39" s="29" t="n">
        <v>7.83292e-05</v>
      </c>
      <c r="E39" s="27" t="n">
        <v/>
      </c>
      <c r="F39" s="28" t="n">
        <v>0</v>
      </c>
      <c r="G39" s="29" t="n">
        <v/>
      </c>
      <c r="H39" s="27" t="inlineStr">
        <is>
          <t>40º</t>
        </is>
      </c>
      <c r="I39" s="28" t="n">
        <v>22864.35758</v>
      </c>
      <c r="J39" s="29" t="n">
        <v>8.902855e-05</v>
      </c>
    </row>
    <row r="40" ht="12.75" customHeight="1" s="8">
      <c r="A40" s="30" t="inlineStr">
        <is>
          <t>ANDBANK</t>
        </is>
      </c>
      <c r="B40" s="31" t="inlineStr">
        <is>
          <t>32º</t>
        </is>
      </c>
      <c r="C40" s="32" t="n">
        <v>4083.5</v>
      </c>
      <c r="D40" s="33" t="n">
        <v>4.949102e-05</v>
      </c>
      <c r="E40" s="31" t="inlineStr">
        <is>
          <t>22º</t>
        </is>
      </c>
      <c r="F40" s="32" t="n">
        <v>4023.5</v>
      </c>
      <c r="G40" s="33" t="n">
        <v>0.00014498385</v>
      </c>
      <c r="H40" s="31" t="inlineStr">
        <is>
          <t>41º</t>
        </is>
      </c>
      <c r="I40" s="32" t="n">
        <v>12024.49999</v>
      </c>
      <c r="J40" s="33" t="n">
        <v>4.682064e-05</v>
      </c>
    </row>
    <row r="41" ht="12.75" customHeight="1" s="8">
      <c r="A41" s="26" t="inlineStr">
        <is>
          <t>WARREN</t>
        </is>
      </c>
      <c r="B41" s="27" t="inlineStr">
        <is>
          <t>33º</t>
        </is>
      </c>
      <c r="C41" s="28" t="n">
        <v>3469.5</v>
      </c>
      <c r="D41" s="29" t="n">
        <v>4.204949e-05</v>
      </c>
      <c r="E41" s="27" t="inlineStr">
        <is>
          <t>23º</t>
        </is>
      </c>
      <c r="F41" s="28" t="n">
        <v>3469.5</v>
      </c>
      <c r="G41" s="29" t="n">
        <v>0.00012502087</v>
      </c>
      <c r="H41" s="27" t="inlineStr">
        <is>
          <t>42º</t>
        </is>
      </c>
      <c r="I41" s="28" t="n">
        <v>10885</v>
      </c>
      <c r="J41" s="29" t="n">
        <v>4.238369e-05</v>
      </c>
    </row>
    <row r="42" ht="12.75" customHeight="1" s="8">
      <c r="A42" s="30" t="inlineStr">
        <is>
          <t>OPEA SECURITIZADORA</t>
        </is>
      </c>
      <c r="B42" s="31" t="inlineStr">
        <is>
          <t>34º</t>
        </is>
      </c>
      <c r="C42" s="32" t="n">
        <v>1500</v>
      </c>
      <c r="D42" s="33" t="n">
        <v>1.817963e-05</v>
      </c>
      <c r="E42" s="31" t="inlineStr">
        <is>
          <t>24º</t>
        </is>
      </c>
      <c r="F42" s="32" t="n">
        <v>1500</v>
      </c>
      <c r="G42" s="33" t="n">
        <v>5.405139e-05</v>
      </c>
      <c r="H42" s="31" t="inlineStr">
        <is>
          <t>22º</t>
        </is>
      </c>
      <c r="I42" s="32" t="n">
        <v>376415</v>
      </c>
      <c r="J42" s="33" t="n">
        <v>0.00146567345</v>
      </c>
    </row>
    <row r="43" ht="12.75" customHeight="1" s="8">
      <c r="A43" s="26" t="inlineStr">
        <is>
          <t>UNICRED DTVM</t>
        </is>
      </c>
      <c r="B43" s="27" t="inlineStr">
        <is>
          <t>35º</t>
        </is>
      </c>
      <c r="C43" s="28" t="n">
        <v>1078</v>
      </c>
      <c r="D43" s="29" t="n">
        <v>1.30651e-05</v>
      </c>
      <c r="E43" s="27" t="inlineStr">
        <is>
          <t>25º</t>
        </is>
      </c>
      <c r="F43" s="28" t="n">
        <v>1021.5</v>
      </c>
      <c r="G43" s="29" t="n">
        <v>3.6809e-05</v>
      </c>
      <c r="H43" s="27" t="inlineStr">
        <is>
          <t>45º</t>
        </is>
      </c>
      <c r="I43" s="28" t="n">
        <v>2223.99907</v>
      </c>
      <c r="J43" s="29" t="n">
        <v>8.659740000000001e-06</v>
      </c>
    </row>
    <row r="44" ht="12.75" customHeight="1" s="8">
      <c r="A44" s="30" t="inlineStr">
        <is>
          <t>MIRAE ASSET WEALTH MANAGEMENT (BRAZIL) CCTVM LTDA</t>
        </is>
      </c>
      <c r="B44" s="31" t="inlineStr">
        <is>
          <t>36º</t>
        </is>
      </c>
      <c r="C44" s="32" t="n">
        <v>703.49997</v>
      </c>
      <c r="D44" s="33" t="n">
        <v>8.52625e-06</v>
      </c>
      <c r="E44" s="31" t="n">
        <v/>
      </c>
      <c r="F44" s="32" t="n">
        <v>0</v>
      </c>
      <c r="G44" s="33" t="n">
        <v/>
      </c>
      <c r="H44" s="31" t="inlineStr">
        <is>
          <t>47º</t>
        </is>
      </c>
      <c r="I44" s="32" t="n">
        <v>709.99997</v>
      </c>
      <c r="J44" s="33" t="n">
        <v>2.76458e-06</v>
      </c>
    </row>
    <row r="45" ht="12.75" customHeight="1" s="8">
      <c r="A45" s="26" t="inlineStr">
        <is>
          <t>C6 CTVM</t>
        </is>
      </c>
      <c r="B45" s="27" t="inlineStr">
        <is>
          <t>37º</t>
        </is>
      </c>
      <c r="C45" s="28" t="n">
        <v>49.99999</v>
      </c>
      <c r="D45" s="29" t="n">
        <v>6.0599e-07</v>
      </c>
      <c r="E45" s="27" t="inlineStr">
        <is>
          <t>26º</t>
        </is>
      </c>
      <c r="F45" s="28" t="n">
        <v>25</v>
      </c>
      <c r="G45" s="29" t="n">
        <v>9.0086e-07</v>
      </c>
      <c r="H45" s="27" t="inlineStr">
        <is>
          <t>46º</t>
        </is>
      </c>
      <c r="I45" s="28" t="n">
        <v>2130.49996</v>
      </c>
      <c r="J45" s="29" t="n">
        <v>8.295679999999999e-06</v>
      </c>
    </row>
    <row r="46" ht="12.75" customHeight="1" s="8">
      <c r="A46" s="30" t="inlineStr">
        <is>
          <t>JIVE HIGH YIELD GESTÃO DE RECURSOS LTDA.</t>
        </is>
      </c>
      <c r="B46" s="31" t="inlineStr">
        <is>
          <t>38º</t>
        </is>
      </c>
      <c r="C46" s="32" t="n">
        <v>11.06485</v>
      </c>
      <c r="D46" s="33" t="n">
        <v>1.341e-07</v>
      </c>
      <c r="E46" s="31" t="inlineStr">
        <is>
          <t>27º</t>
        </is>
      </c>
      <c r="F46" s="32" t="n">
        <v>11.06485</v>
      </c>
      <c r="G46" s="33" t="n">
        <v>3.9871e-07</v>
      </c>
      <c r="H46" s="31" t="inlineStr">
        <is>
          <t>49º</t>
        </is>
      </c>
      <c r="I46" s="32" t="n">
        <v>11.06485</v>
      </c>
      <c r="J46" s="33" t="n">
        <v>4.308e-08</v>
      </c>
    </row>
    <row r="47" ht="12.75" customHeight="1" s="8">
      <c r="A47" s="26" t="inlineStr">
        <is>
          <t>ORIZ ASSESSORIA FINANCEIRA LTDA</t>
        </is>
      </c>
      <c r="B47" s="27" t="n">
        <v/>
      </c>
      <c r="C47" s="28" t="n">
        <v>0</v>
      </c>
      <c r="D47" s="29" t="n">
        <v/>
      </c>
      <c r="E47" s="27" t="n">
        <v/>
      </c>
      <c r="F47" s="28" t="n">
        <v>0</v>
      </c>
      <c r="G47" s="29" t="n">
        <v/>
      </c>
      <c r="H47" s="27" t="inlineStr">
        <is>
          <t>24º</t>
        </is>
      </c>
      <c r="I47" s="28" t="n">
        <v>295895</v>
      </c>
      <c r="J47" s="29" t="n">
        <v>0.00115214709</v>
      </c>
    </row>
    <row r="48" ht="12.75" customHeight="1" s="8">
      <c r="A48" s="30" t="inlineStr">
        <is>
          <t>ARCHX CAPITAL</t>
        </is>
      </c>
      <c r="B48" s="31" t="n">
        <v/>
      </c>
      <c r="C48" s="32" t="n">
        <v>0</v>
      </c>
      <c r="D48" s="33" t="n">
        <v/>
      </c>
      <c r="E48" s="31" t="n">
        <v/>
      </c>
      <c r="F48" s="32" t="n">
        <v>0</v>
      </c>
      <c r="G48" s="33" t="n">
        <v/>
      </c>
      <c r="H48" s="31" t="inlineStr">
        <is>
          <t>25º</t>
        </is>
      </c>
      <c r="I48" s="32" t="n">
        <v>284123.59436</v>
      </c>
      <c r="J48" s="33" t="n">
        <v>0.00110631194</v>
      </c>
    </row>
    <row r="49" ht="12.75" customHeight="1" s="8">
      <c r="A49" s="26" t="inlineStr">
        <is>
          <t>BANCO SUMITOMO MITSUI BRASILEIRO</t>
        </is>
      </c>
      <c r="B49" s="27" t="n">
        <v/>
      </c>
      <c r="C49" s="28" t="n">
        <v>0</v>
      </c>
      <c r="D49" s="29" t="n">
        <v/>
      </c>
      <c r="E49" s="27" t="n">
        <v/>
      </c>
      <c r="F49" s="28" t="n">
        <v>0</v>
      </c>
      <c r="G49" s="29" t="n">
        <v/>
      </c>
      <c r="H49" s="27" t="inlineStr">
        <is>
          <t>26º</t>
        </is>
      </c>
      <c r="I49" s="28" t="n">
        <v>277500</v>
      </c>
      <c r="J49" s="29" t="n">
        <v>0.00108052119</v>
      </c>
    </row>
    <row r="50" ht="12.75" customHeight="1" s="8">
      <c r="A50" s="30" t="inlineStr">
        <is>
          <t>CREDIT AGRICOLE</t>
        </is>
      </c>
      <c r="B50" s="31" t="n">
        <v/>
      </c>
      <c r="C50" s="32" t="n">
        <v>0</v>
      </c>
      <c r="D50" s="33" t="n">
        <v/>
      </c>
      <c r="E50" s="31" t="n">
        <v/>
      </c>
      <c r="F50" s="32" t="n">
        <v>0</v>
      </c>
      <c r="G50" s="33" t="n">
        <v/>
      </c>
      <c r="H50" s="31" t="inlineStr">
        <is>
          <t>28º</t>
        </is>
      </c>
      <c r="I50" s="32" t="n">
        <v>210870.75</v>
      </c>
      <c r="J50" s="33" t="n">
        <v>0.00082108221</v>
      </c>
    </row>
    <row r="51" ht="12.75" customHeight="1" s="8">
      <c r="A51" s="26" t="inlineStr">
        <is>
          <t>KEA CAPITAL MARKETS</t>
        </is>
      </c>
      <c r="B51" s="27" t="n">
        <v/>
      </c>
      <c r="C51" s="28" t="n">
        <v>0</v>
      </c>
      <c r="D51" s="29" t="n">
        <v/>
      </c>
      <c r="E51" s="27" t="n">
        <v/>
      </c>
      <c r="F51" s="28" t="n">
        <v>0</v>
      </c>
      <c r="G51" s="29" t="n">
        <v/>
      </c>
      <c r="H51" s="27" t="inlineStr">
        <is>
          <t>31º</t>
        </is>
      </c>
      <c r="I51" s="28" t="n">
        <v>92278</v>
      </c>
      <c r="J51" s="29" t="n">
        <v>0.00035930931</v>
      </c>
    </row>
    <row r="52" ht="12.75" customHeight="1" s="8">
      <c r="A52" s="30" t="inlineStr">
        <is>
          <t>JGP FINANCIAL ADVISORY</t>
        </is>
      </c>
      <c r="B52" s="31" t="n">
        <v/>
      </c>
      <c r="C52" s="32" t="n">
        <v>0</v>
      </c>
      <c r="D52" s="33" t="n">
        <v/>
      </c>
      <c r="E52" s="31" t="n">
        <v/>
      </c>
      <c r="F52" s="32" t="n">
        <v>0</v>
      </c>
      <c r="G52" s="33" t="n">
        <v/>
      </c>
      <c r="H52" s="31" t="inlineStr">
        <is>
          <t>32º</t>
        </is>
      </c>
      <c r="I52" s="32" t="n">
        <v>89114.5</v>
      </c>
      <c r="J52" s="33" t="n">
        <v>0.00034699137</v>
      </c>
    </row>
    <row r="53" ht="12.75" customHeight="1" s="8">
      <c r="A53" s="26" t="inlineStr">
        <is>
          <t xml:space="preserve"> EXES SERVIÇOS FINANCEIROS</t>
        </is>
      </c>
      <c r="B53" s="27" t="n">
        <v/>
      </c>
      <c r="C53" s="28" t="n">
        <v>0</v>
      </c>
      <c r="D53" s="29" t="n">
        <v/>
      </c>
      <c r="E53" s="27" t="n">
        <v/>
      </c>
      <c r="F53" s="28" t="n">
        <v>0</v>
      </c>
      <c r="G53" s="29" t="n">
        <v/>
      </c>
      <c r="H53" s="27" t="inlineStr">
        <is>
          <t>38º</t>
        </is>
      </c>
      <c r="I53" s="28" t="n">
        <v>40000</v>
      </c>
      <c r="J53" s="29" t="n">
        <v>0.0001557508</v>
      </c>
    </row>
    <row r="54" ht="12.75" customHeight="1" s="8">
      <c r="A54" s="30" t="inlineStr">
        <is>
          <t>BANCO BMG</t>
        </is>
      </c>
      <c r="B54" s="31" t="n">
        <v/>
      </c>
      <c r="C54" s="32" t="n">
        <v>0</v>
      </c>
      <c r="D54" s="33" t="n">
        <v/>
      </c>
      <c r="E54" s="31" t="n">
        <v/>
      </c>
      <c r="F54" s="32" t="n">
        <v>0</v>
      </c>
      <c r="G54" s="33" t="n">
        <v/>
      </c>
      <c r="H54" s="31" t="inlineStr">
        <is>
          <t>39º</t>
        </is>
      </c>
      <c r="I54" s="32" t="n">
        <v>25000</v>
      </c>
      <c r="J54" s="33" t="n">
        <v>9.734425e-05</v>
      </c>
    </row>
    <row r="55" ht="12.75" customHeight="1" s="8">
      <c r="A55" s="26" t="inlineStr">
        <is>
          <t>TORO INVESTIMENTOS</t>
        </is>
      </c>
      <c r="B55" s="27" t="n">
        <v/>
      </c>
      <c r="C55" s="28" t="n">
        <v>0</v>
      </c>
      <c r="D55" s="29" t="n">
        <v/>
      </c>
      <c r="E55" s="27" t="n">
        <v/>
      </c>
      <c r="F55" s="28" t="n">
        <v>0</v>
      </c>
      <c r="G55" s="29" t="n">
        <v/>
      </c>
      <c r="H55" s="27" t="inlineStr">
        <is>
          <t>43º</t>
        </is>
      </c>
      <c r="I55" s="28" t="n">
        <v>3049.500230000001</v>
      </c>
      <c r="J55" s="29" t="n">
        <v>1.187405e-05</v>
      </c>
    </row>
    <row r="56" ht="12.75" customHeight="1" s="8">
      <c r="A56" s="30" t="inlineStr">
        <is>
          <t>AZIMUT</t>
        </is>
      </c>
      <c r="B56" s="31" t="n">
        <v/>
      </c>
      <c r="C56" s="32" t="n">
        <v>0</v>
      </c>
      <c r="D56" s="33" t="n">
        <v/>
      </c>
      <c r="E56" s="31" t="n">
        <v/>
      </c>
      <c r="F56" s="32" t="n">
        <v>0</v>
      </c>
      <c r="G56" s="33" t="n">
        <v/>
      </c>
      <c r="H56" s="31" t="inlineStr">
        <is>
          <t>44º</t>
        </is>
      </c>
      <c r="I56" s="32" t="n">
        <v>2283</v>
      </c>
      <c r="J56" s="33" t="n">
        <v>8.88948e-06</v>
      </c>
    </row>
    <row r="57" ht="12.75" customHeight="1" s="8">
      <c r="A57" s="26" t="inlineStr">
        <is>
          <t>ATIVA</t>
        </is>
      </c>
      <c r="B57" s="27" t="n">
        <v/>
      </c>
      <c r="C57" s="28" t="n">
        <v>0</v>
      </c>
      <c r="D57" s="29" t="n">
        <v/>
      </c>
      <c r="E57" s="27" t="n">
        <v/>
      </c>
      <c r="F57" s="28" t="n">
        <v>0</v>
      </c>
      <c r="G57" s="29" t="n">
        <v/>
      </c>
      <c r="H57" s="27" t="inlineStr">
        <is>
          <t>48º</t>
        </is>
      </c>
      <c r="I57" s="28" t="n">
        <v>112.5</v>
      </c>
      <c r="J57" s="29" t="n">
        <v>4.3805e-07</v>
      </c>
    </row>
    <row r="58" ht="12.75" customHeight="1" s="8">
      <c r="A58" s="34" t="inlineStr">
        <is>
          <t>Total</t>
        </is>
      </c>
      <c r="B58" s="35" t="n"/>
      <c r="C58" s="36">
        <f>SUM(C9:C57)</f>
        <v/>
      </c>
      <c r="D58" s="37">
        <f>_xlfn.ROUND(SUM(D9:D57), 1)</f>
        <v/>
      </c>
      <c r="E58" s="35" t="n"/>
      <c r="F58" s="36">
        <f>SUM(F9:F57)</f>
        <v/>
      </c>
      <c r="G58" s="37">
        <f>_xlfn.ROUND(SUM(G9:G57), 1)</f>
        <v/>
      </c>
      <c r="H58" s="35" t="n"/>
      <c r="I58" s="36">
        <f>SUM(I9:I57)</f>
        <v/>
      </c>
      <c r="J58" s="37">
        <f>_xlfn.ROUND(SUM(J9:J57), 1)</f>
        <v/>
      </c>
    </row>
    <row r="59" ht="12.75" customHeight="1" s="8"/>
    <row r="60" ht="12.75" customHeight="1" s="8"/>
    <row r="61" ht="12.75" customHeight="1" s="8">
      <c r="A61" s="22" t="inlineStr">
        <is>
          <t>Tipo 1.1. Renda Fixa - Curto Prazo</t>
        </is>
      </c>
      <c r="J61" s="23" t="n"/>
    </row>
    <row r="62" ht="12.75" customHeight="1" s="8">
      <c r="A62" s="24" t="inlineStr">
        <is>
          <t>Distribuidores</t>
        </is>
      </c>
      <c r="B62" s="24" t="inlineStr">
        <is>
          <t>Acumulado 2026</t>
        </is>
      </c>
      <c r="C62" s="24" t="n"/>
      <c r="D62" s="24" t="n"/>
      <c r="E62" s="24" t="inlineStr">
        <is>
          <t>Últimos 3 meses</t>
        </is>
      </c>
      <c r="F62" s="24" t="n"/>
      <c r="G62" s="24" t="n"/>
      <c r="H62" s="24" t="inlineStr">
        <is>
          <t>Últimos 12 meses</t>
        </is>
      </c>
      <c r="I62" s="24" t="n"/>
      <c r="J62" s="25" t="n"/>
    </row>
    <row r="63" ht="12.75" customHeight="1" s="8">
      <c r="A63" s="24" t="n"/>
      <c r="B63" s="24" t="inlineStr">
        <is>
          <t>Ranking 2026</t>
        </is>
      </c>
      <c r="C63" s="24" t="inlineStr">
        <is>
          <t>Valor *</t>
        </is>
      </c>
      <c r="D63" s="24" t="inlineStr">
        <is>
          <t>Part.</t>
        </is>
      </c>
      <c r="E63" s="24" t="inlineStr">
        <is>
          <t>Ranking 3 meses</t>
        </is>
      </c>
      <c r="F63" s="24" t="inlineStr">
        <is>
          <t>Valor *</t>
        </is>
      </c>
      <c r="G63" s="24" t="inlineStr">
        <is>
          <t>Part.</t>
        </is>
      </c>
      <c r="H63" s="24" t="inlineStr">
        <is>
          <t>Ranking 12 meses</t>
        </is>
      </c>
      <c r="I63" s="24" t="inlineStr">
        <is>
          <t>Valor *</t>
        </is>
      </c>
      <c r="J63" s="25" t="inlineStr">
        <is>
          <t>Part.</t>
        </is>
      </c>
    </row>
    <row r="64" ht="12.75" customHeight="1" s="8">
      <c r="A64" s="26" t="inlineStr">
        <is>
          <t>BRADESCO BBI</t>
        </is>
      </c>
      <c r="B64" s="27" t="inlineStr">
        <is>
          <t>1º</t>
        </is>
      </c>
      <c r="C64" s="28" t="n">
        <v>925333</v>
      </c>
      <c r="D64" s="29" t="n">
        <v>0.68135677729</v>
      </c>
      <c r="E64" s="27" t="inlineStr">
        <is>
          <t>3º</t>
        </is>
      </c>
      <c r="F64" s="28" t="n">
        <v>64500</v>
      </c>
      <c r="G64" s="29" t="n">
        <v>0.1706014721</v>
      </c>
      <c r="H64" s="27" t="inlineStr">
        <is>
          <t>1º</t>
        </is>
      </c>
      <c r="I64" s="28" t="n">
        <v>4196333</v>
      </c>
      <c r="J64" s="29" t="n">
        <v>0.49528021533</v>
      </c>
    </row>
    <row r="65" ht="12.75" customHeight="1" s="8">
      <c r="A65" s="30" t="inlineStr">
        <is>
          <t>UBS BB</t>
        </is>
      </c>
      <c r="B65" s="31" t="inlineStr">
        <is>
          <t>2º</t>
        </is>
      </c>
      <c r="C65" s="32" t="n">
        <v>150500</v>
      </c>
      <c r="D65" s="33" t="n">
        <v>0.11081869444</v>
      </c>
      <c r="E65" s="31" t="inlineStr">
        <is>
          <t>1º</t>
        </is>
      </c>
      <c r="F65" s="32" t="n">
        <v>150500</v>
      </c>
      <c r="G65" s="33" t="n">
        <v>0.39807010156</v>
      </c>
      <c r="H65" s="31" t="inlineStr">
        <is>
          <t>3º</t>
        </is>
      </c>
      <c r="I65" s="32" t="n">
        <v>618500</v>
      </c>
      <c r="J65" s="33" t="n">
        <v>0.07299964354000001</v>
      </c>
    </row>
    <row r="66" ht="12.75" customHeight="1" s="8">
      <c r="A66" s="26" t="inlineStr">
        <is>
          <t>BTG PACTUAL</t>
        </is>
      </c>
      <c r="B66" s="27" t="inlineStr">
        <is>
          <t>3º</t>
        </is>
      </c>
      <c r="C66" s="28" t="n">
        <v>119167</v>
      </c>
      <c r="D66" s="29" t="n">
        <v>0.08774705223</v>
      </c>
      <c r="E66" s="27" t="n">
        <v/>
      </c>
      <c r="F66" s="28" t="n">
        <v>0</v>
      </c>
      <c r="G66" s="29" t="n">
        <v/>
      </c>
      <c r="H66" s="27" t="inlineStr">
        <is>
          <t>5º</t>
        </is>
      </c>
      <c r="I66" s="28" t="n">
        <v>119167</v>
      </c>
      <c r="J66" s="29" t="n">
        <v>0.01406491273</v>
      </c>
    </row>
    <row r="67" ht="12.75" customHeight="1" s="8">
      <c r="A67" s="30" t="inlineStr">
        <is>
          <t>ITAU BBA</t>
        </is>
      </c>
      <c r="B67" s="31" t="inlineStr">
        <is>
          <t>4º</t>
        </is>
      </c>
      <c r="C67" s="32" t="n">
        <v>103074.1116</v>
      </c>
      <c r="D67" s="33" t="n">
        <v>0.07589726563</v>
      </c>
      <c r="E67" s="31" t="inlineStr">
        <is>
          <t>2º</t>
        </is>
      </c>
      <c r="F67" s="32" t="n">
        <v>103074.1116</v>
      </c>
      <c r="G67" s="33" t="n">
        <v>0.27262938254</v>
      </c>
      <c r="H67" s="31" t="inlineStr">
        <is>
          <t>2º</t>
        </is>
      </c>
      <c r="I67" s="32" t="n">
        <v>3148074.1116</v>
      </c>
      <c r="J67" s="33" t="n">
        <v>0.37155745835</v>
      </c>
    </row>
    <row r="68" ht="12.75" customHeight="1" s="8">
      <c r="A68" s="26" t="inlineStr">
        <is>
          <t>CEF</t>
        </is>
      </c>
      <c r="B68" s="27" t="inlineStr">
        <is>
          <t>5º</t>
        </is>
      </c>
      <c r="C68" s="28" t="n">
        <v>60000</v>
      </c>
      <c r="D68" s="29" t="n">
        <v>0.04418021041</v>
      </c>
      <c r="E68" s="27" t="inlineStr">
        <is>
          <t>4º</t>
        </is>
      </c>
      <c r="F68" s="28" t="n">
        <v>60000</v>
      </c>
      <c r="G68" s="29" t="n">
        <v>0.15869904381</v>
      </c>
      <c r="H68" s="27" t="inlineStr">
        <is>
          <t>6º</t>
        </is>
      </c>
      <c r="I68" s="28" t="n">
        <v>60000</v>
      </c>
      <c r="J68" s="29" t="n">
        <v>0.00708161457</v>
      </c>
    </row>
    <row r="69" ht="12.75" customHeight="1" s="8">
      <c r="A69" s="30" t="inlineStr">
        <is>
          <t>DAYCOVAL</t>
        </is>
      </c>
      <c r="B69" s="31" t="n">
        <v/>
      </c>
      <c r="C69" s="32" t="n">
        <v>0</v>
      </c>
      <c r="D69" s="33" t="n">
        <v/>
      </c>
      <c r="E69" s="31" t="n">
        <v/>
      </c>
      <c r="F69" s="32" t="n">
        <v>0</v>
      </c>
      <c r="G69" s="33" t="n">
        <v/>
      </c>
      <c r="H69" s="31" t="inlineStr">
        <is>
          <t>4º</t>
        </is>
      </c>
      <c r="I69" s="32" t="n">
        <v>330570</v>
      </c>
      <c r="J69" s="33" t="n">
        <v>0.03901615548</v>
      </c>
    </row>
    <row r="70" ht="12.75" customHeight="1" s="8">
      <c r="A70" s="34" t="inlineStr">
        <is>
          <t>Total</t>
        </is>
      </c>
      <c r="B70" s="35" t="n"/>
      <c r="C70" s="36">
        <f>SUM(C64:C69)</f>
        <v/>
      </c>
      <c r="D70" s="37">
        <f>_xlfn.ROUND(SUM(D64:D69), 1)</f>
        <v/>
      </c>
      <c r="E70" s="35" t="n"/>
      <c r="F70" s="36">
        <f>SUM(F64:F69)</f>
        <v/>
      </c>
      <c r="G70" s="37">
        <f>_xlfn.ROUND(SUM(G64:G69), 1)</f>
        <v/>
      </c>
      <c r="H70" s="35" t="n"/>
      <c r="I70" s="36">
        <f>SUM(I64:I69)</f>
        <v/>
      </c>
      <c r="J70" s="37">
        <f>_xlfn.ROUND(SUM(J64:J69), 1)</f>
        <v/>
      </c>
    </row>
    <row r="71" ht="12.75" customHeight="1" s="8"/>
    <row r="72" ht="12.75" customHeight="1" s="8"/>
    <row r="73" ht="12.75" customHeight="1" s="8">
      <c r="A73" s="22" t="inlineStr">
        <is>
          <t>Tipo 1.2. Renda Fixa - Longo Prazo</t>
        </is>
      </c>
      <c r="J73" s="23" t="n"/>
    </row>
    <row r="74" ht="12.75" customHeight="1" s="8">
      <c r="A74" s="24" t="inlineStr">
        <is>
          <t>Distribuidores</t>
        </is>
      </c>
      <c r="B74" s="24" t="inlineStr">
        <is>
          <t>Acumulado 2026</t>
        </is>
      </c>
      <c r="C74" s="24" t="n"/>
      <c r="D74" s="24" t="n"/>
      <c r="E74" s="24" t="inlineStr">
        <is>
          <t>Últimos 3 meses</t>
        </is>
      </c>
      <c r="F74" s="24" t="n"/>
      <c r="G74" s="24" t="n"/>
      <c r="H74" s="24" t="inlineStr">
        <is>
          <t>Últimos 12 meses</t>
        </is>
      </c>
      <c r="I74" s="24" t="n"/>
      <c r="J74" s="25" t="n"/>
    </row>
    <row r="75" ht="12.75" customHeight="1" s="8">
      <c r="A75" s="24" t="n"/>
      <c r="B75" s="24" t="inlineStr">
        <is>
          <t>Ranking 2026</t>
        </is>
      </c>
      <c r="C75" s="24" t="inlineStr">
        <is>
          <t>Valor *</t>
        </is>
      </c>
      <c r="D75" s="24" t="inlineStr">
        <is>
          <t>Part.</t>
        </is>
      </c>
      <c r="E75" s="24" t="inlineStr">
        <is>
          <t>Ranking 3 meses</t>
        </is>
      </c>
      <c r="F75" s="24" t="inlineStr">
        <is>
          <t>Valor *</t>
        </is>
      </c>
      <c r="G75" s="24" t="inlineStr">
        <is>
          <t>Part.</t>
        </is>
      </c>
      <c r="H75" s="24" t="inlineStr">
        <is>
          <t>Ranking 12 meses</t>
        </is>
      </c>
      <c r="I75" s="24" t="inlineStr">
        <is>
          <t>Valor *</t>
        </is>
      </c>
      <c r="J75" s="25" t="inlineStr">
        <is>
          <t>Part.</t>
        </is>
      </c>
    </row>
    <row r="76" ht="12.75" customHeight="1" s="8">
      <c r="A76" s="26" t="inlineStr">
        <is>
          <t>ITAU BBA</t>
        </is>
      </c>
      <c r="B76" s="27" t="inlineStr">
        <is>
          <t>1º</t>
        </is>
      </c>
      <c r="C76" s="28" t="n">
        <v>12369672.56618</v>
      </c>
      <c r="D76" s="29" t="n">
        <v>0.23379543539</v>
      </c>
      <c r="E76" s="27" t="inlineStr">
        <is>
          <t>3º</t>
        </is>
      </c>
      <c r="F76" s="28" t="n">
        <v>1842008.49998</v>
      </c>
      <c r="G76" s="29" t="n">
        <v>0.13615116217</v>
      </c>
      <c r="H76" s="27" t="inlineStr">
        <is>
          <t>1º</t>
        </is>
      </c>
      <c r="I76" s="28" t="n">
        <v>42753927.68158</v>
      </c>
      <c r="J76" s="29" t="n">
        <v>0.24385821096</v>
      </c>
    </row>
    <row r="77" ht="12.75" customHeight="1" s="8">
      <c r="A77" s="30" t="inlineStr">
        <is>
          <t>BTG PACTUAL</t>
        </is>
      </c>
      <c r="B77" s="31" t="inlineStr">
        <is>
          <t>2º</t>
        </is>
      </c>
      <c r="C77" s="32" t="n">
        <v>10074147.04856</v>
      </c>
      <c r="D77" s="33" t="n">
        <v>0.19040840272</v>
      </c>
      <c r="E77" s="31" t="inlineStr">
        <is>
          <t>6º</t>
        </is>
      </c>
      <c r="F77" s="32" t="n">
        <v>942148</v>
      </c>
      <c r="G77" s="33" t="n">
        <v>0.06963841108</v>
      </c>
      <c r="H77" s="31" t="inlineStr">
        <is>
          <t>2º</t>
        </is>
      </c>
      <c r="I77" s="32" t="n">
        <v>32828001.69601</v>
      </c>
      <c r="J77" s="33" t="n">
        <v>0.18724309548</v>
      </c>
    </row>
    <row r="78" ht="12.75" customHeight="1" s="8">
      <c r="A78" s="26" t="inlineStr">
        <is>
          <t>BRADESCO BBI</t>
        </is>
      </c>
      <c r="B78" s="27" t="inlineStr">
        <is>
          <t>3º</t>
        </is>
      </c>
      <c r="C78" s="28" t="n">
        <v>8876091.212019999</v>
      </c>
      <c r="D78" s="29" t="n">
        <v>0.16776431214</v>
      </c>
      <c r="E78" s="27" t="inlineStr">
        <is>
          <t>1º</t>
        </is>
      </c>
      <c r="F78" s="28" t="n">
        <v>4037086.61278</v>
      </c>
      <c r="G78" s="29" t="n">
        <v>0.29839929301</v>
      </c>
      <c r="H78" s="27" t="inlineStr">
        <is>
          <t>3º</t>
        </is>
      </c>
      <c r="I78" s="28" t="n">
        <v>27490267.61404001</v>
      </c>
      <c r="J78" s="29" t="n">
        <v>0.15679793279</v>
      </c>
    </row>
    <row r="79" ht="12.75" customHeight="1" s="8">
      <c r="A79" s="30" t="inlineStr">
        <is>
          <t>SANTANDER</t>
        </is>
      </c>
      <c r="B79" s="31" t="inlineStr">
        <is>
          <t>4º</t>
        </is>
      </c>
      <c r="C79" s="32" t="n">
        <v>5313681.153719999</v>
      </c>
      <c r="D79" s="33" t="n">
        <v>0.1004322784</v>
      </c>
      <c r="E79" s="31" t="inlineStr">
        <is>
          <t>5º</t>
        </is>
      </c>
      <c r="F79" s="32" t="n">
        <v>1069001.04166</v>
      </c>
      <c r="G79" s="33" t="n">
        <v>0.07901469194000001</v>
      </c>
      <c r="H79" s="31" t="inlineStr">
        <is>
          <t>4º</t>
        </is>
      </c>
      <c r="I79" s="32" t="n">
        <v>15784817.31961</v>
      </c>
      <c r="J79" s="33" t="n">
        <v>0.09003283489</v>
      </c>
    </row>
    <row r="80" ht="12.75" customHeight="1" s="8">
      <c r="A80" s="26" t="inlineStr">
        <is>
          <t>XP INVESTIMENTOS</t>
        </is>
      </c>
      <c r="B80" s="27" t="inlineStr">
        <is>
          <t>5º</t>
        </is>
      </c>
      <c r="C80" s="28" t="n">
        <v>4527289.171699999</v>
      </c>
      <c r="D80" s="29" t="n">
        <v>0.08556892168000001</v>
      </c>
      <c r="E80" s="27" t="inlineStr">
        <is>
          <t>8º</t>
        </is>
      </c>
      <c r="F80" s="28" t="n">
        <v>557640.74014</v>
      </c>
      <c r="G80" s="29" t="n">
        <v>0.04121774402</v>
      </c>
      <c r="H80" s="27" t="inlineStr">
        <is>
          <t>5º</t>
        </is>
      </c>
      <c r="I80" s="28" t="n">
        <v>13259774.29225</v>
      </c>
      <c r="J80" s="29" t="n">
        <v>0.07563059143</v>
      </c>
    </row>
    <row r="81" ht="12.75" customHeight="1" s="8">
      <c r="A81" s="30" t="inlineStr">
        <is>
          <t>CEF</t>
        </is>
      </c>
      <c r="B81" s="31" t="inlineStr">
        <is>
          <t>6º</t>
        </is>
      </c>
      <c r="C81" s="32" t="n">
        <v>2307550</v>
      </c>
      <c r="D81" s="33" t="n">
        <v>0.04361430378</v>
      </c>
      <c r="E81" s="31" t="inlineStr">
        <is>
          <t>2º</t>
        </is>
      </c>
      <c r="F81" s="32" t="n">
        <v>1905100</v>
      </c>
      <c r="G81" s="33" t="n">
        <v>0.1408145397</v>
      </c>
      <c r="H81" s="31" t="inlineStr">
        <is>
          <t>9º</t>
        </is>
      </c>
      <c r="I81" s="32" t="n">
        <v>4248025.6</v>
      </c>
      <c r="J81" s="33" t="n">
        <v>0.02422972529</v>
      </c>
    </row>
    <row r="82" ht="12.75" customHeight="1" s="8">
      <c r="A82" s="26" t="inlineStr">
        <is>
          <t>UBS BB</t>
        </is>
      </c>
      <c r="B82" s="27" t="inlineStr">
        <is>
          <t>7º</t>
        </is>
      </c>
      <c r="C82" s="28" t="n">
        <v>1660328.73999</v>
      </c>
      <c r="D82" s="29" t="n">
        <v>0.03138137073</v>
      </c>
      <c r="E82" s="27" t="inlineStr">
        <is>
          <t>7º</t>
        </is>
      </c>
      <c r="F82" s="28" t="n">
        <v>770701.16666</v>
      </c>
      <c r="G82" s="29" t="n">
        <v>0.0569660018</v>
      </c>
      <c r="H82" s="27" t="inlineStr">
        <is>
          <t>6º</t>
        </is>
      </c>
      <c r="I82" s="28" t="n">
        <v>11540651.75462</v>
      </c>
      <c r="J82" s="29" t="n">
        <v>0.06582512632</v>
      </c>
    </row>
    <row r="83" ht="12.75" customHeight="1" s="8">
      <c r="A83" s="30" t="inlineStr">
        <is>
          <t>CITIGROUP</t>
        </is>
      </c>
      <c r="B83" s="31" t="inlineStr">
        <is>
          <t>8º</t>
        </is>
      </c>
      <c r="C83" s="32" t="n">
        <v>1413200.92039</v>
      </c>
      <c r="D83" s="33" t="n">
        <v>0.02671048265</v>
      </c>
      <c r="E83" s="31" t="n">
        <v/>
      </c>
      <c r="F83" s="32" t="n">
        <v>0</v>
      </c>
      <c r="G83" s="33" t="n">
        <v/>
      </c>
      <c r="H83" s="31" t="inlineStr">
        <is>
          <t>11º</t>
        </is>
      </c>
      <c r="I83" s="32" t="n">
        <v>1984837.40039</v>
      </c>
      <c r="J83" s="33" t="n">
        <v>0.01132103935</v>
      </c>
    </row>
    <row r="84" ht="12.75" customHeight="1" s="8">
      <c r="A84" s="26" t="inlineStr">
        <is>
          <t>ABC BRASIL</t>
        </is>
      </c>
      <c r="B84" s="27" t="inlineStr">
        <is>
          <t>9º</t>
        </is>
      </c>
      <c r="C84" s="28" t="n">
        <v>1358943.91819</v>
      </c>
      <c r="D84" s="29" t="n">
        <v>0.02568498748</v>
      </c>
      <c r="E84" s="27" t="inlineStr">
        <is>
          <t>9º</t>
        </is>
      </c>
      <c r="F84" s="28" t="n">
        <v>455300</v>
      </c>
      <c r="G84" s="29" t="n">
        <v>0.033653278</v>
      </c>
      <c r="H84" s="27" t="inlineStr">
        <is>
          <t>10º</t>
        </is>
      </c>
      <c r="I84" s="28" t="n">
        <v>3096494.08485</v>
      </c>
      <c r="J84" s="29" t="n">
        <v>0.01766166406</v>
      </c>
    </row>
    <row r="85" ht="12.75" customHeight="1" s="8">
      <c r="A85" s="30" t="inlineStr">
        <is>
          <t>VOTORANTIM</t>
        </is>
      </c>
      <c r="B85" s="31" t="inlineStr">
        <is>
          <t>10º</t>
        </is>
      </c>
      <c r="C85" s="32" t="n">
        <v>1247901.15384</v>
      </c>
      <c r="D85" s="33" t="n">
        <v>0.02358620182</v>
      </c>
      <c r="E85" s="31" t="inlineStr">
        <is>
          <t>4º</t>
        </is>
      </c>
      <c r="F85" s="32" t="n">
        <v>1093846.15384</v>
      </c>
      <c r="G85" s="33" t="n">
        <v>0.08085110632</v>
      </c>
      <c r="H85" s="31" t="inlineStr">
        <is>
          <t>8º</t>
        </is>
      </c>
      <c r="I85" s="32" t="n">
        <v>6361741.894179999</v>
      </c>
      <c r="J85" s="33" t="n">
        <v>0.03628585912</v>
      </c>
    </row>
    <row r="86" ht="12.75" customHeight="1" s="8">
      <c r="A86" s="26" t="inlineStr">
        <is>
          <t>SAFRA</t>
        </is>
      </c>
      <c r="B86" s="27" t="inlineStr">
        <is>
          <t>11º</t>
        </is>
      </c>
      <c r="C86" s="28" t="n">
        <v>1051705.63145</v>
      </c>
      <c r="D86" s="29" t="n">
        <v>0.01987796966</v>
      </c>
      <c r="E86" s="27" t="inlineStr">
        <is>
          <t>14º</t>
        </is>
      </c>
      <c r="F86" s="28" t="n">
        <v>103272.37999</v>
      </c>
      <c r="G86" s="29" t="n">
        <v>0.00763332773</v>
      </c>
      <c r="H86" s="27" t="inlineStr">
        <is>
          <t>7º</t>
        </is>
      </c>
      <c r="I86" s="28" t="n">
        <v>6626130.19061</v>
      </c>
      <c r="J86" s="29" t="n">
        <v>0.03779386694</v>
      </c>
    </row>
    <row r="87" ht="12.75" customHeight="1" s="8">
      <c r="A87" s="30" t="inlineStr">
        <is>
          <t>M7 IB</t>
        </is>
      </c>
      <c r="B87" s="31" t="inlineStr">
        <is>
          <t>12º</t>
        </is>
      </c>
      <c r="C87" s="32" t="n">
        <v>736443.687</v>
      </c>
      <c r="D87" s="33" t="n">
        <v>0.01391929912</v>
      </c>
      <c r="E87" s="31" t="inlineStr">
        <is>
          <t>10º</t>
        </is>
      </c>
      <c r="F87" s="32" t="n">
        <v>236443.687</v>
      </c>
      <c r="G87" s="33" t="n">
        <v>0.0174766201</v>
      </c>
      <c r="H87" s="31" t="inlineStr">
        <is>
          <t>14º</t>
        </is>
      </c>
      <c r="I87" s="32" t="n">
        <v>1086443.687</v>
      </c>
      <c r="J87" s="33" t="n">
        <v>0.00619681578</v>
      </c>
    </row>
    <row r="88" ht="12.75" customHeight="1" s="8">
      <c r="A88" s="26" t="inlineStr">
        <is>
          <t>BR PARTNERS</t>
        </is>
      </c>
      <c r="B88" s="27" t="inlineStr">
        <is>
          <t>13º</t>
        </is>
      </c>
      <c r="C88" s="28" t="n">
        <v>594117</v>
      </c>
      <c r="D88" s="29" t="n">
        <v>0.01122922551</v>
      </c>
      <c r="E88" s="27" t="n">
        <v/>
      </c>
      <c r="F88" s="28" t="n">
        <v>0</v>
      </c>
      <c r="G88" s="29" t="n">
        <v/>
      </c>
      <c r="H88" s="27" t="inlineStr">
        <is>
          <t>17º</t>
        </is>
      </c>
      <c r="I88" s="28" t="n">
        <v>741760</v>
      </c>
      <c r="J88" s="29" t="n">
        <v>0.0042308222</v>
      </c>
    </row>
    <row r="89" ht="12.75" customHeight="1" s="8">
      <c r="A89" s="30" t="inlineStr">
        <is>
          <t>DAYCOVAL</t>
        </is>
      </c>
      <c r="B89" s="31" t="inlineStr">
        <is>
          <t>14º</t>
        </is>
      </c>
      <c r="C89" s="32" t="n">
        <v>455092.5</v>
      </c>
      <c r="D89" s="33" t="n">
        <v>0.008601565530000001</v>
      </c>
      <c r="E89" s="31" t="inlineStr">
        <is>
          <t>13º</t>
        </is>
      </c>
      <c r="F89" s="32" t="n">
        <v>114250</v>
      </c>
      <c r="G89" s="33" t="n">
        <v>0.00844473317</v>
      </c>
      <c r="H89" s="31" t="inlineStr">
        <is>
          <t>15º</t>
        </is>
      </c>
      <c r="I89" s="32" t="n">
        <v>901394.8001</v>
      </c>
      <c r="J89" s="33" t="n">
        <v>0.00514134105</v>
      </c>
    </row>
    <row r="90" ht="12.75" customHeight="1" s="8">
      <c r="A90" s="26" t="inlineStr">
        <is>
          <t>BB-BI</t>
        </is>
      </c>
      <c r="B90" s="27" t="inlineStr">
        <is>
          <t>15º</t>
        </is>
      </c>
      <c r="C90" s="28" t="n">
        <v>377602.2</v>
      </c>
      <c r="D90" s="29" t="n">
        <v>0.00713694484</v>
      </c>
      <c r="E90" s="27" t="inlineStr">
        <is>
          <t>16º</t>
        </is>
      </c>
      <c r="F90" s="28" t="n">
        <v>1219</v>
      </c>
      <c r="G90" s="29" t="n">
        <v>9.010179e-05</v>
      </c>
      <c r="H90" s="27" t="inlineStr">
        <is>
          <t>16º</t>
        </is>
      </c>
      <c r="I90" s="28" t="n">
        <v>759113.7</v>
      </c>
      <c r="J90" s="29" t="n">
        <v>0.00432980357</v>
      </c>
    </row>
    <row r="91" ht="12.75" customHeight="1" s="8">
      <c r="A91" s="30" t="inlineStr">
        <is>
          <t>BOCOM BBM</t>
        </is>
      </c>
      <c r="B91" s="31" t="inlineStr">
        <is>
          <t>16º</t>
        </is>
      </c>
      <c r="C91" s="32" t="n">
        <v>219898.84</v>
      </c>
      <c r="D91" s="33" t="n">
        <v>0.00415624139</v>
      </c>
      <c r="E91" s="31" t="inlineStr">
        <is>
          <t>11º</t>
        </is>
      </c>
      <c r="F91" s="32" t="n">
        <v>170352.84</v>
      </c>
      <c r="G91" s="33" t="n">
        <v>0.01259154729</v>
      </c>
      <c r="H91" s="31" t="inlineStr">
        <is>
          <t>18º</t>
        </is>
      </c>
      <c r="I91" s="32" t="n">
        <v>662478.84</v>
      </c>
      <c r="J91" s="33" t="n">
        <v>0.00377862137</v>
      </c>
    </row>
    <row r="92" ht="12.75" customHeight="1" s="8">
      <c r="A92" s="26" t="inlineStr">
        <is>
          <t>BNDES</t>
        </is>
      </c>
      <c r="B92" s="27" t="inlineStr">
        <is>
          <t>17º</t>
        </is>
      </c>
      <c r="C92" s="28" t="n">
        <v>130000</v>
      </c>
      <c r="D92" s="29" t="n">
        <v>0.00245709063</v>
      </c>
      <c r="E92" s="27" t="inlineStr">
        <is>
          <t>12º</t>
        </is>
      </c>
      <c r="F92" s="28" t="n">
        <v>130000</v>
      </c>
      <c r="G92" s="29" t="n">
        <v>0.009608886759999999</v>
      </c>
      <c r="H92" s="27" t="inlineStr">
        <is>
          <t>19º</t>
        </is>
      </c>
      <c r="I92" s="28" t="n">
        <v>605000</v>
      </c>
      <c r="J92" s="29" t="n">
        <v>0.00345077577</v>
      </c>
    </row>
    <row r="93" ht="12.75" customHeight="1" s="8">
      <c r="A93" s="30" t="inlineStr">
        <is>
          <t>MAX CAPITAL MARKETS</t>
        </is>
      </c>
      <c r="B93" s="31" t="inlineStr">
        <is>
          <t>18º</t>
        </is>
      </c>
      <c r="C93" s="32" t="n">
        <v>100000</v>
      </c>
      <c r="D93" s="33" t="n">
        <v>0.00189006972</v>
      </c>
      <c r="E93" s="31" t="inlineStr">
        <is>
          <t>15º</t>
        </is>
      </c>
      <c r="F93" s="32" t="n">
        <v>100000</v>
      </c>
      <c r="G93" s="33" t="n">
        <v>0.00739145135</v>
      </c>
      <c r="H93" s="31" t="inlineStr">
        <is>
          <t>23º</t>
        </is>
      </c>
      <c r="I93" s="32" t="n">
        <v>182088</v>
      </c>
      <c r="J93" s="33" t="n">
        <v>0.00103858654</v>
      </c>
    </row>
    <row r="94" ht="12.75" customHeight="1" s="8">
      <c r="A94" s="26" t="inlineStr">
        <is>
          <t>BANCO BS2</t>
        </is>
      </c>
      <c r="B94" s="27" t="inlineStr">
        <is>
          <t>19º</t>
        </is>
      </c>
      <c r="C94" s="28" t="n">
        <v>50000</v>
      </c>
      <c r="D94" s="29" t="n">
        <v>0.00094503486</v>
      </c>
      <c r="E94" s="27" t="n">
        <v/>
      </c>
      <c r="F94" s="28" t="n">
        <v>0</v>
      </c>
      <c r="G94" s="29" t="n">
        <v/>
      </c>
      <c r="H94" s="27" t="inlineStr">
        <is>
          <t>27º</t>
        </is>
      </c>
      <c r="I94" s="28" t="n">
        <v>51463.41463</v>
      </c>
      <c r="J94" s="29" t="n">
        <v>0.00029353505</v>
      </c>
    </row>
    <row r="95" ht="12.75" customHeight="1" s="8">
      <c r="A95" s="30" t="inlineStr">
        <is>
          <t>BNP PARIBAS</t>
        </is>
      </c>
      <c r="B95" s="31" t="inlineStr">
        <is>
          <t>20º</t>
        </is>
      </c>
      <c r="C95" s="32" t="n">
        <v>37200</v>
      </c>
      <c r="D95" s="33" t="n">
        <v>0.00070310594</v>
      </c>
      <c r="E95" s="31" t="n">
        <v/>
      </c>
      <c r="F95" s="32" t="n">
        <v>0</v>
      </c>
      <c r="G95" s="33" t="n">
        <v/>
      </c>
      <c r="H95" s="31" t="inlineStr">
        <is>
          <t>13º</t>
        </is>
      </c>
      <c r="I95" s="32" t="n">
        <v>1425530.75</v>
      </c>
      <c r="J95" s="33" t="n">
        <v>0.00813088755</v>
      </c>
    </row>
    <row r="96" ht="12.75" customHeight="1" s="8">
      <c r="A96" s="26" t="inlineStr">
        <is>
          <t>RABOBANK</t>
        </is>
      </c>
      <c r="B96" s="27" t="inlineStr">
        <is>
          <t>21º</t>
        </is>
      </c>
      <c r="C96" s="28" t="n">
        <v>6462.9361</v>
      </c>
      <c r="D96" s="29" t="n">
        <v>0.000122154</v>
      </c>
      <c r="E96" s="27" t="n">
        <v/>
      </c>
      <c r="F96" s="28" t="n">
        <v>0</v>
      </c>
      <c r="G96" s="29" t="n">
        <v/>
      </c>
      <c r="H96" s="27" t="inlineStr">
        <is>
          <t>32º</t>
        </is>
      </c>
      <c r="I96" s="28" t="n">
        <v>22864.35758</v>
      </c>
      <c r="J96" s="29" t="n">
        <v>0.00013041284</v>
      </c>
    </row>
    <row r="97" ht="12.75" customHeight="1" s="8">
      <c r="A97" s="30" t="inlineStr">
        <is>
          <t>WARREN</t>
        </is>
      </c>
      <c r="B97" s="31" t="inlineStr">
        <is>
          <t>22º</t>
        </is>
      </c>
      <c r="C97" s="32" t="n">
        <v>398</v>
      </c>
      <c r="D97" s="33" t="n">
        <v>7.52248e-06</v>
      </c>
      <c r="E97" s="31" t="inlineStr">
        <is>
          <t>17º</t>
        </is>
      </c>
      <c r="F97" s="32" t="n">
        <v>398</v>
      </c>
      <c r="G97" s="33" t="n">
        <v>2.941798e-05</v>
      </c>
      <c r="H97" s="31" t="inlineStr">
        <is>
          <t>33º</t>
        </is>
      </c>
      <c r="I97" s="32" t="n">
        <v>5145.5</v>
      </c>
      <c r="J97" s="33" t="n">
        <v>2.934871e-05</v>
      </c>
    </row>
    <row r="98" ht="12.75" customHeight="1" s="8">
      <c r="A98" s="26" t="inlineStr">
        <is>
          <t>ANDBANK</t>
        </is>
      </c>
      <c r="B98" s="27" t="inlineStr">
        <is>
          <t>23º</t>
        </is>
      </c>
      <c r="C98" s="28" t="n">
        <v>363.5</v>
      </c>
      <c r="D98" s="29" t="n">
        <v>6.8704e-06</v>
      </c>
      <c r="E98" s="27" t="inlineStr">
        <is>
          <t>18º</t>
        </is>
      </c>
      <c r="F98" s="28" t="n">
        <v>363.5</v>
      </c>
      <c r="G98" s="29" t="n">
        <v>2.686793e-05</v>
      </c>
      <c r="H98" s="27" t="inlineStr">
        <is>
          <t>34º</t>
        </is>
      </c>
      <c r="I98" s="28" t="n">
        <v>1888.5</v>
      </c>
      <c r="J98" s="29" t="n">
        <v>1.077155e-05</v>
      </c>
    </row>
    <row r="99" ht="12.75" customHeight="1" s="8">
      <c r="A99" s="30" t="inlineStr">
        <is>
          <t>JIVE HIGH YIELD GESTÃO DE RECURSOS LTDA.</t>
        </is>
      </c>
      <c r="B99" s="31" t="inlineStr">
        <is>
          <t>24º</t>
        </is>
      </c>
      <c r="C99" s="32" t="n">
        <v>11.06485</v>
      </c>
      <c r="D99" s="33" t="n">
        <v>2.0913e-07</v>
      </c>
      <c r="E99" s="31" t="inlineStr">
        <is>
          <t>19º</t>
        </is>
      </c>
      <c r="F99" s="32" t="n">
        <v>11.06485</v>
      </c>
      <c r="G99" s="33" t="n">
        <v>8.1785e-07</v>
      </c>
      <c r="H99" s="31" t="inlineStr">
        <is>
          <t>37º</t>
        </is>
      </c>
      <c r="I99" s="32" t="n">
        <v>11.06485</v>
      </c>
      <c r="J99" s="33" t="n">
        <v>6.311e-08</v>
      </c>
    </row>
    <row r="100" ht="12.75" customHeight="1" s="8">
      <c r="A100" s="26" t="inlineStr">
        <is>
          <t>GALAPAGOS CAPITAL INVESTIMENTOS E PARTICIPAÇÕES LTDA.</t>
        </is>
      </c>
      <c r="B100" s="27" t="n">
        <v/>
      </c>
      <c r="C100" s="28" t="n">
        <v>0</v>
      </c>
      <c r="D100" s="29" t="n">
        <v/>
      </c>
      <c r="E100" s="27" t="n">
        <v/>
      </c>
      <c r="F100" s="28" t="n">
        <v>0</v>
      </c>
      <c r="G100" s="29" t="n">
        <v/>
      </c>
      <c r="H100" s="27" t="inlineStr">
        <is>
          <t>12º</t>
        </is>
      </c>
      <c r="I100" s="28" t="n">
        <v>1727443</v>
      </c>
      <c r="J100" s="29" t="n">
        <v>0.00985292305</v>
      </c>
    </row>
    <row r="101" ht="12.75" customHeight="1" s="8">
      <c r="A101" s="30" t="inlineStr">
        <is>
          <t>INTER</t>
        </is>
      </c>
      <c r="B101" s="31" t="n">
        <v/>
      </c>
      <c r="C101" s="32" t="n">
        <v>0</v>
      </c>
      <c r="D101" s="33" t="n">
        <v/>
      </c>
      <c r="E101" s="31" t="n">
        <v/>
      </c>
      <c r="F101" s="32" t="n">
        <v>0</v>
      </c>
      <c r="G101" s="33" t="n">
        <v/>
      </c>
      <c r="H101" s="31" t="inlineStr">
        <is>
          <t>20º</t>
        </is>
      </c>
      <c r="I101" s="32" t="n">
        <v>317243.29336</v>
      </c>
      <c r="J101" s="33" t="n">
        <v>0.00180948011</v>
      </c>
    </row>
    <row r="102" ht="12.75" customHeight="1" s="8">
      <c r="A102" s="26" t="inlineStr">
        <is>
          <t>BANCO SUMITOMO MITSUI BRASILEIRO</t>
        </is>
      </c>
      <c r="B102" s="27" t="n">
        <v/>
      </c>
      <c r="C102" s="28" t="n">
        <v>0</v>
      </c>
      <c r="D102" s="29" t="n">
        <v/>
      </c>
      <c r="E102" s="27" t="n">
        <v/>
      </c>
      <c r="F102" s="28" t="n">
        <v>0</v>
      </c>
      <c r="G102" s="29" t="n">
        <v/>
      </c>
      <c r="H102" s="27" t="inlineStr">
        <is>
          <t>21º</t>
        </is>
      </c>
      <c r="I102" s="28" t="n">
        <v>277500</v>
      </c>
      <c r="J102" s="29" t="n">
        <v>0.00158279384</v>
      </c>
    </row>
    <row r="103" ht="12.75" customHeight="1" s="8">
      <c r="A103" s="30" t="inlineStr">
        <is>
          <t>CREDIT AGRICOLE</t>
        </is>
      </c>
      <c r="B103" s="31" t="n">
        <v/>
      </c>
      <c r="C103" s="32" t="n">
        <v>0</v>
      </c>
      <c r="D103" s="33" t="n">
        <v/>
      </c>
      <c r="E103" s="31" t="n">
        <v/>
      </c>
      <c r="F103" s="32" t="n">
        <v>0</v>
      </c>
      <c r="G103" s="33" t="n">
        <v/>
      </c>
      <c r="H103" s="31" t="inlineStr">
        <is>
          <t>22º</t>
        </is>
      </c>
      <c r="I103" s="32" t="n">
        <v>210870.75</v>
      </c>
      <c r="J103" s="33" t="n">
        <v>0.00120275649</v>
      </c>
    </row>
    <row r="104" ht="12.75" customHeight="1" s="8">
      <c r="A104" s="26" t="inlineStr">
        <is>
          <t>ARCHX CAPITAL</t>
        </is>
      </c>
      <c r="B104" s="27" t="n">
        <v/>
      </c>
      <c r="C104" s="28" t="n">
        <v>0</v>
      </c>
      <c r="D104" s="29" t="n">
        <v/>
      </c>
      <c r="E104" s="27" t="n">
        <v/>
      </c>
      <c r="F104" s="28" t="n">
        <v>0</v>
      </c>
      <c r="G104" s="29" t="n">
        <v/>
      </c>
      <c r="H104" s="27" t="inlineStr">
        <is>
          <t>24º</t>
        </is>
      </c>
      <c r="I104" s="28" t="n">
        <v>100000</v>
      </c>
      <c r="J104" s="29" t="n">
        <v>0.0005703761600000001</v>
      </c>
    </row>
    <row r="105" ht="12.75" customHeight="1" s="8">
      <c r="A105" s="30" t="inlineStr">
        <is>
          <t>JGP FINANCIAL ADVISORY</t>
        </is>
      </c>
      <c r="B105" s="31" t="n">
        <v/>
      </c>
      <c r="C105" s="32" t="n">
        <v>0</v>
      </c>
      <c r="D105" s="33" t="n">
        <v/>
      </c>
      <c r="E105" s="31" t="n">
        <v/>
      </c>
      <c r="F105" s="32" t="n">
        <v>0</v>
      </c>
      <c r="G105" s="33" t="n">
        <v/>
      </c>
      <c r="H105" s="31" t="inlineStr">
        <is>
          <t>25º</t>
        </is>
      </c>
      <c r="I105" s="32" t="n">
        <v>89114.5</v>
      </c>
      <c r="J105" s="33" t="n">
        <v>0.00050828786</v>
      </c>
    </row>
    <row r="106" ht="12.75" customHeight="1" s="8">
      <c r="A106" s="26" t="inlineStr">
        <is>
          <t>One Corporate</t>
        </is>
      </c>
      <c r="B106" s="27" t="n">
        <v/>
      </c>
      <c r="C106" s="28" t="n">
        <v>0</v>
      </c>
      <c r="D106" s="29" t="n">
        <v/>
      </c>
      <c r="E106" s="27" t="n">
        <v/>
      </c>
      <c r="F106" s="28" t="n">
        <v>0</v>
      </c>
      <c r="G106" s="29" t="n">
        <v/>
      </c>
      <c r="H106" s="27" t="inlineStr">
        <is>
          <t>26º</t>
        </is>
      </c>
      <c r="I106" s="28" t="n">
        <v>60000</v>
      </c>
      <c r="J106" s="29" t="n">
        <v>0.0003422257</v>
      </c>
    </row>
    <row r="107" ht="12.75" customHeight="1" s="8">
      <c r="A107" s="30" t="inlineStr">
        <is>
          <t>RB CAPITAL DTVM</t>
        </is>
      </c>
      <c r="B107" s="31" t="n">
        <v/>
      </c>
      <c r="C107" s="32" t="n">
        <v>0</v>
      </c>
      <c r="D107" s="33" t="n">
        <v/>
      </c>
      <c r="E107" s="31" t="n">
        <v/>
      </c>
      <c r="F107" s="32" t="n">
        <v>0</v>
      </c>
      <c r="G107" s="33" t="n">
        <v/>
      </c>
      <c r="H107" s="31" t="inlineStr">
        <is>
          <t>28º</t>
        </is>
      </c>
      <c r="I107" s="32" t="n">
        <v>44030</v>
      </c>
      <c r="J107" s="33" t="n">
        <v>0.00025113662</v>
      </c>
    </row>
    <row r="108" ht="12.75" customHeight="1" s="8">
      <c r="A108" s="26" t="inlineStr">
        <is>
          <t>GENIAL CV</t>
        </is>
      </c>
      <c r="B108" s="27" t="n">
        <v/>
      </c>
      <c r="C108" s="28" t="n">
        <v>0</v>
      </c>
      <c r="D108" s="29" t="n">
        <v/>
      </c>
      <c r="E108" s="27" t="n">
        <v/>
      </c>
      <c r="F108" s="28" t="n">
        <v>0</v>
      </c>
      <c r="G108" s="29" t="n">
        <v/>
      </c>
      <c r="H108" s="27" t="inlineStr">
        <is>
          <t>29º</t>
        </is>
      </c>
      <c r="I108" s="28" t="n">
        <v>26755</v>
      </c>
      <c r="J108" s="29" t="n">
        <v>0.00015260414</v>
      </c>
    </row>
    <row r="109" ht="12.75" customHeight="1" s="8">
      <c r="A109" s="30" t="inlineStr">
        <is>
          <t>BANCO BMG</t>
        </is>
      </c>
      <c r="B109" s="31" t="n">
        <v/>
      </c>
      <c r="C109" s="32" t="n">
        <v>0</v>
      </c>
      <c r="D109" s="33" t="n">
        <v/>
      </c>
      <c r="E109" s="31" t="n">
        <v/>
      </c>
      <c r="F109" s="32" t="n">
        <v>0</v>
      </c>
      <c r="G109" s="33" t="n">
        <v/>
      </c>
      <c r="H109" s="31" t="inlineStr">
        <is>
          <t>30º</t>
        </is>
      </c>
      <c r="I109" s="32" t="n">
        <v>25000</v>
      </c>
      <c r="J109" s="33" t="n">
        <v>0.00014259404</v>
      </c>
    </row>
    <row r="110" ht="12.75" customHeight="1" s="8">
      <c r="A110" s="26" t="inlineStr">
        <is>
          <t>ORIZ ASSESSORIA FINANCEIRA LTDA</t>
        </is>
      </c>
      <c r="B110" s="27" t="n">
        <v/>
      </c>
      <c r="C110" s="28" t="n">
        <v>0</v>
      </c>
      <c r="D110" s="29" t="n">
        <v/>
      </c>
      <c r="E110" s="27" t="n">
        <v/>
      </c>
      <c r="F110" s="28" t="n">
        <v>0</v>
      </c>
      <c r="G110" s="29" t="n">
        <v/>
      </c>
      <c r="H110" s="27" t="inlineStr">
        <is>
          <t>30º</t>
        </is>
      </c>
      <c r="I110" s="28" t="n">
        <v>25000</v>
      </c>
      <c r="J110" s="29" t="n">
        <v>0.00014259404</v>
      </c>
    </row>
    <row r="111" ht="12.75" customHeight="1" s="8">
      <c r="A111" s="30" t="inlineStr">
        <is>
          <t>UNICRED DTVM</t>
        </is>
      </c>
      <c r="B111" s="31" t="n">
        <v/>
      </c>
      <c r="C111" s="32" t="n">
        <v>0</v>
      </c>
      <c r="D111" s="33" t="n">
        <v/>
      </c>
      <c r="E111" s="31" t="n">
        <v/>
      </c>
      <c r="F111" s="32" t="n">
        <v>0</v>
      </c>
      <c r="G111" s="33" t="n">
        <v/>
      </c>
      <c r="H111" s="31" t="inlineStr">
        <is>
          <t>35º</t>
        </is>
      </c>
      <c r="I111" s="32" t="n">
        <v>54.5</v>
      </c>
      <c r="J111" s="33" t="n">
        <v>3.1086e-07</v>
      </c>
    </row>
    <row r="112" ht="12.75" customHeight="1" s="8">
      <c r="A112" s="26" t="inlineStr">
        <is>
          <t>TORO INVESTIMENTOS</t>
        </is>
      </c>
      <c r="B112" s="27" t="n">
        <v/>
      </c>
      <c r="C112" s="28" t="n">
        <v>0</v>
      </c>
      <c r="D112" s="29" t="n">
        <v/>
      </c>
      <c r="E112" s="27" t="n">
        <v/>
      </c>
      <c r="F112" s="28" t="n">
        <v>0</v>
      </c>
      <c r="G112" s="29" t="n">
        <v/>
      </c>
      <c r="H112" s="27" t="inlineStr">
        <is>
          <t>36º</t>
        </is>
      </c>
      <c r="I112" s="28" t="n">
        <v>32.5</v>
      </c>
      <c r="J112" s="29" t="n">
        <v>1.8537e-07</v>
      </c>
    </row>
    <row r="113" ht="12.75" customHeight="1" s="8">
      <c r="A113" s="34" t="inlineStr">
        <is>
          <t>Total</t>
        </is>
      </c>
      <c r="B113" s="35" t="n"/>
      <c r="C113" s="36">
        <f>SUM(C76:C112)</f>
        <v/>
      </c>
      <c r="D113" s="37">
        <f>_xlfn.ROUND(SUM(D76:D112), 1)</f>
        <v/>
      </c>
      <c r="E113" s="35" t="n"/>
      <c r="F113" s="36">
        <f>SUM(F76:F112)</f>
        <v/>
      </c>
      <c r="G113" s="37">
        <f>_xlfn.ROUND(SUM(G76:G112), 1)</f>
        <v/>
      </c>
      <c r="H113" s="35" t="n"/>
      <c r="I113" s="36">
        <f>SUM(I76:I112)</f>
        <v/>
      </c>
      <c r="J113" s="37">
        <f>_xlfn.ROUND(SUM(J76:J112), 1)</f>
        <v/>
      </c>
    </row>
    <row r="114" ht="12.75" customHeight="1" s="8"/>
    <row r="115" ht="12.75" customHeight="1" s="8"/>
    <row r="116" ht="12.75" customHeight="1" s="8">
      <c r="A116" s="22" t="inlineStr">
        <is>
          <t>Tipo 1.3. Securitização</t>
        </is>
      </c>
      <c r="J116" s="23" t="n"/>
    </row>
    <row r="117" ht="12.75" customHeight="1" s="8">
      <c r="A117" s="24" t="inlineStr">
        <is>
          <t>Distribuidores</t>
        </is>
      </c>
      <c r="B117" s="24" t="inlineStr">
        <is>
          <t>Acumulado 2026</t>
        </is>
      </c>
      <c r="C117" s="24" t="n"/>
      <c r="D117" s="24" t="n"/>
      <c r="E117" s="24" t="inlineStr">
        <is>
          <t>Últimos 3 meses</t>
        </is>
      </c>
      <c r="F117" s="24" t="n"/>
      <c r="G117" s="24" t="n"/>
      <c r="H117" s="24" t="inlineStr">
        <is>
          <t>Últimos 12 meses</t>
        </is>
      </c>
      <c r="I117" s="24" t="n"/>
      <c r="J117" s="25" t="n"/>
    </row>
    <row r="118" ht="12.75" customHeight="1" s="8">
      <c r="A118" s="24" t="n"/>
      <c r="B118" s="24" t="inlineStr">
        <is>
          <t>Ranking 2026</t>
        </is>
      </c>
      <c r="C118" s="24" t="inlineStr">
        <is>
          <t>Valor *</t>
        </is>
      </c>
      <c r="D118" s="24" t="inlineStr">
        <is>
          <t>Part.</t>
        </is>
      </c>
      <c r="E118" s="24" t="inlineStr">
        <is>
          <t>Ranking 3 meses</t>
        </is>
      </c>
      <c r="F118" s="24" t="inlineStr">
        <is>
          <t>Valor *</t>
        </is>
      </c>
      <c r="G118" s="24" t="inlineStr">
        <is>
          <t>Part.</t>
        </is>
      </c>
      <c r="H118" s="24" t="inlineStr">
        <is>
          <t>Ranking 12 meses</t>
        </is>
      </c>
      <c r="I118" s="24" t="inlineStr">
        <is>
          <t>Valor *</t>
        </is>
      </c>
      <c r="J118" s="25" t="inlineStr">
        <is>
          <t>Part.</t>
        </is>
      </c>
    </row>
    <row r="119" ht="12.75" customHeight="1" s="8">
      <c r="A119" s="26" t="inlineStr">
        <is>
          <t>ITAU BBA</t>
        </is>
      </c>
      <c r="B119" s="27" t="inlineStr">
        <is>
          <t>1º</t>
        </is>
      </c>
      <c r="C119" s="28" t="n">
        <v>9474152.27245</v>
      </c>
      <c r="D119" s="29" t="n">
        <v>0.33544248607</v>
      </c>
      <c r="E119" s="27" t="inlineStr">
        <is>
          <t>1º</t>
        </is>
      </c>
      <c r="F119" s="28" t="n">
        <v>4095637.56191</v>
      </c>
      <c r="G119" s="29" t="n">
        <v>0.29583886512</v>
      </c>
      <c r="H119" s="27" t="inlineStr">
        <is>
          <t>1º</t>
        </is>
      </c>
      <c r="I119" s="28" t="n">
        <v>17341875.4543</v>
      </c>
      <c r="J119" s="29" t="n">
        <v>0.23747871513</v>
      </c>
    </row>
    <row r="120" ht="12.75" customHeight="1" s="8">
      <c r="A120" s="30" t="inlineStr">
        <is>
          <t>BRADESCO BBI</t>
        </is>
      </c>
      <c r="B120" s="31" t="inlineStr">
        <is>
          <t>2º</t>
        </is>
      </c>
      <c r="C120" s="32" t="n">
        <v>4942962.468269999</v>
      </c>
      <c r="D120" s="33" t="n">
        <v>0.17501086865</v>
      </c>
      <c r="E120" s="31" t="inlineStr">
        <is>
          <t>2º</t>
        </is>
      </c>
      <c r="F120" s="32" t="n">
        <v>1873559.13964</v>
      </c>
      <c r="G120" s="33" t="n">
        <v>0.13533219217</v>
      </c>
      <c r="H120" s="31" t="inlineStr">
        <is>
          <t>2º</t>
        </is>
      </c>
      <c r="I120" s="32" t="n">
        <v>10061829.17891</v>
      </c>
      <c r="J120" s="33" t="n">
        <v>0.13778615073</v>
      </c>
    </row>
    <row r="121" ht="12.75" customHeight="1" s="8">
      <c r="A121" s="26" t="inlineStr">
        <is>
          <t>UBS BB</t>
        </is>
      </c>
      <c r="B121" s="27" t="inlineStr">
        <is>
          <t>3º</t>
        </is>
      </c>
      <c r="C121" s="28" t="n">
        <v>2825125.33671</v>
      </c>
      <c r="D121" s="29" t="n">
        <v>0.10002658171</v>
      </c>
      <c r="E121" s="27" t="inlineStr">
        <is>
          <t>8º</t>
        </is>
      </c>
      <c r="F121" s="28" t="n">
        <v>818518.25482</v>
      </c>
      <c r="G121" s="29" t="n">
        <v>0.05912376472</v>
      </c>
      <c r="H121" s="27" t="inlineStr">
        <is>
          <t>7º</t>
        </is>
      </c>
      <c r="I121" s="28" t="n">
        <v>4339705.145020001</v>
      </c>
      <c r="J121" s="29" t="n">
        <v>0.05942769019</v>
      </c>
    </row>
    <row r="122" ht="12.75" customHeight="1" s="8">
      <c r="A122" s="30" t="inlineStr">
        <is>
          <t>BTG PACTUAL</t>
        </is>
      </c>
      <c r="B122" s="31" t="inlineStr">
        <is>
          <t>4º</t>
        </is>
      </c>
      <c r="C122" s="32" t="n">
        <v>2601860.99002</v>
      </c>
      <c r="D122" s="33" t="n">
        <v>0.09212166892</v>
      </c>
      <c r="E122" s="31" t="inlineStr">
        <is>
          <t>3º</t>
        </is>
      </c>
      <c r="F122" s="32" t="n">
        <v>1256572.0436</v>
      </c>
      <c r="G122" s="33" t="n">
        <v>0.09076556255</v>
      </c>
      <c r="H122" s="31" t="inlineStr">
        <is>
          <t>4º</t>
        </is>
      </c>
      <c r="I122" s="32" t="n">
        <v>8224028.11157</v>
      </c>
      <c r="J122" s="33" t="n">
        <v>0.11261940119</v>
      </c>
    </row>
    <row r="123" ht="12.75" customHeight="1" s="8">
      <c r="A123" s="26" t="inlineStr">
        <is>
          <t>XP INVESTIMENTOS</t>
        </is>
      </c>
      <c r="B123" s="27" t="inlineStr">
        <is>
          <t>5º</t>
        </is>
      </c>
      <c r="C123" s="28" t="n">
        <v>1537243.32186</v>
      </c>
      <c r="D123" s="29" t="n">
        <v>0.05442774264</v>
      </c>
      <c r="E123" s="27" t="inlineStr">
        <is>
          <t>7º</t>
        </is>
      </c>
      <c r="F123" s="28" t="n">
        <v>844360.18235</v>
      </c>
      <c r="G123" s="29" t="n">
        <v>0.06099039632</v>
      </c>
      <c r="H123" s="27" t="inlineStr">
        <is>
          <t>3º</t>
        </is>
      </c>
      <c r="I123" s="28" t="n">
        <v>8272197.122109998</v>
      </c>
      <c r="J123" s="29" t="n">
        <v>0.11327902504</v>
      </c>
    </row>
    <row r="124" ht="12.75" customHeight="1" s="8">
      <c r="A124" s="30" t="inlineStr">
        <is>
          <t>BR PARTNERS</t>
        </is>
      </c>
      <c r="B124" s="31" t="inlineStr">
        <is>
          <t>6º</t>
        </is>
      </c>
      <c r="C124" s="32" t="n">
        <v>1205394.98756</v>
      </c>
      <c r="D124" s="33" t="n">
        <v>0.04267829772</v>
      </c>
      <c r="E124" s="31" t="inlineStr">
        <is>
          <t>11º</t>
        </is>
      </c>
      <c r="F124" s="32" t="n">
        <v>377203.78848</v>
      </c>
      <c r="G124" s="33" t="n">
        <v>0.02724643942</v>
      </c>
      <c r="H124" s="31" t="inlineStr">
        <is>
          <t>10º</t>
        </is>
      </c>
      <c r="I124" s="32" t="n">
        <v>2001669.75741</v>
      </c>
      <c r="J124" s="33" t="n">
        <v>0.02741075862</v>
      </c>
    </row>
    <row r="125" ht="12.75" customHeight="1" s="8">
      <c r="A125" s="26" t="inlineStr">
        <is>
          <t>SAFRA</t>
        </is>
      </c>
      <c r="B125" s="27" t="inlineStr">
        <is>
          <t>7º</t>
        </is>
      </c>
      <c r="C125" s="28" t="n">
        <v>1114858.84588</v>
      </c>
      <c r="D125" s="29" t="n">
        <v>0.03947276887</v>
      </c>
      <c r="E125" s="27" t="inlineStr">
        <is>
          <t>4º</t>
        </is>
      </c>
      <c r="F125" s="28" t="n">
        <v>1031304.14588</v>
      </c>
      <c r="G125" s="29" t="n">
        <v>0.07449385926</v>
      </c>
      <c r="H125" s="27" t="inlineStr">
        <is>
          <t>5º</t>
        </is>
      </c>
      <c r="I125" s="28" t="n">
        <v>5234501.069949999</v>
      </c>
      <c r="J125" s="29" t="n">
        <v>0.07168097774</v>
      </c>
    </row>
    <row r="126" ht="12.75" customHeight="1" s="8">
      <c r="A126" s="30" t="inlineStr">
        <is>
          <t>ABC BRASIL</t>
        </is>
      </c>
      <c r="B126" s="31" t="inlineStr">
        <is>
          <t>8º</t>
        </is>
      </c>
      <c r="C126" s="32" t="n">
        <v>998125</v>
      </c>
      <c r="D126" s="33" t="n">
        <v>0.0353396823</v>
      </c>
      <c r="E126" s="31" t="inlineStr">
        <is>
          <t>5º</t>
        </is>
      </c>
      <c r="F126" s="32" t="n">
        <v>998125</v>
      </c>
      <c r="G126" s="33" t="n">
        <v>0.07209724073</v>
      </c>
      <c r="H126" s="31" t="inlineStr">
        <is>
          <t>11º</t>
        </is>
      </c>
      <c r="I126" s="32" t="n">
        <v>1664083.69565</v>
      </c>
      <c r="J126" s="33" t="n">
        <v>0.02278787314</v>
      </c>
    </row>
    <row r="127" ht="12.75" customHeight="1" s="8">
      <c r="A127" s="26" t="inlineStr">
        <is>
          <t>BB-BI</t>
        </is>
      </c>
      <c r="B127" s="27" t="inlineStr">
        <is>
          <t>9º</t>
        </is>
      </c>
      <c r="C127" s="28" t="n">
        <v>989564.4192699998</v>
      </c>
      <c r="D127" s="29" t="n">
        <v>0.03503658579</v>
      </c>
      <c r="E127" s="27" t="inlineStr">
        <is>
          <t>6º</t>
        </is>
      </c>
      <c r="F127" s="28" t="n">
        <v>913398.4192699998</v>
      </c>
      <c r="G127" s="29" t="n">
        <v>0.06597721299000001</v>
      </c>
      <c r="H127" s="27" t="inlineStr">
        <is>
          <t>8º</t>
        </is>
      </c>
      <c r="I127" s="28" t="n">
        <v>3124612.54511</v>
      </c>
      <c r="J127" s="29" t="n">
        <v>0.04278827711</v>
      </c>
    </row>
    <row r="128" ht="12.75" customHeight="1" s="8">
      <c r="A128" s="30" t="inlineStr">
        <is>
          <t>INTER</t>
        </is>
      </c>
      <c r="B128" s="31" t="inlineStr">
        <is>
          <t>10º</t>
        </is>
      </c>
      <c r="C128" s="32" t="n">
        <v>586385.5025400001</v>
      </c>
      <c r="D128" s="33" t="n">
        <v>0.02076160538</v>
      </c>
      <c r="E128" s="31" t="inlineStr">
        <is>
          <t>9º</t>
        </is>
      </c>
      <c r="F128" s="32" t="n">
        <v>583767.15873</v>
      </c>
      <c r="G128" s="33" t="n">
        <v>0.04216706462</v>
      </c>
      <c r="H128" s="31" t="inlineStr">
        <is>
          <t>12º</t>
        </is>
      </c>
      <c r="I128" s="32" t="n">
        <v>1225777.27483</v>
      </c>
      <c r="J128" s="33" t="n">
        <v>0.01678572845</v>
      </c>
    </row>
    <row r="129" ht="12.75" customHeight="1" s="8">
      <c r="A129" s="26" t="inlineStr">
        <is>
          <t>SANTANDER</t>
        </is>
      </c>
      <c r="B129" s="27" t="inlineStr">
        <is>
          <t>11º</t>
        </is>
      </c>
      <c r="C129" s="28" t="n">
        <v>582718.0188900001</v>
      </c>
      <c r="D129" s="29" t="n">
        <v>0.0206317542</v>
      </c>
      <c r="E129" s="27" t="inlineStr">
        <is>
          <t>12º</t>
        </is>
      </c>
      <c r="F129" s="28" t="n">
        <v>310303.0125</v>
      </c>
      <c r="G129" s="29" t="n">
        <v>0.02241401727</v>
      </c>
      <c r="H129" s="27" t="inlineStr">
        <is>
          <t>6º</t>
        </is>
      </c>
      <c r="I129" s="28" t="n">
        <v>4494553.995399999</v>
      </c>
      <c r="J129" s="29" t="n">
        <v>0.06154818207</v>
      </c>
    </row>
    <row r="130" ht="12.75" customHeight="1" s="8">
      <c r="A130" s="30" t="inlineStr">
        <is>
          <t>VOTORANTIM</t>
        </is>
      </c>
      <c r="B130" s="31" t="inlineStr">
        <is>
          <t>12º</t>
        </is>
      </c>
      <c r="C130" s="32" t="n">
        <v>497210.68816</v>
      </c>
      <c r="D130" s="33" t="n">
        <v>0.01760427577</v>
      </c>
      <c r="E130" s="31" t="inlineStr">
        <is>
          <t>10º</t>
        </is>
      </c>
      <c r="F130" s="32" t="n">
        <v>497210.68816</v>
      </c>
      <c r="G130" s="33" t="n">
        <v>0.03591485904</v>
      </c>
      <c r="H130" s="31" t="inlineStr">
        <is>
          <t>9º</t>
        </is>
      </c>
      <c r="I130" s="32" t="n">
        <v>2851535.68816</v>
      </c>
      <c r="J130" s="33" t="n">
        <v>0.03904877723</v>
      </c>
    </row>
    <row r="131" ht="12.75" customHeight="1" s="8">
      <c r="A131" s="26" t="inlineStr">
        <is>
          <t>ASA ASSET 2 GESTÃO DE RECURSOS LTDA</t>
        </is>
      </c>
      <c r="B131" s="27" t="inlineStr">
        <is>
          <t>13º</t>
        </is>
      </c>
      <c r="C131" s="28" t="n">
        <v>204234</v>
      </c>
      <c r="D131" s="29" t="n">
        <v>0.00723112303</v>
      </c>
      <c r="E131" s="27" t="n">
        <v/>
      </c>
      <c r="F131" s="28" t="n">
        <v>0</v>
      </c>
      <c r="G131" s="29" t="n">
        <v/>
      </c>
      <c r="H131" s="27" t="inlineStr">
        <is>
          <t>20º</t>
        </is>
      </c>
      <c r="I131" s="28" t="n">
        <v>204234</v>
      </c>
      <c r="J131" s="29" t="n">
        <v>0.00279676947</v>
      </c>
    </row>
    <row r="132" ht="12.75" customHeight="1" s="8">
      <c r="A132" s="30" t="inlineStr">
        <is>
          <t>One Corporate</t>
        </is>
      </c>
      <c r="B132" s="31" t="inlineStr">
        <is>
          <t>14º</t>
        </is>
      </c>
      <c r="C132" s="32" t="n">
        <v>175298.477</v>
      </c>
      <c r="D132" s="33" t="n">
        <v>0.00620662992</v>
      </c>
      <c r="E132" s="31" t="inlineStr">
        <is>
          <t>13º</t>
        </is>
      </c>
      <c r="F132" s="32" t="n">
        <v>67841.31</v>
      </c>
      <c r="G132" s="33" t="n">
        <v>0.00490035943</v>
      </c>
      <c r="H132" s="31" t="inlineStr">
        <is>
          <t>19º</t>
        </is>
      </c>
      <c r="I132" s="32" t="n">
        <v>204298.477</v>
      </c>
      <c r="J132" s="33" t="n">
        <v>0.00279765242</v>
      </c>
    </row>
    <row r="133" ht="12.75" customHeight="1" s="8">
      <c r="A133" s="26" t="inlineStr">
        <is>
          <t>DAYCOVAL</t>
        </is>
      </c>
      <c r="B133" s="27" t="inlineStr">
        <is>
          <t>15º</t>
        </is>
      </c>
      <c r="C133" s="28" t="n">
        <v>96832.86456999999</v>
      </c>
      <c r="D133" s="29" t="n">
        <v>0.00342847105</v>
      </c>
      <c r="E133" s="27" t="inlineStr">
        <is>
          <t>16º</t>
        </is>
      </c>
      <c r="F133" s="28" t="n">
        <v>32822.86457</v>
      </c>
      <c r="G133" s="29" t="n">
        <v>0.00237088337</v>
      </c>
      <c r="H133" s="27" t="inlineStr">
        <is>
          <t>14º</t>
        </is>
      </c>
      <c r="I133" s="28" t="n">
        <v>553812.6626</v>
      </c>
      <c r="J133" s="29" t="n">
        <v>0.00758388099</v>
      </c>
    </row>
    <row r="134" ht="12.75" customHeight="1" s="8">
      <c r="A134" s="30" t="inlineStr">
        <is>
          <t>BAMBOO SEC</t>
        </is>
      </c>
      <c r="B134" s="31" t="inlineStr">
        <is>
          <t>16º</t>
        </is>
      </c>
      <c r="C134" s="32" t="n">
        <v>65000</v>
      </c>
      <c r="D134" s="33" t="n">
        <v>0.00230139446</v>
      </c>
      <c r="E134" s="31" t="inlineStr">
        <is>
          <t>17º</t>
        </is>
      </c>
      <c r="F134" s="32" t="n">
        <v>20000</v>
      </c>
      <c r="G134" s="33" t="n">
        <v>0.00144465354</v>
      </c>
      <c r="H134" s="31" t="inlineStr">
        <is>
          <t>26º</t>
        </is>
      </c>
      <c r="I134" s="32" t="n">
        <v>65000</v>
      </c>
      <c r="J134" s="33" t="n">
        <v>0.00089010652</v>
      </c>
    </row>
    <row r="135" ht="12.75" customHeight="1" s="8">
      <c r="A135" s="26" t="inlineStr">
        <is>
          <t>BOCOM BBM</t>
        </is>
      </c>
      <c r="B135" s="27" t="inlineStr">
        <is>
          <t>17º</t>
        </is>
      </c>
      <c r="C135" s="28" t="n">
        <v>62366.66666</v>
      </c>
      <c r="D135" s="29" t="n">
        <v>0.00220815848</v>
      </c>
      <c r="E135" s="27" t="inlineStr">
        <is>
          <t>14º</t>
        </is>
      </c>
      <c r="F135" s="28" t="n">
        <v>62366.66666</v>
      </c>
      <c r="G135" s="29" t="n">
        <v>0.00450491129</v>
      </c>
      <c r="H135" s="27" t="inlineStr">
        <is>
          <t>27º</t>
        </is>
      </c>
      <c r="I135" s="28" t="n">
        <v>63323.66666</v>
      </c>
      <c r="J135" s="29" t="n">
        <v>0.00086715091</v>
      </c>
    </row>
    <row r="136" ht="12.75" customHeight="1" s="8">
      <c r="A136" s="30" t="inlineStr">
        <is>
          <t>TERRA</t>
        </is>
      </c>
      <c r="B136" s="31" t="inlineStr">
        <is>
          <t>18º</t>
        </is>
      </c>
      <c r="C136" s="32" t="n">
        <v>59847.0925</v>
      </c>
      <c r="D136" s="33" t="n">
        <v>0.00211895027</v>
      </c>
      <c r="E136" s="31" t="n">
        <v/>
      </c>
      <c r="F136" s="32" t="n">
        <v>0</v>
      </c>
      <c r="G136" s="33" t="n">
        <v/>
      </c>
      <c r="H136" s="31" t="inlineStr">
        <is>
          <t>28º</t>
        </is>
      </c>
      <c r="I136" s="32" t="n">
        <v>60056.09249</v>
      </c>
      <c r="J136" s="33" t="n">
        <v>0.00082240492</v>
      </c>
    </row>
    <row r="137" ht="12.75" customHeight="1" s="8">
      <c r="A137" s="26" t="inlineStr">
        <is>
          <t>CEF</t>
        </is>
      </c>
      <c r="B137" s="27" t="inlineStr">
        <is>
          <t>19º</t>
        </is>
      </c>
      <c r="C137" s="28" t="n">
        <v>58175</v>
      </c>
      <c r="D137" s="29" t="n">
        <v>0.00205974805</v>
      </c>
      <c r="E137" s="27" t="inlineStr">
        <is>
          <t>15º</t>
        </is>
      </c>
      <c r="F137" s="28" t="n">
        <v>43000</v>
      </c>
      <c r="G137" s="29" t="n">
        <v>0.00310600511</v>
      </c>
      <c r="H137" s="27" t="inlineStr">
        <is>
          <t>18º</t>
        </is>
      </c>
      <c r="I137" s="28" t="n">
        <v>245474.2</v>
      </c>
      <c r="J137" s="29" t="n">
        <v>0.00336151057</v>
      </c>
    </row>
    <row r="138" ht="12.75" customHeight="1" s="8">
      <c r="A138" s="30" t="inlineStr">
        <is>
          <t>EQI Investimentos CTVM</t>
        </is>
      </c>
      <c r="B138" s="31" t="inlineStr">
        <is>
          <t>20º</t>
        </is>
      </c>
      <c r="C138" s="32" t="n">
        <v>58087</v>
      </c>
      <c r="D138" s="33" t="n">
        <v>0.00205663231</v>
      </c>
      <c r="E138" s="31" t="n">
        <v/>
      </c>
      <c r="F138" s="32" t="n">
        <v>0</v>
      </c>
      <c r="G138" s="33" t="n">
        <v/>
      </c>
      <c r="H138" s="31" t="inlineStr">
        <is>
          <t>29º</t>
        </is>
      </c>
      <c r="I138" s="32" t="n">
        <v>58087</v>
      </c>
      <c r="J138" s="33" t="n">
        <v>0.00079544027</v>
      </c>
    </row>
    <row r="139" ht="12.75" customHeight="1" s="8">
      <c r="A139" s="26" t="inlineStr">
        <is>
          <t>CANAL COMPANHIA DE SECURITIZAÇÃO</t>
        </is>
      </c>
      <c r="B139" s="27" t="inlineStr">
        <is>
          <t>21º</t>
        </is>
      </c>
      <c r="C139" s="28" t="n">
        <v>25000</v>
      </c>
      <c r="D139" s="29" t="n">
        <v>0.00088515172</v>
      </c>
      <c r="E139" s="27" t="n">
        <v/>
      </c>
      <c r="F139" s="28" t="n">
        <v>0</v>
      </c>
      <c r="G139" s="29" t="n">
        <v/>
      </c>
      <c r="H139" s="27" t="inlineStr">
        <is>
          <t>15º</t>
        </is>
      </c>
      <c r="I139" s="28" t="n">
        <v>451849</v>
      </c>
      <c r="J139" s="29" t="n">
        <v>0.00618759604</v>
      </c>
    </row>
    <row r="140" ht="12.75" customHeight="1" s="8">
      <c r="A140" s="30" t="inlineStr">
        <is>
          <t>M7 IB</t>
        </is>
      </c>
      <c r="B140" s="31" t="inlineStr">
        <is>
          <t>22º</t>
        </is>
      </c>
      <c r="C140" s="32" t="n">
        <v>21000</v>
      </c>
      <c r="D140" s="33" t="n">
        <v>0.00074352744</v>
      </c>
      <c r="E140" s="31" t="n">
        <v/>
      </c>
      <c r="F140" s="32" t="n">
        <v>0</v>
      </c>
      <c r="G140" s="33" t="n">
        <v/>
      </c>
      <c r="H140" s="31" t="inlineStr">
        <is>
          <t>25º</t>
        </is>
      </c>
      <c r="I140" s="32" t="n">
        <v>77961.374</v>
      </c>
      <c r="J140" s="33" t="n">
        <v>0.00106759889</v>
      </c>
    </row>
    <row r="141" ht="12.75" customHeight="1" s="8">
      <c r="A141" s="26" t="inlineStr">
        <is>
          <t>GALAPAGOS CAPITAL INVESTIMENTOS E PARTICIPAÇÕES LTDA.</t>
        </is>
      </c>
      <c r="B141" s="27" t="inlineStr">
        <is>
          <t>23º</t>
        </is>
      </c>
      <c r="C141" s="28" t="n">
        <v>20787</v>
      </c>
      <c r="D141" s="29" t="n">
        <v>0.00073598595</v>
      </c>
      <c r="E141" s="27" t="n">
        <v/>
      </c>
      <c r="F141" s="28" t="n">
        <v>0</v>
      </c>
      <c r="G141" s="29" t="n">
        <v/>
      </c>
      <c r="H141" s="27" t="inlineStr">
        <is>
          <t>13º</t>
        </is>
      </c>
      <c r="I141" s="28" t="n">
        <v>892887</v>
      </c>
      <c r="J141" s="29" t="n">
        <v>0.01222714683</v>
      </c>
    </row>
    <row r="142" ht="12.75" customHeight="1" s="8">
      <c r="A142" s="30" t="inlineStr">
        <is>
          <t>RB CAPITAL DTVM</t>
        </is>
      </c>
      <c r="B142" s="31" t="inlineStr">
        <is>
          <t>24º</t>
        </is>
      </c>
      <c r="C142" s="32" t="n">
        <v>17397.19305</v>
      </c>
      <c r="D142" s="33" t="n">
        <v>0.00061596621</v>
      </c>
      <c r="E142" s="31" t="n">
        <v/>
      </c>
      <c r="F142" s="32" t="n">
        <v>0</v>
      </c>
      <c r="G142" s="33" t="n">
        <v/>
      </c>
      <c r="H142" s="31" t="inlineStr">
        <is>
          <t>22º</t>
        </is>
      </c>
      <c r="I142" s="32" t="n">
        <v>129169.19302</v>
      </c>
      <c r="J142" s="33" t="n">
        <v>0.00176883602</v>
      </c>
    </row>
    <row r="143" ht="12.75" customHeight="1" s="8">
      <c r="A143" s="26" t="inlineStr">
        <is>
          <t>GENIAL CV</t>
        </is>
      </c>
      <c r="B143" s="27" t="inlineStr">
        <is>
          <t>25º</t>
        </is>
      </c>
      <c r="C143" s="28" t="n">
        <v>13995.55165</v>
      </c>
      <c r="D143" s="29" t="n">
        <v>0.00049552746</v>
      </c>
      <c r="E143" s="27" t="inlineStr">
        <is>
          <t>18º</t>
        </is>
      </c>
      <c r="F143" s="28" t="n">
        <v>8881.55168</v>
      </c>
      <c r="G143" s="29" t="n">
        <v>0.00064153825</v>
      </c>
      <c r="H143" s="27" t="inlineStr">
        <is>
          <t>30º</t>
        </is>
      </c>
      <c r="I143" s="28" t="n">
        <v>52436.20284</v>
      </c>
      <c r="J143" s="29" t="n">
        <v>0.00071805856</v>
      </c>
    </row>
    <row r="144" ht="12.75" customHeight="1" s="8">
      <c r="A144" s="30" t="inlineStr">
        <is>
          <t>ANDBANK</t>
        </is>
      </c>
      <c r="B144" s="31" t="inlineStr">
        <is>
          <t>26º</t>
        </is>
      </c>
      <c r="C144" s="32" t="n">
        <v>3720</v>
      </c>
      <c r="D144" s="33" t="n">
        <v>0.00013171058</v>
      </c>
      <c r="E144" s="31" t="inlineStr">
        <is>
          <t>19º</t>
        </is>
      </c>
      <c r="F144" s="32" t="n">
        <v>3660</v>
      </c>
      <c r="G144" s="33" t="n">
        <v>0.0002643716</v>
      </c>
      <c r="H144" s="31" t="inlineStr">
        <is>
          <t>33º</t>
        </is>
      </c>
      <c r="I144" s="32" t="n">
        <v>10135.99999</v>
      </c>
      <c r="J144" s="33" t="n">
        <v>0.00013880184</v>
      </c>
    </row>
    <row r="145" ht="12.75" customHeight="1" s="8">
      <c r="A145" s="26" t="inlineStr">
        <is>
          <t>WARREN</t>
        </is>
      </c>
      <c r="B145" s="27" t="inlineStr">
        <is>
          <t>27º</t>
        </is>
      </c>
      <c r="C145" s="28" t="n">
        <v>3071.5</v>
      </c>
      <c r="D145" s="29" t="n">
        <v>0.00010874974</v>
      </c>
      <c r="E145" s="27" t="inlineStr">
        <is>
          <t>20º</t>
        </is>
      </c>
      <c r="F145" s="28" t="n">
        <v>3071.5</v>
      </c>
      <c r="G145" s="29" t="n">
        <v>0.00022186267</v>
      </c>
      <c r="H145" s="27" t="inlineStr">
        <is>
          <t>34º</t>
        </is>
      </c>
      <c r="I145" s="28" t="n">
        <v>5739.5</v>
      </c>
      <c r="J145" s="29" t="n">
        <v>7.859641000000001e-05</v>
      </c>
    </row>
    <row r="146" ht="12.75" customHeight="1" s="8">
      <c r="A146" s="30" t="inlineStr">
        <is>
          <t>OPEA SECURITIZADORA</t>
        </is>
      </c>
      <c r="B146" s="31" t="inlineStr">
        <is>
          <t>28º</t>
        </is>
      </c>
      <c r="C146" s="32" t="n">
        <v>1500</v>
      </c>
      <c r="D146" s="33" t="n">
        <v>5.31091e-05</v>
      </c>
      <c r="E146" s="31" t="inlineStr">
        <is>
          <t>21º</t>
        </is>
      </c>
      <c r="F146" s="32" t="n">
        <v>1500</v>
      </c>
      <c r="G146" s="33" t="n">
        <v>0.00010834902</v>
      </c>
      <c r="H146" s="31" t="inlineStr">
        <is>
          <t>16º</t>
        </is>
      </c>
      <c r="I146" s="32" t="n">
        <v>376415</v>
      </c>
      <c r="J146" s="33" t="n">
        <v>0.00515460688</v>
      </c>
    </row>
    <row r="147" ht="12.75" customHeight="1" s="8">
      <c r="A147" s="26" t="inlineStr">
        <is>
          <t>UNICRED DTVM</t>
        </is>
      </c>
      <c r="B147" s="27" t="inlineStr">
        <is>
          <t>29º</t>
        </is>
      </c>
      <c r="C147" s="28" t="n">
        <v>1078</v>
      </c>
      <c r="D147" s="29" t="n">
        <v>3.816774e-05</v>
      </c>
      <c r="E147" s="27" t="inlineStr">
        <is>
          <t>22º</t>
        </is>
      </c>
      <c r="F147" s="28" t="n">
        <v>1021.5</v>
      </c>
      <c r="G147" s="29" t="n">
        <v>7.378568000000001e-05</v>
      </c>
      <c r="H147" s="27" t="inlineStr">
        <is>
          <t>37º</t>
        </is>
      </c>
      <c r="I147" s="28" t="n">
        <v>2169.49907</v>
      </c>
      <c r="J147" s="29" t="n">
        <v>2.9709e-05</v>
      </c>
    </row>
    <row r="148" ht="12.75" customHeight="1" s="8">
      <c r="A148" s="30" t="inlineStr">
        <is>
          <t>MIRAE ASSET WEALTH MANAGEMENT (BRAZIL) CCTVM LTDA</t>
        </is>
      </c>
      <c r="B148" s="31" t="inlineStr">
        <is>
          <t>30º</t>
        </is>
      </c>
      <c r="C148" s="32" t="n">
        <v>703.49997</v>
      </c>
      <c r="D148" s="33" t="n">
        <v>2.490817e-05</v>
      </c>
      <c r="E148" s="31" t="n">
        <v/>
      </c>
      <c r="F148" s="32" t="n">
        <v>0</v>
      </c>
      <c r="G148" s="33" t="n">
        <v/>
      </c>
      <c r="H148" s="31" t="inlineStr">
        <is>
          <t>39º</t>
        </is>
      </c>
      <c r="I148" s="32" t="n">
        <v>709.99997</v>
      </c>
      <c r="J148" s="33" t="n">
        <v>9.722699999999999e-06</v>
      </c>
    </row>
    <row r="149" ht="12.75" customHeight="1" s="8">
      <c r="A149" s="26" t="inlineStr">
        <is>
          <t>C6 CTVM</t>
        </is>
      </c>
      <c r="B149" s="27" t="inlineStr">
        <is>
          <t>31º</t>
        </is>
      </c>
      <c r="C149" s="28" t="n">
        <v>49.99999</v>
      </c>
      <c r="D149" s="29" t="n">
        <v>1.7703e-06</v>
      </c>
      <c r="E149" s="27" t="inlineStr">
        <is>
          <t>23º</t>
        </is>
      </c>
      <c r="F149" s="28" t="n">
        <v>25</v>
      </c>
      <c r="G149" s="29" t="n">
        <v>1.80582e-06</v>
      </c>
      <c r="H149" s="27" t="inlineStr">
        <is>
          <t>38º</t>
        </is>
      </c>
      <c r="I149" s="28" t="n">
        <v>2130.49996</v>
      </c>
      <c r="J149" s="29" t="n">
        <v>2.917495e-05</v>
      </c>
    </row>
    <row r="150" ht="12.75" customHeight="1" s="8">
      <c r="A150" s="30" t="inlineStr">
        <is>
          <t>ORIZ ASSESSORIA FINANCEIRA LTDA</t>
        </is>
      </c>
      <c r="B150" s="31" t="n">
        <v/>
      </c>
      <c r="C150" s="32" t="n">
        <v>0</v>
      </c>
      <c r="D150" s="33" t="n">
        <v/>
      </c>
      <c r="E150" s="31" t="n">
        <v/>
      </c>
      <c r="F150" s="32" t="n">
        <v>0</v>
      </c>
      <c r="G150" s="33" t="n">
        <v/>
      </c>
      <c r="H150" s="31" t="inlineStr">
        <is>
          <t>17º</t>
        </is>
      </c>
      <c r="I150" s="32" t="n">
        <v>270895</v>
      </c>
      <c r="J150" s="33" t="n">
        <v>0.00370962164</v>
      </c>
    </row>
    <row r="151" ht="12.75" customHeight="1" s="8">
      <c r="A151" s="26" t="inlineStr">
        <is>
          <t>ARCHX CAPITAL</t>
        </is>
      </c>
      <c r="B151" s="27" t="n">
        <v/>
      </c>
      <c r="C151" s="28" t="n">
        <v>0</v>
      </c>
      <c r="D151" s="29" t="n">
        <v/>
      </c>
      <c r="E151" s="27" t="n">
        <v/>
      </c>
      <c r="F151" s="28" t="n">
        <v>0</v>
      </c>
      <c r="G151" s="29" t="n">
        <v/>
      </c>
      <c r="H151" s="27" t="inlineStr">
        <is>
          <t>21º</t>
        </is>
      </c>
      <c r="I151" s="28" t="n">
        <v>184123.59436</v>
      </c>
      <c r="J151" s="29" t="n">
        <v>0.00252137866</v>
      </c>
    </row>
    <row r="152" ht="12.75" customHeight="1" s="8">
      <c r="A152" s="30" t="inlineStr">
        <is>
          <t>MAX CAPITAL MARKETS</t>
        </is>
      </c>
      <c r="B152" s="31" t="n">
        <v/>
      </c>
      <c r="C152" s="32" t="n">
        <v>0</v>
      </c>
      <c r="D152" s="33" t="n">
        <v/>
      </c>
      <c r="E152" s="31" t="n">
        <v/>
      </c>
      <c r="F152" s="32" t="n">
        <v>0</v>
      </c>
      <c r="G152" s="33" t="n">
        <v/>
      </c>
      <c r="H152" s="31" t="inlineStr">
        <is>
          <t>23º</t>
        </is>
      </c>
      <c r="I152" s="32" t="n">
        <v>120000</v>
      </c>
      <c r="J152" s="33" t="n">
        <v>0.00164327358</v>
      </c>
    </row>
    <row r="153" ht="12.75" customHeight="1" s="8">
      <c r="A153" s="26" t="inlineStr">
        <is>
          <t>KEA CAPITAL MARKETS</t>
        </is>
      </c>
      <c r="B153" s="27" t="n">
        <v/>
      </c>
      <c r="C153" s="28" t="n">
        <v>0</v>
      </c>
      <c r="D153" s="29" t="n">
        <v/>
      </c>
      <c r="E153" s="27" t="n">
        <v/>
      </c>
      <c r="F153" s="28" t="n">
        <v>0</v>
      </c>
      <c r="G153" s="29" t="n">
        <v/>
      </c>
      <c r="H153" s="27" t="inlineStr">
        <is>
          <t>24º</t>
        </is>
      </c>
      <c r="I153" s="28" t="n">
        <v>92278</v>
      </c>
      <c r="J153" s="29" t="n">
        <v>0.00126365</v>
      </c>
    </row>
    <row r="154" ht="12.75" customHeight="1" s="8">
      <c r="A154" s="30" t="inlineStr">
        <is>
          <t xml:space="preserve"> EXES SERVIÇOS FINANCEIROS</t>
        </is>
      </c>
      <c r="B154" s="31" t="n">
        <v/>
      </c>
      <c r="C154" s="32" t="n">
        <v>0</v>
      </c>
      <c r="D154" s="33" t="n">
        <v/>
      </c>
      <c r="E154" s="31" t="n">
        <v/>
      </c>
      <c r="F154" s="32" t="n">
        <v>0</v>
      </c>
      <c r="G154" s="33" t="n">
        <v/>
      </c>
      <c r="H154" s="31" t="inlineStr">
        <is>
          <t>31º</t>
        </is>
      </c>
      <c r="I154" s="32" t="n">
        <v>40000</v>
      </c>
      <c r="J154" s="33" t="n">
        <v>0.00054775786</v>
      </c>
    </row>
    <row r="155" ht="12.75" customHeight="1" s="8">
      <c r="A155" s="26" t="inlineStr">
        <is>
          <t>BANCO BS2</t>
        </is>
      </c>
      <c r="B155" s="27" t="n">
        <v/>
      </c>
      <c r="C155" s="28" t="n">
        <v>0</v>
      </c>
      <c r="D155" s="29" t="n">
        <v/>
      </c>
      <c r="E155" s="27" t="n">
        <v/>
      </c>
      <c r="F155" s="28" t="n">
        <v>0</v>
      </c>
      <c r="G155" s="29" t="n">
        <v/>
      </c>
      <c r="H155" s="27" t="inlineStr">
        <is>
          <t>32º</t>
        </is>
      </c>
      <c r="I155" s="28" t="n">
        <v>20000</v>
      </c>
      <c r="J155" s="29" t="n">
        <v>0.00027387893</v>
      </c>
    </row>
    <row r="156" ht="12.75" customHeight="1" s="8">
      <c r="A156" s="30" t="inlineStr">
        <is>
          <t>TORO INVESTIMENTOS</t>
        </is>
      </c>
      <c r="B156" s="31" t="n">
        <v/>
      </c>
      <c r="C156" s="32" t="n">
        <v>0</v>
      </c>
      <c r="D156" s="33" t="n">
        <v/>
      </c>
      <c r="E156" s="31" t="n">
        <v/>
      </c>
      <c r="F156" s="32" t="n">
        <v>0</v>
      </c>
      <c r="G156" s="33" t="n">
        <v/>
      </c>
      <c r="H156" s="31" t="inlineStr">
        <is>
          <t>35º</t>
        </is>
      </c>
      <c r="I156" s="32" t="n">
        <v>3017.000230000001</v>
      </c>
      <c r="J156" s="33" t="n">
        <v>4.131464e-05</v>
      </c>
    </row>
    <row r="157" ht="12.75" customHeight="1" s="8">
      <c r="A157" s="26" t="inlineStr">
        <is>
          <t>AZIMUT</t>
        </is>
      </c>
      <c r="B157" s="27" t="n">
        <v/>
      </c>
      <c r="C157" s="28" t="n">
        <v>0</v>
      </c>
      <c r="D157" s="29" t="n">
        <v/>
      </c>
      <c r="E157" s="27" t="n">
        <v/>
      </c>
      <c r="F157" s="28" t="n">
        <v>0</v>
      </c>
      <c r="G157" s="29" t="n">
        <v/>
      </c>
      <c r="H157" s="27" t="inlineStr">
        <is>
          <t>36º</t>
        </is>
      </c>
      <c r="I157" s="28" t="n">
        <v>2283</v>
      </c>
      <c r="J157" s="29" t="n">
        <v>3.126328e-05</v>
      </c>
    </row>
    <row r="158" ht="12.75" customHeight="1" s="8">
      <c r="A158" s="30" t="inlineStr">
        <is>
          <t>ATIVA</t>
        </is>
      </c>
      <c r="B158" s="31" t="n">
        <v/>
      </c>
      <c r="C158" s="32" t="n">
        <v>0</v>
      </c>
      <c r="D158" s="33" t="n">
        <v/>
      </c>
      <c r="E158" s="31" t="n">
        <v/>
      </c>
      <c r="F158" s="32" t="n">
        <v>0</v>
      </c>
      <c r="G158" s="33" t="n">
        <v/>
      </c>
      <c r="H158" s="31" t="inlineStr">
        <is>
          <t>40º</t>
        </is>
      </c>
      <c r="I158" s="32" t="n">
        <v>112.5</v>
      </c>
      <c r="J158" s="33" t="n">
        <v>1.54057e-06</v>
      </c>
    </row>
    <row r="159" ht="12.75" customHeight="1" s="8">
      <c r="A159" s="34" t="inlineStr">
        <is>
          <t>Total</t>
        </is>
      </c>
      <c r="B159" s="35" t="n"/>
      <c r="C159" s="36">
        <f>SUM(C119:C158)</f>
        <v/>
      </c>
      <c r="D159" s="37">
        <f>_xlfn.ROUND(SUM(D119:D158), 1)</f>
        <v/>
      </c>
      <c r="E159" s="35" t="n"/>
      <c r="F159" s="36">
        <f>SUM(F119:F158)</f>
        <v/>
      </c>
      <c r="G159" s="37">
        <f>_xlfn.ROUND(SUM(G119:G158), 1)</f>
        <v/>
      </c>
      <c r="H159" s="35" t="n"/>
      <c r="I159" s="36">
        <f>SUM(I119:I158)</f>
        <v/>
      </c>
      <c r="J159" s="37">
        <f>_xlfn.ROUND(SUM(J119:J158), 1)</f>
        <v/>
      </c>
    </row>
    <row r="160" ht="12.75" customHeight="1" s="8"/>
    <row r="161" ht="12.75" customHeight="1" s="8"/>
    <row r="162" ht="12.75" customHeight="1" s="8">
      <c r="A162" s="22" t="inlineStr">
        <is>
          <t>Tipo 1.3.1. Emissão de Cotas Seniores e Subordinadas de FIDC</t>
        </is>
      </c>
      <c r="J162" s="23" t="n"/>
    </row>
    <row r="163" ht="12.75" customHeight="1" s="8">
      <c r="A163" s="24" t="inlineStr">
        <is>
          <t>Distribuidores</t>
        </is>
      </c>
      <c r="B163" s="24" t="inlineStr">
        <is>
          <t>Acumulado 2026</t>
        </is>
      </c>
      <c r="C163" s="24" t="n"/>
      <c r="D163" s="24" t="n"/>
      <c r="E163" s="24" t="inlineStr">
        <is>
          <t>Últimos 3 meses</t>
        </is>
      </c>
      <c r="F163" s="24" t="n"/>
      <c r="G163" s="24" t="n"/>
      <c r="H163" s="24" t="inlineStr">
        <is>
          <t>Últimos 12 meses</t>
        </is>
      </c>
      <c r="I163" s="24" t="n"/>
      <c r="J163" s="25" t="n"/>
    </row>
    <row r="164" ht="12.75" customHeight="1" s="8">
      <c r="A164" s="24" t="n"/>
      <c r="B164" s="24" t="inlineStr">
        <is>
          <t>Ranking 2026</t>
        </is>
      </c>
      <c r="C164" s="24" t="inlineStr">
        <is>
          <t>Valor *</t>
        </is>
      </c>
      <c r="D164" s="24" t="inlineStr">
        <is>
          <t>Part.</t>
        </is>
      </c>
      <c r="E164" s="24" t="inlineStr">
        <is>
          <t>Ranking 3 meses</t>
        </is>
      </c>
      <c r="F164" s="24" t="inlineStr">
        <is>
          <t>Valor *</t>
        </is>
      </c>
      <c r="G164" s="24" t="inlineStr">
        <is>
          <t>Part.</t>
        </is>
      </c>
      <c r="H164" s="24" t="inlineStr">
        <is>
          <t>Ranking 12 meses</t>
        </is>
      </c>
      <c r="I164" s="24" t="inlineStr">
        <is>
          <t>Valor *</t>
        </is>
      </c>
      <c r="J164" s="25" t="inlineStr">
        <is>
          <t>Part.</t>
        </is>
      </c>
    </row>
    <row r="165" ht="12.75" customHeight="1" s="8">
      <c r="A165" s="26" t="inlineStr">
        <is>
          <t>ITAU BBA</t>
        </is>
      </c>
      <c r="B165" s="27" t="inlineStr">
        <is>
          <t>1º</t>
        </is>
      </c>
      <c r="C165" s="28" t="n">
        <v>8519318.45026</v>
      </c>
      <c r="D165" s="29" t="n">
        <v>0.42471560618</v>
      </c>
      <c r="E165" s="27" t="inlineStr">
        <is>
          <t>1º</t>
        </is>
      </c>
      <c r="F165" s="28" t="n">
        <v>3304382.03703</v>
      </c>
      <c r="G165" s="29" t="n">
        <v>0.36539422707</v>
      </c>
      <c r="H165" s="27" t="inlineStr">
        <is>
          <t>1º</t>
        </is>
      </c>
      <c r="I165" s="28" t="n">
        <v>12447430.22482</v>
      </c>
      <c r="J165" s="29" t="n">
        <v>0.33323901731</v>
      </c>
    </row>
    <row r="166" ht="12.75" customHeight="1" s="8">
      <c r="A166" s="30" t="inlineStr">
        <is>
          <t>BRADESCO BBI</t>
        </is>
      </c>
      <c r="B166" s="31" t="inlineStr">
        <is>
          <t>2º</t>
        </is>
      </c>
      <c r="C166" s="32" t="n">
        <v>3835549.24392</v>
      </c>
      <c r="D166" s="33" t="n">
        <v>0.19121454746</v>
      </c>
      <c r="E166" s="31" t="inlineStr">
        <is>
          <t>2º</t>
        </is>
      </c>
      <c r="F166" s="32" t="n">
        <v>1355963.03703</v>
      </c>
      <c r="G166" s="33" t="n">
        <v>0.14994061228</v>
      </c>
      <c r="H166" s="31" t="inlineStr">
        <is>
          <t>2º</t>
        </is>
      </c>
      <c r="I166" s="32" t="n">
        <v>5986089.000890001</v>
      </c>
      <c r="J166" s="33" t="n">
        <v>0.16025785083</v>
      </c>
    </row>
    <row r="167" ht="12.75" customHeight="1" s="8">
      <c r="A167" s="26" t="inlineStr">
        <is>
          <t>UBS BB</t>
        </is>
      </c>
      <c r="B167" s="27" t="inlineStr">
        <is>
          <t>3º</t>
        </is>
      </c>
      <c r="C167" s="28" t="n">
        <v>2775022.46171</v>
      </c>
      <c r="D167" s="29" t="n">
        <v>0.1383438539</v>
      </c>
      <c r="E167" s="27" t="inlineStr">
        <is>
          <t>6º</t>
        </is>
      </c>
      <c r="F167" s="28" t="n">
        <v>797436.25482</v>
      </c>
      <c r="G167" s="29" t="n">
        <v>0.08817945403999999</v>
      </c>
      <c r="H167" s="27" t="inlineStr">
        <is>
          <t>3º</t>
        </is>
      </c>
      <c r="I167" s="28" t="n">
        <v>3924832.46171</v>
      </c>
      <c r="J167" s="29" t="n">
        <v>0.10507448437</v>
      </c>
    </row>
    <row r="168" ht="12.75" customHeight="1" s="8">
      <c r="A168" s="30" t="inlineStr">
        <is>
          <t>BTG PACTUAL</t>
        </is>
      </c>
      <c r="B168" s="31" t="inlineStr">
        <is>
          <t>4º</t>
        </is>
      </c>
      <c r="C168" s="32" t="n">
        <v>1636146.9334</v>
      </c>
      <c r="D168" s="33" t="n">
        <v>0.08156722168</v>
      </c>
      <c r="E168" s="31" t="inlineStr">
        <is>
          <t>4º</t>
        </is>
      </c>
      <c r="F168" s="32" t="n">
        <v>888197.9458999999</v>
      </c>
      <c r="G168" s="33" t="n">
        <v>0.09821576267</v>
      </c>
      <c r="H168" s="31" t="inlineStr">
        <is>
          <t>6º</t>
        </is>
      </c>
      <c r="I168" s="32" t="n">
        <v>2549230.01017</v>
      </c>
      <c r="J168" s="33" t="n">
        <v>0.06824725169</v>
      </c>
    </row>
    <row r="169" ht="12.75" customHeight="1" s="8">
      <c r="A169" s="26" t="inlineStr">
        <is>
          <t>ABC BRASIL</t>
        </is>
      </c>
      <c r="B169" s="27" t="inlineStr">
        <is>
          <t>5º</t>
        </is>
      </c>
      <c r="C169" s="28" t="n">
        <v>998125</v>
      </c>
      <c r="D169" s="29" t="n">
        <v>0.0497597627</v>
      </c>
      <c r="E169" s="27" t="inlineStr">
        <is>
          <t>3º</t>
        </is>
      </c>
      <c r="F169" s="28" t="n">
        <v>998125</v>
      </c>
      <c r="G169" s="29" t="n">
        <v>0.11037135198</v>
      </c>
      <c r="H169" s="27" t="inlineStr">
        <is>
          <t>9º</t>
        </is>
      </c>
      <c r="I169" s="28" t="n">
        <v>1324592</v>
      </c>
      <c r="J169" s="29" t="n">
        <v>0.03546159556</v>
      </c>
    </row>
    <row r="170" ht="12.75" customHeight="1" s="8">
      <c r="A170" s="30" t="inlineStr">
        <is>
          <t>SAFRA</t>
        </is>
      </c>
      <c r="B170" s="31" t="inlineStr">
        <is>
          <t>6º</t>
        </is>
      </c>
      <c r="C170" s="32" t="n">
        <v>810963.03703</v>
      </c>
      <c r="D170" s="33" t="n">
        <v>0.0404291329</v>
      </c>
      <c r="E170" s="31" t="inlineStr">
        <is>
          <t>5º</t>
        </is>
      </c>
      <c r="F170" s="32" t="n">
        <v>810963.03703</v>
      </c>
      <c r="G170" s="33" t="n">
        <v>0.08967522786</v>
      </c>
      <c r="H170" s="31" t="inlineStr">
        <is>
          <t>8º</t>
        </is>
      </c>
      <c r="I170" s="32" t="n">
        <v>1410963.03703</v>
      </c>
      <c r="J170" s="33" t="n">
        <v>0.03777389609</v>
      </c>
    </row>
    <row r="171" ht="12.75" customHeight="1" s="8">
      <c r="A171" s="26" t="inlineStr">
        <is>
          <t>XP INVESTIMENTOS</t>
        </is>
      </c>
      <c r="B171" s="27" t="inlineStr">
        <is>
          <t>7º</t>
        </is>
      </c>
      <c r="C171" s="28" t="n">
        <v>681645</v>
      </c>
      <c r="D171" s="29" t="n">
        <v>0.03398221009</v>
      </c>
      <c r="E171" s="27" t="inlineStr">
        <is>
          <t>8º</t>
        </is>
      </c>
      <c r="F171" s="28" t="n">
        <v>375000</v>
      </c>
      <c r="G171" s="29" t="n">
        <v>0.04146700763</v>
      </c>
      <c r="H171" s="27" t="inlineStr">
        <is>
          <t>7º</t>
        </is>
      </c>
      <c r="I171" s="28" t="n">
        <v>2482691.6</v>
      </c>
      <c r="J171" s="29" t="n">
        <v>0.06646590454</v>
      </c>
    </row>
    <row r="172" ht="12.75" customHeight="1" s="8">
      <c r="A172" s="30" t="inlineStr">
        <is>
          <t>VOTORANTIM</t>
        </is>
      </c>
      <c r="B172" s="31" t="inlineStr">
        <is>
          <t>8º</t>
        </is>
      </c>
      <c r="C172" s="32" t="n">
        <v>434210.68816</v>
      </c>
      <c r="D172" s="33" t="n">
        <v>0.02164680857</v>
      </c>
      <c r="E172" s="31" t="inlineStr">
        <is>
          <t>7º</t>
        </is>
      </c>
      <c r="F172" s="32" t="n">
        <v>434210.68816</v>
      </c>
      <c r="G172" s="33" t="n">
        <v>0.04801444779</v>
      </c>
      <c r="H172" s="31" t="inlineStr">
        <is>
          <t>5º</t>
        </is>
      </c>
      <c r="I172" s="32" t="n">
        <v>2606830.68816</v>
      </c>
      <c r="J172" s="33" t="n">
        <v>0.06978932046</v>
      </c>
    </row>
    <row r="173" ht="12.75" customHeight="1" s="8">
      <c r="A173" s="26" t="inlineStr">
        <is>
          <t>BR PARTNERS</t>
        </is>
      </c>
      <c r="B173" s="27" t="inlineStr">
        <is>
          <t>9º</t>
        </is>
      </c>
      <c r="C173" s="28" t="n">
        <v>232803</v>
      </c>
      <c r="D173" s="29" t="n">
        <v>0.01160598325</v>
      </c>
      <c r="E173" s="27" t="inlineStr">
        <is>
          <t>9º</t>
        </is>
      </c>
      <c r="F173" s="28" t="n">
        <v>59056</v>
      </c>
      <c r="G173" s="29" t="n">
        <v>0.00653033494</v>
      </c>
      <c r="H173" s="27" t="inlineStr">
        <is>
          <t>10º</t>
        </is>
      </c>
      <c r="I173" s="28" t="n">
        <v>623550.21947</v>
      </c>
      <c r="J173" s="29" t="n">
        <v>0.0166935069</v>
      </c>
    </row>
    <row r="174" ht="12.75" customHeight="1" s="8">
      <c r="A174" s="30" t="inlineStr">
        <is>
          <t>BAMBOO SEC</t>
        </is>
      </c>
      <c r="B174" s="31" t="inlineStr">
        <is>
          <t>10º</t>
        </is>
      </c>
      <c r="C174" s="32" t="n">
        <v>65000</v>
      </c>
      <c r="D174" s="33" t="n">
        <v>0.00324046044</v>
      </c>
      <c r="E174" s="31" t="inlineStr">
        <is>
          <t>10º</t>
        </is>
      </c>
      <c r="F174" s="32" t="n">
        <v>20000</v>
      </c>
      <c r="G174" s="33" t="n">
        <v>0.00221157374</v>
      </c>
      <c r="H174" s="31" t="inlineStr">
        <is>
          <t>16º</t>
        </is>
      </c>
      <c r="I174" s="32" t="n">
        <v>65000</v>
      </c>
      <c r="J174" s="33" t="n">
        <v>0.00174016128</v>
      </c>
    </row>
    <row r="175" ht="12.75" customHeight="1" s="8">
      <c r="A175" s="26" t="inlineStr">
        <is>
          <t>DAYCOVAL</t>
        </is>
      </c>
      <c r="B175" s="27" t="inlineStr">
        <is>
          <t>11º</t>
        </is>
      </c>
      <c r="C175" s="28" t="n">
        <v>64010</v>
      </c>
      <c r="D175" s="29" t="n">
        <v>0.00319110573</v>
      </c>
      <c r="E175" s="27" t="n">
        <v/>
      </c>
      <c r="F175" s="28" t="n">
        <v>0</v>
      </c>
      <c r="G175" s="29" t="n">
        <v/>
      </c>
      <c r="H175" s="27" t="inlineStr">
        <is>
          <t>11º</t>
        </is>
      </c>
      <c r="I175" s="28" t="n">
        <v>323840</v>
      </c>
      <c r="J175" s="29" t="n">
        <v>0.008669751220000001</v>
      </c>
    </row>
    <row r="176" ht="12.75" customHeight="1" s="8">
      <c r="A176" s="30" t="inlineStr">
        <is>
          <t>GALAPAGOS CAPITAL INVESTIMENTOS E PARTICIPAÇÕES LTDA.</t>
        </is>
      </c>
      <c r="B176" s="31" t="inlineStr">
        <is>
          <t>12º</t>
        </is>
      </c>
      <c r="C176" s="32" t="n">
        <v>6084</v>
      </c>
      <c r="D176" s="33" t="n">
        <v>0.0003033071</v>
      </c>
      <c r="E176" s="31" t="n">
        <v/>
      </c>
      <c r="F176" s="32" t="n">
        <v>0</v>
      </c>
      <c r="G176" s="33" t="n">
        <v/>
      </c>
      <c r="H176" s="31" t="inlineStr">
        <is>
          <t>14º</t>
        </is>
      </c>
      <c r="I176" s="32" t="n">
        <v>109858</v>
      </c>
      <c r="J176" s="33" t="n">
        <v>0.00294108674</v>
      </c>
    </row>
    <row r="177" ht="12.75" customHeight="1" s="8">
      <c r="A177" s="26" t="inlineStr">
        <is>
          <t>SANTANDER</t>
        </is>
      </c>
      <c r="B177" s="27" t="n">
        <v/>
      </c>
      <c r="C177" s="28" t="n">
        <v>0</v>
      </c>
      <c r="D177" s="29" t="n">
        <v/>
      </c>
      <c r="E177" s="27" t="n">
        <v/>
      </c>
      <c r="F177" s="28" t="n">
        <v>0</v>
      </c>
      <c r="G177" s="29" t="n">
        <v/>
      </c>
      <c r="H177" s="27" t="inlineStr">
        <is>
          <t>4º</t>
        </is>
      </c>
      <c r="I177" s="28" t="n">
        <v>2969655.75697</v>
      </c>
      <c r="J177" s="29" t="n">
        <v>0.07950276871</v>
      </c>
    </row>
    <row r="178" ht="12.75" customHeight="1" s="8">
      <c r="A178" s="30" t="inlineStr">
        <is>
          <t>ORIZ ASSESSORIA FINANCEIRA LTDA</t>
        </is>
      </c>
      <c r="B178" s="31" t="n">
        <v/>
      </c>
      <c r="C178" s="32" t="n">
        <v>0</v>
      </c>
      <c r="D178" s="33" t="n">
        <v/>
      </c>
      <c r="E178" s="31" t="n">
        <v/>
      </c>
      <c r="F178" s="32" t="n">
        <v>0</v>
      </c>
      <c r="G178" s="33" t="n">
        <v/>
      </c>
      <c r="H178" s="31" t="inlineStr">
        <is>
          <t>12º</t>
        </is>
      </c>
      <c r="I178" s="32" t="n">
        <v>270895</v>
      </c>
      <c r="J178" s="33" t="n">
        <v>0.00725232293</v>
      </c>
    </row>
    <row r="179" ht="12.75" customHeight="1" s="8">
      <c r="A179" s="26" t="inlineStr">
        <is>
          <t>ARCHX CAPITAL</t>
        </is>
      </c>
      <c r="B179" s="27" t="n">
        <v/>
      </c>
      <c r="C179" s="28" t="n">
        <v>0</v>
      </c>
      <c r="D179" s="29" t="n">
        <v/>
      </c>
      <c r="E179" s="27" t="n">
        <v/>
      </c>
      <c r="F179" s="28" t="n">
        <v>0</v>
      </c>
      <c r="G179" s="29" t="n">
        <v/>
      </c>
      <c r="H179" s="27" t="inlineStr">
        <is>
          <t>13º</t>
        </is>
      </c>
      <c r="I179" s="28" t="n">
        <v>165123.59436</v>
      </c>
      <c r="J179" s="29" t="n">
        <v>0.00442064132</v>
      </c>
    </row>
    <row r="180" ht="12.75" customHeight="1" s="8">
      <c r="A180" s="30" t="inlineStr">
        <is>
          <t>KEA CAPITAL MARKETS</t>
        </is>
      </c>
      <c r="B180" s="31" t="n">
        <v/>
      </c>
      <c r="C180" s="32" t="n">
        <v>0</v>
      </c>
      <c r="D180" s="33" t="n">
        <v/>
      </c>
      <c r="E180" s="31" t="n">
        <v/>
      </c>
      <c r="F180" s="32" t="n">
        <v>0</v>
      </c>
      <c r="G180" s="33" t="n">
        <v/>
      </c>
      <c r="H180" s="31" t="inlineStr">
        <is>
          <t>15º</t>
        </is>
      </c>
      <c r="I180" s="32" t="n">
        <v>92278</v>
      </c>
      <c r="J180" s="33" t="n">
        <v>0.00247044004</v>
      </c>
    </row>
    <row r="181" ht="12.75" customHeight="1" s="8">
      <c r="A181" s="34" t="inlineStr">
        <is>
          <t>Total</t>
        </is>
      </c>
      <c r="B181" s="35" t="n"/>
      <c r="C181" s="36">
        <f>SUM(C165:C180)</f>
        <v/>
      </c>
      <c r="D181" s="37">
        <f>_xlfn.ROUND(SUM(D165:D180), 1)</f>
        <v/>
      </c>
      <c r="E181" s="35" t="n"/>
      <c r="F181" s="36">
        <f>SUM(F165:F180)</f>
        <v/>
      </c>
      <c r="G181" s="37">
        <f>_xlfn.ROUND(SUM(G165:G180), 1)</f>
        <v/>
      </c>
      <c r="H181" s="35" t="n"/>
      <c r="I181" s="36">
        <f>SUM(I165:I180)</f>
        <v/>
      </c>
      <c r="J181" s="37">
        <f>_xlfn.ROUND(SUM(J165:J180), 1)</f>
        <v/>
      </c>
    </row>
    <row r="182" ht="12.75" customHeight="1" s="8"/>
    <row r="183" ht="12.75" customHeight="1" s="8"/>
    <row r="184" ht="12.75" customHeight="1" s="8">
      <c r="A184" s="22" t="inlineStr">
        <is>
          <t>Tipo 1.3.2. Emissão de Certificados de Recebíveis Imobiliários</t>
        </is>
      </c>
      <c r="J184" s="23" t="n"/>
    </row>
    <row r="185" ht="12.75" customHeight="1" s="8">
      <c r="A185" s="24" t="inlineStr">
        <is>
          <t>Distribuidores</t>
        </is>
      </c>
      <c r="B185" s="24" t="inlineStr">
        <is>
          <t>Acumulado 2026</t>
        </is>
      </c>
      <c r="C185" s="24" t="n"/>
      <c r="D185" s="24" t="n"/>
      <c r="E185" s="24" t="inlineStr">
        <is>
          <t>Últimos 3 meses</t>
        </is>
      </c>
      <c r="F185" s="24" t="n"/>
      <c r="G185" s="24" t="n"/>
      <c r="H185" s="24" t="inlineStr">
        <is>
          <t>Últimos 12 meses</t>
        </is>
      </c>
      <c r="I185" s="24" t="n"/>
      <c r="J185" s="25" t="n"/>
    </row>
    <row r="186" ht="12.75" customHeight="1" s="8">
      <c r="A186" s="24" t="n"/>
      <c r="B186" s="24" t="inlineStr">
        <is>
          <t>Ranking 2026</t>
        </is>
      </c>
      <c r="C186" s="24" t="inlineStr">
        <is>
          <t>Valor *</t>
        </is>
      </c>
      <c r="D186" s="24" t="inlineStr">
        <is>
          <t>Part.</t>
        </is>
      </c>
      <c r="E186" s="24" t="inlineStr">
        <is>
          <t>Ranking 3 meses</t>
        </is>
      </c>
      <c r="F186" s="24" t="inlineStr">
        <is>
          <t>Valor *</t>
        </is>
      </c>
      <c r="G186" s="24" t="inlineStr">
        <is>
          <t>Part.</t>
        </is>
      </c>
      <c r="H186" s="24" t="inlineStr">
        <is>
          <t>Ranking 12 meses</t>
        </is>
      </c>
      <c r="I186" s="24" t="inlineStr">
        <is>
          <t>Valor *</t>
        </is>
      </c>
      <c r="J186" s="25" t="inlineStr">
        <is>
          <t>Part.</t>
        </is>
      </c>
    </row>
    <row r="187" ht="12.75" customHeight="1" s="8">
      <c r="A187" s="26" t="inlineStr">
        <is>
          <t>BR PARTNERS</t>
        </is>
      </c>
      <c r="B187" s="27" t="inlineStr">
        <is>
          <t>1º</t>
        </is>
      </c>
      <c r="C187" s="28" t="n">
        <v>972591.9875599999</v>
      </c>
      <c r="D187" s="29" t="n">
        <v>0.19393334394</v>
      </c>
      <c r="E187" s="27" t="inlineStr">
        <is>
          <t>3º</t>
        </is>
      </c>
      <c r="F187" s="28" t="n">
        <v>318147.78848</v>
      </c>
      <c r="G187" s="29" t="n">
        <v>0.1066102535</v>
      </c>
      <c r="H187" s="27" t="inlineStr">
        <is>
          <t>5º</t>
        </is>
      </c>
      <c r="I187" s="28" t="n">
        <v>1328119.53794</v>
      </c>
      <c r="J187" s="29" t="n">
        <v>0.07634618298</v>
      </c>
    </row>
    <row r="188" ht="12.75" customHeight="1" s="8">
      <c r="A188" s="30" t="inlineStr">
        <is>
          <t>ITAU BBA</t>
        </is>
      </c>
      <c r="B188" s="31" t="inlineStr">
        <is>
          <t>2º</t>
        </is>
      </c>
      <c r="C188" s="32" t="n">
        <v>776584.83984</v>
      </c>
      <c r="D188" s="33" t="n">
        <v>0.15484982065</v>
      </c>
      <c r="E188" s="31" t="inlineStr">
        <is>
          <t>1º</t>
        </is>
      </c>
      <c r="F188" s="32" t="n">
        <v>700751.95</v>
      </c>
      <c r="G188" s="33" t="n">
        <v>0.23481962073</v>
      </c>
      <c r="H188" s="31" t="inlineStr">
        <is>
          <t>3º</t>
        </is>
      </c>
      <c r="I188" s="32" t="n">
        <v>2593302.34507</v>
      </c>
      <c r="J188" s="33" t="n">
        <v>0.14907448442</v>
      </c>
    </row>
    <row r="189" ht="12.75" customHeight="1" s="8">
      <c r="A189" s="26" t="inlineStr">
        <is>
          <t>XP INVESTIMENTOS</t>
        </is>
      </c>
      <c r="B189" s="27" t="inlineStr">
        <is>
          <t>3º</t>
        </is>
      </c>
      <c r="C189" s="28" t="n">
        <v>603257.43952</v>
      </c>
      <c r="D189" s="29" t="n">
        <v>0.12028860406</v>
      </c>
      <c r="E189" s="27" t="inlineStr">
        <is>
          <t>5º</t>
        </is>
      </c>
      <c r="F189" s="28" t="n">
        <v>278412.7</v>
      </c>
      <c r="G189" s="29" t="n">
        <v>0.09329515904000001</v>
      </c>
      <c r="H189" s="27" t="inlineStr">
        <is>
          <t>2º</t>
        </is>
      </c>
      <c r="I189" s="28" t="n">
        <v>2751342.11514</v>
      </c>
      <c r="J189" s="29" t="n">
        <v>0.15815930914</v>
      </c>
    </row>
    <row r="190" ht="12.75" customHeight="1" s="8">
      <c r="A190" s="30" t="inlineStr">
        <is>
          <t>INTER</t>
        </is>
      </c>
      <c r="B190" s="31" t="inlineStr">
        <is>
          <t>4º</t>
        </is>
      </c>
      <c r="C190" s="32" t="n">
        <v>562762.53384</v>
      </c>
      <c r="D190" s="33" t="n">
        <v>0.11221398225</v>
      </c>
      <c r="E190" s="31" t="inlineStr">
        <is>
          <t>2º</t>
        </is>
      </c>
      <c r="F190" s="32" t="n">
        <v>561364.6899999999</v>
      </c>
      <c r="G190" s="33" t="n">
        <v>0.18811141888</v>
      </c>
      <c r="H190" s="31" t="inlineStr">
        <is>
          <t>6º</t>
        </is>
      </c>
      <c r="I190" s="32" t="n">
        <v>1107064.03384</v>
      </c>
      <c r="J190" s="33" t="n">
        <v>0.06363893527</v>
      </c>
    </row>
    <row r="191" ht="12.75" customHeight="1" s="8">
      <c r="A191" s="26" t="inlineStr">
        <is>
          <t>BTG PACTUAL</t>
        </is>
      </c>
      <c r="B191" s="27" t="inlineStr">
        <is>
          <t>5º</t>
        </is>
      </c>
      <c r="C191" s="28" t="n">
        <v>561313.0589600001</v>
      </c>
      <c r="D191" s="29" t="n">
        <v>0.11192495919</v>
      </c>
      <c r="E191" s="27" t="inlineStr">
        <is>
          <t>4º</t>
        </is>
      </c>
      <c r="F191" s="28" t="n">
        <v>299808.95</v>
      </c>
      <c r="G191" s="29" t="n">
        <v>0.10046497042</v>
      </c>
      <c r="H191" s="27" t="inlineStr">
        <is>
          <t>1º</t>
        </is>
      </c>
      <c r="I191" s="28" t="n">
        <v>3120212.72103</v>
      </c>
      <c r="J191" s="29" t="n">
        <v>0.17936362244</v>
      </c>
    </row>
    <row r="192" ht="12.75" customHeight="1" s="8">
      <c r="A192" s="30" t="inlineStr">
        <is>
          <t>SANTANDER</t>
        </is>
      </c>
      <c r="B192" s="31" t="inlineStr">
        <is>
          <t>6º</t>
        </is>
      </c>
      <c r="C192" s="32" t="n">
        <v>403648.1064</v>
      </c>
      <c r="D192" s="33" t="n">
        <v>0.08048681055</v>
      </c>
      <c r="E192" s="31" t="inlineStr">
        <is>
          <t>7º</t>
        </is>
      </c>
      <c r="F192" s="32" t="n">
        <v>199050.2</v>
      </c>
      <c r="G192" s="33" t="n">
        <v>0.06670105230999999</v>
      </c>
      <c r="H192" s="31" t="inlineStr">
        <is>
          <t>9º</t>
        </is>
      </c>
      <c r="I192" s="32" t="n">
        <v>532499.67215</v>
      </c>
      <c r="J192" s="33" t="n">
        <v>0.03061043547</v>
      </c>
    </row>
    <row r="193" ht="12.75" customHeight="1" s="8">
      <c r="A193" s="26" t="inlineStr">
        <is>
          <t>SAFRA</t>
        </is>
      </c>
      <c r="B193" s="27" t="inlineStr">
        <is>
          <t>7º</t>
        </is>
      </c>
      <c r="C193" s="28" t="n">
        <v>220604</v>
      </c>
      <c r="D193" s="29" t="n">
        <v>0.04398809774</v>
      </c>
      <c r="E193" s="27" t="inlineStr">
        <is>
          <t>6º</t>
        </is>
      </c>
      <c r="F193" s="28" t="n">
        <v>213629.5</v>
      </c>
      <c r="G193" s="29" t="n">
        <v>0.07158652668</v>
      </c>
      <c r="H193" s="27" t="inlineStr">
        <is>
          <t>4º</t>
        </is>
      </c>
      <c r="I193" s="28" t="n">
        <v>1886967.07983</v>
      </c>
      <c r="J193" s="29" t="n">
        <v>0.1084712105</v>
      </c>
    </row>
    <row r="194" ht="12.75" customHeight="1" s="8">
      <c r="A194" s="30" t="inlineStr">
        <is>
          <t>BRADESCO BBI</t>
        </is>
      </c>
      <c r="B194" s="31" t="inlineStr">
        <is>
          <t>8º</t>
        </is>
      </c>
      <c r="C194" s="32" t="n">
        <v>218314.7468</v>
      </c>
      <c r="D194" s="33" t="n">
        <v>0.04353162417</v>
      </c>
      <c r="E194" s="31" t="inlineStr">
        <is>
          <t>9º</t>
        </is>
      </c>
      <c r="F194" s="32" t="n">
        <v>125915.2</v>
      </c>
      <c r="G194" s="33" t="n">
        <v>0.04219375987</v>
      </c>
      <c r="H194" s="31" t="inlineStr">
        <is>
          <t>7º</t>
        </is>
      </c>
      <c r="I194" s="32" t="n">
        <v>1063996.84859</v>
      </c>
      <c r="J194" s="33" t="n">
        <v>0.06116324305</v>
      </c>
    </row>
    <row r="195" ht="12.75" customHeight="1" s="8">
      <c r="A195" s="26" t="inlineStr">
        <is>
          <t>BB-BI</t>
        </is>
      </c>
      <c r="B195" s="27" t="inlineStr">
        <is>
          <t>9º</t>
        </is>
      </c>
      <c r="C195" s="28" t="n">
        <v>211393.5</v>
      </c>
      <c r="D195" s="29" t="n">
        <v>0.04215153823</v>
      </c>
      <c r="E195" s="27" t="inlineStr">
        <is>
          <t>8º</t>
        </is>
      </c>
      <c r="F195" s="28" t="n">
        <v>135227.5</v>
      </c>
      <c r="G195" s="29" t="n">
        <v>0.04531428027</v>
      </c>
      <c r="H195" s="27" t="inlineStr">
        <is>
          <t>11º</t>
        </is>
      </c>
      <c r="I195" s="28" t="n">
        <v>281625</v>
      </c>
      <c r="J195" s="29" t="n">
        <v>0.01618905013</v>
      </c>
    </row>
    <row r="196" ht="12.75" customHeight="1" s="8">
      <c r="A196" s="30" t="inlineStr">
        <is>
          <t>ASA ASSET 2 GESTÃO DE RECURSOS LTDA</t>
        </is>
      </c>
      <c r="B196" s="31" t="inlineStr">
        <is>
          <t>10º</t>
        </is>
      </c>
      <c r="C196" s="32" t="n">
        <v>204234</v>
      </c>
      <c r="D196" s="33" t="n">
        <v>0.04072394496</v>
      </c>
      <c r="E196" s="31" t="n">
        <v/>
      </c>
      <c r="F196" s="32" t="n">
        <v>0</v>
      </c>
      <c r="G196" s="33" t="n">
        <v/>
      </c>
      <c r="H196" s="31" t="inlineStr">
        <is>
          <t>15º</t>
        </is>
      </c>
      <c r="I196" s="32" t="n">
        <v>204234</v>
      </c>
      <c r="J196" s="33" t="n">
        <v>0.01174027329</v>
      </c>
    </row>
    <row r="197" ht="12.75" customHeight="1" s="8">
      <c r="A197" s="26" t="inlineStr">
        <is>
          <t>VOTORANTIM</t>
        </is>
      </c>
      <c r="B197" s="27" t="inlineStr">
        <is>
          <t>11º</t>
        </is>
      </c>
      <c r="C197" s="28" t="n">
        <v>63000</v>
      </c>
      <c r="D197" s="29" t="n">
        <v>0.01256210294</v>
      </c>
      <c r="E197" s="27" t="inlineStr">
        <is>
          <t>10º</t>
        </is>
      </c>
      <c r="F197" s="28" t="n">
        <v>63000</v>
      </c>
      <c r="G197" s="29" t="n">
        <v>0.02111108803</v>
      </c>
      <c r="H197" s="27" t="inlineStr">
        <is>
          <t>13º</t>
        </is>
      </c>
      <c r="I197" s="28" t="n">
        <v>244705</v>
      </c>
      <c r="J197" s="29" t="n">
        <v>0.0140667253</v>
      </c>
    </row>
    <row r="198" ht="12.75" customHeight="1" s="8">
      <c r="A198" s="30" t="inlineStr">
        <is>
          <t>EQI Investimentos CTVM</t>
        </is>
      </c>
      <c r="B198" s="31" t="inlineStr">
        <is>
          <t>12º</t>
        </is>
      </c>
      <c r="C198" s="32" t="n">
        <v>58087</v>
      </c>
      <c r="D198" s="33" t="n">
        <v>0.01158245831</v>
      </c>
      <c r="E198" s="31" t="n">
        <v/>
      </c>
      <c r="F198" s="32" t="n">
        <v>0</v>
      </c>
      <c r="G198" s="33" t="n">
        <v/>
      </c>
      <c r="H198" s="31" t="inlineStr">
        <is>
          <t>22º</t>
        </is>
      </c>
      <c r="I198" s="32" t="n">
        <v>58087</v>
      </c>
      <c r="J198" s="33" t="n">
        <v>0.00333909758</v>
      </c>
    </row>
    <row r="199" ht="12.75" customHeight="1" s="8">
      <c r="A199" s="26" t="inlineStr">
        <is>
          <t>CEF</t>
        </is>
      </c>
      <c r="B199" s="27" t="inlineStr">
        <is>
          <t>13º</t>
        </is>
      </c>
      <c r="C199" s="28" t="n">
        <v>43000</v>
      </c>
      <c r="D199" s="29" t="n">
        <v>0.008574133750000001</v>
      </c>
      <c r="E199" s="27" t="inlineStr">
        <is>
          <t>11º</t>
        </is>
      </c>
      <c r="F199" s="28" t="n">
        <v>43000</v>
      </c>
      <c r="G199" s="29" t="n">
        <v>0.01440915532</v>
      </c>
      <c r="H199" s="27" t="inlineStr">
        <is>
          <t>16º</t>
        </is>
      </c>
      <c r="I199" s="28" t="n">
        <v>161177.2</v>
      </c>
      <c r="J199" s="29" t="n">
        <v>0.00926517806</v>
      </c>
    </row>
    <row r="200" ht="12.75" customHeight="1" s="8">
      <c r="A200" s="30" t="inlineStr">
        <is>
          <t>One Corporate</t>
        </is>
      </c>
      <c r="B200" s="31" t="inlineStr">
        <is>
          <t>14º</t>
        </is>
      </c>
      <c r="C200" s="32" t="n">
        <v>42798.477</v>
      </c>
      <c r="D200" s="33" t="n">
        <v>0.00853395038</v>
      </c>
      <c r="E200" s="31" t="inlineStr">
        <is>
          <t>13º</t>
        </is>
      </c>
      <c r="F200" s="32" t="n">
        <v>15341.31</v>
      </c>
      <c r="G200" s="33" t="n">
        <v>0.00514082136</v>
      </c>
      <c r="H200" s="31" t="inlineStr">
        <is>
          <t>20º</t>
        </is>
      </c>
      <c r="I200" s="32" t="n">
        <v>71798.477</v>
      </c>
      <c r="J200" s="33" t="n">
        <v>0.0041272939</v>
      </c>
    </row>
    <row r="201" ht="12.75" customHeight="1" s="8">
      <c r="A201" s="26" t="inlineStr">
        <is>
          <t>CANAL COMPANHIA DE SECURITIZAÇÃO</t>
        </is>
      </c>
      <c r="B201" s="27" t="inlineStr">
        <is>
          <t>15º</t>
        </is>
      </c>
      <c r="C201" s="28" t="n">
        <v>25000</v>
      </c>
      <c r="D201" s="29" t="n">
        <v>0.00498496148</v>
      </c>
      <c r="E201" s="27" t="n">
        <v/>
      </c>
      <c r="F201" s="28" t="n">
        <v>0</v>
      </c>
      <c r="G201" s="29" t="n">
        <v/>
      </c>
      <c r="H201" s="27" t="inlineStr">
        <is>
          <t>10º</t>
        </is>
      </c>
      <c r="I201" s="28" t="n">
        <v>431849</v>
      </c>
      <c r="J201" s="29" t="n">
        <v>0.02482458983</v>
      </c>
    </row>
    <row r="202" ht="12.75" customHeight="1" s="8">
      <c r="A202" s="30" t="inlineStr">
        <is>
          <t>UBS BB</t>
        </is>
      </c>
      <c r="B202" s="31" t="inlineStr">
        <is>
          <t>16º</t>
        </is>
      </c>
      <c r="C202" s="32" t="n">
        <v>21082</v>
      </c>
      <c r="D202" s="33" t="n">
        <v>0.00420371832</v>
      </c>
      <c r="E202" s="31" t="inlineStr">
        <is>
          <t>12º</t>
        </is>
      </c>
      <c r="F202" s="32" t="n">
        <v>21082</v>
      </c>
      <c r="G202" s="33" t="n">
        <v>0.00706450727</v>
      </c>
      <c r="H202" s="31" t="inlineStr">
        <is>
          <t>19º</t>
        </is>
      </c>
      <c r="I202" s="32" t="n">
        <v>76784.30833</v>
      </c>
      <c r="J202" s="33" t="n">
        <v>0.00441390153</v>
      </c>
    </row>
    <row r="203" ht="12.75" customHeight="1" s="8">
      <c r="A203" s="26" t="inlineStr">
        <is>
          <t>GALAPAGOS CAPITAL INVESTIMENTOS E PARTICIPAÇÕES LTDA.</t>
        </is>
      </c>
      <c r="B203" s="27" t="inlineStr">
        <is>
          <t>17º</t>
        </is>
      </c>
      <c r="C203" s="28" t="n">
        <v>14703</v>
      </c>
      <c r="D203" s="29" t="n">
        <v>0.00293175555</v>
      </c>
      <c r="E203" s="27" t="n">
        <v/>
      </c>
      <c r="F203" s="28" t="n">
        <v>0</v>
      </c>
      <c r="G203" s="29" t="n">
        <v/>
      </c>
      <c r="H203" s="27" t="inlineStr">
        <is>
          <t>8º</t>
        </is>
      </c>
      <c r="I203" s="28" t="n">
        <v>683029</v>
      </c>
      <c r="J203" s="29" t="n">
        <v>0.03926352676</v>
      </c>
    </row>
    <row r="204" ht="12.75" customHeight="1" s="8">
      <c r="A204" s="30" t="inlineStr">
        <is>
          <t>ANDBANK</t>
        </is>
      </c>
      <c r="B204" s="31" t="inlineStr">
        <is>
          <t>18º</t>
        </is>
      </c>
      <c r="C204" s="32" t="n">
        <v>3720</v>
      </c>
      <c r="D204" s="33" t="n">
        <v>0.00074176227</v>
      </c>
      <c r="E204" s="31" t="inlineStr">
        <is>
          <t>14º</t>
        </is>
      </c>
      <c r="F204" s="32" t="n">
        <v>3660</v>
      </c>
      <c r="G204" s="33" t="n">
        <v>0.00122645369</v>
      </c>
      <c r="H204" s="31" t="inlineStr">
        <is>
          <t>25º</t>
        </is>
      </c>
      <c r="I204" s="32" t="n">
        <v>4316</v>
      </c>
      <c r="J204" s="33" t="n">
        <v>0.00024810276</v>
      </c>
    </row>
    <row r="205" ht="12.75" customHeight="1" s="8">
      <c r="A205" s="26" t="inlineStr">
        <is>
          <t>RB CAPITAL DTVM</t>
        </is>
      </c>
      <c r="B205" s="27" t="inlineStr">
        <is>
          <t>19º</t>
        </is>
      </c>
      <c r="C205" s="28" t="n">
        <v>3167.19308</v>
      </c>
      <c r="D205" s="29" t="n">
        <v>0.00063153342</v>
      </c>
      <c r="E205" s="27" t="n">
        <v/>
      </c>
      <c r="F205" s="28" t="n">
        <v>0</v>
      </c>
      <c r="G205" s="29" t="n">
        <v/>
      </c>
      <c r="H205" s="27" t="inlineStr">
        <is>
          <t>21º</t>
        </is>
      </c>
      <c r="I205" s="28" t="n">
        <v>70460.19308</v>
      </c>
      <c r="J205" s="29" t="n">
        <v>0.00405036342</v>
      </c>
    </row>
    <row r="206" ht="12.75" customHeight="1" s="8">
      <c r="A206" s="30" t="inlineStr">
        <is>
          <t>WARREN</t>
        </is>
      </c>
      <c r="B206" s="31" t="inlineStr">
        <is>
          <t>20º</t>
        </is>
      </c>
      <c r="C206" s="32" t="n">
        <v>3071.5</v>
      </c>
      <c r="D206" s="33" t="n">
        <v>0.00061245237</v>
      </c>
      <c r="E206" s="31" t="inlineStr">
        <is>
          <t>15º</t>
        </is>
      </c>
      <c r="F206" s="32" t="n">
        <v>3071.5</v>
      </c>
      <c r="G206" s="33" t="n">
        <v>0.00102924932</v>
      </c>
      <c r="H206" s="31" t="inlineStr">
        <is>
          <t>26º</t>
        </is>
      </c>
      <c r="I206" s="32" t="n">
        <v>3071.5</v>
      </c>
      <c r="J206" s="33" t="n">
        <v>0.0001765634</v>
      </c>
    </row>
    <row r="207" ht="12.75" customHeight="1" s="8">
      <c r="A207" s="26" t="inlineStr">
        <is>
          <t>OPEA SECURITIZADORA</t>
        </is>
      </c>
      <c r="B207" s="27" t="inlineStr">
        <is>
          <t>21º</t>
        </is>
      </c>
      <c r="C207" s="28" t="n">
        <v>1500</v>
      </c>
      <c r="D207" s="29" t="n">
        <v>0.00029909769</v>
      </c>
      <c r="E207" s="27" t="inlineStr">
        <is>
          <t>16º</t>
        </is>
      </c>
      <c r="F207" s="28" t="n">
        <v>1500</v>
      </c>
      <c r="G207" s="29" t="n">
        <v>0.00050264495</v>
      </c>
      <c r="H207" s="27" t="inlineStr">
        <is>
          <t>14º</t>
        </is>
      </c>
      <c r="I207" s="28" t="n">
        <v>219277</v>
      </c>
      <c r="J207" s="29" t="n">
        <v>0.01260501144</v>
      </c>
    </row>
    <row r="208" ht="12.75" customHeight="1" s="8">
      <c r="A208" s="30" t="inlineStr">
        <is>
          <t>DAYCOVAL</t>
        </is>
      </c>
      <c r="B208" s="31" t="inlineStr">
        <is>
          <t>22º</t>
        </is>
      </c>
      <c r="C208" s="32" t="n">
        <v>1054.5</v>
      </c>
      <c r="D208" s="33" t="n">
        <v>0.00021026568</v>
      </c>
      <c r="E208" s="31" t="inlineStr">
        <is>
          <t>17º</t>
        </is>
      </c>
      <c r="F208" s="32" t="n">
        <v>1054.5</v>
      </c>
      <c r="G208" s="33" t="n">
        <v>0.0003533594</v>
      </c>
      <c r="H208" s="31" t="inlineStr">
        <is>
          <t>18º</t>
        </is>
      </c>
      <c r="I208" s="32" t="n">
        <v>104494.80833</v>
      </c>
      <c r="J208" s="33" t="n">
        <v>0.00600682358</v>
      </c>
    </row>
    <row r="209" ht="12.75" customHeight="1" s="8">
      <c r="A209" s="26" t="inlineStr">
        <is>
          <t>GENIAL CV</t>
        </is>
      </c>
      <c r="B209" s="27" t="inlineStr">
        <is>
          <t>23º</t>
        </is>
      </c>
      <c r="C209" s="28" t="n">
        <v>171</v>
      </c>
      <c r="D209" s="29" t="n">
        <v>3.409714e-05</v>
      </c>
      <c r="E209" s="27" t="inlineStr">
        <is>
          <t>18º</t>
        </is>
      </c>
      <c r="F209" s="28" t="n">
        <v>171</v>
      </c>
      <c r="G209" s="29" t="n">
        <v>5.730152e-05</v>
      </c>
      <c r="H209" s="27" t="inlineStr">
        <is>
          <t>24º</t>
        </is>
      </c>
      <c r="I209" s="28" t="n">
        <v>5670.5</v>
      </c>
      <c r="J209" s="29" t="n">
        <v>0.00032596541</v>
      </c>
    </row>
    <row r="210" ht="12.75" customHeight="1" s="8">
      <c r="A210" s="30" t="inlineStr">
        <is>
          <t>C6 CTVM</t>
        </is>
      </c>
      <c r="B210" s="31" t="inlineStr">
        <is>
          <t>24º</t>
        </is>
      </c>
      <c r="C210" s="32" t="n">
        <v>25</v>
      </c>
      <c r="D210" s="33" t="n">
        <v>4.98496e-06</v>
      </c>
      <c r="E210" s="31" t="inlineStr">
        <is>
          <t>19º</t>
        </is>
      </c>
      <c r="F210" s="32" t="n">
        <v>25</v>
      </c>
      <c r="G210" s="33" t="n">
        <v>8.37742e-06</v>
      </c>
      <c r="H210" s="31" t="inlineStr">
        <is>
          <t>29º</t>
        </is>
      </c>
      <c r="I210" s="32" t="n">
        <v>60</v>
      </c>
      <c r="J210" s="33" t="n">
        <v>3.44907e-06</v>
      </c>
    </row>
    <row r="211" ht="12.75" customHeight="1" s="8">
      <c r="A211" s="26" t="inlineStr">
        <is>
          <t>ABC BRASIL</t>
        </is>
      </c>
      <c r="B211" s="27" t="n">
        <v/>
      </c>
      <c r="C211" s="28" t="n">
        <v>0</v>
      </c>
      <c r="D211" s="29" t="n">
        <v/>
      </c>
      <c r="E211" s="27" t="n">
        <v/>
      </c>
      <c r="F211" s="28" t="n">
        <v>0</v>
      </c>
      <c r="G211" s="29" t="n">
        <v/>
      </c>
      <c r="H211" s="27" t="inlineStr">
        <is>
          <t>12º</t>
        </is>
      </c>
      <c r="I211" s="28" t="n">
        <v>250774.69565</v>
      </c>
      <c r="J211" s="29" t="n">
        <v>0.01441563824</v>
      </c>
    </row>
    <row r="212" ht="12.75" customHeight="1" s="8">
      <c r="A212" s="30" t="inlineStr">
        <is>
          <t>MAX CAPITAL MARKETS</t>
        </is>
      </c>
      <c r="B212" s="31" t="n">
        <v/>
      </c>
      <c r="C212" s="32" t="n">
        <v>0</v>
      </c>
      <c r="D212" s="33" t="n">
        <v/>
      </c>
      <c r="E212" s="31" t="n">
        <v/>
      </c>
      <c r="F212" s="32" t="n">
        <v>0</v>
      </c>
      <c r="G212" s="33" t="n">
        <v/>
      </c>
      <c r="H212" s="31" t="inlineStr">
        <is>
          <t>17º</t>
        </is>
      </c>
      <c r="I212" s="32" t="n">
        <v>120000</v>
      </c>
      <c r="J212" s="33" t="n">
        <v>0.00689813055</v>
      </c>
    </row>
    <row r="213" ht="12.75" customHeight="1" s="8">
      <c r="A213" s="26" t="inlineStr">
        <is>
          <t>BANCO BS2</t>
        </is>
      </c>
      <c r="B213" s="27" t="n">
        <v/>
      </c>
      <c r="C213" s="28" t="n">
        <v>0</v>
      </c>
      <c r="D213" s="29" t="n">
        <v/>
      </c>
      <c r="E213" s="27" t="n">
        <v/>
      </c>
      <c r="F213" s="28" t="n">
        <v>0</v>
      </c>
      <c r="G213" s="29" t="n">
        <v/>
      </c>
      <c r="H213" s="27" t="inlineStr">
        <is>
          <t>23º</t>
        </is>
      </c>
      <c r="I213" s="28" t="n">
        <v>20000</v>
      </c>
      <c r="J213" s="29" t="n">
        <v>0.00114968842</v>
      </c>
    </row>
    <row r="214" ht="12.75" customHeight="1" s="8">
      <c r="A214" s="30" t="inlineStr">
        <is>
          <t>TORO INVESTIMENTOS</t>
        </is>
      </c>
      <c r="B214" s="31" t="n">
        <v/>
      </c>
      <c r="C214" s="32" t="n">
        <v>0</v>
      </c>
      <c r="D214" s="33" t="n">
        <v/>
      </c>
      <c r="E214" s="31" t="n">
        <v/>
      </c>
      <c r="F214" s="32" t="n">
        <v>0</v>
      </c>
      <c r="G214" s="33" t="n">
        <v/>
      </c>
      <c r="H214" s="31" t="inlineStr">
        <is>
          <t>27º</t>
        </is>
      </c>
      <c r="I214" s="32" t="n">
        <v>537.5</v>
      </c>
      <c r="J214" s="33" t="n">
        <v>3.089788e-05</v>
      </c>
    </row>
    <row r="215" ht="12.75" customHeight="1" s="8">
      <c r="A215" s="26" t="inlineStr">
        <is>
          <t>UNICRED DTVM</t>
        </is>
      </c>
      <c r="B215" s="27" t="n">
        <v/>
      </c>
      <c r="C215" s="28" t="n">
        <v>0</v>
      </c>
      <c r="D215" s="29" t="n">
        <v/>
      </c>
      <c r="E215" s="27" t="n">
        <v/>
      </c>
      <c r="F215" s="28" t="n">
        <v>0</v>
      </c>
      <c r="G215" s="29" t="n">
        <v/>
      </c>
      <c r="H215" s="27" t="inlineStr">
        <is>
          <t>28º</t>
        </is>
      </c>
      <c r="I215" s="28" t="n">
        <v>524.4990700000001</v>
      </c>
      <c r="J215" s="29" t="n">
        <v>3.015053e-05</v>
      </c>
    </row>
    <row r="216" ht="12.75" customHeight="1" s="8">
      <c r="A216" s="30" t="inlineStr">
        <is>
          <t>AZIMUT</t>
        </is>
      </c>
      <c r="B216" s="31" t="n">
        <v/>
      </c>
      <c r="C216" s="32" t="n">
        <v>0</v>
      </c>
      <c r="D216" s="33" t="n">
        <v/>
      </c>
      <c r="E216" s="31" t="n">
        <v/>
      </c>
      <c r="F216" s="32" t="n">
        <v>0</v>
      </c>
      <c r="G216" s="33" t="n">
        <v/>
      </c>
      <c r="H216" s="31" t="inlineStr">
        <is>
          <t>30º</t>
        </is>
      </c>
      <c r="I216" s="32" t="n">
        <v>32.5</v>
      </c>
      <c r="J216" s="33" t="n">
        <v>1.86824e-06</v>
      </c>
    </row>
    <row r="217" ht="12.75" customHeight="1" s="8">
      <c r="A217" s="26" t="inlineStr">
        <is>
          <t>ATIVA</t>
        </is>
      </c>
      <c r="B217" s="27" t="n">
        <v/>
      </c>
      <c r="C217" s="28" t="n">
        <v>0</v>
      </c>
      <c r="D217" s="29" t="n">
        <v/>
      </c>
      <c r="E217" s="27" t="n">
        <v/>
      </c>
      <c r="F217" s="28" t="n">
        <v>0</v>
      </c>
      <c r="G217" s="29" t="n">
        <v/>
      </c>
      <c r="H217" s="27" t="inlineStr">
        <is>
          <t>31º</t>
        </is>
      </c>
      <c r="I217" s="28" t="n">
        <v>5</v>
      </c>
      <c r="J217" s="29" t="n">
        <v>2.8742e-07</v>
      </c>
    </row>
    <row r="218" ht="12.75" customHeight="1" s="8">
      <c r="A218" s="34" t="inlineStr">
        <is>
          <t>Total</t>
        </is>
      </c>
      <c r="B218" s="35" t="n"/>
      <c r="C218" s="36">
        <f>SUM(C187:C217)</f>
        <v/>
      </c>
      <c r="D218" s="37">
        <f>_xlfn.ROUND(SUM(D187:D217), 1)</f>
        <v/>
      </c>
      <c r="E218" s="35" t="n"/>
      <c r="F218" s="36">
        <f>SUM(F187:F217)</f>
        <v/>
      </c>
      <c r="G218" s="37">
        <f>_xlfn.ROUND(SUM(G187:G217), 1)</f>
        <v/>
      </c>
      <c r="H218" s="35" t="n"/>
      <c r="I218" s="36">
        <f>SUM(I187:I217)</f>
        <v/>
      </c>
      <c r="J218" s="37">
        <f>_xlfn.ROUND(SUM(J187:J217), 1)</f>
        <v/>
      </c>
    </row>
    <row r="219" ht="12.75" customHeight="1" s="8"/>
    <row r="220" ht="12.75" customHeight="1" s="8"/>
    <row r="221" ht="12.75" customHeight="1" s="8">
      <c r="A221" s="22" t="inlineStr">
        <is>
          <t>Tipo 1.3.3. Emissão de Certificados de Recebíveis do Agronegócio</t>
        </is>
      </c>
      <c r="J221" s="23" t="n"/>
    </row>
    <row r="222" ht="12.75" customHeight="1" s="8">
      <c r="A222" s="24" t="inlineStr">
        <is>
          <t>Distribuidores</t>
        </is>
      </c>
      <c r="B222" s="24" t="inlineStr">
        <is>
          <t>Acumulado 2026</t>
        </is>
      </c>
      <c r="C222" s="24" t="n"/>
      <c r="D222" s="24" t="n"/>
      <c r="E222" s="24" t="inlineStr">
        <is>
          <t>Últimos 3 meses</t>
        </is>
      </c>
      <c r="F222" s="24" t="n"/>
      <c r="G222" s="24" t="n"/>
      <c r="H222" s="24" t="inlineStr">
        <is>
          <t>Últimos 12 meses</t>
        </is>
      </c>
      <c r="I222" s="24" t="n"/>
      <c r="J222" s="25" t="n"/>
    </row>
    <row r="223" ht="12.75" customHeight="1" s="8">
      <c r="A223" s="24" t="n"/>
      <c r="B223" s="24" t="inlineStr">
        <is>
          <t>Ranking 2026</t>
        </is>
      </c>
      <c r="C223" s="24" t="inlineStr">
        <is>
          <t>Valor *</t>
        </is>
      </c>
      <c r="D223" s="24" t="inlineStr">
        <is>
          <t>Part.</t>
        </is>
      </c>
      <c r="E223" s="24" t="inlineStr">
        <is>
          <t>Ranking 3 meses</t>
        </is>
      </c>
      <c r="F223" s="24" t="inlineStr">
        <is>
          <t>Valor *</t>
        </is>
      </c>
      <c r="G223" s="24" t="inlineStr">
        <is>
          <t>Part.</t>
        </is>
      </c>
      <c r="H223" s="24" t="inlineStr">
        <is>
          <t>Ranking 12 meses</t>
        </is>
      </c>
      <c r="I223" s="24" t="inlineStr">
        <is>
          <t>Valor *</t>
        </is>
      </c>
      <c r="J223" s="25" t="inlineStr">
        <is>
          <t>Part.</t>
        </is>
      </c>
    </row>
    <row r="224" ht="12.75" customHeight="1" s="8">
      <c r="A224" s="26" t="inlineStr">
        <is>
          <t>BB-BI</t>
        </is>
      </c>
      <c r="B224" s="27" t="inlineStr">
        <is>
          <t>1º</t>
        </is>
      </c>
      <c r="C224" s="28" t="n">
        <v>778170.9192699998</v>
      </c>
      <c r="D224" s="29" t="n">
        <v>0.26071264098</v>
      </c>
      <c r="E224" s="27" t="inlineStr">
        <is>
          <t>1º</t>
        </is>
      </c>
      <c r="F224" s="28" t="n">
        <v>778170.9192699998</v>
      </c>
      <c r="G224" s="29" t="n">
        <v>0.47693672805</v>
      </c>
      <c r="H224" s="27" t="inlineStr">
        <is>
          <t>2º</t>
        </is>
      </c>
      <c r="I224" s="28" t="n">
        <v>2842987.54511</v>
      </c>
      <c r="J224" s="29" t="n">
        <v>0.15904710648</v>
      </c>
    </row>
    <row r="225" ht="12.75" customHeight="1" s="8">
      <c r="A225" s="30" t="inlineStr">
        <is>
          <t>BRADESCO BBI</t>
        </is>
      </c>
      <c r="B225" s="31" t="inlineStr">
        <is>
          <t>2º</t>
        </is>
      </c>
      <c r="C225" s="32" t="n">
        <v>704098.4775500001</v>
      </c>
      <c r="D225" s="33" t="n">
        <v>0.23589595685</v>
      </c>
      <c r="E225" s="31" t="inlineStr">
        <is>
          <t>2º</t>
        </is>
      </c>
      <c r="F225" s="32" t="n">
        <v>206680.90261</v>
      </c>
      <c r="G225" s="33" t="n">
        <v>0.12667360216</v>
      </c>
      <c r="H225" s="31" t="inlineStr">
        <is>
          <t>3º</t>
        </is>
      </c>
      <c r="I225" s="32" t="n">
        <v>2826743.329430001</v>
      </c>
      <c r="J225" s="33" t="n">
        <v>0.15813834573</v>
      </c>
    </row>
    <row r="226" ht="12.75" customHeight="1" s="8">
      <c r="A226" s="26" t="inlineStr">
        <is>
          <t>BTG PACTUAL</t>
        </is>
      </c>
      <c r="B226" s="27" t="inlineStr">
        <is>
          <t>3º</t>
        </is>
      </c>
      <c r="C226" s="28" t="n">
        <v>404400.9976599999</v>
      </c>
      <c r="D226" s="29" t="n">
        <v>0.1354875253</v>
      </c>
      <c r="E226" s="27" t="inlineStr">
        <is>
          <t>6º</t>
        </is>
      </c>
      <c r="F226" s="28" t="n">
        <v>68565.1477</v>
      </c>
      <c r="G226" s="29" t="n">
        <v>0.04202320646</v>
      </c>
      <c r="H226" s="27" t="inlineStr">
        <is>
          <t>4º</t>
        </is>
      </c>
      <c r="I226" s="28" t="n">
        <v>2554585.38037</v>
      </c>
      <c r="J226" s="29" t="n">
        <v>0.14291283608</v>
      </c>
    </row>
    <row r="227" ht="12.75" customHeight="1" s="8">
      <c r="A227" s="30" t="inlineStr">
        <is>
          <t>XP INVESTIMENTOS</t>
        </is>
      </c>
      <c r="B227" s="31" t="inlineStr">
        <is>
          <t>4º</t>
        </is>
      </c>
      <c r="C227" s="32" t="n">
        <v>252340.88234</v>
      </c>
      <c r="D227" s="33" t="n">
        <v>0.08454242665</v>
      </c>
      <c r="E227" s="31" t="inlineStr">
        <is>
          <t>3º</t>
        </is>
      </c>
      <c r="F227" s="32" t="n">
        <v>190947.48235</v>
      </c>
      <c r="G227" s="33" t="n">
        <v>0.11703067438</v>
      </c>
      <c r="H227" s="31" t="inlineStr">
        <is>
          <t>1º</t>
        </is>
      </c>
      <c r="I227" s="32" t="n">
        <v>3038163.406969999</v>
      </c>
      <c r="J227" s="33" t="n">
        <v>0.16996595702</v>
      </c>
    </row>
    <row r="228" ht="12.75" customHeight="1" s="8">
      <c r="A228" s="26" t="inlineStr">
        <is>
          <t>SANTANDER</t>
        </is>
      </c>
      <c r="B228" s="27" t="inlineStr">
        <is>
          <t>5º</t>
        </is>
      </c>
      <c r="C228" s="28" t="n">
        <v>179069.91249</v>
      </c>
      <c r="D228" s="29" t="n">
        <v>0.05999426174</v>
      </c>
      <c r="E228" s="27" t="inlineStr">
        <is>
          <t>4º</t>
        </is>
      </c>
      <c r="F228" s="28" t="n">
        <v>111252.8125</v>
      </c>
      <c r="G228" s="29" t="n">
        <v>0.06818624426</v>
      </c>
      <c r="H228" s="27" t="inlineStr">
        <is>
          <t>7º</t>
        </is>
      </c>
      <c r="I228" s="28" t="n">
        <v>992398.5662800001</v>
      </c>
      <c r="J228" s="29" t="n">
        <v>0.05551840025</v>
      </c>
    </row>
    <row r="229" ht="12.75" customHeight="1" s="8">
      <c r="A229" s="30" t="inlineStr">
        <is>
          <t>ITAU BBA</t>
        </is>
      </c>
      <c r="B229" s="31" t="inlineStr">
        <is>
          <t>6º</t>
        </is>
      </c>
      <c r="C229" s="32" t="n">
        <v>178248.98235</v>
      </c>
      <c r="D229" s="33" t="n">
        <v>0.05971922336</v>
      </c>
      <c r="E229" s="31" t="inlineStr">
        <is>
          <t>5º</t>
        </is>
      </c>
      <c r="F229" s="32" t="n">
        <v>90503.57488000001</v>
      </c>
      <c r="G229" s="33" t="n">
        <v>0.05546914927</v>
      </c>
      <c r="H229" s="31" t="inlineStr">
        <is>
          <t>5º</t>
        </is>
      </c>
      <c r="I229" s="32" t="n">
        <v>2161142.88441</v>
      </c>
      <c r="J229" s="33" t="n">
        <v>0.12090222592</v>
      </c>
    </row>
    <row r="230" ht="12.75" customHeight="1" s="8">
      <c r="A230" s="26" t="inlineStr">
        <is>
          <t>One Corporate</t>
        </is>
      </c>
      <c r="B230" s="27" t="inlineStr">
        <is>
          <t>7º</t>
        </is>
      </c>
      <c r="C230" s="28" t="n">
        <v>132500</v>
      </c>
      <c r="D230" s="29" t="n">
        <v>0.04439182199</v>
      </c>
      <c r="E230" s="27" t="inlineStr">
        <is>
          <t>8º</t>
        </is>
      </c>
      <c r="F230" s="28" t="n">
        <v>52500</v>
      </c>
      <c r="G230" s="29" t="n">
        <v>0.03217696473</v>
      </c>
      <c r="H230" s="27" t="inlineStr">
        <is>
          <t>10º</t>
        </is>
      </c>
      <c r="I230" s="28" t="n">
        <v>132500</v>
      </c>
      <c r="J230" s="29" t="n">
        <v>0.00741253392</v>
      </c>
    </row>
    <row r="231" ht="12.75" customHeight="1" s="8">
      <c r="A231" s="30" t="inlineStr">
        <is>
          <t>SAFRA</t>
        </is>
      </c>
      <c r="B231" s="31" t="inlineStr">
        <is>
          <t>8º</t>
        </is>
      </c>
      <c r="C231" s="32" t="n">
        <v>83291.80885</v>
      </c>
      <c r="D231" s="33" t="n">
        <v>0.02790547285</v>
      </c>
      <c r="E231" s="31" t="inlineStr">
        <is>
          <t>12º</t>
        </is>
      </c>
      <c r="F231" s="32" t="n">
        <v>6711.608850000001</v>
      </c>
      <c r="G231" s="33" t="n">
        <v>0.0041135086</v>
      </c>
      <c r="H231" s="31" t="inlineStr">
        <is>
          <t>6º</t>
        </is>
      </c>
      <c r="I231" s="32" t="n">
        <v>1936570.95309</v>
      </c>
      <c r="J231" s="33" t="n">
        <v>0.10833885189</v>
      </c>
    </row>
    <row r="232" ht="12.75" customHeight="1" s="8">
      <c r="A232" s="26" t="inlineStr">
        <is>
          <t>BOCOM BBM</t>
        </is>
      </c>
      <c r="B232" s="27" t="inlineStr">
        <is>
          <t>9º</t>
        </is>
      </c>
      <c r="C232" s="28" t="n">
        <v>62366.66666</v>
      </c>
      <c r="D232" s="29" t="n">
        <v>0.02089486766</v>
      </c>
      <c r="E232" s="27" t="inlineStr">
        <is>
          <t>7º</t>
        </is>
      </c>
      <c r="F232" s="28" t="n">
        <v>62366.66666</v>
      </c>
      <c r="G232" s="29" t="n">
        <v>0.03822419111</v>
      </c>
      <c r="H232" s="27" t="inlineStr">
        <is>
          <t>16º</t>
        </is>
      </c>
      <c r="I232" s="28" t="n">
        <v>63323.66666</v>
      </c>
      <c r="J232" s="29" t="n">
        <v>0.00354255718</v>
      </c>
    </row>
    <row r="233" ht="12.75" customHeight="1" s="8">
      <c r="A233" s="30" t="inlineStr">
        <is>
          <t>TERRA</t>
        </is>
      </c>
      <c r="B233" s="31" t="inlineStr">
        <is>
          <t>10º</t>
        </is>
      </c>
      <c r="C233" s="32" t="n">
        <v>59847.0925</v>
      </c>
      <c r="D233" s="33" t="n">
        <v>0.02005072813</v>
      </c>
      <c r="E233" s="31" t="n">
        <v/>
      </c>
      <c r="F233" s="32" t="n">
        <v>0</v>
      </c>
      <c r="G233" s="33" t="n">
        <v/>
      </c>
      <c r="H233" s="31" t="inlineStr">
        <is>
          <t>17º</t>
        </is>
      </c>
      <c r="I233" s="32" t="n">
        <v>60056.09249</v>
      </c>
      <c r="J233" s="33" t="n">
        <v>0.00335975715</v>
      </c>
    </row>
    <row r="234" ht="12.75" customHeight="1" s="8">
      <c r="A234" s="26" t="inlineStr">
        <is>
          <t>DAYCOVAL</t>
        </is>
      </c>
      <c r="B234" s="27" t="inlineStr">
        <is>
          <t>11º</t>
        </is>
      </c>
      <c r="C234" s="28" t="n">
        <v>31768.36457</v>
      </c>
      <c r="D234" s="29" t="n">
        <v>0.01064343838</v>
      </c>
      <c r="E234" s="27" t="inlineStr">
        <is>
          <t>9º</t>
        </is>
      </c>
      <c r="F234" s="28" t="n">
        <v>31768.36457</v>
      </c>
      <c r="G234" s="29" t="n">
        <v>0.01947065802</v>
      </c>
      <c r="H234" s="27" t="inlineStr">
        <is>
          <t>11º</t>
        </is>
      </c>
      <c r="I234" s="28" t="n">
        <v>125477.85427</v>
      </c>
      <c r="J234" s="29" t="n">
        <v>0.00701968944</v>
      </c>
    </row>
    <row r="235" ht="12.75" customHeight="1" s="8">
      <c r="A235" s="30" t="inlineStr">
        <is>
          <t>UBS BB</t>
        </is>
      </c>
      <c r="B235" s="31" t="inlineStr">
        <is>
          <t>12º</t>
        </is>
      </c>
      <c r="C235" s="32" t="n">
        <v>29020.875</v>
      </c>
      <c r="D235" s="33" t="n">
        <v>0.009722939749999999</v>
      </c>
      <c r="E235" s="31" t="n">
        <v/>
      </c>
      <c r="F235" s="32" t="n">
        <v>0</v>
      </c>
      <c r="G235" s="33" t="n">
        <v/>
      </c>
      <c r="H235" s="31" t="inlineStr">
        <is>
          <t>8º</t>
        </is>
      </c>
      <c r="I235" s="32" t="n">
        <v>338088.37498</v>
      </c>
      <c r="J235" s="33" t="n">
        <v>0.01891389847</v>
      </c>
    </row>
    <row r="236" ht="12.75" customHeight="1" s="8">
      <c r="A236" s="26" t="inlineStr">
        <is>
          <t>INTER</t>
        </is>
      </c>
      <c r="B236" s="27" t="inlineStr">
        <is>
          <t>13º</t>
        </is>
      </c>
      <c r="C236" s="28" t="n">
        <v>23622.9687</v>
      </c>
      <c r="D236" s="29" t="n">
        <v>0.00791446507</v>
      </c>
      <c r="E236" s="27" t="inlineStr">
        <is>
          <t>10º</t>
        </is>
      </c>
      <c r="F236" s="28" t="n">
        <v>22402.46873</v>
      </c>
      <c r="G236" s="29" t="n">
        <v>0.01373035136</v>
      </c>
      <c r="H236" s="27" t="inlineStr">
        <is>
          <t>12º</t>
        </is>
      </c>
      <c r="I236" s="28" t="n">
        <v>118713.24099</v>
      </c>
      <c r="J236" s="29" t="n">
        <v>0.00664125227</v>
      </c>
    </row>
    <row r="237" ht="12.75" customHeight="1" s="8">
      <c r="A237" s="30" t="inlineStr">
        <is>
          <t>M7 IB</t>
        </is>
      </c>
      <c r="B237" s="31" t="inlineStr">
        <is>
          <t>14º</t>
        </is>
      </c>
      <c r="C237" s="32" t="n">
        <v>21000</v>
      </c>
      <c r="D237" s="33" t="n">
        <v>0.007035685</v>
      </c>
      <c r="E237" s="31" t="n">
        <v/>
      </c>
      <c r="F237" s="32" t="n">
        <v>0</v>
      </c>
      <c r="G237" s="33" t="n">
        <v/>
      </c>
      <c r="H237" s="31" t="inlineStr">
        <is>
          <t>22º</t>
        </is>
      </c>
      <c r="I237" s="32" t="n">
        <v>21000</v>
      </c>
      <c r="J237" s="33" t="n">
        <v>0.0011748167</v>
      </c>
    </row>
    <row r="238" ht="12.75" customHeight="1" s="8">
      <c r="A238" s="26" t="inlineStr">
        <is>
          <t>CEF</t>
        </is>
      </c>
      <c r="B238" s="27" t="inlineStr">
        <is>
          <t>15º</t>
        </is>
      </c>
      <c r="C238" s="28" t="n">
        <v>15175</v>
      </c>
      <c r="D238" s="29" t="n">
        <v>0.00508411999</v>
      </c>
      <c r="E238" s="27" t="n">
        <v/>
      </c>
      <c r="F238" s="28" t="n">
        <v>0</v>
      </c>
      <c r="G238" s="29" t="n">
        <v/>
      </c>
      <c r="H238" s="27" t="inlineStr">
        <is>
          <t>15º</t>
        </is>
      </c>
      <c r="I238" s="28" t="n">
        <v>84297</v>
      </c>
      <c r="J238" s="29" t="n">
        <v>0.00471588205</v>
      </c>
    </row>
    <row r="239" ht="12.75" customHeight="1" s="8">
      <c r="A239" s="30" t="inlineStr">
        <is>
          <t>RB CAPITAL DTVM</t>
        </is>
      </c>
      <c r="B239" s="31" t="inlineStr">
        <is>
          <t>16º</t>
        </is>
      </c>
      <c r="C239" s="32" t="n">
        <v>14229.99997</v>
      </c>
      <c r="D239" s="33" t="n">
        <v>0.00476751416</v>
      </c>
      <c r="E239" s="31" t="n">
        <v/>
      </c>
      <c r="F239" s="32" t="n">
        <v>0</v>
      </c>
      <c r="G239" s="33" t="n">
        <v/>
      </c>
      <c r="H239" s="31" t="inlineStr">
        <is>
          <t>18º</t>
        </is>
      </c>
      <c r="I239" s="32" t="n">
        <v>58708.99994000002</v>
      </c>
      <c r="J239" s="33" t="n">
        <v>0.00328439587</v>
      </c>
    </row>
    <row r="240" ht="12.75" customHeight="1" s="8">
      <c r="A240" s="26" t="inlineStr">
        <is>
          <t>GENIAL CV</t>
        </is>
      </c>
      <c r="B240" s="27" t="inlineStr">
        <is>
          <t>17º</t>
        </is>
      </c>
      <c r="C240" s="28" t="n">
        <v>13824.55165</v>
      </c>
      <c r="D240" s="29" t="n">
        <v>0.00463167574</v>
      </c>
      <c r="E240" s="27" t="inlineStr">
        <is>
          <t>11º</t>
        </is>
      </c>
      <c r="F240" s="28" t="n">
        <v>8710.55168</v>
      </c>
      <c r="G240" s="29" t="n">
        <v>0.00533864979</v>
      </c>
      <c r="H240" s="27" t="inlineStr">
        <is>
          <t>20º</t>
        </is>
      </c>
      <c r="I240" s="28" t="n">
        <v>46765.70284</v>
      </c>
      <c r="J240" s="29" t="n">
        <v>0.00261624422</v>
      </c>
    </row>
    <row r="241" ht="12.75" customHeight="1" s="8">
      <c r="A241" s="30" t="inlineStr">
        <is>
          <t>UNICRED DTVM</t>
        </is>
      </c>
      <c r="B241" s="31" t="inlineStr">
        <is>
          <t>18º</t>
        </is>
      </c>
      <c r="C241" s="32" t="n">
        <v>1078</v>
      </c>
      <c r="D241" s="33" t="n">
        <v>0.00036116516</v>
      </c>
      <c r="E241" s="31" t="inlineStr">
        <is>
          <t>13º</t>
        </is>
      </c>
      <c r="F241" s="32" t="n">
        <v>1021.5</v>
      </c>
      <c r="G241" s="33" t="n">
        <v>0.0006260718</v>
      </c>
      <c r="H241" s="31" t="inlineStr">
        <is>
          <t>29º</t>
        </is>
      </c>
      <c r="I241" s="32" t="n">
        <v>1645</v>
      </c>
      <c r="J241" s="33" t="n">
        <v>9.202731e-05</v>
      </c>
    </row>
    <row r="242" ht="12.75" customHeight="1" s="8">
      <c r="A242" s="26" t="inlineStr">
        <is>
          <t>MIRAE ASSET WEALTH MANAGEMENT (BRAZIL) CCTVM LTDA</t>
        </is>
      </c>
      <c r="B242" s="27" t="inlineStr">
        <is>
          <t>19º</t>
        </is>
      </c>
      <c r="C242" s="28" t="n">
        <v>703.49997</v>
      </c>
      <c r="D242" s="29" t="n">
        <v>0.00023569544</v>
      </c>
      <c r="E242" s="27" t="n">
        <v/>
      </c>
      <c r="F242" s="28" t="n">
        <v>0</v>
      </c>
      <c r="G242" s="29" t="n">
        <v/>
      </c>
      <c r="H242" s="27" t="inlineStr">
        <is>
          <t>30º</t>
        </is>
      </c>
      <c r="I242" s="28" t="n">
        <v>709.99997</v>
      </c>
      <c r="J242" s="29" t="n">
        <v>3.971999e-05</v>
      </c>
    </row>
    <row r="243" ht="12.75" customHeight="1" s="8">
      <c r="A243" s="30" t="inlineStr">
        <is>
          <t>C6 CTVM</t>
        </is>
      </c>
      <c r="B243" s="31" t="inlineStr">
        <is>
          <t>20º</t>
        </is>
      </c>
      <c r="C243" s="32" t="n">
        <v>24.99999</v>
      </c>
      <c r="D243" s="33" t="n">
        <v>8.375809999999999e-06</v>
      </c>
      <c r="E243" s="31" t="n">
        <v/>
      </c>
      <c r="F243" s="32" t="n">
        <v>0</v>
      </c>
      <c r="G243" s="33" t="n">
        <v/>
      </c>
      <c r="H243" s="31" t="inlineStr">
        <is>
          <t>28º</t>
        </is>
      </c>
      <c r="I243" s="32" t="n">
        <v>2070.49996</v>
      </c>
      <c r="J243" s="33" t="n">
        <v>0.00011583133</v>
      </c>
    </row>
    <row r="244" ht="12.75" customHeight="1" s="8">
      <c r="A244" s="26" t="inlineStr">
        <is>
          <t>OPEA SECURITIZADORA</t>
        </is>
      </c>
      <c r="B244" s="27" t="n">
        <v/>
      </c>
      <c r="C244" s="28" t="n">
        <v>0</v>
      </c>
      <c r="D244" s="29" t="n">
        <v/>
      </c>
      <c r="E244" s="27" t="n">
        <v/>
      </c>
      <c r="F244" s="28" t="n">
        <v>0</v>
      </c>
      <c r="G244" s="29" t="n">
        <v/>
      </c>
      <c r="H244" s="27" t="inlineStr">
        <is>
          <t>9º</t>
        </is>
      </c>
      <c r="I244" s="28" t="n">
        <v>157138</v>
      </c>
      <c r="J244" s="29" t="n">
        <v>0.00879087362</v>
      </c>
    </row>
    <row r="245" ht="12.75" customHeight="1" s="8">
      <c r="A245" s="30" t="inlineStr">
        <is>
          <t>GALAPAGOS CAPITAL INVESTIMENTOS E PARTICIPAÇÕES LTDA.</t>
        </is>
      </c>
      <c r="B245" s="31" t="n">
        <v/>
      </c>
      <c r="C245" s="32" t="n">
        <v>0</v>
      </c>
      <c r="D245" s="33" t="n">
        <v/>
      </c>
      <c r="E245" s="31" t="n">
        <v/>
      </c>
      <c r="F245" s="32" t="n">
        <v>0</v>
      </c>
      <c r="G245" s="33" t="n">
        <v/>
      </c>
      <c r="H245" s="31" t="inlineStr">
        <is>
          <t>13º</t>
        </is>
      </c>
      <c r="I245" s="32" t="n">
        <v>100000</v>
      </c>
      <c r="J245" s="33" t="n">
        <v>0.00559436522</v>
      </c>
    </row>
    <row r="246" ht="12.75" customHeight="1" s="8">
      <c r="A246" s="26" t="inlineStr">
        <is>
          <t>ABC BRASIL</t>
        </is>
      </c>
      <c r="B246" s="27" t="n">
        <v/>
      </c>
      <c r="C246" s="28" t="n">
        <v>0</v>
      </c>
      <c r="D246" s="29" t="n">
        <v/>
      </c>
      <c r="E246" s="27" t="n">
        <v/>
      </c>
      <c r="F246" s="28" t="n">
        <v>0</v>
      </c>
      <c r="G246" s="29" t="n">
        <v/>
      </c>
      <c r="H246" s="27" t="inlineStr">
        <is>
          <t>14º</t>
        </is>
      </c>
      <c r="I246" s="28" t="n">
        <v>88717</v>
      </c>
      <c r="J246" s="29" t="n">
        <v>0.00496315299</v>
      </c>
    </row>
    <row r="247" ht="12.75" customHeight="1" s="8">
      <c r="A247" s="30" t="inlineStr">
        <is>
          <t>BR PARTNERS</t>
        </is>
      </c>
      <c r="B247" s="31" t="n">
        <v/>
      </c>
      <c r="C247" s="32" t="n">
        <v>0</v>
      </c>
      <c r="D247" s="33" t="n">
        <v/>
      </c>
      <c r="E247" s="31" t="n">
        <v/>
      </c>
      <c r="F247" s="32" t="n">
        <v>0</v>
      </c>
      <c r="G247" s="33" t="n">
        <v/>
      </c>
      <c r="H247" s="31" t="inlineStr">
        <is>
          <t>19º</t>
        </is>
      </c>
      <c r="I247" s="32" t="n">
        <v>50000</v>
      </c>
      <c r="J247" s="33" t="n">
        <v>0.00279718261</v>
      </c>
    </row>
    <row r="248" ht="12.75" customHeight="1" s="8">
      <c r="A248" s="26" t="inlineStr">
        <is>
          <t xml:space="preserve"> EXES SERVIÇOS FINANCEIROS</t>
        </is>
      </c>
      <c r="B248" s="27" t="n">
        <v/>
      </c>
      <c r="C248" s="28" t="n">
        <v>0</v>
      </c>
      <c r="D248" s="29" t="n">
        <v/>
      </c>
      <c r="E248" s="27" t="n">
        <v/>
      </c>
      <c r="F248" s="28" t="n">
        <v>0</v>
      </c>
      <c r="G248" s="29" t="n">
        <v/>
      </c>
      <c r="H248" s="27" t="inlineStr">
        <is>
          <t>21º</t>
        </is>
      </c>
      <c r="I248" s="28" t="n">
        <v>40000</v>
      </c>
      <c r="J248" s="29" t="n">
        <v>0.00223774609</v>
      </c>
    </row>
    <row r="249" ht="12.75" customHeight="1" s="8">
      <c r="A249" s="30" t="inlineStr">
        <is>
          <t>CANAL COMPANHIA DE SECURITIZAÇÃO</t>
        </is>
      </c>
      <c r="B249" s="31" t="n">
        <v/>
      </c>
      <c r="C249" s="32" t="n">
        <v>0</v>
      </c>
      <c r="D249" s="33" t="n">
        <v/>
      </c>
      <c r="E249" s="31" t="n">
        <v/>
      </c>
      <c r="F249" s="32" t="n">
        <v>0</v>
      </c>
      <c r="G249" s="33" t="n">
        <v/>
      </c>
      <c r="H249" s="31" t="inlineStr">
        <is>
          <t>23º</t>
        </is>
      </c>
      <c r="I249" s="32" t="n">
        <v>20000</v>
      </c>
      <c r="J249" s="33" t="n">
        <v>0.00111887304</v>
      </c>
    </row>
    <row r="250" ht="12.75" customHeight="1" s="8">
      <c r="A250" s="26" t="inlineStr">
        <is>
          <t>ANDBANK</t>
        </is>
      </c>
      <c r="B250" s="27" t="n">
        <v/>
      </c>
      <c r="C250" s="28" t="n">
        <v>0</v>
      </c>
      <c r="D250" s="29" t="n">
        <v/>
      </c>
      <c r="E250" s="27" t="n">
        <v/>
      </c>
      <c r="F250" s="28" t="n">
        <v>0</v>
      </c>
      <c r="G250" s="29" t="n">
        <v/>
      </c>
      <c r="H250" s="27" t="inlineStr">
        <is>
          <t>24º</t>
        </is>
      </c>
      <c r="I250" s="28" t="n">
        <v>5819.99999</v>
      </c>
      <c r="J250" s="29" t="n">
        <v>0.00032559206</v>
      </c>
    </row>
    <row r="251" ht="12.75" customHeight="1" s="8">
      <c r="A251" s="30" t="inlineStr">
        <is>
          <t>WARREN</t>
        </is>
      </c>
      <c r="B251" s="31" t="n">
        <v/>
      </c>
      <c r="C251" s="32" t="n">
        <v>0</v>
      </c>
      <c r="D251" s="33" t="n">
        <v/>
      </c>
      <c r="E251" s="31" t="n">
        <v/>
      </c>
      <c r="F251" s="32" t="n">
        <v>0</v>
      </c>
      <c r="G251" s="33" t="n">
        <v/>
      </c>
      <c r="H251" s="31" t="inlineStr">
        <is>
          <t>25º</t>
        </is>
      </c>
      <c r="I251" s="32" t="n">
        <v>2668</v>
      </c>
      <c r="J251" s="33" t="n">
        <v>0.00014925766</v>
      </c>
    </row>
    <row r="252" ht="12.75" customHeight="1" s="8">
      <c r="A252" s="26" t="inlineStr">
        <is>
          <t>TORO INVESTIMENTOS</t>
        </is>
      </c>
      <c r="B252" s="27" t="n">
        <v/>
      </c>
      <c r="C252" s="28" t="n">
        <v>0</v>
      </c>
      <c r="D252" s="29" t="n">
        <v/>
      </c>
      <c r="E252" s="27" t="n">
        <v/>
      </c>
      <c r="F252" s="28" t="n">
        <v>0</v>
      </c>
      <c r="G252" s="29" t="n">
        <v/>
      </c>
      <c r="H252" s="27" t="inlineStr">
        <is>
          <t>26º</t>
        </is>
      </c>
      <c r="I252" s="28" t="n">
        <v>2479.500230000001</v>
      </c>
      <c r="J252" s="29" t="n">
        <v>0.0001387123</v>
      </c>
    </row>
    <row r="253" ht="12.75" customHeight="1" s="8">
      <c r="A253" s="30" t="inlineStr">
        <is>
          <t>AZIMUT</t>
        </is>
      </c>
      <c r="B253" s="31" t="n">
        <v/>
      </c>
      <c r="C253" s="32" t="n">
        <v>0</v>
      </c>
      <c r="D253" s="33" t="n">
        <v/>
      </c>
      <c r="E253" s="31" t="n">
        <v/>
      </c>
      <c r="F253" s="32" t="n">
        <v>0</v>
      </c>
      <c r="G253" s="33" t="n">
        <v/>
      </c>
      <c r="H253" s="31" t="inlineStr">
        <is>
          <t>27º</t>
        </is>
      </c>
      <c r="I253" s="32" t="n">
        <v>2250.5</v>
      </c>
      <c r="J253" s="33" t="n">
        <v>0.00012590119</v>
      </c>
    </row>
    <row r="254" ht="12.75" customHeight="1" s="8">
      <c r="A254" s="26" t="inlineStr">
        <is>
          <t>ATIVA</t>
        </is>
      </c>
      <c r="B254" s="27" t="n">
        <v/>
      </c>
      <c r="C254" s="28" t="n">
        <v>0</v>
      </c>
      <c r="D254" s="29" t="n">
        <v/>
      </c>
      <c r="E254" s="27" t="n">
        <v/>
      </c>
      <c r="F254" s="28" t="n">
        <v>0</v>
      </c>
      <c r="G254" s="29" t="n">
        <v/>
      </c>
      <c r="H254" s="27" t="inlineStr">
        <is>
          <t>31º</t>
        </is>
      </c>
      <c r="I254" s="28" t="n">
        <v>107.5</v>
      </c>
      <c r="J254" s="29" t="n">
        <v>6.01394e-06</v>
      </c>
    </row>
    <row r="255" ht="12.75" customHeight="1" s="8">
      <c r="A255" s="34" t="inlineStr">
        <is>
          <t>Total</t>
        </is>
      </c>
      <c r="B255" s="35" t="n"/>
      <c r="C255" s="36">
        <f>SUM(C224:C254)</f>
        <v/>
      </c>
      <c r="D255" s="37">
        <f>_xlfn.ROUND(SUM(D224:D254), 1)</f>
        <v/>
      </c>
      <c r="E255" s="35" t="n"/>
      <c r="F255" s="36">
        <f>SUM(F224:F254)</f>
        <v/>
      </c>
      <c r="G255" s="37">
        <f>_xlfn.ROUND(SUM(G224:G254), 1)</f>
        <v/>
      </c>
      <c r="H255" s="35" t="n"/>
      <c r="I255" s="36">
        <f>SUM(I224:I254)</f>
        <v/>
      </c>
      <c r="J255" s="37">
        <f>_xlfn.ROUND(SUM(J224:J254), 1)</f>
        <v/>
      </c>
    </row>
    <row r="256" ht="12.75" customHeight="1" s="8"/>
    <row r="257" ht="12.75" customHeight="1" s="8"/>
    <row r="258" ht="12.75" customHeight="1" s="8">
      <c r="A258" s="22" t="inlineStr">
        <is>
          <t>Tipo 1.3.4. Emissão de Certificados de Recebíveis</t>
        </is>
      </c>
      <c r="J258" s="23" t="n"/>
    </row>
    <row r="259" ht="12.75" customHeight="1" s="8">
      <c r="A259" s="24" t="inlineStr">
        <is>
          <t>Distribuidores</t>
        </is>
      </c>
      <c r="B259" s="24" t="inlineStr">
        <is>
          <t>Acumulado 2026</t>
        </is>
      </c>
      <c r="C259" s="24" t="n"/>
      <c r="D259" s="24" t="n"/>
      <c r="E259" s="24" t="inlineStr">
        <is>
          <t>Últimos 3 meses</t>
        </is>
      </c>
      <c r="F259" s="24" t="n"/>
      <c r="G259" s="24" t="n"/>
      <c r="H259" s="24" t="inlineStr">
        <is>
          <t>Últimos 12 meses</t>
        </is>
      </c>
      <c r="I259" s="24" t="n"/>
      <c r="J259" s="25" t="n"/>
    </row>
    <row r="260" ht="12.75" customHeight="1" s="8">
      <c r="A260" s="24" t="n"/>
      <c r="B260" s="24" t="inlineStr">
        <is>
          <t>Ranking 2026</t>
        </is>
      </c>
      <c r="C260" s="24" t="inlineStr">
        <is>
          <t>Valor *</t>
        </is>
      </c>
      <c r="D260" s="24" t="inlineStr">
        <is>
          <t>Part.</t>
        </is>
      </c>
      <c r="E260" s="24" t="inlineStr">
        <is>
          <t>Ranking 3 meses</t>
        </is>
      </c>
      <c r="F260" s="24" t="inlineStr">
        <is>
          <t>Valor *</t>
        </is>
      </c>
      <c r="G260" s="24" t="inlineStr">
        <is>
          <t>Part.</t>
        </is>
      </c>
      <c r="H260" s="24" t="inlineStr">
        <is>
          <t>Ranking 12 meses</t>
        </is>
      </c>
      <c r="I260" s="24" t="inlineStr">
        <is>
          <t>Valor *</t>
        </is>
      </c>
      <c r="J260" s="25" t="inlineStr">
        <is>
          <t>Part.</t>
        </is>
      </c>
    </row>
    <row r="261" ht="12.75" customHeight="1" s="8">
      <c r="A261" s="26" t="inlineStr">
        <is>
          <t>BRADESCO BBI</t>
        </is>
      </c>
      <c r="B261" s="27" t="inlineStr">
        <is>
          <t>1º</t>
        </is>
      </c>
      <c r="C261" s="28" t="n">
        <v>185000</v>
      </c>
      <c r="D261" s="29" t="n">
        <v>1</v>
      </c>
      <c r="E261" s="27" t="inlineStr">
        <is>
          <t>1º</t>
        </is>
      </c>
      <c r="F261" s="28" t="n">
        <v>185000</v>
      </c>
      <c r="G261" s="29" t="n">
        <v>1</v>
      </c>
      <c r="H261" s="27" t="inlineStr">
        <is>
          <t>1º</t>
        </is>
      </c>
      <c r="I261" s="28" t="n">
        <v>185000</v>
      </c>
      <c r="J261" s="29" t="n">
        <v>0.46139107654</v>
      </c>
    </row>
    <row r="262" ht="12.75" customHeight="1" s="8">
      <c r="A262" s="30" t="inlineStr">
        <is>
          <t>ITAU BBA</t>
        </is>
      </c>
      <c r="B262" s="31" t="n">
        <v/>
      </c>
      <c r="C262" s="32" t="n">
        <v>0</v>
      </c>
      <c r="D262" s="33" t="n">
        <v/>
      </c>
      <c r="E262" s="31" t="n">
        <v/>
      </c>
      <c r="F262" s="32" t="n">
        <v>0</v>
      </c>
      <c r="G262" s="33" t="n">
        <v/>
      </c>
      <c r="H262" s="31" t="inlineStr">
        <is>
          <t>2º</t>
        </is>
      </c>
      <c r="I262" s="32" t="n">
        <v>140000</v>
      </c>
      <c r="J262" s="33" t="n">
        <v>0.34916081468</v>
      </c>
    </row>
    <row r="263" ht="12.75" customHeight="1" s="8">
      <c r="A263" s="26" t="inlineStr">
        <is>
          <t>M7 IB</t>
        </is>
      </c>
      <c r="B263" s="27" t="n">
        <v/>
      </c>
      <c r="C263" s="28" t="n">
        <v>0</v>
      </c>
      <c r="D263" s="29" t="n">
        <v/>
      </c>
      <c r="E263" s="27" t="n">
        <v/>
      </c>
      <c r="F263" s="28" t="n">
        <v>0</v>
      </c>
      <c r="G263" s="29" t="n">
        <v/>
      </c>
      <c r="H263" s="27" t="inlineStr">
        <is>
          <t>3º</t>
        </is>
      </c>
      <c r="I263" s="28" t="n">
        <v>56961.374</v>
      </c>
      <c r="J263" s="29" t="n">
        <v>0.14206199822</v>
      </c>
    </row>
    <row r="264" ht="12.75" customHeight="1" s="8">
      <c r="A264" s="30" t="inlineStr">
        <is>
          <t>ARCHX CAPITAL</t>
        </is>
      </c>
      <c r="B264" s="31" t="n">
        <v/>
      </c>
      <c r="C264" s="32" t="n">
        <v>0</v>
      </c>
      <c r="D264" s="33" t="n">
        <v/>
      </c>
      <c r="E264" s="31" t="n">
        <v/>
      </c>
      <c r="F264" s="32" t="n">
        <v>0</v>
      </c>
      <c r="G264" s="33" t="n">
        <v/>
      </c>
      <c r="H264" s="31" t="inlineStr">
        <is>
          <t>4º</t>
        </is>
      </c>
      <c r="I264" s="32" t="n">
        <v>19000</v>
      </c>
      <c r="J264" s="33" t="n">
        <v>0.04738611056</v>
      </c>
    </row>
    <row r="265" ht="12.75" customHeight="1" s="8">
      <c r="A265" s="34" t="inlineStr">
        <is>
          <t>Total</t>
        </is>
      </c>
      <c r="B265" s="35" t="n"/>
      <c r="C265" s="36">
        <f>SUM(C261:C264)</f>
        <v/>
      </c>
      <c r="D265" s="37">
        <f>_xlfn.ROUND(SUM(D261:D264), 1)</f>
        <v/>
      </c>
      <c r="E265" s="35" t="n"/>
      <c r="F265" s="36">
        <f>SUM(F261:F264)</f>
        <v/>
      </c>
      <c r="G265" s="37">
        <f>_xlfn.ROUND(SUM(G261:G264), 1)</f>
        <v/>
      </c>
      <c r="H265" s="35" t="n"/>
      <c r="I265" s="36">
        <f>SUM(I261:I264)</f>
        <v/>
      </c>
      <c r="J265" s="37">
        <f>_xlfn.ROUND(SUM(J261:J264), 1)</f>
        <v/>
      </c>
    </row>
    <row r="266" ht="12.75" customHeight="1" s="8"/>
    <row r="267" ht="12.75" customHeight="1" s="8"/>
    <row r="268" ht="12.75" customHeight="1" s="8">
      <c r="A268" s="22" t="inlineStr">
        <is>
          <t>Tipo 2: Operações Híbridas</t>
        </is>
      </c>
      <c r="J268" s="23" t="n"/>
    </row>
    <row r="269" ht="12.75" customHeight="1" s="8">
      <c r="A269" s="24" t="inlineStr">
        <is>
          <t>Distribuidores</t>
        </is>
      </c>
      <c r="B269" s="24" t="inlineStr">
        <is>
          <t>Acumulado 2026</t>
        </is>
      </c>
      <c r="C269" s="24" t="n"/>
      <c r="D269" s="24" t="n"/>
      <c r="E269" s="24" t="inlineStr">
        <is>
          <t>Últimos 3 meses</t>
        </is>
      </c>
      <c r="F269" s="24" t="n"/>
      <c r="G269" s="24" t="n"/>
      <c r="H269" s="24" t="inlineStr">
        <is>
          <t>Últimos 12 meses</t>
        </is>
      </c>
      <c r="I269" s="24" t="n"/>
      <c r="J269" s="25" t="n"/>
    </row>
    <row r="270" ht="12.75" customHeight="1" s="8">
      <c r="A270" s="24" t="n"/>
      <c r="B270" s="24" t="inlineStr">
        <is>
          <t>Ranking 2026</t>
        </is>
      </c>
      <c r="C270" s="24" t="inlineStr">
        <is>
          <t>Valor *</t>
        </is>
      </c>
      <c r="D270" s="24" t="inlineStr">
        <is>
          <t>Part.</t>
        </is>
      </c>
      <c r="E270" s="24" t="inlineStr">
        <is>
          <t>Ranking 3 meses</t>
        </is>
      </c>
      <c r="F270" s="24" t="inlineStr">
        <is>
          <t>Valor *</t>
        </is>
      </c>
      <c r="G270" s="24" t="inlineStr">
        <is>
          <t>Part.</t>
        </is>
      </c>
      <c r="H270" s="24" t="inlineStr">
        <is>
          <t>Ranking 12 meses</t>
        </is>
      </c>
      <c r="I270" s="24" t="inlineStr">
        <is>
          <t>Valor *</t>
        </is>
      </c>
      <c r="J270" s="25" t="inlineStr">
        <is>
          <t>Part.</t>
        </is>
      </c>
    </row>
    <row r="271" ht="12.75" customHeight="1" s="8">
      <c r="A271" s="26" t="inlineStr">
        <is>
          <t>ITAU BBA</t>
        </is>
      </c>
      <c r="B271" s="27" t="inlineStr">
        <is>
          <t>1º</t>
        </is>
      </c>
      <c r="C271" s="28" t="n">
        <v>12217840.37107</v>
      </c>
      <c r="D271" s="29" t="n">
        <v>0.49049481397</v>
      </c>
      <c r="E271" s="27" t="inlineStr">
        <is>
          <t>1º</t>
        </is>
      </c>
      <c r="F271" s="28" t="n">
        <v>8537182.640000001</v>
      </c>
      <c r="G271" s="29" t="n">
        <v>0.48855570323</v>
      </c>
      <c r="H271" s="27" t="inlineStr">
        <is>
          <t>2º</t>
        </is>
      </c>
      <c r="I271" s="28" t="n">
        <v>15218021.53477</v>
      </c>
      <c r="J271" s="29" t="n">
        <v>0.34416450173</v>
      </c>
    </row>
    <row r="272" ht="12.75" customHeight="1" s="8">
      <c r="A272" s="30" t="inlineStr">
        <is>
          <t>XP INVESTIMENTOS</t>
        </is>
      </c>
      <c r="B272" s="31" t="inlineStr">
        <is>
          <t>2º</t>
        </is>
      </c>
      <c r="C272" s="32" t="n">
        <v>9712607.0878</v>
      </c>
      <c r="D272" s="33" t="n">
        <v>0.38992025284</v>
      </c>
      <c r="E272" s="31" t="inlineStr">
        <is>
          <t>2º</t>
        </is>
      </c>
      <c r="F272" s="32" t="n">
        <v>6949385.64248</v>
      </c>
      <c r="G272" s="33" t="n">
        <v>0.39769115091</v>
      </c>
      <c r="H272" s="31" t="inlineStr">
        <is>
          <t>1º</t>
        </is>
      </c>
      <c r="I272" s="32" t="n">
        <v>20083354.65721</v>
      </c>
      <c r="J272" s="33" t="n">
        <v>0.45419687</v>
      </c>
    </row>
    <row r="273" ht="12.75" customHeight="1" s="8">
      <c r="A273" s="26" t="inlineStr">
        <is>
          <t>BR PARTNERS</t>
        </is>
      </c>
      <c r="B273" s="27" t="inlineStr">
        <is>
          <t>3º</t>
        </is>
      </c>
      <c r="C273" s="28" t="n">
        <v>1196611.82188</v>
      </c>
      <c r="D273" s="29" t="n">
        <v>0.04803892301</v>
      </c>
      <c r="E273" s="27" t="inlineStr">
        <is>
          <t>3º</t>
        </is>
      </c>
      <c r="F273" s="28" t="n">
        <v>733519.33536</v>
      </c>
      <c r="G273" s="29" t="n">
        <v>0.04197696943</v>
      </c>
      <c r="H273" s="27" t="inlineStr">
        <is>
          <t>3º</t>
        </is>
      </c>
      <c r="I273" s="28" t="n">
        <v>2749346.582580001</v>
      </c>
      <c r="J273" s="29" t="n">
        <v>0.06217808895</v>
      </c>
    </row>
    <row r="274" ht="12.75" customHeight="1" s="8">
      <c r="A274" s="30" t="inlineStr">
        <is>
          <t>BTG PACTUAL</t>
        </is>
      </c>
      <c r="B274" s="31" t="inlineStr">
        <is>
          <t>4º</t>
        </is>
      </c>
      <c r="C274" s="32" t="n">
        <v>655580.72462</v>
      </c>
      <c r="D274" s="33" t="n">
        <v>0.02631880396</v>
      </c>
      <c r="E274" s="31" t="inlineStr">
        <is>
          <t>5º</t>
        </is>
      </c>
      <c r="F274" s="32" t="n">
        <v>291897.5925</v>
      </c>
      <c r="G274" s="33" t="n">
        <v>0.01670436719</v>
      </c>
      <c r="H274" s="31" t="inlineStr">
        <is>
          <t>6º</t>
        </is>
      </c>
      <c r="I274" s="32" t="n">
        <v>1250839.86587</v>
      </c>
      <c r="J274" s="33" t="n">
        <v>0.02828847877</v>
      </c>
    </row>
    <row r="275" ht="12.75" customHeight="1" s="8">
      <c r="A275" s="26" t="inlineStr">
        <is>
          <t>SAFRA</t>
        </is>
      </c>
      <c r="B275" s="27" t="inlineStr">
        <is>
          <t>5º</t>
        </is>
      </c>
      <c r="C275" s="28" t="n">
        <v>520850</v>
      </c>
      <c r="D275" s="29" t="n">
        <v>0.02090993302</v>
      </c>
      <c r="E275" s="27" t="inlineStr">
        <is>
          <t>4º</t>
        </is>
      </c>
      <c r="F275" s="28" t="n">
        <v>520850</v>
      </c>
      <c r="G275" s="29" t="n">
        <v>0.02980658242</v>
      </c>
      <c r="H275" s="27" t="inlineStr">
        <is>
          <t>4º</t>
        </is>
      </c>
      <c r="I275" s="28" t="n">
        <v>1853593.8765</v>
      </c>
      <c r="J275" s="29" t="n">
        <v>0.04192011501</v>
      </c>
    </row>
    <row r="276" ht="12.75" customHeight="1" s="8">
      <c r="A276" s="30" t="inlineStr">
        <is>
          <t>BRADESCO BBI</t>
        </is>
      </c>
      <c r="B276" s="31" t="inlineStr">
        <is>
          <t>6º</t>
        </is>
      </c>
      <c r="C276" s="32" t="n">
        <v>242243.84391</v>
      </c>
      <c r="D276" s="33" t="n">
        <v>0.0097250697</v>
      </c>
      <c r="E276" s="31" t="inlineStr">
        <is>
          <t>6º</t>
        </is>
      </c>
      <c r="F276" s="32" t="n">
        <v>240736.4</v>
      </c>
      <c r="G276" s="33" t="n">
        <v>0.0137765755</v>
      </c>
      <c r="H276" s="31" t="inlineStr">
        <is>
          <t>5º</t>
        </is>
      </c>
      <c r="I276" s="32" t="n">
        <v>1531847.07816</v>
      </c>
      <c r="J276" s="33" t="n">
        <v>0.03464362205</v>
      </c>
    </row>
    <row r="277" ht="12.75" customHeight="1" s="8">
      <c r="A277" s="26" t="inlineStr">
        <is>
          <t>M7 IB</t>
        </is>
      </c>
      <c r="B277" s="27" t="inlineStr">
        <is>
          <t>7º</t>
        </is>
      </c>
      <c r="C277" s="28" t="n">
        <v>105000</v>
      </c>
      <c r="D277" s="29" t="n">
        <v>0.00421530761</v>
      </c>
      <c r="E277" s="27" t="inlineStr">
        <is>
          <t>7º</t>
        </is>
      </c>
      <c r="F277" s="28" t="n">
        <v>105000</v>
      </c>
      <c r="G277" s="29" t="n">
        <v>0.00600881473</v>
      </c>
      <c r="H277" s="27" t="inlineStr">
        <is>
          <t>11º</t>
        </is>
      </c>
      <c r="I277" s="28" t="n">
        <v>105000</v>
      </c>
      <c r="J277" s="29" t="n">
        <v>0.00237463672</v>
      </c>
    </row>
    <row r="278" ht="12.75" customHeight="1" s="8">
      <c r="A278" s="30" t="inlineStr">
        <is>
          <t>FATOR</t>
        </is>
      </c>
      <c r="B278" s="31" t="inlineStr">
        <is>
          <t>8º</t>
        </is>
      </c>
      <c r="C278" s="32" t="n">
        <v>81934.16224000001</v>
      </c>
      <c r="D278" s="33" t="n">
        <v>0.0032893114</v>
      </c>
      <c r="E278" s="31" t="inlineStr">
        <is>
          <t>8º</t>
        </is>
      </c>
      <c r="F278" s="32" t="n">
        <v>63452.16224000001</v>
      </c>
      <c r="G278" s="33" t="n">
        <v>0.00363116464</v>
      </c>
      <c r="H278" s="31" t="inlineStr">
        <is>
          <t>13º</t>
        </is>
      </c>
      <c r="I278" s="32" t="n">
        <v>81934.16224000001</v>
      </c>
      <c r="J278" s="33" t="n">
        <v>0.00185298924</v>
      </c>
    </row>
    <row r="279" ht="12.75" customHeight="1" s="8">
      <c r="A279" s="26" t="inlineStr">
        <is>
          <t>ABC BRASIL</t>
        </is>
      </c>
      <c r="B279" s="27" t="inlineStr">
        <is>
          <t>9º</t>
        </is>
      </c>
      <c r="C279" s="28" t="n">
        <v>75000</v>
      </c>
      <c r="D279" s="29" t="n">
        <v>0.00301093401</v>
      </c>
      <c r="E279" s="27" t="n">
        <v/>
      </c>
      <c r="F279" s="28" t="n">
        <v>0</v>
      </c>
      <c r="G279" s="29" t="n">
        <v/>
      </c>
      <c r="H279" s="27" t="inlineStr">
        <is>
          <t>14º</t>
        </is>
      </c>
      <c r="I279" s="28" t="n">
        <v>75000</v>
      </c>
      <c r="J279" s="29" t="n">
        <v>0.00169616908</v>
      </c>
    </row>
    <row r="280" ht="12.75" customHeight="1" s="8">
      <c r="A280" s="30" t="inlineStr">
        <is>
          <t>SANTANDER</t>
        </is>
      </c>
      <c r="B280" s="31" t="inlineStr">
        <is>
          <t>10º</t>
        </is>
      </c>
      <c r="C280" s="32" t="n">
        <v>39071.18453</v>
      </c>
      <c r="D280" s="33" t="n">
        <v>0.00156854344</v>
      </c>
      <c r="E280" s="31" t="n">
        <v/>
      </c>
      <c r="F280" s="32" t="n">
        <v>0</v>
      </c>
      <c r="G280" s="33" t="n">
        <v/>
      </c>
      <c r="H280" s="31" t="inlineStr">
        <is>
          <t>16º</t>
        </is>
      </c>
      <c r="I280" s="32" t="n">
        <v>39071.18453</v>
      </c>
      <c r="J280" s="33" t="n">
        <v>0.0008836178</v>
      </c>
    </row>
    <row r="281" ht="12.75" customHeight="1" s="8">
      <c r="A281" s="26" t="inlineStr">
        <is>
          <t>HEDGE DTVM</t>
        </is>
      </c>
      <c r="B281" s="27" t="inlineStr">
        <is>
          <t>11º</t>
        </is>
      </c>
      <c r="C281" s="28" t="n">
        <v>16404.3</v>
      </c>
      <c r="D281" s="29" t="n">
        <v>0.00065856353</v>
      </c>
      <c r="E281" s="27" t="inlineStr">
        <is>
          <t>9º</t>
        </is>
      </c>
      <c r="F281" s="28" t="n">
        <v>16404.3</v>
      </c>
      <c r="G281" s="29" t="n">
        <v>0.00093876571</v>
      </c>
      <c r="H281" s="27" t="inlineStr">
        <is>
          <t>19º</t>
        </is>
      </c>
      <c r="I281" s="28" t="n">
        <v>16404.3</v>
      </c>
      <c r="J281" s="29" t="n">
        <v>0.00037099289</v>
      </c>
    </row>
    <row r="282" ht="12.75" customHeight="1" s="8">
      <c r="A282" s="30" t="inlineStr">
        <is>
          <t>VOTORANTIM</t>
        </is>
      </c>
      <c r="B282" s="31" t="inlineStr">
        <is>
          <t>12º</t>
        </is>
      </c>
      <c r="C282" s="32" t="n">
        <v>9900</v>
      </c>
      <c r="D282" s="33" t="n">
        <v>0.00039744329</v>
      </c>
      <c r="E282" s="31" t="inlineStr">
        <is>
          <t>10º</t>
        </is>
      </c>
      <c r="F282" s="32" t="n">
        <v>9900</v>
      </c>
      <c r="G282" s="33" t="n">
        <v>0.00056654539</v>
      </c>
      <c r="H282" s="31" t="inlineStr">
        <is>
          <t>15º</t>
        </is>
      </c>
      <c r="I282" s="32" t="n">
        <v>71900</v>
      </c>
      <c r="J282" s="33" t="n">
        <v>0.00162606076</v>
      </c>
    </row>
    <row r="283" ht="12.75" customHeight="1" s="8">
      <c r="A283" s="26" t="inlineStr">
        <is>
          <t>RIO BRAVO</t>
        </is>
      </c>
      <c r="B283" s="27" t="inlineStr">
        <is>
          <t>13º</t>
        </is>
      </c>
      <c r="C283" s="28" t="n">
        <v>8071.533469999999</v>
      </c>
      <c r="D283" s="29" t="n">
        <v>0.00032403806</v>
      </c>
      <c r="E283" s="27" t="n">
        <v/>
      </c>
      <c r="F283" s="28" t="n">
        <v>0</v>
      </c>
      <c r="G283" s="29" t="n">
        <v/>
      </c>
      <c r="H283" s="27" t="inlineStr">
        <is>
          <t>21º</t>
        </is>
      </c>
      <c r="I283" s="28" t="n">
        <v>8071.533469999999</v>
      </c>
      <c r="J283" s="29" t="n">
        <v>0.00018254247</v>
      </c>
    </row>
    <row r="284" ht="12.75" customHeight="1" s="8">
      <c r="A284" s="30" t="inlineStr">
        <is>
          <t>MAX CAPITAL MARKETS</t>
        </is>
      </c>
      <c r="B284" s="31" t="inlineStr">
        <is>
          <t>14º</t>
        </is>
      </c>
      <c r="C284" s="32" t="n">
        <v>6000</v>
      </c>
      <c r="D284" s="33" t="n">
        <v>0.00024087472</v>
      </c>
      <c r="E284" s="31" t="inlineStr">
        <is>
          <t>11º</t>
        </is>
      </c>
      <c r="F284" s="32" t="n">
        <v>6000</v>
      </c>
      <c r="G284" s="33" t="n">
        <v>0.00034336084</v>
      </c>
      <c r="H284" s="31" t="inlineStr">
        <is>
          <t>9º</t>
        </is>
      </c>
      <c r="I284" s="32" t="n">
        <v>130919.754</v>
      </c>
      <c r="J284" s="33" t="n">
        <v>0.00296082719</v>
      </c>
    </row>
    <row r="285" ht="12.75" customHeight="1" s="8">
      <c r="A285" s="26" t="inlineStr">
        <is>
          <t>ANDBANK</t>
        </is>
      </c>
      <c r="B285" s="27" t="inlineStr">
        <is>
          <t>15º</t>
        </is>
      </c>
      <c r="C285" s="28" t="n">
        <v>5838.76426</v>
      </c>
      <c r="D285" s="29" t="n">
        <v>0.00023440178</v>
      </c>
      <c r="E285" s="27" t="n">
        <v/>
      </c>
      <c r="F285" s="28" t="n">
        <v>0</v>
      </c>
      <c r="G285" s="29" t="n">
        <v/>
      </c>
      <c r="H285" s="27" t="inlineStr">
        <is>
          <t>20º</t>
        </is>
      </c>
      <c r="I285" s="28" t="n">
        <v>8112.5153</v>
      </c>
      <c r="J285" s="29" t="n">
        <v>0.0001834693</v>
      </c>
    </row>
    <row r="286" ht="12.75" customHeight="1" s="8">
      <c r="A286" s="30" t="inlineStr">
        <is>
          <t>INTER</t>
        </is>
      </c>
      <c r="B286" s="31" t="inlineStr">
        <is>
          <t>16º</t>
        </is>
      </c>
      <c r="C286" s="32" t="n">
        <v>4705.86742</v>
      </c>
      <c r="D286" s="33" t="n">
        <v>0.00018892075</v>
      </c>
      <c r="E286" s="31" t="n">
        <v/>
      </c>
      <c r="F286" s="32" t="n">
        <v>0</v>
      </c>
      <c r="G286" s="33" t="n">
        <v/>
      </c>
      <c r="H286" s="31" t="inlineStr">
        <is>
          <t>10º</t>
        </is>
      </c>
      <c r="I286" s="32" t="n">
        <v>120068.46882</v>
      </c>
      <c r="J286" s="33" t="n">
        <v>0.002715419</v>
      </c>
    </row>
    <row r="287" ht="12.75" customHeight="1" s="8">
      <c r="A287" s="26" t="inlineStr">
        <is>
          <t>BB-BI</t>
        </is>
      </c>
      <c r="B287" s="27" t="inlineStr">
        <is>
          <t>17º</t>
        </is>
      </c>
      <c r="C287" s="28" t="n">
        <v>4513.8898</v>
      </c>
      <c r="D287" s="29" t="n">
        <v>0.00018121366</v>
      </c>
      <c r="E287" s="27" t="n">
        <v/>
      </c>
      <c r="F287" s="28" t="n">
        <v>0</v>
      </c>
      <c r="G287" s="29" t="n">
        <v/>
      </c>
      <c r="H287" s="27" t="inlineStr">
        <is>
          <t>8º</t>
        </is>
      </c>
      <c r="I287" s="28" t="n">
        <v>246910.92911</v>
      </c>
      <c r="J287" s="29" t="n">
        <v>0.00558403579</v>
      </c>
    </row>
    <row r="288" ht="12.75" customHeight="1" s="8">
      <c r="A288" s="30" t="inlineStr">
        <is>
          <t>RB CAPITAL DTVM</t>
        </is>
      </c>
      <c r="B288" s="31" t="inlineStr">
        <is>
          <t>18º</t>
        </is>
      </c>
      <c r="C288" s="32" t="n">
        <v>4458.55956</v>
      </c>
      <c r="D288" s="33" t="n">
        <v>0.00017899238</v>
      </c>
      <c r="E288" s="31" t="n">
        <v/>
      </c>
      <c r="F288" s="32" t="n">
        <v>0</v>
      </c>
      <c r="G288" s="33" t="n">
        <v/>
      </c>
      <c r="H288" s="31" t="inlineStr">
        <is>
          <t>22º</t>
        </is>
      </c>
      <c r="I288" s="32" t="n">
        <v>4458.55956</v>
      </c>
      <c r="J288" s="33" t="n">
        <v>0.00010083295</v>
      </c>
    </row>
    <row r="289" ht="12.75" customHeight="1" s="8">
      <c r="A289" s="26" t="inlineStr">
        <is>
          <t>TORO INVESTIMENTOS</t>
        </is>
      </c>
      <c r="B289" s="27" t="inlineStr">
        <is>
          <t>19º</t>
        </is>
      </c>
      <c r="C289" s="28" t="n">
        <v>1115.09758</v>
      </c>
      <c r="D289" s="29" t="n">
        <v>4.476647e-05</v>
      </c>
      <c r="E289" s="27" t="n">
        <v/>
      </c>
      <c r="F289" s="28" t="n">
        <v>0</v>
      </c>
      <c r="G289" s="29" t="n">
        <v/>
      </c>
      <c r="H289" s="27" t="inlineStr">
        <is>
          <t>24º</t>
        </is>
      </c>
      <c r="I289" s="28" t="n">
        <v>1115.09758</v>
      </c>
      <c r="J289" s="29" t="n">
        <v>2.521859e-05</v>
      </c>
    </row>
    <row r="290" ht="12.75" customHeight="1" s="8">
      <c r="A290" s="30" t="inlineStr">
        <is>
          <t>GENIAL CV</t>
        </is>
      </c>
      <c r="B290" s="31" t="inlineStr">
        <is>
          <t>20º</t>
        </is>
      </c>
      <c r="C290" s="32" t="n">
        <v>918.89899</v>
      </c>
      <c r="D290" s="33" t="n">
        <v>3.688992e-05</v>
      </c>
      <c r="E290" s="31" t="n">
        <v/>
      </c>
      <c r="F290" s="32" t="n">
        <v>0</v>
      </c>
      <c r="G290" s="33" t="n">
        <v/>
      </c>
      <c r="H290" s="31" t="inlineStr">
        <is>
          <t>25º</t>
        </is>
      </c>
      <c r="I290" s="32" t="n">
        <v>952.62848</v>
      </c>
      <c r="J290" s="33" t="n">
        <v>2.154425e-05</v>
      </c>
    </row>
    <row r="291" ht="12.75" customHeight="1" s="8">
      <c r="A291" s="26" t="inlineStr">
        <is>
          <t>ATIVA</t>
        </is>
      </c>
      <c r="B291" s="27" t="inlineStr">
        <is>
          <t>21º</t>
        </is>
      </c>
      <c r="C291" s="28" t="n">
        <v>402.26305</v>
      </c>
      <c r="D291" s="29" t="n">
        <v>1.614917e-05</v>
      </c>
      <c r="E291" s="27" t="n">
        <v/>
      </c>
      <c r="F291" s="28" t="n">
        <v>0</v>
      </c>
      <c r="G291" s="29" t="n">
        <v/>
      </c>
      <c r="H291" s="27" t="inlineStr">
        <is>
          <t>23º</t>
        </is>
      </c>
      <c r="I291" s="28" t="n">
        <v>1181.82607</v>
      </c>
      <c r="J291" s="29" t="n">
        <v>2.672769e-05</v>
      </c>
    </row>
    <row r="292" ht="12.75" customHeight="1" s="8">
      <c r="A292" s="30" t="inlineStr">
        <is>
          <t>TERRA</t>
        </is>
      </c>
      <c r="B292" s="31" t="inlineStr">
        <is>
          <t>22º</t>
        </is>
      </c>
      <c r="C292" s="32" t="n">
        <v>145.80128</v>
      </c>
      <c r="D292" s="33" t="n">
        <v>5.85331e-06</v>
      </c>
      <c r="E292" s="31" t="n">
        <v/>
      </c>
      <c r="F292" s="32" t="n">
        <v>0</v>
      </c>
      <c r="G292" s="33" t="n">
        <v/>
      </c>
      <c r="H292" s="31" t="inlineStr">
        <is>
          <t>26º</t>
        </is>
      </c>
      <c r="I292" s="32" t="n">
        <v>145.80128</v>
      </c>
      <c r="J292" s="33" t="n">
        <v>3.29738e-06</v>
      </c>
    </row>
    <row r="293" ht="12.75" customHeight="1" s="8">
      <c r="A293" s="26" t="inlineStr">
        <is>
          <t>UBS BB</t>
        </is>
      </c>
      <c r="B293" s="27" t="n">
        <v/>
      </c>
      <c r="C293" s="28" t="n">
        <v>0</v>
      </c>
      <c r="D293" s="29" t="n">
        <v/>
      </c>
      <c r="E293" s="27" t="n">
        <v/>
      </c>
      <c r="F293" s="28" t="n">
        <v>0</v>
      </c>
      <c r="G293" s="29" t="n">
        <v/>
      </c>
      <c r="H293" s="27" t="inlineStr">
        <is>
          <t>7º</t>
        </is>
      </c>
      <c r="I293" s="28" t="n">
        <v>467978.1144799999</v>
      </c>
      <c r="J293" s="29" t="n">
        <v>0.01058360012</v>
      </c>
    </row>
    <row r="294" ht="12.75" customHeight="1" s="8">
      <c r="A294" s="30" t="inlineStr">
        <is>
          <t>GALAPAGOS CAPITAL INVESTIMENTOS E PARTICIPAÇÕES LTDA.</t>
        </is>
      </c>
      <c r="B294" s="31" t="n">
        <v/>
      </c>
      <c r="C294" s="32" t="n">
        <v>0</v>
      </c>
      <c r="D294" s="33" t="n">
        <v/>
      </c>
      <c r="E294" s="31" t="n">
        <v/>
      </c>
      <c r="F294" s="32" t="n">
        <v>0</v>
      </c>
      <c r="G294" s="33" t="n">
        <v/>
      </c>
      <c r="H294" s="31" t="inlineStr">
        <is>
          <t>12º</t>
        </is>
      </c>
      <c r="I294" s="32" t="n">
        <v>100616.3</v>
      </c>
      <c r="J294" s="33" t="n">
        <v>0.00227549676</v>
      </c>
    </row>
    <row r="295" ht="12.75" customHeight="1" s="8">
      <c r="A295" s="26" t="inlineStr">
        <is>
          <t>DAYCOVAL</t>
        </is>
      </c>
      <c r="B295" s="27" t="n">
        <v/>
      </c>
      <c r="C295" s="28" t="n">
        <v>0</v>
      </c>
      <c r="D295" s="29" t="n">
        <v/>
      </c>
      <c r="E295" s="27" t="n">
        <v/>
      </c>
      <c r="F295" s="28" t="n">
        <v>0</v>
      </c>
      <c r="G295" s="29" t="n">
        <v/>
      </c>
      <c r="H295" s="27" t="inlineStr">
        <is>
          <t>17º</t>
        </is>
      </c>
      <c r="I295" s="28" t="n">
        <v>28899.73016</v>
      </c>
      <c r="J295" s="29" t="n">
        <v>0.00065358438</v>
      </c>
    </row>
    <row r="296" ht="12.75" customHeight="1" s="8">
      <c r="A296" s="30" t="inlineStr">
        <is>
          <t>ORIZ ASSESSORIA FINANCEIRA LTDA</t>
        </is>
      </c>
      <c r="B296" s="31" t="n">
        <v/>
      </c>
      <c r="C296" s="32" t="n">
        <v>0</v>
      </c>
      <c r="D296" s="33" t="n">
        <v/>
      </c>
      <c r="E296" s="31" t="n">
        <v/>
      </c>
      <c r="F296" s="32" t="n">
        <v>0</v>
      </c>
      <c r="G296" s="33" t="n">
        <v/>
      </c>
      <c r="H296" s="31" t="inlineStr">
        <is>
          <t>18º</t>
        </is>
      </c>
      <c r="I296" s="32" t="n">
        <v>21545.36666</v>
      </c>
      <c r="J296" s="33" t="n">
        <v>0.00048726113</v>
      </c>
    </row>
    <row r="297" ht="12.75" customHeight="1" s="8">
      <c r="A297" s="34" t="inlineStr">
        <is>
          <t>Total</t>
        </is>
      </c>
      <c r="B297" s="35" t="n"/>
      <c r="C297" s="36">
        <f>SUM(C271:C296)</f>
        <v/>
      </c>
      <c r="D297" s="37">
        <f>_xlfn.ROUND(SUM(D271:D296), 1)</f>
        <v/>
      </c>
      <c r="E297" s="35" t="n"/>
      <c r="F297" s="36">
        <f>SUM(F271:F296)</f>
        <v/>
      </c>
      <c r="G297" s="37">
        <f>_xlfn.ROUND(SUM(G271:G296), 1)</f>
        <v/>
      </c>
      <c r="H297" s="35" t="n"/>
      <c r="I297" s="36">
        <f>SUM(I271:I296)</f>
        <v/>
      </c>
      <c r="J297" s="37">
        <f>_xlfn.ROUND(SUM(J271:J296), 1)</f>
        <v/>
      </c>
    </row>
    <row r="298" ht="12.75" customHeight="1" s="8"/>
    <row r="299" ht="12.75" customHeight="1" s="8"/>
    <row r="300" ht="12.75" customHeight="1" s="8">
      <c r="A300" s="22" t="inlineStr">
        <is>
          <t>Tipo 2.1. Títulos Conversíveis Permutáveis</t>
        </is>
      </c>
      <c r="J300" s="23" t="n"/>
    </row>
    <row r="301" ht="12.75" customHeight="1" s="8">
      <c r="A301" s="24" t="inlineStr">
        <is>
          <t>Distribuidores</t>
        </is>
      </c>
      <c r="B301" s="24" t="inlineStr">
        <is>
          <t>Acumulado 2026</t>
        </is>
      </c>
      <c r="C301" s="24" t="n"/>
      <c r="D301" s="24" t="n"/>
      <c r="E301" s="24" t="inlineStr">
        <is>
          <t>Últimos 3 meses</t>
        </is>
      </c>
      <c r="F301" s="24" t="n"/>
      <c r="G301" s="24" t="n"/>
      <c r="H301" s="24" t="inlineStr">
        <is>
          <t>Últimos 12 meses</t>
        </is>
      </c>
      <c r="I301" s="24" t="n"/>
      <c r="J301" s="25" t="n"/>
    </row>
    <row r="302" ht="12.75" customHeight="1" s="8">
      <c r="A302" s="24" t="n"/>
      <c r="B302" s="24" t="inlineStr">
        <is>
          <t>Ranking 2026</t>
        </is>
      </c>
      <c r="C302" s="24" t="inlineStr">
        <is>
          <t>Valor *</t>
        </is>
      </c>
      <c r="D302" s="24" t="inlineStr">
        <is>
          <t>Part.</t>
        </is>
      </c>
      <c r="E302" s="24" t="inlineStr">
        <is>
          <t>Ranking 3 meses</t>
        </is>
      </c>
      <c r="F302" s="24" t="inlineStr">
        <is>
          <t>Valor *</t>
        </is>
      </c>
      <c r="G302" s="24" t="inlineStr">
        <is>
          <t>Part.</t>
        </is>
      </c>
      <c r="H302" s="24" t="inlineStr">
        <is>
          <t>Ranking 12 meses</t>
        </is>
      </c>
      <c r="I302" s="24" t="inlineStr">
        <is>
          <t>Valor *</t>
        </is>
      </c>
      <c r="J302" s="25" t="inlineStr">
        <is>
          <t>Part.</t>
        </is>
      </c>
    </row>
    <row r="303" ht="12.75" customHeight="1" s="8">
      <c r="A303" s="26" t="inlineStr">
        <is>
          <t>UBS BB</t>
        </is>
      </c>
      <c r="B303" s="27" t="n">
        <v/>
      </c>
      <c r="C303" s="28" t="n">
        <v>0</v>
      </c>
      <c r="D303" s="29" t="n">
        <v/>
      </c>
      <c r="E303" s="27" t="n">
        <v/>
      </c>
      <c r="F303" s="28" t="n">
        <v>0</v>
      </c>
      <c r="G303" s="29" t="n">
        <v/>
      </c>
      <c r="H303" s="27" t="inlineStr">
        <is>
          <t>1º</t>
        </is>
      </c>
      <c r="I303" s="28" t="n">
        <v>467978.1144799999</v>
      </c>
      <c r="J303" s="29" t="n">
        <v>0.5</v>
      </c>
    </row>
    <row r="304" ht="12.75" customHeight="1" s="8">
      <c r="A304" s="30" t="inlineStr">
        <is>
          <t>BRADESCO BBI</t>
        </is>
      </c>
      <c r="B304" s="31" t="n">
        <v/>
      </c>
      <c r="C304" s="32" t="n">
        <v>0</v>
      </c>
      <c r="D304" s="33" t="n">
        <v/>
      </c>
      <c r="E304" s="31" t="n">
        <v/>
      </c>
      <c r="F304" s="32" t="n">
        <v>0</v>
      </c>
      <c r="G304" s="33" t="n">
        <v/>
      </c>
      <c r="H304" s="31" t="inlineStr">
        <is>
          <t>1º</t>
        </is>
      </c>
      <c r="I304" s="32" t="n">
        <v>467978.1144799999</v>
      </c>
      <c r="J304" s="33" t="n">
        <v>0.5</v>
      </c>
    </row>
    <row r="305" ht="12.75" customHeight="1" s="8">
      <c r="A305" s="34" t="inlineStr">
        <is>
          <t>Total</t>
        </is>
      </c>
      <c r="B305" s="35" t="n"/>
      <c r="C305" s="36">
        <f>SUM(C303:C304)</f>
        <v/>
      </c>
      <c r="D305" s="37">
        <f>_xlfn.ROUND(SUM(D303:D304), 1)</f>
        <v/>
      </c>
      <c r="E305" s="35" t="n"/>
      <c r="F305" s="36">
        <f>SUM(F303:F304)</f>
        <v/>
      </c>
      <c r="G305" s="37">
        <f>_xlfn.ROUND(SUM(G303:G304), 1)</f>
        <v/>
      </c>
      <c r="H305" s="35" t="n"/>
      <c r="I305" s="36">
        <f>SUM(I303:I304)</f>
        <v/>
      </c>
      <c r="J305" s="37">
        <f>_xlfn.ROUND(SUM(J303:J304), 1)</f>
        <v/>
      </c>
    </row>
    <row r="306" ht="12.75" customHeight="1" s="8"/>
    <row r="307" ht="12.75" customHeight="1" s="8"/>
    <row r="308" ht="12.75" customHeight="1" s="8">
      <c r="A308" s="22" t="inlineStr">
        <is>
          <t>Tipo 2.2. Fundo de Investimento Imobiliário</t>
        </is>
      </c>
      <c r="J308" s="23" t="n"/>
    </row>
    <row r="309" ht="12.75" customHeight="1" s="8">
      <c r="A309" s="24" t="inlineStr">
        <is>
          <t>Distribuidores</t>
        </is>
      </c>
      <c r="B309" s="24" t="inlineStr">
        <is>
          <t>Acumulado 2026</t>
        </is>
      </c>
      <c r="C309" s="24" t="n"/>
      <c r="D309" s="24" t="n"/>
      <c r="E309" s="24" t="inlineStr">
        <is>
          <t>Últimos 3 meses</t>
        </is>
      </c>
      <c r="F309" s="24" t="n"/>
      <c r="G309" s="24" t="n"/>
      <c r="H309" s="24" t="inlineStr">
        <is>
          <t>Últimos 12 meses</t>
        </is>
      </c>
      <c r="I309" s="24" t="n"/>
      <c r="J309" s="25" t="n"/>
    </row>
    <row r="310" ht="12.75" customHeight="1" s="8">
      <c r="A310" s="24" t="n"/>
      <c r="B310" s="24" t="inlineStr">
        <is>
          <t>Ranking 2026</t>
        </is>
      </c>
      <c r="C310" s="24" t="inlineStr">
        <is>
          <t>Valor *</t>
        </is>
      </c>
      <c r="D310" s="24" t="inlineStr">
        <is>
          <t>Part.</t>
        </is>
      </c>
      <c r="E310" s="24" t="inlineStr">
        <is>
          <t>Ranking 3 meses</t>
        </is>
      </c>
      <c r="F310" s="24" t="inlineStr">
        <is>
          <t>Valor *</t>
        </is>
      </c>
      <c r="G310" s="24" t="inlineStr">
        <is>
          <t>Part.</t>
        </is>
      </c>
      <c r="H310" s="24" t="inlineStr">
        <is>
          <t>Ranking 12 meses</t>
        </is>
      </c>
      <c r="I310" s="24" t="inlineStr">
        <is>
          <t>Valor *</t>
        </is>
      </c>
      <c r="J310" s="25" t="inlineStr">
        <is>
          <t>Part.</t>
        </is>
      </c>
    </row>
    <row r="311" ht="12.75" customHeight="1" s="8">
      <c r="A311" s="26" t="inlineStr">
        <is>
          <t>XP INVESTIMENTOS</t>
        </is>
      </c>
      <c r="B311" s="27" t="inlineStr">
        <is>
          <t>1º</t>
        </is>
      </c>
      <c r="C311" s="28" t="n">
        <v>7927741.89493</v>
      </c>
      <c r="D311" s="29" t="n">
        <v>0.54091333284</v>
      </c>
      <c r="E311" s="27" t="inlineStr">
        <is>
          <t>1º</t>
        </is>
      </c>
      <c r="F311" s="28" t="n">
        <v>6287539.75132</v>
      </c>
      <c r="G311" s="29" t="n">
        <v>0.73028110753</v>
      </c>
      <c r="H311" s="27" t="inlineStr">
        <is>
          <t>1º</t>
        </is>
      </c>
      <c r="I311" s="28" t="n">
        <v>17192646.16434</v>
      </c>
      <c r="J311" s="29" t="n">
        <v>0.55498574441</v>
      </c>
    </row>
    <row r="312" ht="12.75" customHeight="1" s="8">
      <c r="A312" s="30" t="inlineStr">
        <is>
          <t>ITAU BBA</t>
        </is>
      </c>
      <c r="B312" s="31" t="inlineStr">
        <is>
          <t>2º</t>
        </is>
      </c>
      <c r="C312" s="32" t="n">
        <v>4625717.371069999</v>
      </c>
      <c r="D312" s="33" t="n">
        <v>0.31561474038</v>
      </c>
      <c r="E312" s="31" t="inlineStr">
        <is>
          <t>2º</t>
        </is>
      </c>
      <c r="F312" s="32" t="n">
        <v>945059.64</v>
      </c>
      <c r="G312" s="33" t="n">
        <v>0.1097661769</v>
      </c>
      <c r="H312" s="31" t="inlineStr">
        <is>
          <t>2º</t>
        </is>
      </c>
      <c r="I312" s="32" t="n">
        <v>7399398.534770001</v>
      </c>
      <c r="J312" s="33" t="n">
        <v>0.2388556517</v>
      </c>
    </row>
    <row r="313" ht="12.75" customHeight="1" s="8">
      <c r="A313" s="26" t="inlineStr">
        <is>
          <t>BR PARTNERS</t>
        </is>
      </c>
      <c r="B313" s="27" t="inlineStr">
        <is>
          <t>3º</t>
        </is>
      </c>
      <c r="C313" s="28" t="n">
        <v>1196611.82188</v>
      </c>
      <c r="D313" s="29" t="n">
        <v>0.0816453534</v>
      </c>
      <c r="E313" s="27" t="inlineStr">
        <is>
          <t>3º</t>
        </is>
      </c>
      <c r="F313" s="28" t="n">
        <v>733519.33536</v>
      </c>
      <c r="G313" s="29" t="n">
        <v>0.08519633017</v>
      </c>
      <c r="H313" s="27" t="inlineStr">
        <is>
          <t>3º</t>
        </is>
      </c>
      <c r="I313" s="28" t="n">
        <v>2749346.582580001</v>
      </c>
      <c r="J313" s="29" t="n">
        <v>0.08875004726999999</v>
      </c>
    </row>
    <row r="314" ht="12.75" customHeight="1" s="8">
      <c r="A314" s="30" t="inlineStr">
        <is>
          <t>BTG PACTUAL</t>
        </is>
      </c>
      <c r="B314" s="31" t="inlineStr">
        <is>
          <t>4º</t>
        </is>
      </c>
      <c r="C314" s="32" t="n">
        <v>408657.82462</v>
      </c>
      <c r="D314" s="33" t="n">
        <v>0.02788290396</v>
      </c>
      <c r="E314" s="31" t="inlineStr">
        <is>
          <t>4º</t>
        </is>
      </c>
      <c r="F314" s="32" t="n">
        <v>291897.5925</v>
      </c>
      <c r="G314" s="33" t="n">
        <v>0.03390313311</v>
      </c>
      <c r="H314" s="31" t="inlineStr">
        <is>
          <t>6º</t>
        </is>
      </c>
      <c r="I314" s="32" t="n">
        <v>590859.76587</v>
      </c>
      <c r="J314" s="33" t="n">
        <v>0.01907319815</v>
      </c>
    </row>
    <row r="315" ht="12.75" customHeight="1" s="8">
      <c r="A315" s="26" t="inlineStr">
        <is>
          <t>BRADESCO BBI</t>
        </is>
      </c>
      <c r="B315" s="27" t="inlineStr">
        <is>
          <t>5º</t>
        </is>
      </c>
      <c r="C315" s="28" t="n">
        <v>242243.84391</v>
      </c>
      <c r="D315" s="29" t="n">
        <v>0.01652840452</v>
      </c>
      <c r="E315" s="27" t="inlineStr">
        <is>
          <t>5º</t>
        </is>
      </c>
      <c r="F315" s="28" t="n">
        <v>240736.4</v>
      </c>
      <c r="G315" s="29" t="n">
        <v>0.02796089596</v>
      </c>
      <c r="H315" s="27" t="inlineStr">
        <is>
          <t>5º</t>
        </is>
      </c>
      <c r="I315" s="28" t="n">
        <v>1063868.96368</v>
      </c>
      <c r="J315" s="29" t="n">
        <v>0.03434213111</v>
      </c>
    </row>
    <row r="316" ht="12.75" customHeight="1" s="8">
      <c r="A316" s="30" t="inlineStr">
        <is>
          <t>M7 IB</t>
        </is>
      </c>
      <c r="B316" s="31" t="inlineStr">
        <is>
          <t>6º</t>
        </is>
      </c>
      <c r="C316" s="32" t="n">
        <v>105000</v>
      </c>
      <c r="D316" s="33" t="n">
        <v>0.0071641964</v>
      </c>
      <c r="E316" s="31" t="inlineStr">
        <is>
          <t>6º</t>
        </is>
      </c>
      <c r="F316" s="32" t="n">
        <v>105000</v>
      </c>
      <c r="G316" s="33" t="n">
        <v>0.01219547221</v>
      </c>
      <c r="H316" s="31" t="inlineStr">
        <is>
          <t>9º</t>
        </is>
      </c>
      <c r="I316" s="32" t="n">
        <v>105000</v>
      </c>
      <c r="J316" s="33" t="n">
        <v>0.00338944352</v>
      </c>
    </row>
    <row r="317" ht="12.75" customHeight="1" s="8">
      <c r="A317" s="26" t="inlineStr">
        <is>
          <t>ABC BRASIL</t>
        </is>
      </c>
      <c r="B317" s="27" t="inlineStr">
        <is>
          <t>7º</t>
        </is>
      </c>
      <c r="C317" s="28" t="n">
        <v>75000</v>
      </c>
      <c r="D317" s="29" t="n">
        <v>0.00511728314</v>
      </c>
      <c r="E317" s="27" t="n">
        <v/>
      </c>
      <c r="F317" s="28" t="n">
        <v>0</v>
      </c>
      <c r="G317" s="29" t="n">
        <v/>
      </c>
      <c r="H317" s="27" t="inlineStr">
        <is>
          <t>11º</t>
        </is>
      </c>
      <c r="I317" s="28" t="n">
        <v>75000</v>
      </c>
      <c r="J317" s="29" t="n">
        <v>0.00242103109</v>
      </c>
    </row>
    <row r="318" ht="12.75" customHeight="1" s="8">
      <c r="A318" s="30" t="inlineStr">
        <is>
          <t>SANTANDER</t>
        </is>
      </c>
      <c r="B318" s="31" t="inlineStr">
        <is>
          <t>8º</t>
        </is>
      </c>
      <c r="C318" s="32" t="n">
        <v>39071.18453</v>
      </c>
      <c r="D318" s="33" t="n">
        <v>0.00266584419</v>
      </c>
      <c r="E318" s="31" t="n">
        <v/>
      </c>
      <c r="F318" s="32" t="n">
        <v>0</v>
      </c>
      <c r="G318" s="33" t="n">
        <v/>
      </c>
      <c r="H318" s="31" t="inlineStr">
        <is>
          <t>12º</t>
        </is>
      </c>
      <c r="I318" s="32" t="n">
        <v>39071.18453</v>
      </c>
      <c r="J318" s="33" t="n">
        <v>0.00126123403</v>
      </c>
    </row>
    <row r="319" ht="12.75" customHeight="1" s="8">
      <c r="A319" s="26" t="inlineStr">
        <is>
          <t>RIO BRAVO</t>
        </is>
      </c>
      <c r="B319" s="27" t="inlineStr">
        <is>
          <t>9º</t>
        </is>
      </c>
      <c r="C319" s="28" t="n">
        <v>8071.533469999999</v>
      </c>
      <c r="D319" s="29" t="n">
        <v>0.0005507243</v>
      </c>
      <c r="E319" s="27" t="n">
        <v/>
      </c>
      <c r="F319" s="28" t="n">
        <v>0</v>
      </c>
      <c r="G319" s="29" t="n">
        <v/>
      </c>
      <c r="H319" s="27" t="inlineStr">
        <is>
          <t>16º</t>
        </is>
      </c>
      <c r="I319" s="28" t="n">
        <v>8071.533469999999</v>
      </c>
      <c r="J319" s="29" t="n">
        <v>0.00026055245</v>
      </c>
    </row>
    <row r="320" ht="12.75" customHeight="1" s="8">
      <c r="A320" s="30" t="inlineStr">
        <is>
          <t>MAX CAPITAL MARKETS</t>
        </is>
      </c>
      <c r="B320" s="31" t="inlineStr">
        <is>
          <t>10º</t>
        </is>
      </c>
      <c r="C320" s="32" t="n">
        <v>6000</v>
      </c>
      <c r="D320" s="33" t="n">
        <v>0.00040938265</v>
      </c>
      <c r="E320" s="31" t="inlineStr">
        <is>
          <t>7º</t>
        </is>
      </c>
      <c r="F320" s="32" t="n">
        <v>6000</v>
      </c>
      <c r="G320" s="33" t="n">
        <v>0.00069688413</v>
      </c>
      <c r="H320" s="31" t="inlineStr">
        <is>
          <t>7º</t>
        </is>
      </c>
      <c r="I320" s="32" t="n">
        <v>130919.754</v>
      </c>
      <c r="J320" s="33" t="n">
        <v>0.00422614392</v>
      </c>
    </row>
    <row r="321" ht="12.75" customHeight="1" s="8">
      <c r="A321" s="26" t="inlineStr">
        <is>
          <t>ANDBANK</t>
        </is>
      </c>
      <c r="B321" s="27" t="inlineStr">
        <is>
          <t>11º</t>
        </is>
      </c>
      <c r="C321" s="28" t="n">
        <v>5838.76426</v>
      </c>
      <c r="D321" s="29" t="n">
        <v>0.00039838147</v>
      </c>
      <c r="E321" s="27" t="n">
        <v/>
      </c>
      <c r="F321" s="28" t="n">
        <v>0</v>
      </c>
      <c r="G321" s="29" t="n">
        <v/>
      </c>
      <c r="H321" s="27" t="inlineStr">
        <is>
          <t>15º</t>
        </is>
      </c>
      <c r="I321" s="28" t="n">
        <v>8112.5153</v>
      </c>
      <c r="J321" s="29" t="n">
        <v>0.00026187536</v>
      </c>
    </row>
    <row r="322" ht="12.75" customHeight="1" s="8">
      <c r="A322" s="30" t="inlineStr">
        <is>
          <t>INTER</t>
        </is>
      </c>
      <c r="B322" s="31" t="inlineStr">
        <is>
          <t>12º</t>
        </is>
      </c>
      <c r="C322" s="32" t="n">
        <v>4705.86742</v>
      </c>
      <c r="D322" s="33" t="n">
        <v>0.00032108341</v>
      </c>
      <c r="E322" s="31" t="n">
        <v/>
      </c>
      <c r="F322" s="32" t="n">
        <v>0</v>
      </c>
      <c r="G322" s="33" t="n">
        <v/>
      </c>
      <c r="H322" s="31" t="inlineStr">
        <is>
          <t>8º</t>
        </is>
      </c>
      <c r="I322" s="32" t="n">
        <v>120068.46882</v>
      </c>
      <c r="J322" s="33" t="n">
        <v>0.00387585994</v>
      </c>
    </row>
    <row r="323" ht="12.75" customHeight="1" s="8">
      <c r="A323" s="26" t="inlineStr">
        <is>
          <t>BB-BI</t>
        </is>
      </c>
      <c r="B323" s="27" t="inlineStr">
        <is>
          <t>13º</t>
        </is>
      </c>
      <c r="C323" s="28" t="n">
        <v>4513.8898</v>
      </c>
      <c r="D323" s="29" t="n">
        <v>0.0003079847</v>
      </c>
      <c r="E323" s="27" t="n">
        <v/>
      </c>
      <c r="F323" s="28" t="n">
        <v>0</v>
      </c>
      <c r="G323" s="29" t="n">
        <v/>
      </c>
      <c r="H323" s="27" t="inlineStr">
        <is>
          <t>17º</t>
        </is>
      </c>
      <c r="I323" s="28" t="n">
        <v>4513.8898</v>
      </c>
      <c r="J323" s="29" t="n">
        <v>0.00014571023</v>
      </c>
    </row>
    <row r="324" ht="12.75" customHeight="1" s="8">
      <c r="A324" s="30" t="inlineStr">
        <is>
          <t>RB CAPITAL DTVM</t>
        </is>
      </c>
      <c r="B324" s="31" t="inlineStr">
        <is>
          <t>14º</t>
        </is>
      </c>
      <c r="C324" s="32" t="n">
        <v>4458.55956</v>
      </c>
      <c r="D324" s="33" t="n">
        <v>0.00030420949</v>
      </c>
      <c r="E324" s="31" t="n">
        <v/>
      </c>
      <c r="F324" s="32" t="n">
        <v>0</v>
      </c>
      <c r="G324" s="33" t="n">
        <v/>
      </c>
      <c r="H324" s="31" t="inlineStr">
        <is>
          <t>18º</t>
        </is>
      </c>
      <c r="I324" s="32" t="n">
        <v>4458.55956</v>
      </c>
      <c r="J324" s="33" t="n">
        <v>0.00014392415</v>
      </c>
    </row>
    <row r="325" ht="12.75" customHeight="1" s="8">
      <c r="A325" s="26" t="inlineStr">
        <is>
          <t>TORO INVESTIMENTOS</t>
        </is>
      </c>
      <c r="B325" s="27" t="inlineStr">
        <is>
          <t>15º</t>
        </is>
      </c>
      <c r="C325" s="28" t="n">
        <v>1115.09758</v>
      </c>
      <c r="D325" s="29" t="n">
        <v>7.60836e-05</v>
      </c>
      <c r="E325" s="27" t="n">
        <v/>
      </c>
      <c r="F325" s="28" t="n">
        <v>0</v>
      </c>
      <c r="G325" s="29" t="n">
        <v/>
      </c>
      <c r="H325" s="27" t="inlineStr">
        <is>
          <t>20º</t>
        </is>
      </c>
      <c r="I325" s="28" t="n">
        <v>1115.09758</v>
      </c>
      <c r="J325" s="29" t="n">
        <v>3.599581e-05</v>
      </c>
    </row>
    <row r="326" ht="12.75" customHeight="1" s="8">
      <c r="A326" s="30" t="inlineStr">
        <is>
          <t>GENIAL CV</t>
        </is>
      </c>
      <c r="B326" s="31" t="inlineStr">
        <is>
          <t>16º</t>
        </is>
      </c>
      <c r="C326" s="32" t="n">
        <v>918.89899</v>
      </c>
      <c r="D326" s="33" t="n">
        <v>6.269688e-05</v>
      </c>
      <c r="E326" s="31" t="n">
        <v/>
      </c>
      <c r="F326" s="32" t="n">
        <v>0</v>
      </c>
      <c r="G326" s="33" t="n">
        <v/>
      </c>
      <c r="H326" s="31" t="inlineStr">
        <is>
          <t>21º</t>
        </is>
      </c>
      <c r="I326" s="32" t="n">
        <v>952.62848</v>
      </c>
      <c r="J326" s="33" t="n">
        <v>3.075124e-05</v>
      </c>
    </row>
    <row r="327" ht="12.75" customHeight="1" s="8">
      <c r="A327" s="26" t="inlineStr">
        <is>
          <t>ATIVA</t>
        </is>
      </c>
      <c r="B327" s="27" t="inlineStr">
        <is>
          <t>17º</t>
        </is>
      </c>
      <c r="C327" s="28" t="n">
        <v>402.26305</v>
      </c>
      <c r="D327" s="29" t="n">
        <v>2.744659e-05</v>
      </c>
      <c r="E327" s="27" t="n">
        <v/>
      </c>
      <c r="F327" s="28" t="n">
        <v>0</v>
      </c>
      <c r="G327" s="29" t="n">
        <v/>
      </c>
      <c r="H327" s="27" t="inlineStr">
        <is>
          <t>19º</t>
        </is>
      </c>
      <c r="I327" s="28" t="n">
        <v>1181.82607</v>
      </c>
      <c r="J327" s="29" t="n">
        <v>3.814984e-05</v>
      </c>
    </row>
    <row r="328" ht="12.75" customHeight="1" s="8">
      <c r="A328" s="30" t="inlineStr">
        <is>
          <t>TERRA</t>
        </is>
      </c>
      <c r="B328" s="31" t="inlineStr">
        <is>
          <t>18º</t>
        </is>
      </c>
      <c r="C328" s="32" t="n">
        <v>145.80128</v>
      </c>
      <c r="D328" s="33" t="n">
        <v>9.94809e-06</v>
      </c>
      <c r="E328" s="31" t="n">
        <v/>
      </c>
      <c r="F328" s="32" t="n">
        <v>0</v>
      </c>
      <c r="G328" s="33" t="n">
        <v/>
      </c>
      <c r="H328" s="31" t="inlineStr">
        <is>
          <t>22º</t>
        </is>
      </c>
      <c r="I328" s="32" t="n">
        <v>145.80128</v>
      </c>
      <c r="J328" s="33" t="n">
        <v>4.70653e-06</v>
      </c>
    </row>
    <row r="329" ht="12.75" customHeight="1" s="8">
      <c r="A329" s="26" t="inlineStr">
        <is>
          <t>SAFRA</t>
        </is>
      </c>
      <c r="B329" s="27" t="n">
        <v/>
      </c>
      <c r="C329" s="28" t="n">
        <v>0</v>
      </c>
      <c r="D329" s="29" t="n">
        <v/>
      </c>
      <c r="E329" s="27" t="n">
        <v/>
      </c>
      <c r="F329" s="28" t="n">
        <v>0</v>
      </c>
      <c r="G329" s="29" t="n">
        <v/>
      </c>
      <c r="H329" s="27" t="inlineStr">
        <is>
          <t>4º</t>
        </is>
      </c>
      <c r="I329" s="28" t="n">
        <v>1332743.8765</v>
      </c>
      <c r="J329" s="29" t="n">
        <v>0.04302152475</v>
      </c>
    </row>
    <row r="330" ht="12.75" customHeight="1" s="8">
      <c r="A330" s="30" t="inlineStr">
        <is>
          <t>GALAPAGOS CAPITAL INVESTIMENTOS E PARTICIPAÇÕES LTDA.</t>
        </is>
      </c>
      <c r="B330" s="31" t="n">
        <v/>
      </c>
      <c r="C330" s="32" t="n">
        <v>0</v>
      </c>
      <c r="D330" s="33" t="n">
        <v/>
      </c>
      <c r="E330" s="31" t="n">
        <v/>
      </c>
      <c r="F330" s="32" t="n">
        <v>0</v>
      </c>
      <c r="G330" s="33" t="n">
        <v/>
      </c>
      <c r="H330" s="31" t="inlineStr">
        <is>
          <t>10º</t>
        </is>
      </c>
      <c r="I330" s="32" t="n">
        <v>100616.3</v>
      </c>
      <c r="J330" s="33" t="n">
        <v>0.00324793587</v>
      </c>
    </row>
    <row r="331" ht="12.75" customHeight="1" s="8">
      <c r="A331" s="26" t="inlineStr">
        <is>
          <t>DAYCOVAL</t>
        </is>
      </c>
      <c r="B331" s="27" t="n">
        <v/>
      </c>
      <c r="C331" s="28" t="n">
        <v>0</v>
      </c>
      <c r="D331" s="29" t="n">
        <v/>
      </c>
      <c r="E331" s="27" t="n">
        <v/>
      </c>
      <c r="F331" s="28" t="n">
        <v>0</v>
      </c>
      <c r="G331" s="29" t="n">
        <v/>
      </c>
      <c r="H331" s="27" t="inlineStr">
        <is>
          <t>13º</t>
        </is>
      </c>
      <c r="I331" s="28" t="n">
        <v>28899.73016</v>
      </c>
      <c r="J331" s="29" t="n">
        <v>0.00093289527</v>
      </c>
    </row>
    <row r="332" ht="12.75" customHeight="1" s="8">
      <c r="A332" s="30" t="inlineStr">
        <is>
          <t>ORIZ ASSESSORIA FINANCEIRA LTDA</t>
        </is>
      </c>
      <c r="B332" s="31" t="n">
        <v/>
      </c>
      <c r="C332" s="32" t="n">
        <v>0</v>
      </c>
      <c r="D332" s="33" t="n">
        <v/>
      </c>
      <c r="E332" s="31" t="n">
        <v/>
      </c>
      <c r="F332" s="32" t="n">
        <v>0</v>
      </c>
      <c r="G332" s="33" t="n">
        <v/>
      </c>
      <c r="H332" s="31" t="inlineStr">
        <is>
          <t>14º</t>
        </is>
      </c>
      <c r="I332" s="32" t="n">
        <v>21545.36666</v>
      </c>
      <c r="J332" s="33" t="n">
        <v>0.00069549337</v>
      </c>
    </row>
    <row r="333" ht="12.75" customHeight="1" s="8">
      <c r="A333" s="34" t="inlineStr">
        <is>
          <t>Total</t>
        </is>
      </c>
      <c r="B333" s="35" t="n"/>
      <c r="C333" s="36">
        <f>SUM(C311:C332)</f>
        <v/>
      </c>
      <c r="D333" s="37">
        <f>_xlfn.ROUND(SUM(D311:D332), 1)</f>
        <v/>
      </c>
      <c r="E333" s="35" t="n"/>
      <c r="F333" s="36">
        <f>SUM(F311:F332)</f>
        <v/>
      </c>
      <c r="G333" s="37">
        <f>_xlfn.ROUND(SUM(G311:G332), 1)</f>
        <v/>
      </c>
      <c r="H333" s="35" t="n"/>
      <c r="I333" s="36">
        <f>SUM(I311:I332)</f>
        <v/>
      </c>
      <c r="J333" s="37">
        <f>_xlfn.ROUND(SUM(J311:J332), 1)</f>
        <v/>
      </c>
    </row>
    <row r="334" ht="12.75" customHeight="1" s="8"/>
    <row r="335" ht="12.75" customHeight="1" s="8"/>
    <row r="336" ht="12.75" customHeight="1" s="8">
      <c r="A336" s="22" t="inlineStr">
        <is>
          <t>Tipo 2.3. Certificado de Potencial Adicional de Construção</t>
        </is>
      </c>
      <c r="J336" s="23" t="n"/>
    </row>
    <row r="337" ht="12.75" customHeight="1" s="8">
      <c r="A337" s="24" t="inlineStr">
        <is>
          <t>Distribuidores</t>
        </is>
      </c>
      <c r="B337" s="24" t="inlineStr">
        <is>
          <t>Acumulado 2026</t>
        </is>
      </c>
      <c r="C337" s="24" t="n"/>
      <c r="D337" s="24" t="n"/>
      <c r="E337" s="24" t="inlineStr">
        <is>
          <t>Últimos 3 meses</t>
        </is>
      </c>
      <c r="F337" s="24" t="n"/>
      <c r="G337" s="24" t="n"/>
      <c r="H337" s="24" t="inlineStr">
        <is>
          <t>Últimos 12 meses</t>
        </is>
      </c>
      <c r="I337" s="24" t="n"/>
      <c r="J337" s="25" t="n"/>
    </row>
    <row r="338" ht="12.75" customHeight="1" s="8">
      <c r="A338" s="24" t="n"/>
      <c r="B338" s="24" t="inlineStr">
        <is>
          <t>Ranking 2026</t>
        </is>
      </c>
      <c r="C338" s="24" t="inlineStr">
        <is>
          <t>Valor *</t>
        </is>
      </c>
      <c r="D338" s="24" t="inlineStr">
        <is>
          <t>Part.</t>
        </is>
      </c>
      <c r="E338" s="24" t="inlineStr">
        <is>
          <t>Ranking 3 meses</t>
        </is>
      </c>
      <c r="F338" s="24" t="inlineStr">
        <is>
          <t>Valor *</t>
        </is>
      </c>
      <c r="G338" s="24" t="inlineStr">
        <is>
          <t>Part.</t>
        </is>
      </c>
      <c r="H338" s="24" t="inlineStr">
        <is>
          <t>Ranking 12 meses</t>
        </is>
      </c>
      <c r="I338" s="24" t="inlineStr">
        <is>
          <t>Valor *</t>
        </is>
      </c>
      <c r="J338" s="25" t="inlineStr">
        <is>
          <t>Part.</t>
        </is>
      </c>
    </row>
    <row r="339" ht="12.75" customHeight="1" s="8">
      <c r="A339" s="26" t="inlineStr">
        <is>
          <t>BB-BI</t>
        </is>
      </c>
      <c r="B339" s="27" t="n">
        <v/>
      </c>
      <c r="C339" s="28" t="n">
        <v>0</v>
      </c>
      <c r="D339" s="29" t="n">
        <v/>
      </c>
      <c r="E339" s="27" t="n">
        <v/>
      </c>
      <c r="F339" s="28" t="n">
        <v>0</v>
      </c>
      <c r="G339" s="29" t="n">
        <v/>
      </c>
      <c r="H339" s="27" t="inlineStr">
        <is>
          <t>1º</t>
        </is>
      </c>
      <c r="I339" s="28" t="n">
        <v>242397.03931</v>
      </c>
      <c r="J339" s="29" t="n">
        <v>1</v>
      </c>
    </row>
    <row r="340" ht="12.75" customHeight="1" s="8">
      <c r="A340" s="34" t="inlineStr">
        <is>
          <t>Total</t>
        </is>
      </c>
      <c r="B340" s="35" t="n"/>
      <c r="C340" s="36">
        <f>SUM(C339:C339)</f>
        <v/>
      </c>
      <c r="D340" s="37">
        <f>_xlfn.ROUND(SUM(D339:D339), 1)</f>
        <v/>
      </c>
      <c r="E340" s="35" t="n"/>
      <c r="F340" s="36">
        <f>SUM(F339:F339)</f>
        <v/>
      </c>
      <c r="G340" s="37">
        <f>_xlfn.ROUND(SUM(G339:G339), 1)</f>
        <v/>
      </c>
      <c r="H340" s="35" t="n"/>
      <c r="I340" s="36">
        <f>SUM(I339:I339)</f>
        <v/>
      </c>
      <c r="J340" s="37">
        <f>_xlfn.ROUND(SUM(J339:J339), 1)</f>
        <v/>
      </c>
    </row>
    <row r="341" ht="12.75" customHeight="1" s="8"/>
    <row r="342" ht="12.75" customHeight="1" s="8"/>
    <row r="343" ht="12.75" customHeight="1" s="8">
      <c r="A343" s="22" t="inlineStr">
        <is>
          <t>Tipo 2.4. Fundo de Investimento em Participações de Infraestrutura</t>
        </is>
      </c>
      <c r="J343" s="23" t="n"/>
    </row>
    <row r="344" ht="12.75" customHeight="1" s="8">
      <c r="A344" s="24" t="inlineStr">
        <is>
          <t>Distribuidores</t>
        </is>
      </c>
      <c r="B344" s="24" t="inlineStr">
        <is>
          <t>Acumulado 2026</t>
        </is>
      </c>
      <c r="C344" s="24" t="n"/>
      <c r="D344" s="24" t="n"/>
      <c r="E344" s="24" t="inlineStr">
        <is>
          <t>Últimos 3 meses</t>
        </is>
      </c>
      <c r="F344" s="24" t="n"/>
      <c r="G344" s="24" t="n"/>
      <c r="H344" s="24" t="inlineStr">
        <is>
          <t>Últimos 12 meses</t>
        </is>
      </c>
      <c r="I344" s="24" t="n"/>
      <c r="J344" s="25" t="n"/>
    </row>
    <row r="345" ht="12.75" customHeight="1" s="8">
      <c r="A345" s="24" t="n"/>
      <c r="B345" s="24" t="inlineStr">
        <is>
          <t>Ranking 2026</t>
        </is>
      </c>
      <c r="C345" s="24" t="inlineStr">
        <is>
          <t>Valor *</t>
        </is>
      </c>
      <c r="D345" s="24" t="inlineStr">
        <is>
          <t>Part.</t>
        </is>
      </c>
      <c r="E345" s="24" t="inlineStr">
        <is>
          <t>Ranking 3 meses</t>
        </is>
      </c>
      <c r="F345" s="24" t="inlineStr">
        <is>
          <t>Valor *</t>
        </is>
      </c>
      <c r="G345" s="24" t="inlineStr">
        <is>
          <t>Part.</t>
        </is>
      </c>
      <c r="H345" s="24" t="inlineStr">
        <is>
          <t>Ranking 12 meses</t>
        </is>
      </c>
      <c r="I345" s="24" t="inlineStr">
        <is>
          <t>Valor *</t>
        </is>
      </c>
      <c r="J345" s="25" t="inlineStr">
        <is>
          <t>Part.</t>
        </is>
      </c>
    </row>
    <row r="346" ht="12.75" customHeight="1" s="8">
      <c r="A346" s="26" t="inlineStr">
        <is>
          <t>ITAU BBA</t>
        </is>
      </c>
      <c r="B346" s="27" t="inlineStr">
        <is>
          <t>1º</t>
        </is>
      </c>
      <c r="C346" s="28" t="n">
        <v>7592123</v>
      </c>
      <c r="D346" s="29" t="n">
        <v>0.84786845215</v>
      </c>
      <c r="E346" s="27" t="inlineStr">
        <is>
          <t>1º</t>
        </is>
      </c>
      <c r="F346" s="28" t="n">
        <v>7592123</v>
      </c>
      <c r="G346" s="29" t="n">
        <v>0.97694081405</v>
      </c>
      <c r="H346" s="27" t="inlineStr">
        <is>
          <t>1º</t>
        </is>
      </c>
      <c r="I346" s="28" t="n">
        <v>7790123</v>
      </c>
      <c r="J346" s="29" t="n">
        <v>0.76824032599</v>
      </c>
    </row>
    <row r="347" ht="12.75" customHeight="1" s="8">
      <c r="A347" s="30" t="inlineStr">
        <is>
          <t>XP INVESTIMENTOS</t>
        </is>
      </c>
      <c r="B347" s="31" t="inlineStr">
        <is>
          <t>2º</t>
        </is>
      </c>
      <c r="C347" s="32" t="n">
        <v>1115318.40116</v>
      </c>
      <c r="D347" s="33" t="n">
        <v>0.12455584379</v>
      </c>
      <c r="E347" s="31" t="inlineStr">
        <is>
          <t>2º</t>
        </is>
      </c>
      <c r="F347" s="32" t="n">
        <v>179200.39116</v>
      </c>
      <c r="G347" s="33" t="n">
        <v>0.02305918595</v>
      </c>
      <c r="H347" s="31" t="inlineStr">
        <is>
          <t>2º</t>
        </is>
      </c>
      <c r="I347" s="32" t="n">
        <v>1690113.10116</v>
      </c>
      <c r="J347" s="33" t="n">
        <v>0.16667426686</v>
      </c>
    </row>
    <row r="348" ht="12.75" customHeight="1" s="8">
      <c r="A348" s="26" t="inlineStr">
        <is>
          <t>BTG PACTUAL</t>
        </is>
      </c>
      <c r="B348" s="27" t="inlineStr">
        <is>
          <t>3º</t>
        </is>
      </c>
      <c r="C348" s="28" t="n">
        <v>246922.9</v>
      </c>
      <c r="D348" s="29" t="n">
        <v>0.02757570406</v>
      </c>
      <c r="E348" s="27" t="n">
        <v/>
      </c>
      <c r="F348" s="28" t="n">
        <v>0</v>
      </c>
      <c r="G348" s="29" t="n">
        <v/>
      </c>
      <c r="H348" s="27" t="inlineStr">
        <is>
          <t>3º</t>
        </is>
      </c>
      <c r="I348" s="28" t="n">
        <v>659980.1</v>
      </c>
      <c r="J348" s="29" t="n">
        <v>0.06508540715</v>
      </c>
    </row>
    <row r="349" ht="12.75" customHeight="1" s="8">
      <c r="A349" s="34" t="inlineStr">
        <is>
          <t>Total</t>
        </is>
      </c>
      <c r="B349" s="35" t="n"/>
      <c r="C349" s="36">
        <f>SUM(C346:C348)</f>
        <v/>
      </c>
      <c r="D349" s="37">
        <f>_xlfn.ROUND(SUM(D346:D348), 1)</f>
        <v/>
      </c>
      <c r="E349" s="35" t="n"/>
      <c r="F349" s="36">
        <f>SUM(F346:F348)</f>
        <v/>
      </c>
      <c r="G349" s="37">
        <f>_xlfn.ROUND(SUM(G346:G348), 1)</f>
        <v/>
      </c>
      <c r="H349" s="35" t="n"/>
      <c r="I349" s="36">
        <f>SUM(I346:I348)</f>
        <v/>
      </c>
      <c r="J349" s="37">
        <f>_xlfn.ROUND(SUM(J346:J348), 1)</f>
        <v/>
      </c>
    </row>
    <row r="350" ht="12.75" customHeight="1" s="8"/>
    <row r="351" ht="12.75" customHeight="1" s="8"/>
    <row r="352" ht="12.75" customHeight="1" s="8">
      <c r="A352" s="22" t="inlineStr">
        <is>
          <t>Tipo 2.5. Fundo de Investimento nas Cadeias Produtivas Agroindustriais</t>
        </is>
      </c>
      <c r="J352" s="23" t="n"/>
    </row>
    <row r="353" ht="12.75" customHeight="1" s="8">
      <c r="A353" s="24" t="inlineStr">
        <is>
          <t>Distribuidores</t>
        </is>
      </c>
      <c r="B353" s="24" t="inlineStr">
        <is>
          <t>Acumulado 2026</t>
        </is>
      </c>
      <c r="C353" s="24" t="n"/>
      <c r="D353" s="24" t="n"/>
      <c r="E353" s="24" t="inlineStr">
        <is>
          <t>Últimos 3 meses</t>
        </is>
      </c>
      <c r="F353" s="24" t="n"/>
      <c r="G353" s="24" t="n"/>
      <c r="H353" s="24" t="inlineStr">
        <is>
          <t>Últimos 12 meses</t>
        </is>
      </c>
      <c r="I353" s="24" t="n"/>
      <c r="J353" s="25" t="n"/>
    </row>
    <row r="354" ht="12.75" customHeight="1" s="8">
      <c r="A354" s="24" t="n"/>
      <c r="B354" s="24" t="inlineStr">
        <is>
          <t>Ranking 2026</t>
        </is>
      </c>
      <c r="C354" s="24" t="inlineStr">
        <is>
          <t>Valor *</t>
        </is>
      </c>
      <c r="D354" s="24" t="inlineStr">
        <is>
          <t>Part.</t>
        </is>
      </c>
      <c r="E354" s="24" t="inlineStr">
        <is>
          <t>Ranking 3 meses</t>
        </is>
      </c>
      <c r="F354" s="24" t="inlineStr">
        <is>
          <t>Valor *</t>
        </is>
      </c>
      <c r="G354" s="24" t="inlineStr">
        <is>
          <t>Part.</t>
        </is>
      </c>
      <c r="H354" s="24" t="inlineStr">
        <is>
          <t>Ranking 12 meses</t>
        </is>
      </c>
      <c r="I354" s="24" t="inlineStr">
        <is>
          <t>Valor *</t>
        </is>
      </c>
      <c r="J354" s="25" t="inlineStr">
        <is>
          <t>Part.</t>
        </is>
      </c>
    </row>
    <row r="355" ht="12.75" customHeight="1" s="8">
      <c r="A355" s="26" t="inlineStr">
        <is>
          <t>XP INVESTIMENTOS</t>
        </is>
      </c>
      <c r="B355" s="27" t="inlineStr">
        <is>
          <t>1º</t>
        </is>
      </c>
      <c r="C355" s="28" t="n">
        <v>669546.79171</v>
      </c>
      <c r="D355" s="29" t="n">
        <v>0.51557724902</v>
      </c>
      <c r="E355" s="27" t="inlineStr">
        <is>
          <t>2º</t>
        </is>
      </c>
      <c r="F355" s="28" t="n">
        <v>482645.5</v>
      </c>
      <c r="G355" s="29" t="n">
        <v>0.4414769117</v>
      </c>
      <c r="H355" s="27" t="inlineStr">
        <is>
          <t>1º</t>
        </is>
      </c>
      <c r="I355" s="28" t="n">
        <v>1200595.39171</v>
      </c>
      <c r="J355" s="29" t="n">
        <v>0.6252502276</v>
      </c>
    </row>
    <row r="356" ht="12.75" customHeight="1" s="8">
      <c r="A356" s="30" t="inlineStr">
        <is>
          <t>SAFRA</t>
        </is>
      </c>
      <c r="B356" s="31" t="inlineStr">
        <is>
          <t>2º</t>
        </is>
      </c>
      <c r="C356" s="32" t="n">
        <v>520850</v>
      </c>
      <c r="D356" s="33" t="n">
        <v>0.40107489645</v>
      </c>
      <c r="E356" s="31" t="inlineStr">
        <is>
          <t>1º</t>
        </is>
      </c>
      <c r="F356" s="32" t="n">
        <v>520850</v>
      </c>
      <c r="G356" s="33" t="n">
        <v>0.47642265277</v>
      </c>
      <c r="H356" s="31" t="inlineStr">
        <is>
          <t>2º</t>
        </is>
      </c>
      <c r="I356" s="32" t="n">
        <v>520850</v>
      </c>
      <c r="J356" s="33" t="n">
        <v>0.2712500675</v>
      </c>
    </row>
    <row r="357" ht="12.75" customHeight="1" s="8">
      <c r="A357" s="26" t="inlineStr">
        <is>
          <t>FATOR</t>
        </is>
      </c>
      <c r="B357" s="27" t="inlineStr">
        <is>
          <t>3º</t>
        </is>
      </c>
      <c r="C357" s="28" t="n">
        <v>81934.16224000001</v>
      </c>
      <c r="D357" s="29" t="n">
        <v>0.06309251346</v>
      </c>
      <c r="E357" s="27" t="inlineStr">
        <is>
          <t>3º</t>
        </is>
      </c>
      <c r="F357" s="28" t="n">
        <v>63452.16224000001</v>
      </c>
      <c r="G357" s="29" t="n">
        <v>0.05803983385</v>
      </c>
      <c r="H357" s="27" t="inlineStr">
        <is>
          <t>3º</t>
        </is>
      </c>
      <c r="I357" s="28" t="n">
        <v>81934.16224000001</v>
      </c>
      <c r="J357" s="29" t="n">
        <v>0.04266995687</v>
      </c>
    </row>
    <row r="358" ht="12.75" customHeight="1" s="8">
      <c r="A358" s="30" t="inlineStr">
        <is>
          <t>HEDGE DTVM</t>
        </is>
      </c>
      <c r="B358" s="31" t="inlineStr">
        <is>
          <t>4º</t>
        </is>
      </c>
      <c r="C358" s="32" t="n">
        <v>16404.3</v>
      </c>
      <c r="D358" s="33" t="n">
        <v>0.01263195339</v>
      </c>
      <c r="E358" s="31" t="inlineStr">
        <is>
          <t>4º</t>
        </is>
      </c>
      <c r="F358" s="32" t="n">
        <v>16404.3</v>
      </c>
      <c r="G358" s="33" t="n">
        <v>0.01500504967</v>
      </c>
      <c r="H358" s="31" t="inlineStr">
        <is>
          <t>6º</t>
        </is>
      </c>
      <c r="I358" s="32" t="n">
        <v>16404.3</v>
      </c>
      <c r="J358" s="33" t="n">
        <v>0.008543088189999999</v>
      </c>
    </row>
    <row r="359" ht="12.75" customHeight="1" s="8">
      <c r="A359" s="26" t="inlineStr">
        <is>
          <t>VOTORANTIM</t>
        </is>
      </c>
      <c r="B359" s="27" t="inlineStr">
        <is>
          <t>5º</t>
        </is>
      </c>
      <c r="C359" s="28" t="n">
        <v>9900</v>
      </c>
      <c r="D359" s="29" t="n">
        <v>0.00762338768</v>
      </c>
      <c r="E359" s="27" t="inlineStr">
        <is>
          <t>5º</t>
        </is>
      </c>
      <c r="F359" s="28" t="n">
        <v>9900</v>
      </c>
      <c r="G359" s="29" t="n">
        <v>0.009055552010000001</v>
      </c>
      <c r="H359" s="27" t="inlineStr">
        <is>
          <t>4º</t>
        </is>
      </c>
      <c r="I359" s="28" t="n">
        <v>71900</v>
      </c>
      <c r="J359" s="29" t="n">
        <v>0.0374443311</v>
      </c>
    </row>
    <row r="360" ht="12.75" customHeight="1" s="8">
      <c r="A360" s="30" t="inlineStr">
        <is>
          <t>ITAU BBA</t>
        </is>
      </c>
      <c r="B360" s="31" t="n">
        <v/>
      </c>
      <c r="C360" s="32" t="n">
        <v>0</v>
      </c>
      <c r="D360" s="33" t="n">
        <v/>
      </c>
      <c r="E360" s="31" t="n">
        <v/>
      </c>
      <c r="F360" s="32" t="n">
        <v>0</v>
      </c>
      <c r="G360" s="33" t="n">
        <v/>
      </c>
      <c r="H360" s="31" t="inlineStr">
        <is>
          <t>5º</t>
        </is>
      </c>
      <c r="I360" s="32" t="n">
        <v>28500</v>
      </c>
      <c r="J360" s="33" t="n">
        <v>0.01484232874</v>
      </c>
    </row>
    <row r="361" ht="12.75" customHeight="1" s="8">
      <c r="A361" s="34" t="inlineStr">
        <is>
          <t>Total</t>
        </is>
      </c>
      <c r="B361" s="35" t="n"/>
      <c r="C361" s="36">
        <f>SUM(C355:C360)</f>
        <v/>
      </c>
      <c r="D361" s="37">
        <f>_xlfn.ROUND(SUM(D355:D360), 1)</f>
        <v/>
      </c>
      <c r="E361" s="35" t="n"/>
      <c r="F361" s="36">
        <f>SUM(F355:F360)</f>
        <v/>
      </c>
      <c r="G361" s="37">
        <f>_xlfn.ROUND(SUM(G355:G360), 1)</f>
        <v/>
      </c>
      <c r="H361" s="35" t="n"/>
      <c r="I361" s="36">
        <f>SUM(I355:I360)</f>
        <v/>
      </c>
      <c r="J361" s="37">
        <f>_xlfn.ROUND(SUM(J355:J360), 1)</f>
        <v/>
      </c>
    </row>
    <row r="362" ht="12.75" customHeight="1" s="8"/>
    <row r="363" ht="12.75" customHeight="1" s="8"/>
    <row r="364" ht="12.75" customHeight="1" s="8">
      <c r="A364" s="38" t="inlineStr">
        <is>
          <t>* Valores em R$ mil</t>
        </is>
      </c>
    </row>
    <row r="365" ht="12.75" customHeight="1" s="8"/>
    <row r="366" ht="12.75" customHeight="1" s="8"/>
    <row r="367" ht="12.75" customHeight="1" s="8"/>
    <row r="368" ht="12.75" customHeight="1" s="8"/>
    <row r="369" ht="12.75" customHeight="1" s="8"/>
    <row r="370" ht="12.75" customHeight="1" s="8"/>
    <row r="371" ht="12.75" customHeight="1" s="8"/>
    <row r="372" ht="12.75" customHeight="1" s="8"/>
    <row r="373" ht="12.75" customHeight="1" s="8"/>
    <row r="374" ht="12.75" customHeight="1" s="8"/>
    <row r="375" ht="12.75" customHeight="1" s="8"/>
    <row r="376" ht="12.75" customHeight="1" s="8"/>
    <row r="377" ht="12.75" customHeight="1" s="8"/>
    <row r="378" ht="12.75" customHeight="1" s="8"/>
    <row r="379" ht="12.75" customHeight="1" s="8"/>
    <row r="380" ht="12.75" customHeight="1" s="8"/>
    <row r="381" ht="12.75" customHeight="1" s="8"/>
    <row r="382" ht="12.75" customHeight="1" s="8"/>
    <row r="383" ht="12.75" customHeight="1" s="8"/>
    <row r="384" ht="12.75" customHeight="1" s="8"/>
    <row r="385" ht="12.75" customHeight="1" s="8"/>
    <row r="386" ht="12.75" customHeight="1" s="8"/>
    <row r="387" ht="12.75" customHeight="1" s="8"/>
    <row r="388" ht="12.75" customHeight="1" s="8"/>
    <row r="389" ht="12.75" customHeight="1" s="8"/>
    <row r="390" ht="12.75" customHeight="1" s="8"/>
    <row r="391" ht="12.75" customHeight="1" s="8"/>
    <row r="392" ht="12.75" customHeight="1" s="8"/>
    <row r="393" ht="12.75" customHeight="1" s="8"/>
    <row r="394" ht="12.75" customHeight="1" s="8"/>
    <row r="395" ht="12.75" customHeight="1" s="8"/>
    <row r="396" ht="12.75" customHeight="1" s="8"/>
    <row r="397" ht="12.75" customHeight="1" s="8"/>
    <row r="398" ht="12.75" customHeight="1" s="8"/>
    <row r="399" ht="12.75" customHeight="1" s="8"/>
    <row r="400" ht="12.75" customHeight="1" s="8"/>
    <row r="401" ht="12.75" customHeight="1" s="8"/>
    <row r="402" ht="12.75" customHeight="1" s="8"/>
    <row r="403" ht="12.75" customHeight="1" s="8"/>
    <row r="404" ht="12.75" customHeight="1" s="8"/>
    <row r="405" ht="12.75" customHeight="1" s="8"/>
    <row r="406" ht="12.75" customHeight="1" s="8"/>
    <row r="407" ht="12.75" customHeight="1" s="8"/>
    <row r="408" ht="12.75" customHeight="1" s="8"/>
    <row r="409" ht="12.75" customHeight="1" s="8"/>
    <row r="410" ht="12.75" customHeight="1" s="8"/>
    <row r="411" ht="12.75" customHeight="1" s="8"/>
    <row r="412" ht="12.75" customHeight="1" s="8"/>
    <row r="413" ht="12.75" customHeight="1" s="8"/>
    <row r="414" ht="12.75" customHeight="1" s="8"/>
    <row r="415" ht="12.75" customHeight="1" s="8"/>
    <row r="416" ht="12.75" customHeight="1" s="8"/>
    <row r="417" ht="12.75" customHeight="1" s="8"/>
    <row r="418" ht="12.75" customHeight="1" s="8"/>
    <row r="419" ht="12.75" customHeight="1" s="8"/>
    <row r="420" ht="12.75" customHeight="1" s="8"/>
    <row r="421" ht="12.75" customHeight="1" s="8"/>
    <row r="422" ht="12.75" customHeight="1" s="8"/>
    <row r="423" ht="12.75" customHeight="1" s="8"/>
    <row r="424" ht="12.75" customHeight="1" s="8"/>
    <row r="425" ht="12.75" customHeight="1" s="8"/>
    <row r="426" ht="12.75" customHeight="1" s="8"/>
    <row r="427" ht="12.75" customHeight="1" s="8"/>
    <row r="428" ht="12.75" customHeight="1" s="8"/>
    <row r="429" ht="12.75" customHeight="1" s="8"/>
    <row r="430" ht="12.75" customHeight="1" s="8"/>
    <row r="431" ht="12.75" customHeight="1" s="8"/>
    <row r="432" ht="12.75" customHeight="1" s="8"/>
    <row r="433" ht="12.75" customHeight="1" s="8"/>
    <row r="434" ht="12.75" customHeight="1" s="8"/>
    <row r="435" ht="12.75" customHeight="1" s="8"/>
    <row r="436" ht="12.75" customHeight="1" s="8"/>
    <row r="437" ht="12.75" customHeight="1" s="8"/>
    <row r="438" ht="12.75" customHeight="1" s="8"/>
    <row r="439" ht="12.75" customHeight="1" s="8"/>
    <row r="440" ht="12.75" customHeight="1" s="8"/>
    <row r="441" ht="12.75" customHeight="1" s="8"/>
    <row r="442" ht="12.75" customHeight="1" s="8"/>
    <row r="443" ht="12.75" customHeight="1" s="8"/>
    <row r="444" ht="12.75" customHeight="1" s="8"/>
    <row r="445" ht="12.75" customHeight="1" s="8"/>
    <row r="446" ht="12.75" customHeight="1" s="8"/>
    <row r="447" ht="12.75" customHeight="1" s="8"/>
    <row r="448" ht="12.75" customHeight="1" s="8"/>
    <row r="449" ht="12.75" customHeight="1" s="8"/>
    <row r="450" ht="12.75" customHeight="1" s="8"/>
    <row r="451" ht="12.75" customHeight="1" s="8"/>
    <row r="452" ht="12.75" customHeight="1" s="8"/>
    <row r="453" ht="12.75" customHeight="1" s="8"/>
    <row r="454" ht="12.75" customHeight="1" s="8"/>
    <row r="455" ht="12.75" customHeight="1" s="8"/>
    <row r="456" ht="12.75" customHeight="1" s="8"/>
    <row r="457" ht="12.75" customHeight="1" s="8"/>
    <row r="458" ht="12.75" customHeight="1" s="8"/>
    <row r="459" ht="12.75" customHeight="1" s="8"/>
    <row r="460" ht="12.75" customHeight="1" s="8"/>
    <row r="461" ht="12.75" customHeight="1" s="8"/>
    <row r="462" ht="12.75" customHeight="1" s="8"/>
    <row r="463" ht="12.75" customHeight="1" s="8"/>
    <row r="464" ht="12.75" customHeight="1" s="8"/>
    <row r="465" ht="12.75" customHeight="1" s="8"/>
    <row r="466" ht="12.75" customHeight="1" s="8"/>
    <row r="467" ht="12.75" customHeight="1" s="8"/>
    <row r="468" ht="12.75" customHeight="1" s="8"/>
    <row r="469" ht="12.75" customHeight="1" s="8"/>
    <row r="470" ht="12.75" customHeight="1" s="8"/>
    <row r="471" ht="12.75" customHeight="1" s="8"/>
    <row r="472" ht="12.75" customHeight="1" s="8"/>
    <row r="473" ht="12.75" customHeight="1" s="8"/>
    <row r="474" ht="12.75" customHeight="1" s="8"/>
    <row r="475" ht="12.75" customHeight="1" s="8"/>
    <row r="476" ht="12.75" customHeight="1" s="8"/>
    <row r="477" ht="12.75" customHeight="1" s="8"/>
    <row r="478" ht="12.75" customHeight="1" s="8"/>
    <row r="479" ht="12.75" customHeight="1" s="8"/>
    <row r="480" ht="12.75" customHeight="1" s="8"/>
    <row r="481" ht="12.75" customHeight="1" s="8"/>
    <row r="482" ht="12.75" customHeight="1" s="8"/>
    <row r="483" ht="12.75" customHeight="1" s="8"/>
    <row r="484" ht="12.75" customHeight="1" s="8"/>
    <row r="485" ht="12.75" customHeight="1" s="8"/>
    <row r="486" ht="12.75" customHeight="1" s="8"/>
    <row r="487" ht="12.75" customHeight="1" s="8"/>
    <row r="488" ht="12.75" customHeight="1" s="8"/>
    <row r="489" ht="12.75" customHeight="1" s="8"/>
    <row r="490" ht="12.75" customHeight="1" s="8"/>
    <row r="491" ht="12.75" customHeight="1" s="8"/>
    <row r="492" ht="12.75" customHeight="1" s="8"/>
    <row r="493" ht="12.75" customHeight="1" s="8"/>
    <row r="494" ht="12.75" customHeight="1" s="8"/>
    <row r="495" ht="12.75" customHeight="1" s="8"/>
    <row r="496" ht="12.75" customHeight="1" s="8"/>
    <row r="497" ht="12.75" customHeight="1" s="8"/>
    <row r="498" ht="12.75" customHeight="1" s="8"/>
    <row r="499" ht="12.75" customHeight="1" s="8"/>
    <row r="500" ht="12.75" customHeight="1" s="8"/>
    <row r="501" ht="12.75" customHeight="1" s="8"/>
    <row r="502" ht="12.75" customHeight="1" s="8"/>
    <row r="503" ht="12.75" customHeight="1" s="8"/>
    <row r="504" ht="12.75" customHeight="1" s="8"/>
    <row r="505" ht="12.75" customHeight="1" s="8"/>
    <row r="506" ht="12.75" customHeight="1" s="8"/>
    <row r="507" ht="12.75" customHeight="1" s="8"/>
    <row r="508" ht="12.75" customHeight="1" s="8"/>
    <row r="509" ht="12.75" customHeight="1" s="8"/>
    <row r="510" ht="12.75" customHeight="1" s="8"/>
    <row r="511" ht="12.75" customHeight="1" s="8"/>
    <row r="512" ht="12.75" customHeight="1" s="8"/>
    <row r="513" ht="12.75" customHeight="1" s="8"/>
    <row r="514" ht="12.75" customHeight="1" s="8"/>
    <row r="515" ht="12.75" customHeight="1" s="8"/>
    <row r="516" ht="12.75" customHeight="1" s="8"/>
    <row r="517" ht="12.75" customHeight="1" s="8"/>
    <row r="518" ht="12.75" customHeight="1" s="8"/>
    <row r="519" ht="12.75" customHeight="1" s="8"/>
    <row r="520" ht="12.75" customHeight="1" s="8"/>
    <row r="521" ht="12.75" customHeight="1" s="8"/>
    <row r="522" ht="12.75" customHeight="1" s="8"/>
    <row r="523" ht="12.75" customHeight="1" s="8"/>
    <row r="524" ht="12.75" customHeight="1" s="8"/>
    <row r="525" ht="12.75" customHeight="1" s="8"/>
    <row r="526" ht="12.75" customHeight="1" s="8"/>
    <row r="527" ht="12.75" customHeight="1" s="8"/>
    <row r="528" ht="12.75" customHeight="1" s="8"/>
    <row r="529" ht="12.75" customHeight="1" s="8"/>
    <row r="530" ht="12.75" customHeight="1" s="8"/>
    <row r="531" ht="12.75" customHeight="1" s="8"/>
    <row r="532" ht="12.75" customHeight="1" s="8"/>
    <row r="533" ht="12.75" customHeight="1" s="8"/>
    <row r="534" ht="12.75" customHeight="1" s="8"/>
    <row r="535" ht="12.75" customHeight="1" s="8"/>
    <row r="536" ht="12.75" customHeight="1" s="8"/>
    <row r="537" ht="12.75" customHeight="1" s="8"/>
    <row r="538" ht="12.75" customHeight="1" s="8"/>
    <row r="539" ht="12.75" customHeight="1" s="8"/>
    <row r="540" ht="12.75" customHeight="1" s="8"/>
    <row r="541" ht="12.75" customHeight="1" s="8"/>
    <row r="542" ht="12.75" customHeight="1" s="8"/>
    <row r="543" ht="12.75" customHeight="1" s="8"/>
    <row r="544" ht="12.75" customHeight="1" s="8"/>
    <row r="545" ht="12.75" customHeight="1" s="8"/>
    <row r="546" ht="12.75" customHeight="1" s="8"/>
    <row r="547" ht="12.75" customHeight="1" s="8"/>
    <row r="548" ht="12.75" customHeight="1" s="8"/>
    <row r="549" ht="12.75" customHeight="1" s="8"/>
    <row r="550" ht="12.75" customHeight="1" s="8"/>
    <row r="551" ht="12.75" customHeight="1" s="8"/>
    <row r="552" ht="12.75" customHeight="1" s="8"/>
    <row r="553" ht="12.75" customHeight="1" s="8"/>
    <row r="554" ht="12.75" customHeight="1" s="8"/>
    <row r="555" ht="12.75" customHeight="1" s="8"/>
    <row r="556" ht="12.75" customHeight="1" s="8"/>
    <row r="557" ht="12.75" customHeight="1" s="8"/>
    <row r="558" ht="12.75" customHeight="1" s="8"/>
    <row r="559" ht="12.75" customHeight="1" s="8"/>
    <row r="560" ht="12.75" customHeight="1" s="8"/>
    <row r="561" ht="12.75" customHeight="1" s="8"/>
    <row r="562" ht="12.75" customHeight="1" s="8"/>
    <row r="563" ht="12.75" customHeight="1" s="8"/>
    <row r="564" ht="12.75" customHeight="1" s="8"/>
    <row r="565" ht="12.75" customHeight="1" s="8"/>
    <row r="566" ht="12.75" customHeight="1" s="8"/>
    <row r="567" ht="12.75" customHeight="1" s="8"/>
    <row r="568" ht="12.75" customHeight="1" s="8"/>
    <row r="569" ht="12.75" customHeight="1" s="8"/>
    <row r="570" ht="12.75" customHeight="1" s="8"/>
    <row r="571" ht="12.75" customHeight="1" s="8"/>
    <row r="572" ht="12.75" customHeight="1" s="8"/>
    <row r="573" ht="12.75" customHeight="1" s="8"/>
    <row r="574" ht="12.75" customHeight="1" s="8"/>
    <row r="575" ht="12.75" customHeight="1" s="8"/>
    <row r="576" ht="12.75" customHeight="1" s="8"/>
    <row r="577" ht="12.75" customHeight="1" s="8"/>
    <row r="578" ht="12.75" customHeight="1" s="8"/>
    <row r="579" ht="12.75" customHeight="1" s="8"/>
    <row r="580" ht="12.75" customHeight="1" s="8"/>
    <row r="581" ht="12.75" customHeight="1" s="8"/>
    <row r="582" ht="12.75" customHeight="1" s="8"/>
    <row r="583" ht="12.75" customHeight="1" s="8"/>
    <row r="584" ht="12.75" customHeight="1" s="8"/>
    <row r="585" ht="12.75" customHeight="1" s="8"/>
    <row r="586" ht="12.75" customHeight="1" s="8"/>
    <row r="587" ht="12.75" customHeight="1" s="8"/>
    <row r="588" ht="12.75" customHeight="1" s="8"/>
    <row r="589" ht="12.75" customHeight="1" s="8"/>
    <row r="590" ht="12.75" customHeight="1" s="8"/>
    <row r="591" ht="12.75" customHeight="1" s="8"/>
    <row r="592" ht="12.75" customHeight="1" s="8"/>
    <row r="593" ht="12.75" customHeight="1" s="8"/>
    <row r="594" ht="12.75" customHeight="1" s="8"/>
    <row r="595" ht="12.75" customHeight="1" s="8"/>
    <row r="596" ht="12.75" customHeight="1" s="8"/>
    <row r="597" ht="12.75" customHeight="1" s="8"/>
    <row r="598" ht="12.75" customHeight="1" s="8"/>
    <row r="599" ht="12.75" customHeight="1" s="8"/>
    <row r="600" ht="12.75" customHeight="1" s="8"/>
    <row r="601" ht="12.75" customHeight="1" s="8"/>
    <row r="602" ht="12.75" customHeight="1" s="8"/>
    <row r="603" ht="12.75" customHeight="1" s="8"/>
    <row r="604" ht="12.75" customHeight="1" s="8"/>
    <row r="605" ht="12.75" customHeight="1" s="8"/>
    <row r="606" ht="12.75" customHeight="1" s="8"/>
    <row r="607" ht="12.75" customHeight="1" s="8"/>
    <row r="608" ht="12.75" customHeight="1" s="8"/>
    <row r="609" ht="12.75" customHeight="1" s="8"/>
    <row r="610" ht="12.75" customHeight="1" s="8"/>
    <row r="611" ht="12.75" customHeight="1" s="8"/>
    <row r="612" ht="12.75" customHeight="1" s="8"/>
    <row r="613" ht="12.75" customHeight="1" s="8"/>
    <row r="614" ht="12.75" customHeight="1" s="8"/>
    <row r="615" ht="12.75" customHeight="1" s="8"/>
    <row r="616" ht="12.75" customHeight="1" s="8"/>
    <row r="617" ht="12.75" customHeight="1" s="8"/>
    <row r="618" ht="12.75" customHeight="1" s="8"/>
    <row r="619" ht="12.75" customHeight="1" s="8"/>
    <row r="620" ht="12.75" customHeight="1" s="8"/>
    <row r="621" ht="12.75" customHeight="1" s="8"/>
    <row r="622" ht="12.75" customHeight="1" s="8"/>
    <row r="623" ht="12.75" customHeight="1" s="8"/>
    <row r="624" ht="12.75" customHeight="1" s="8"/>
    <row r="625" ht="12.75" customHeight="1" s="8"/>
    <row r="626" ht="12.75" customHeight="1" s="8"/>
    <row r="627" ht="12.75" customHeight="1" s="8"/>
    <row r="628" ht="12.75" customHeight="1" s="8"/>
    <row r="629" ht="12.75" customHeight="1" s="8"/>
    <row r="630" ht="12.75" customHeight="1" s="8"/>
    <row r="631" ht="12.75" customHeight="1" s="8"/>
    <row r="632" ht="12.75" customHeight="1" s="8"/>
    <row r="633" ht="12.75" customHeight="1" s="8"/>
    <row r="634" ht="12.75" customHeight="1" s="8"/>
    <row r="635" ht="12.75" customHeight="1" s="8"/>
    <row r="636" ht="12.75" customHeight="1" s="8"/>
    <row r="637" ht="12.75" customHeight="1" s="8"/>
    <row r="638" ht="12.75" customHeight="1" s="8"/>
    <row r="639" ht="12.75" customHeight="1" s="8"/>
    <row r="640" ht="12.75" customHeight="1" s="8"/>
    <row r="641" ht="12.75" customHeight="1" s="8"/>
    <row r="642" ht="12.75" customHeight="1" s="8"/>
    <row r="643" ht="12.75" customHeight="1" s="8"/>
    <row r="644" ht="12.75" customHeight="1" s="8"/>
    <row r="645" ht="12.75" customHeight="1" s="8"/>
    <row r="646" ht="12.75" customHeight="1" s="8"/>
    <row r="647" ht="12.75" customHeight="1" s="8"/>
    <row r="648" ht="12.75" customHeight="1" s="8"/>
    <row r="649" ht="12.75" customHeight="1" s="8"/>
    <row r="650" ht="12.75" customHeight="1" s="8"/>
    <row r="651" ht="12.75" customHeight="1" s="8"/>
    <row r="652" ht="12.75" customHeight="1" s="8"/>
    <row r="653" ht="12.75" customHeight="1" s="8"/>
    <row r="654" ht="12.75" customHeight="1" s="8"/>
    <row r="655" ht="12.75" customHeight="1" s="8"/>
    <row r="656" ht="12.75" customHeight="1" s="8"/>
    <row r="657" ht="12.75" customHeight="1" s="8"/>
    <row r="658" ht="12.75" customHeight="1" s="8"/>
    <row r="659" ht="12.75" customHeight="1" s="8"/>
    <row r="660" ht="12.75" customHeight="1" s="8"/>
    <row r="661" ht="12.75" customHeight="1" s="8"/>
    <row r="662" ht="12.75" customHeight="1" s="8"/>
    <row r="663" ht="12.75" customHeight="1" s="8"/>
    <row r="664" ht="12.75" customHeight="1" s="8"/>
    <row r="665" ht="12.75" customHeight="1" s="8"/>
    <row r="666" ht="12.75" customHeight="1" s="8"/>
    <row r="667" ht="12.75" customHeight="1" s="8"/>
    <row r="668" ht="12.75" customHeight="1" s="8"/>
    <row r="669" ht="12.75" customHeight="1" s="8"/>
    <row r="670" ht="12.75" customHeight="1" s="8"/>
    <row r="671" ht="12.75" customHeight="1" s="8"/>
    <row r="672" ht="12.75" customHeight="1" s="8"/>
    <row r="673" ht="12.75" customHeight="1" s="8"/>
    <row r="674" ht="12.75" customHeight="1" s="8"/>
    <row r="675" ht="12.75" customHeight="1" s="8"/>
    <row r="676" ht="12.75" customHeight="1" s="8"/>
    <row r="677" ht="12.75" customHeight="1" s="8"/>
    <row r="678" ht="12.75" customHeight="1" s="8"/>
    <row r="679" ht="12.75" customHeight="1" s="8"/>
    <row r="680" ht="12.75" customHeight="1" s="8"/>
    <row r="681" ht="12.75" customHeight="1" s="8"/>
    <row r="682" ht="12.75" customHeight="1" s="8"/>
    <row r="683" ht="12.75" customHeight="1" s="8"/>
    <row r="684" ht="12.75" customHeight="1" s="8"/>
    <row r="685" ht="12.75" customHeight="1" s="8"/>
    <row r="686" ht="12.75" customHeight="1" s="8"/>
    <row r="687" ht="12.75" customHeight="1" s="8"/>
    <row r="688" ht="12.75" customHeight="1" s="8"/>
    <row r="689" ht="12.75" customHeight="1" s="8"/>
    <row r="690" ht="12.75" customHeight="1" s="8"/>
    <row r="691" ht="12.75" customHeight="1" s="8"/>
    <row r="692" ht="12.75" customHeight="1" s="8"/>
    <row r="693" ht="12.75" customHeight="1" s="8"/>
    <row r="694" ht="12.75" customHeight="1" s="8"/>
    <row r="695" ht="12.75" customHeight="1" s="8"/>
    <row r="696" ht="12.75" customHeight="1" s="8"/>
    <row r="697" ht="12.75" customHeight="1" s="8"/>
    <row r="698" ht="12.75" customHeight="1" s="8"/>
    <row r="699" ht="12.75" customHeight="1" s="8"/>
    <row r="700" ht="12.75" customHeight="1" s="8"/>
    <row r="701" ht="12.75" customHeight="1" s="8"/>
    <row r="702" ht="12.75" customHeight="1" s="8"/>
    <row r="703" ht="12.75" customHeight="1" s="8"/>
    <row r="704" ht="12.75" customHeight="1" s="8"/>
    <row r="705" ht="12.75" customHeight="1" s="8"/>
    <row r="706" ht="12.75" customHeight="1" s="8"/>
    <row r="707" ht="12.75" customHeight="1" s="8"/>
    <row r="708" ht="12.75" customHeight="1" s="8"/>
    <row r="709" ht="12.75" customHeight="1" s="8"/>
    <row r="710" ht="12.75" customHeight="1" s="8"/>
    <row r="711" ht="12.75" customHeight="1" s="8"/>
    <row r="712" ht="12.75" customHeight="1" s="8"/>
    <row r="713" ht="12.75" customHeight="1" s="8"/>
    <row r="714" ht="12.75" customHeight="1" s="8"/>
    <row r="715" ht="12.75" customHeight="1" s="8"/>
    <row r="716" ht="12.75" customHeight="1" s="8"/>
    <row r="717" ht="12.75" customHeight="1" s="8"/>
    <row r="718" ht="12.75" customHeight="1" s="8"/>
    <row r="719" ht="12.75" customHeight="1" s="8"/>
    <row r="720" ht="12.75" customHeight="1" s="8"/>
    <row r="721" ht="12.75" customHeight="1" s="8"/>
    <row r="722" ht="12.75" customHeight="1" s="8"/>
    <row r="723" ht="12.75" customHeight="1" s="8"/>
    <row r="724" ht="12.75" customHeight="1" s="8"/>
    <row r="725" ht="12.75" customHeight="1" s="8"/>
    <row r="726" ht="12.75" customHeight="1" s="8"/>
    <row r="727" ht="12.75" customHeight="1" s="8"/>
    <row r="728" ht="12.75" customHeight="1" s="8"/>
    <row r="729" ht="12.75" customHeight="1" s="8"/>
    <row r="730" ht="12.75" customHeight="1" s="8"/>
    <row r="731" ht="12.75" customHeight="1" s="8"/>
    <row r="732" ht="12.75" customHeight="1" s="8"/>
    <row r="733" ht="12.75" customHeight="1" s="8"/>
    <row r="734" ht="12.75" customHeight="1" s="8"/>
    <row r="735" ht="12.75" customHeight="1" s="8"/>
    <row r="736" ht="12.75" customHeight="1" s="8"/>
    <row r="737" ht="12.75" customHeight="1" s="8"/>
    <row r="738" ht="12.75" customHeight="1" s="8"/>
    <row r="739" ht="12.75" customHeight="1" s="8"/>
    <row r="740" ht="12.75" customHeight="1" s="8"/>
    <row r="741" ht="12.75" customHeight="1" s="8"/>
    <row r="742" ht="12.75" customHeight="1" s="8"/>
    <row r="743" ht="12.75" customHeight="1" s="8"/>
    <row r="744" ht="12.75" customHeight="1" s="8"/>
    <row r="745" ht="12.75" customHeight="1" s="8"/>
    <row r="746" ht="12.75" customHeight="1" s="8"/>
    <row r="747" ht="12.75" customHeight="1" s="8"/>
    <row r="748" ht="12.75" customHeight="1" s="8"/>
    <row r="749" ht="12.75" customHeight="1" s="8"/>
    <row r="750" ht="12.75" customHeight="1" s="8"/>
    <row r="751" ht="12.75" customHeight="1" s="8"/>
    <row r="752" ht="12.75" customHeight="1" s="8"/>
    <row r="753" ht="12.75" customHeight="1" s="8"/>
    <row r="754" ht="12.75" customHeight="1" s="8"/>
    <row r="755" ht="12.75" customHeight="1" s="8"/>
    <row r="756" ht="12.75" customHeight="1" s="8"/>
    <row r="757" ht="12.75" customHeight="1" s="8"/>
    <row r="758" ht="12.75" customHeight="1" s="8"/>
    <row r="759" ht="12.75" customHeight="1" s="8"/>
    <row r="760" ht="12.75" customHeight="1" s="8"/>
    <row r="761" ht="12.75" customHeight="1" s="8"/>
    <row r="762" ht="12.75" customHeight="1" s="8"/>
    <row r="763" ht="12.75" customHeight="1" s="8"/>
    <row r="764" ht="12.75" customHeight="1" s="8"/>
    <row r="765" ht="12.75" customHeight="1" s="8"/>
    <row r="766" ht="12.75" customHeight="1" s="8"/>
    <row r="767" ht="12.75" customHeight="1" s="8"/>
    <row r="768" ht="12.75" customHeight="1" s="8"/>
    <row r="769" ht="12.75" customHeight="1" s="8"/>
    <row r="770" ht="12.75" customHeight="1" s="8"/>
    <row r="771" ht="12.75" customHeight="1" s="8"/>
    <row r="772" ht="12.75" customHeight="1" s="8"/>
    <row r="773" ht="12.75" customHeight="1" s="8"/>
    <row r="774" ht="12.75" customHeight="1" s="8"/>
    <row r="775" ht="12.75" customHeight="1" s="8"/>
    <row r="776" ht="12.75" customHeight="1" s="8"/>
    <row r="777" ht="12.75" customHeight="1" s="8"/>
    <row r="778" ht="12.75" customHeight="1" s="8"/>
    <row r="779" ht="12.75" customHeight="1" s="8"/>
    <row r="780" ht="12.75" customHeight="1" s="8"/>
    <row r="781" ht="12.75" customHeight="1" s="8"/>
    <row r="782" ht="12.75" customHeight="1" s="8"/>
    <row r="783" ht="12.75" customHeight="1" s="8"/>
    <row r="784" ht="12.75" customHeight="1" s="8"/>
    <row r="785" ht="12.75" customHeight="1" s="8"/>
    <row r="786" ht="12.75" customHeight="1" s="8"/>
    <row r="787" ht="12.75" customHeight="1" s="8"/>
    <row r="788" ht="12.75" customHeight="1" s="8"/>
    <row r="789" ht="12.75" customHeight="1" s="8"/>
    <row r="790" ht="12.75" customHeight="1" s="8"/>
    <row r="791" ht="12.75" customHeight="1" s="8"/>
    <row r="792" ht="12.75" customHeight="1" s="8"/>
    <row r="793" ht="12.75" customHeight="1" s="8"/>
    <row r="794" ht="12.75" customHeight="1" s="8"/>
    <row r="795" ht="12.75" customHeight="1" s="8"/>
    <row r="796" ht="12.75" customHeight="1" s="8"/>
    <row r="797" ht="12.75" customHeight="1" s="8"/>
    <row r="798" ht="12.75" customHeight="1" s="8"/>
    <row r="799" ht="12.75" customHeight="1" s="8"/>
    <row r="800" ht="12.75" customHeight="1" s="8"/>
    <row r="801" ht="12.75" customHeight="1" s="8"/>
    <row r="802" ht="12.75" customHeight="1" s="8"/>
    <row r="803" ht="12.75" customHeight="1" s="8"/>
    <row r="804" ht="12.75" customHeight="1" s="8"/>
    <row r="805" ht="12.75" customHeight="1" s="8"/>
    <row r="806" ht="12.75" customHeight="1" s="8"/>
    <row r="807" ht="12.75" customHeight="1" s="8"/>
    <row r="808" ht="12.75" customHeight="1" s="8"/>
    <row r="809" ht="12.75" customHeight="1" s="8"/>
    <row r="810" ht="12.75" customHeight="1" s="8"/>
    <row r="811" ht="12.75" customHeight="1" s="8"/>
    <row r="812" ht="12.75" customHeight="1" s="8"/>
    <row r="813" ht="12.75" customHeight="1" s="8"/>
    <row r="814" ht="12.75" customHeight="1" s="8"/>
    <row r="815" ht="12.75" customHeight="1" s="8"/>
    <row r="816" ht="12.75" customHeight="1" s="8"/>
    <row r="817" ht="12.75" customHeight="1" s="8"/>
    <row r="818" ht="12.75" customHeight="1" s="8"/>
    <row r="819" ht="12.75" customHeight="1" s="8"/>
    <row r="820" ht="12.75" customHeight="1" s="8"/>
    <row r="821" ht="12.75" customHeight="1" s="8"/>
    <row r="822" ht="12.75" customHeight="1" s="8"/>
    <row r="823" ht="12.75" customHeight="1" s="8"/>
    <row r="824" ht="12.75" customHeight="1" s="8"/>
    <row r="825" ht="12.75" customHeight="1" s="8"/>
    <row r="826" ht="12.75" customHeight="1" s="8"/>
    <row r="827" ht="12.75" customHeight="1" s="8"/>
    <row r="828" ht="12.75" customHeight="1" s="8"/>
    <row r="829" ht="12.75" customHeight="1" s="8"/>
    <row r="830" ht="12.75" customHeight="1" s="8"/>
    <row r="831" ht="12.75" customHeight="1" s="8"/>
    <row r="832" ht="12.75" customHeight="1" s="8"/>
    <row r="833" ht="12.75" customHeight="1" s="8"/>
    <row r="834" ht="12.75" customHeight="1" s="8"/>
    <row r="835" ht="12.75" customHeight="1" s="8"/>
    <row r="836" ht="12.75" customHeight="1" s="8"/>
    <row r="837" ht="12.75" customHeight="1" s="8"/>
    <row r="838" ht="12.75" customHeight="1" s="8"/>
    <row r="839" ht="12.75" customHeight="1" s="8"/>
    <row r="840" ht="12.75" customHeight="1" s="8"/>
    <row r="841" ht="12.75" customHeight="1" s="8"/>
    <row r="842" ht="12.75" customHeight="1" s="8"/>
    <row r="843" ht="12.75" customHeight="1" s="8"/>
    <row r="844" ht="12.75" customHeight="1" s="8"/>
    <row r="845" ht="12.75" customHeight="1" s="8"/>
    <row r="846" ht="12.75" customHeight="1" s="8"/>
    <row r="847" ht="12.75" customHeight="1" s="8"/>
    <row r="848" ht="12.75" customHeight="1" s="8"/>
    <row r="849" ht="12.75" customHeight="1" s="8"/>
    <row r="850" ht="12.75" customHeight="1" s="8"/>
    <row r="851" ht="12.75" customHeight="1" s="8"/>
    <row r="852" ht="12.75" customHeight="1" s="8"/>
    <row r="853" ht="12.75" customHeight="1" s="8"/>
    <row r="854" ht="12.75" customHeight="1" s="8"/>
    <row r="855" ht="12.75" customHeight="1" s="8"/>
    <row r="856" ht="12.75" customHeight="1" s="8"/>
    <row r="857" ht="12.75" customHeight="1" s="8"/>
    <row r="858" ht="12.75" customHeight="1" s="8"/>
    <row r="859" ht="12.75" customHeight="1" s="8"/>
    <row r="860" ht="12.75" customHeight="1" s="8"/>
    <row r="861" ht="12.75" customHeight="1" s="8"/>
    <row r="862" ht="12.75" customHeight="1" s="8"/>
    <row r="863" ht="12.75" customHeight="1" s="8"/>
    <row r="864" ht="12.75" customHeight="1" s="8"/>
    <row r="865" ht="12.75" customHeight="1" s="8"/>
    <row r="866" ht="12.75" customHeight="1" s="8"/>
    <row r="867" ht="12.75" customHeight="1" s="8"/>
    <row r="868" ht="12.75" customHeight="1" s="8"/>
    <row r="869" ht="12.75" customHeight="1" s="8"/>
    <row r="870" ht="12.75" customHeight="1" s="8"/>
    <row r="871" ht="12.75" customHeight="1" s="8"/>
    <row r="872" ht="12.75" customHeight="1" s="8"/>
    <row r="873" ht="12.75" customHeight="1" s="8"/>
    <row r="874" ht="12.75" customHeight="1" s="8"/>
    <row r="875" ht="12.75" customHeight="1" s="8"/>
    <row r="876" ht="12.75" customHeight="1" s="8"/>
    <row r="877" ht="12.75" customHeight="1" s="8"/>
    <row r="878" ht="12.75" customHeight="1" s="8"/>
    <row r="879" ht="12.75" customHeight="1" s="8"/>
    <row r="880" ht="12.75" customHeight="1" s="8"/>
    <row r="881" ht="12.75" customHeight="1" s="8"/>
    <row r="882" ht="12.75" customHeight="1" s="8"/>
    <row r="883" ht="12.75" customHeight="1" s="8"/>
    <row r="884" ht="12.75" customHeight="1" s="8"/>
    <row r="885" ht="12.75" customHeight="1" s="8"/>
    <row r="886" ht="12.75" customHeight="1" s="8"/>
    <row r="887" ht="12.75" customHeight="1" s="8"/>
    <row r="888" ht="12.75" customHeight="1" s="8"/>
    <row r="889" ht="12.75" customHeight="1" s="8"/>
    <row r="890" ht="12.75" customHeight="1" s="8"/>
    <row r="891" ht="12.75" customHeight="1" s="8"/>
    <row r="892" ht="12.75" customHeight="1" s="8"/>
    <row r="893" ht="12.75" customHeight="1" s="8"/>
    <row r="894" ht="12.75" customHeight="1" s="8"/>
    <row r="895" ht="12.75" customHeight="1" s="8"/>
    <row r="896" ht="12.75" customHeight="1" s="8"/>
    <row r="897" ht="12.75" customHeight="1" s="8"/>
    <row r="898" ht="12.75" customHeight="1" s="8"/>
    <row r="899" ht="12.75" customHeight="1" s="8"/>
    <row r="900" ht="12.75" customHeight="1" s="8"/>
    <row r="901" ht="12.75" customHeight="1" s="8"/>
    <row r="902" ht="12.75" customHeight="1" s="8"/>
    <row r="903" ht="12.75" customHeight="1" s="8"/>
    <row r="904" ht="12.75" customHeight="1" s="8"/>
    <row r="905" ht="12.75" customHeight="1" s="8"/>
    <row r="906" ht="12.75" customHeight="1" s="8"/>
    <row r="907" ht="12.75" customHeight="1" s="8"/>
    <row r="908" ht="12.75" customHeight="1" s="8"/>
    <row r="909" ht="12.75" customHeight="1" s="8"/>
    <row r="910" ht="12.75" customHeight="1" s="8"/>
    <row r="911" ht="12.75" customHeight="1" s="8"/>
    <row r="912" ht="12.75" customHeight="1" s="8"/>
    <row r="913" ht="12.75" customHeight="1" s="8"/>
    <row r="914" ht="12.75" customHeight="1" s="8"/>
    <row r="915" ht="12.75" customHeight="1" s="8"/>
    <row r="916" ht="12.75" customHeight="1" s="8"/>
    <row r="917" ht="12.75" customHeight="1" s="8"/>
    <row r="918" ht="12.75" customHeight="1" s="8"/>
    <row r="919" ht="12.75" customHeight="1" s="8"/>
    <row r="920" ht="12.75" customHeight="1" s="8"/>
    <row r="921" ht="12.75" customHeight="1" s="8"/>
    <row r="922" ht="12.75" customHeight="1" s="8"/>
    <row r="923" ht="12.75" customHeight="1" s="8"/>
    <row r="924" ht="12.75" customHeight="1" s="8"/>
    <row r="925" ht="12.75" customHeight="1" s="8"/>
    <row r="926" ht="12.75" customHeight="1" s="8"/>
    <row r="927" ht="12.75" customHeight="1" s="8"/>
    <row r="928" ht="12.75" customHeight="1" s="8"/>
    <row r="929" ht="12.75" customHeight="1" s="8"/>
    <row r="930" ht="12.75" customHeight="1" s="8"/>
    <row r="931" ht="12.75" customHeight="1" s="8"/>
    <row r="932" ht="12.75" customHeight="1" s="8"/>
    <row r="933" ht="12.75" customHeight="1" s="8"/>
    <row r="934" ht="12.75" customHeight="1" s="8"/>
    <row r="935" ht="12.75" customHeight="1" s="8"/>
    <row r="936" ht="12.75" customHeight="1" s="8"/>
    <row r="937" ht="12.75" customHeight="1" s="8"/>
    <row r="938" ht="12.75" customHeight="1" s="8"/>
    <row r="939" ht="12.75" customHeight="1" s="8"/>
    <row r="940" ht="12.75" customHeight="1" s="8"/>
    <row r="941" ht="12.75" customHeight="1" s="8"/>
    <row r="942" ht="12.75" customHeight="1" s="8"/>
    <row r="943" ht="12.75" customHeight="1" s="8"/>
    <row r="944" ht="12.75" customHeight="1" s="8"/>
    <row r="945" ht="12.75" customHeight="1" s="8"/>
    <row r="946" ht="12.75" customHeight="1" s="8"/>
    <row r="947" ht="12.75" customHeight="1" s="8"/>
    <row r="948" ht="12.75" customHeight="1" s="8"/>
    <row r="949" ht="12.75" customHeight="1" s="8"/>
    <row r="950" ht="12.75" customHeight="1" s="8"/>
    <row r="951" ht="12.75" customHeight="1" s="8"/>
    <row r="952" ht="12.75" customHeight="1" s="8"/>
    <row r="953" ht="12.75" customHeight="1" s="8"/>
    <row r="954" ht="12.75" customHeight="1" s="8"/>
    <row r="955" ht="12.75" customHeight="1" s="8"/>
    <row r="956" ht="12.75" customHeight="1" s="8"/>
    <row r="957" ht="12.75" customHeight="1" s="8"/>
    <row r="958" ht="12.75" customHeight="1" s="8"/>
    <row r="959" ht="12.75" customHeight="1" s="8"/>
    <row r="960" ht="12.75" customHeight="1" s="8"/>
    <row r="961" ht="12.75" customHeight="1" s="8"/>
    <row r="962" ht="12.75" customHeight="1" s="8"/>
    <row r="963" ht="12.75" customHeight="1" s="8"/>
    <row r="964" ht="12.75" customHeight="1" s="8"/>
    <row r="965" ht="12.75" customHeight="1" s="8"/>
    <row r="966" ht="12.75" customHeight="1" s="8"/>
    <row r="967" ht="12.75" customHeight="1" s="8"/>
    <row r="968" ht="12.75" customHeight="1" s="8"/>
    <row r="969" ht="12.75" customHeight="1" s="8"/>
    <row r="970" ht="12.75" customHeight="1" s="8"/>
    <row r="971" ht="12.75" customHeight="1" s="8"/>
    <row r="972" ht="12.75" customHeight="1" s="8"/>
    <row r="973" ht="12.75" customHeight="1" s="8"/>
    <row r="974" ht="12.75" customHeight="1" s="8"/>
    <row r="975" ht="12.75" customHeight="1" s="8"/>
    <row r="976" ht="12.75" customHeight="1" s="8"/>
    <row r="977" ht="12.75" customHeight="1" s="8"/>
    <row r="978" ht="12.75" customHeight="1" s="8"/>
    <row r="979" ht="12.75" customHeight="1" s="8"/>
    <row r="980" ht="12.75" customHeight="1" s="8"/>
    <row r="981" ht="12.75" customHeight="1" s="8"/>
    <row r="982" ht="12.75" customHeight="1" s="8"/>
    <row r="983" ht="12.75" customHeight="1" s="8"/>
    <row r="984" ht="12.75" customHeight="1" s="8"/>
    <row r="985" ht="12.75" customHeight="1" s="8"/>
    <row r="986" ht="12.75" customHeight="1" s="8"/>
    <row r="987" ht="12.75" customHeight="1" s="8"/>
    <row r="988" ht="12.75" customHeight="1" s="8"/>
    <row r="989" ht="12.75" customHeight="1" s="8"/>
    <row r="990" ht="12.75" customHeight="1" s="8"/>
    <row r="991" ht="12.75" customHeight="1" s="8"/>
    <row r="992" ht="12.75" customHeight="1" s="8"/>
    <row r="993" ht="12.75" customHeight="1" s="8"/>
    <row r="994" ht="12.75" customHeight="1" s="8"/>
    <row r="995" ht="12.75" customHeight="1" s="8"/>
    <row r="996" ht="12.75" customHeight="1" s="8"/>
    <row r="997" ht="12.75" customHeight="1" s="8"/>
    <row r="998" ht="12.75" customHeight="1" s="8"/>
    <row r="999" ht="12.75" customHeight="1" s="8"/>
    <row r="1000" ht="12.75" customHeight="1" s="8"/>
    <row r="1001" ht="12.75" customHeight="1" s="8"/>
    <row r="1002" ht="12.75" customHeight="1" s="8"/>
    <row r="1003" ht="12.75" customHeight="1" s="8"/>
    <row r="1004" ht="12.75" customHeight="1" s="8"/>
    <row r="1005" ht="12.75" customHeight="1" s="8"/>
    <row r="1006" ht="12.75" customHeight="1" s="8"/>
    <row r="1007" ht="12.75" customHeight="1" s="8"/>
    <row r="1008" ht="12.75" customHeight="1" s="8"/>
    <row r="1009" ht="12.75" customHeight="1" s="8"/>
    <row r="1010" ht="12.75" customHeight="1" s="8"/>
    <row r="1011" ht="12.75" customHeight="1" s="8"/>
    <row r="1012" ht="12.75" customHeight="1" s="8"/>
    <row r="1013" ht="12.75" customHeight="1" s="8"/>
    <row r="1014" ht="12.75" customHeight="1" s="8"/>
    <row r="1015" ht="12.75" customHeight="1" s="8"/>
    <row r="1016" ht="12.75" customHeight="1" s="8"/>
    <row r="1017" ht="12.75" customHeight="1" s="8"/>
    <row r="1018" ht="12.75" customHeight="1" s="8"/>
    <row r="1019" ht="12.75" customHeight="1" s="8"/>
    <row r="1020" ht="12.75" customHeight="1" s="8"/>
    <row r="1021" ht="12.75" customHeight="1" s="8"/>
    <row r="1022" ht="12.75" customHeight="1" s="8"/>
    <row r="1023" ht="12.75" customHeight="1" s="8"/>
    <row r="1024" ht="12.75" customHeight="1" s="8"/>
    <row r="1025" ht="12.75" customHeight="1" s="8"/>
    <row r="1026" ht="12.75" customHeight="1" s="8"/>
    <row r="1027" ht="12.75" customHeight="1" s="8"/>
    <row r="1028" ht="12.75" customHeight="1" s="8"/>
    <row r="1029" ht="12.75" customHeight="1" s="8"/>
    <row r="1030" ht="12.75" customHeight="1" s="8"/>
    <row r="1031" ht="12.75" customHeight="1" s="8"/>
    <row r="1032" ht="12.75" customHeight="1" s="8"/>
    <row r="1033" ht="12.75" customHeight="1" s="8"/>
    <row r="1034" ht="12.75" customHeight="1" s="8"/>
    <row r="1035" ht="12.75" customHeight="1" s="8"/>
    <row r="1036" ht="12.75" customHeight="1" s="8"/>
    <row r="1037" ht="12.75" customHeight="1" s="8"/>
    <row r="1038" ht="12.75" customHeight="1" s="8"/>
    <row r="1039" ht="12.75" customHeight="1" s="8"/>
    <row r="1040" ht="12.75" customHeight="1" s="8"/>
    <row r="1041" ht="12.75" customHeight="1" s="8"/>
    <row r="1042" ht="12.75" customHeight="1" s="8"/>
    <row r="1043" ht="12.75" customHeight="1" s="8"/>
    <row r="1044" ht="12.75" customHeight="1" s="8"/>
    <row r="1045" ht="12.75" customHeight="1" s="8"/>
    <row r="1046" ht="12.75" customHeight="1" s="8"/>
    <row r="1047" ht="12.75" customHeight="1" s="8"/>
    <row r="1048" ht="12.75" customHeight="1" s="8"/>
    <row r="1049" ht="12.75" customHeight="1" s="8"/>
    <row r="1050" ht="12.75" customHeight="1" s="8"/>
    <row r="1051" ht="12.75" customHeight="1" s="8"/>
    <row r="1052" ht="12.75" customHeight="1" s="8"/>
    <row r="1053" ht="12.75" customHeight="1" s="8"/>
    <row r="1054" ht="12.75" customHeight="1" s="8"/>
    <row r="1055" ht="12.75" customHeight="1" s="8"/>
    <row r="1056" ht="12.75" customHeight="1" s="8"/>
    <row r="1057" ht="12.75" customHeight="1" s="8"/>
    <row r="1058" ht="12.75" customHeight="1" s="8"/>
    <row r="1059" ht="12.75" customHeight="1" s="8"/>
    <row r="1060" ht="12.75" customHeight="1" s="8"/>
    <row r="1061" ht="12.75" customHeight="1" s="8"/>
    <row r="1062" ht="12.75" customHeight="1" s="8"/>
  </sheetData>
  <mergeCells count="73">
    <mergeCell ref="A1:J1"/>
    <mergeCell ref="A2:G2"/>
    <mergeCell ref="H2:J2"/>
    <mergeCell ref="A6:J6"/>
    <mergeCell ref="A7:A8"/>
    <mergeCell ref="B7:D7"/>
    <mergeCell ref="E7:G7"/>
    <mergeCell ref="H7:J7"/>
    <mergeCell ref="A61:J61"/>
    <mergeCell ref="A62:A63"/>
    <mergeCell ref="B62:D62"/>
    <mergeCell ref="E62:G62"/>
    <mergeCell ref="H62:J62"/>
    <mergeCell ref="A73:J73"/>
    <mergeCell ref="A74:A75"/>
    <mergeCell ref="B74:D74"/>
    <mergeCell ref="E74:G74"/>
    <mergeCell ref="H74:J74"/>
    <mergeCell ref="A116:J116"/>
    <mergeCell ref="A117:A118"/>
    <mergeCell ref="B117:D117"/>
    <mergeCell ref="E117:G117"/>
    <mergeCell ref="H117:J117"/>
    <mergeCell ref="A162:J162"/>
    <mergeCell ref="A163:A164"/>
    <mergeCell ref="B163:D163"/>
    <mergeCell ref="E163:G163"/>
    <mergeCell ref="H163:J163"/>
    <mergeCell ref="A184:J184"/>
    <mergeCell ref="A185:A186"/>
    <mergeCell ref="B185:D185"/>
    <mergeCell ref="E185:G185"/>
    <mergeCell ref="H185:J185"/>
    <mergeCell ref="A221:J221"/>
    <mergeCell ref="A222:A223"/>
    <mergeCell ref="B222:D222"/>
    <mergeCell ref="E222:G222"/>
    <mergeCell ref="H222:J222"/>
    <mergeCell ref="A258:J258"/>
    <mergeCell ref="A259:A260"/>
    <mergeCell ref="B259:D259"/>
    <mergeCell ref="E259:G259"/>
    <mergeCell ref="H259:J259"/>
    <mergeCell ref="A268:J268"/>
    <mergeCell ref="A269:A270"/>
    <mergeCell ref="B269:D269"/>
    <mergeCell ref="E269:G269"/>
    <mergeCell ref="H269:J269"/>
    <mergeCell ref="A300:J300"/>
    <mergeCell ref="A301:A302"/>
    <mergeCell ref="B301:D301"/>
    <mergeCell ref="E301:G301"/>
    <mergeCell ref="H301:J301"/>
    <mergeCell ref="A308:J308"/>
    <mergeCell ref="A309:A310"/>
    <mergeCell ref="B309:D309"/>
    <mergeCell ref="E309:G309"/>
    <mergeCell ref="H309:J309"/>
    <mergeCell ref="A336:J336"/>
    <mergeCell ref="A337:A338"/>
    <mergeCell ref="B337:D337"/>
    <mergeCell ref="E337:G337"/>
    <mergeCell ref="H337:J337"/>
    <mergeCell ref="A343:J343"/>
    <mergeCell ref="A344:A345"/>
    <mergeCell ref="B344:D344"/>
    <mergeCell ref="E344:G344"/>
    <mergeCell ref="H344:J344"/>
    <mergeCell ref="A352:J352"/>
    <mergeCell ref="A353:A354"/>
    <mergeCell ref="B353:D353"/>
    <mergeCell ref="E353:G353"/>
    <mergeCell ref="H353:J35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Cristina Wisbeck dos Santos</dc:creator>
  <dcterms:created xsi:type="dcterms:W3CDTF">2021-12-15T19:24:14Z</dcterms:created>
  <dcterms:modified xsi:type="dcterms:W3CDTF">2022-01-14T17:19:02Z</dcterms:modified>
  <cp:lastModifiedBy>Wesley Lima de Araujo</cp:lastModifiedBy>
</cp:coreProperties>
</file>