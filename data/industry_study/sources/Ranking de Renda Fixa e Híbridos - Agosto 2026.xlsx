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cas.kallil\Downloads\"/>
    </mc:Choice>
  </mc:AlternateContent>
  <xr:revisionPtr revIDLastSave="0" documentId="13_ncr:1_{A115FAAC-A2D5-49BD-9D33-1F55AC73DC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iginação - Valor" sheetId="1" r:id="rId1"/>
    <sheet name="Nº de Operações" sheetId="2" r:id="rId2"/>
    <sheet name="Distribuição" sheetId="3" r:id="rId3"/>
  </sheets>
  <definedNames>
    <definedName name="_xlnm._FilterDatabase" localSheetId="0" hidden="1">'Originação - Valor'!$B$107:$J$107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4" i="3" l="1"/>
  <c r="G184" i="3"/>
  <c r="J162" i="3"/>
  <c r="D162" i="3"/>
  <c r="D60" i="3"/>
  <c r="G333" i="1"/>
  <c r="F256" i="1"/>
  <c r="J165" i="1"/>
  <c r="J142" i="1"/>
  <c r="G135" i="1"/>
  <c r="G132" i="1"/>
  <c r="G130" i="1"/>
  <c r="G128" i="1"/>
  <c r="G126" i="1"/>
  <c r="G125" i="1"/>
  <c r="G123" i="1"/>
  <c r="G142" i="1"/>
  <c r="D102" i="1"/>
  <c r="D51" i="1"/>
  <c r="I333" i="1"/>
  <c r="F333" i="1"/>
  <c r="C333" i="1"/>
  <c r="J310" i="1"/>
  <c r="I310" i="1"/>
  <c r="G310" i="1"/>
  <c r="F310" i="1"/>
  <c r="D310" i="1"/>
  <c r="C310" i="1"/>
  <c r="J298" i="1"/>
  <c r="I298" i="1"/>
  <c r="G298" i="1"/>
  <c r="F298" i="1"/>
  <c r="D298" i="1"/>
  <c r="C298" i="1"/>
  <c r="J290" i="1"/>
  <c r="I290" i="1"/>
  <c r="G290" i="1"/>
  <c r="F290" i="1"/>
  <c r="D290" i="1"/>
  <c r="C290" i="1"/>
  <c r="J283" i="1"/>
  <c r="I283" i="1"/>
  <c r="G283" i="1"/>
  <c r="F283" i="1"/>
  <c r="D283" i="1"/>
  <c r="C283" i="1"/>
  <c r="J264" i="1"/>
  <c r="I264" i="1"/>
  <c r="G264" i="1"/>
  <c r="F264" i="1"/>
  <c r="D264" i="1"/>
  <c r="C264" i="1"/>
  <c r="J256" i="1"/>
  <c r="I256" i="1"/>
  <c r="C256" i="1"/>
  <c r="J232" i="1"/>
  <c r="I232" i="1"/>
  <c r="G232" i="1"/>
  <c r="F232" i="1"/>
  <c r="D232" i="1"/>
  <c r="C232" i="1"/>
  <c r="J221" i="1"/>
  <c r="I221" i="1"/>
  <c r="G221" i="1"/>
  <c r="F221" i="1"/>
  <c r="D221" i="1"/>
  <c r="C221" i="1"/>
  <c r="J194" i="1"/>
  <c r="I194" i="1"/>
  <c r="G194" i="1"/>
  <c r="F194" i="1"/>
  <c r="D194" i="1"/>
  <c r="C194" i="1"/>
  <c r="I165" i="1"/>
  <c r="F165" i="1"/>
  <c r="C165" i="1"/>
  <c r="F142" i="1"/>
  <c r="C142" i="1"/>
  <c r="J102" i="1"/>
  <c r="I102" i="1"/>
  <c r="F102" i="1"/>
  <c r="C102" i="1"/>
  <c r="J65" i="1"/>
  <c r="I65" i="1"/>
  <c r="G65" i="1"/>
  <c r="F65" i="1"/>
  <c r="D65" i="1"/>
  <c r="C65" i="1"/>
  <c r="I51" i="1"/>
  <c r="F51" i="1"/>
  <c r="C51" i="1"/>
  <c r="J375" i="3"/>
  <c r="I375" i="3"/>
  <c r="G375" i="3"/>
  <c r="F375" i="3"/>
  <c r="D375" i="3"/>
  <c r="C375" i="3"/>
  <c r="J361" i="3"/>
  <c r="I361" i="3"/>
  <c r="G361" i="3"/>
  <c r="F361" i="3"/>
  <c r="D361" i="3"/>
  <c r="C361" i="3"/>
  <c r="J351" i="3"/>
  <c r="I351" i="3"/>
  <c r="G351" i="3"/>
  <c r="F351" i="3"/>
  <c r="D351" i="3"/>
  <c r="C351" i="3"/>
  <c r="J344" i="3"/>
  <c r="I344" i="3"/>
  <c r="G344" i="3"/>
  <c r="F344" i="3"/>
  <c r="D344" i="3"/>
  <c r="C344" i="3"/>
  <c r="J311" i="3"/>
  <c r="I311" i="3"/>
  <c r="G311" i="3"/>
  <c r="F311" i="3"/>
  <c r="D311" i="3"/>
  <c r="C311" i="3"/>
  <c r="J303" i="3"/>
  <c r="I303" i="3"/>
  <c r="G303" i="3"/>
  <c r="F303" i="3"/>
  <c r="D303" i="3"/>
  <c r="C303" i="3"/>
  <c r="J267" i="3"/>
  <c r="I267" i="3"/>
  <c r="G267" i="3"/>
  <c r="F267" i="3"/>
  <c r="D267" i="3"/>
  <c r="C267" i="3"/>
  <c r="J257" i="3"/>
  <c r="I257" i="3"/>
  <c r="G257" i="3"/>
  <c r="F257" i="3"/>
  <c r="D257" i="3"/>
  <c r="C257" i="3"/>
  <c r="J222" i="3"/>
  <c r="I222" i="3"/>
  <c r="G222" i="3"/>
  <c r="F222" i="3"/>
  <c r="D222" i="3"/>
  <c r="C222" i="3"/>
  <c r="I184" i="3"/>
  <c r="F184" i="3"/>
  <c r="C184" i="3"/>
  <c r="I162" i="3"/>
  <c r="F162" i="3"/>
  <c r="C162" i="3"/>
  <c r="J114" i="3"/>
  <c r="I114" i="3"/>
  <c r="G114" i="3"/>
  <c r="F114" i="3"/>
  <c r="D114" i="3"/>
  <c r="C114" i="3"/>
  <c r="J71" i="3"/>
  <c r="I71" i="3"/>
  <c r="G71" i="3"/>
  <c r="F71" i="3"/>
  <c r="D71" i="3"/>
  <c r="C71" i="3"/>
  <c r="I60" i="3"/>
  <c r="F60" i="3"/>
  <c r="C60" i="3"/>
  <c r="D184" i="3" l="1"/>
  <c r="G162" i="3"/>
  <c r="G60" i="3"/>
  <c r="J333" i="1"/>
  <c r="D333" i="1"/>
  <c r="G256" i="1"/>
  <c r="D256" i="1"/>
  <c r="G165" i="1"/>
  <c r="D165" i="1"/>
  <c r="D142" i="1"/>
  <c r="G102" i="1"/>
  <c r="J51" i="1"/>
  <c r="G51" i="1"/>
  <c r="I142" i="1"/>
</calcChain>
</file>

<file path=xl/sharedStrings.xml><?xml version="1.0" encoding="utf-8"?>
<sst xmlns="http://schemas.openxmlformats.org/spreadsheetml/2006/main" count="3262" uniqueCount="176">
  <si>
    <t>ANBIMA &gt;&gt; Mercado de Capitais | Rankings</t>
  </si>
  <si>
    <t>Ranking Anbima de Renda Fixa e Híbridos - Distribuição</t>
  </si>
  <si>
    <t>Valor</t>
  </si>
  <si>
    <t>Agosto/2026</t>
  </si>
  <si>
    <t>Tipo 1: Renda Fixa Consolidado</t>
  </si>
  <si>
    <t>Distribuidores</t>
  </si>
  <si>
    <t>Acumulado 2026</t>
  </si>
  <si>
    <t>Últimos 3 meses</t>
  </si>
  <si>
    <t>Últimos 12 meses</t>
  </si>
  <si>
    <t>Ranking 2026</t>
  </si>
  <si>
    <t>Valor *</t>
  </si>
  <si>
    <t>Part.</t>
  </si>
  <si>
    <t>Ranking 3 meses</t>
  </si>
  <si>
    <t>Ranking 12 meses</t>
  </si>
  <si>
    <t>ITAU BBA</t>
  </si>
  <si>
    <t>1º</t>
  </si>
  <si>
    <t>BRADESCO BBI</t>
  </si>
  <si>
    <t>2º</t>
  </si>
  <si>
    <t>BTG PACTUAL</t>
  </si>
  <si>
    <t>3º</t>
  </si>
  <si>
    <t>SANTANDER</t>
  </si>
  <si>
    <t>4º</t>
  </si>
  <si>
    <t>5º</t>
  </si>
  <si>
    <t>XP INVESTIMENTOS</t>
  </si>
  <si>
    <t>6º</t>
  </si>
  <si>
    <t>UBS BB</t>
  </si>
  <si>
    <t>VOTORANTIM</t>
  </si>
  <si>
    <t>7º</t>
  </si>
  <si>
    <t>ABC BRASIL</t>
  </si>
  <si>
    <t>8º</t>
  </si>
  <si>
    <t>10º</t>
  </si>
  <si>
    <t>9º</t>
  </si>
  <si>
    <t>SAFRA</t>
  </si>
  <si>
    <t>CEF</t>
  </si>
  <si>
    <t>BR PARTNERS</t>
  </si>
  <si>
    <t>11º</t>
  </si>
  <si>
    <t>13º</t>
  </si>
  <si>
    <t>12º</t>
  </si>
  <si>
    <t>BB-BI</t>
  </si>
  <si>
    <t>CITIGROUP</t>
  </si>
  <si>
    <t>14º</t>
  </si>
  <si>
    <t>INTER</t>
  </si>
  <si>
    <t>15º</t>
  </si>
  <si>
    <t>M7 IB</t>
  </si>
  <si>
    <t>21º</t>
  </si>
  <si>
    <t>18º</t>
  </si>
  <si>
    <t>DAYCOVAL</t>
  </si>
  <si>
    <t>16º</t>
  </si>
  <si>
    <t>CANAL COMPANHIA DE SECURITIZAÇÃO</t>
  </si>
  <si>
    <t>17º</t>
  </si>
  <si>
    <t>19º</t>
  </si>
  <si>
    <t>BOCOM BBM</t>
  </si>
  <si>
    <t>ASA ASSET 2 GESTÃO DE RECURSOS LTDA</t>
  </si>
  <si>
    <t>29º</t>
  </si>
  <si>
    <t>One Corporate</t>
  </si>
  <si>
    <t>20º</t>
  </si>
  <si>
    <t>27º</t>
  </si>
  <si>
    <t>BNDES</t>
  </si>
  <si>
    <t>MAX CAPITAL MARKETS</t>
  </si>
  <si>
    <t>22º</t>
  </si>
  <si>
    <t>23º</t>
  </si>
  <si>
    <t>KEA CAPITAL MARKETS</t>
  </si>
  <si>
    <t>30º</t>
  </si>
  <si>
    <t>BANCO PINE</t>
  </si>
  <si>
    <t>24º</t>
  </si>
  <si>
    <t>32º</t>
  </si>
  <si>
    <t>BAMBOO SEC</t>
  </si>
  <si>
    <t>25º</t>
  </si>
  <si>
    <t>34º</t>
  </si>
  <si>
    <t>OPEA SECURITIZADORA</t>
  </si>
  <si>
    <t>26º</t>
  </si>
  <si>
    <t>TERRA</t>
  </si>
  <si>
    <t>36º</t>
  </si>
  <si>
    <t>EQI Investimentos CTVM</t>
  </si>
  <si>
    <t>28º</t>
  </si>
  <si>
    <t>37º</t>
  </si>
  <si>
    <t>BANCO BS2</t>
  </si>
  <si>
    <t>35º</t>
  </si>
  <si>
    <t>BNP PARIBAS</t>
  </si>
  <si>
    <t>ARCHX CAPITAL</t>
  </si>
  <si>
    <t>31º</t>
  </si>
  <si>
    <t>GALAPAGOS CAPITAL INVESTIMENTOS E PARTICIPAÇÕES LTDA.</t>
  </si>
  <si>
    <t>HEDGE DTVM</t>
  </si>
  <si>
    <t>33º</t>
  </si>
  <si>
    <t>42º</t>
  </si>
  <si>
    <t>RB CAPITAL DTVM</t>
  </si>
  <si>
    <t>GENIAL CV</t>
  </si>
  <si>
    <t>38º</t>
  </si>
  <si>
    <t>RABOBANK</t>
  </si>
  <si>
    <t>41º</t>
  </si>
  <si>
    <t>ANDBANK</t>
  </si>
  <si>
    <t>43º</t>
  </si>
  <si>
    <t>WARREN</t>
  </si>
  <si>
    <t>44º</t>
  </si>
  <si>
    <t>UNICRED DTVM</t>
  </si>
  <si>
    <t>39º</t>
  </si>
  <si>
    <t>47º</t>
  </si>
  <si>
    <t>MIRAE ASSET WEALTH MANAGEMENT (BRAZIL) CCTVM LTDA</t>
  </si>
  <si>
    <t>40º</t>
  </si>
  <si>
    <t>49º</t>
  </si>
  <si>
    <t>C6 CTVM</t>
  </si>
  <si>
    <t>46º</t>
  </si>
  <si>
    <t>JIVE HIGH YIELD GESTÃO DE RECURSOS LTDA.</t>
  </si>
  <si>
    <t>50º</t>
  </si>
  <si>
    <t>ORIZ ASSESSORIA FINANCEIRA LTDA</t>
  </si>
  <si>
    <t>BANCO SUMITOMO MITSUI BRASILEIRO</t>
  </si>
  <si>
    <t>CREDIT AGRICOLE</t>
  </si>
  <si>
    <t>JGP FINANCIAL ADVISORY</t>
  </si>
  <si>
    <t xml:space="preserve"> EXES SERVIÇOS FINANCEIROS</t>
  </si>
  <si>
    <t>BANCO BMG</t>
  </si>
  <si>
    <t>AZIMUT</t>
  </si>
  <si>
    <t>45º</t>
  </si>
  <si>
    <t>TORO INVESTIMENTOS</t>
  </si>
  <si>
    <t>48º</t>
  </si>
  <si>
    <t>ATIVA</t>
  </si>
  <si>
    <t>51º</t>
  </si>
  <si>
    <t>Total</t>
  </si>
  <si>
    <t>Tipo 1.1. Renda Fixa - Curto Prazo</t>
  </si>
  <si>
    <t>Tipo 1.2. Renda Fixa - Longo Prazo</t>
  </si>
  <si>
    <t>Tipo 1.3. Securitização</t>
  </si>
  <si>
    <t>Tipo 1.3.1. Emissão de Cotas Seniores e Subordinadas de FIDC</t>
  </si>
  <si>
    <t>Tipo 1.3.2. Emissão de Certificados de Recebíveis Imobiliários</t>
  </si>
  <si>
    <t>Tipo 1.3.3. Emissão de Certificados de Recebíveis do Agronegócio</t>
  </si>
  <si>
    <t>Tipo 1.3.4. Emissão de Certificados de Recebíveis</t>
  </si>
  <si>
    <t>Tipo 2: Operações Híbridas</t>
  </si>
  <si>
    <t>FATOR</t>
  </si>
  <si>
    <t>RIO BRAVO</t>
  </si>
  <si>
    <t>Tipo 2.1. Títulos Conversíveis Permutáveis</t>
  </si>
  <si>
    <t>Tipo 2.2. Fundo de Investimento Imobiliário</t>
  </si>
  <si>
    <t>Tipo 2.3. Certificado de Potencial Adicional de Construção</t>
  </si>
  <si>
    <t>Tipo 2.4. Fundo de Investimento em Participações de Infraestrutura</t>
  </si>
  <si>
    <t>Tipo 2.5. Fundo de Investimento nas Cadeias Produtivas Agroindustriais</t>
  </si>
  <si>
    <t>* Valores em R$ mil</t>
  </si>
  <si>
    <t>Ranking Anbima de Renda Fixa e Híbridos - Originação</t>
  </si>
  <si>
    <t>Coordenadores</t>
  </si>
  <si>
    <t>JP MORGAN</t>
  </si>
  <si>
    <t xml:space="preserve">Tipo 3: Operações de Empresas Ligadas </t>
  </si>
  <si>
    <t>Número de Operações</t>
  </si>
  <si>
    <t>Nº de Operações</t>
  </si>
  <si>
    <t>574</t>
  </si>
  <si>
    <t>208</t>
  </si>
  <si>
    <t>1095</t>
  </si>
  <si>
    <t>28</t>
  </si>
  <si>
    <t>8</t>
  </si>
  <si>
    <t>51</t>
  </si>
  <si>
    <t>400</t>
  </si>
  <si>
    <t>132</t>
  </si>
  <si>
    <t>729</t>
  </si>
  <si>
    <t>146</t>
  </si>
  <si>
    <t>68</t>
  </si>
  <si>
    <t>315</t>
  </si>
  <si>
    <t>69</t>
  </si>
  <si>
    <t>34</t>
  </si>
  <si>
    <t>120</t>
  </si>
  <si>
    <t>48</t>
  </si>
  <si>
    <t>22</t>
  </si>
  <si>
    <t>116</t>
  </si>
  <si>
    <t>25</t>
  </si>
  <si>
    <t>10</t>
  </si>
  <si>
    <t>66</t>
  </si>
  <si>
    <t>4</t>
  </si>
  <si>
    <t>2</t>
  </si>
  <si>
    <t>13</t>
  </si>
  <si>
    <t>27</t>
  </si>
  <si>
    <t>78</t>
  </si>
  <si>
    <t>0</t>
  </si>
  <si>
    <t>1</t>
  </si>
  <si>
    <t>33</t>
  </si>
  <si>
    <t>19</t>
  </si>
  <si>
    <t>5</t>
  </si>
  <si>
    <t>3</t>
  </si>
  <si>
    <t>7</t>
  </si>
  <si>
    <t>21</t>
  </si>
  <si>
    <t>88</t>
  </si>
  <si>
    <t>42</t>
  </si>
  <si>
    <t>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</si>
</sst>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0.0%"/>
  </numFmts>
  <fonts count="12" x14ac:knownFonts="1">
    <font>
      <sz val="10"/>
      <color theme="1"/>
      <name val="Tahoma"/>
      <family val="2"/>
    </font>
    <font>
      <sz val="18"/>
      <color rgb="FF808080"/>
      <name val="Calibri"/>
      <family val="2"/>
      <scheme val="minor"/>
    </font>
    <font>
      <sz val="10"/>
      <color rgb="FF808080"/>
      <name val="Calibri"/>
      <family val="2"/>
      <scheme val="minor"/>
    </font>
    <font>
      <b/>
      <sz val="14"/>
      <color rgb="FF0095D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80808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95D9"/>
      </patternFill>
    </fill>
    <fill>
      <patternFill patternType="solid">
        <fgColor rgb="FF0095D9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808080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0095D9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0095D9"/>
      </right>
      <top style="medium">
        <color rgb="FFFFFFFF"/>
      </top>
      <bottom style="medium">
        <color rgb="FFFFFFFF"/>
      </bottom>
      <diagonal/>
    </border>
    <border>
      <left style="medium">
        <color rgb="FF0095D9"/>
      </left>
      <right style="medium">
        <color rgb="FF0095D9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quotePrefix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10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3" fontId="11" fillId="4" borderId="4" xfId="0" applyNumberFormat="1" applyFont="1" applyFill="1" applyBorder="1" applyAlignment="1">
      <alignment horizontal="center" vertical="center"/>
    </xf>
    <xf numFmtId="164" fontId="11" fillId="4" borderId="4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center" vertical="center"/>
    </xf>
    <xf numFmtId="3" fontId="11" fillId="5" borderId="4" xfId="0" applyNumberFormat="1" applyFont="1" applyFill="1" applyBorder="1" applyAlignment="1">
      <alignment horizontal="center" vertical="center"/>
    </xf>
    <xf numFmtId="164" fontId="11" fillId="5" borderId="4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10" fillId="6" borderId="0" xfId="0" applyFont="1" applyFill="1" applyAlignment="1">
      <alignment horizontal="center" vertical="center"/>
    </xf>
    <xf numFmtId="3" fontId="10" fillId="6" borderId="0" xfId="0" applyNumberFormat="1" applyFont="1" applyFill="1" applyAlignment="1">
      <alignment horizontal="center" vertical="center"/>
    </xf>
    <xf numFmtId="164" fontId="10" fillId="6" borderId="0" xfId="0" applyNumberFormat="1" applyFont="1" applyFill="1" applyAlignment="1">
      <alignment horizontal="center" vertical="center"/>
    </xf>
    <xf numFmtId="0" fontId="11" fillId="0" borderId="0" xfId="0" applyFont="1"/>
    <xf numFmtId="0" fontId="5" fillId="2" borderId="0" xfId="0" applyFont="1" applyFill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0" fillId="0" borderId="2" xfId="0" applyBorder="1"/>
    <xf numFmtId="0" fontId="10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4" fontId="4" fillId="0" borderId="0" xfId="0" applyNumberFormat="1" applyFont="1"/>
    <xf numFmtId="3" fontId="4" fillId="0" borderId="0" xfId="0" applyNumberFormat="1" applyFont="1"/>
    <xf numFmtId="8" fontId="4" fillId="0" borderId="0" xfId="0" applyNumberFormat="1" applyFont="1"/>
    <xf numFmtId="0" fontId="10" fillId="6" borderId="0" xfId="0" applyFont="1" applyFill="1" applyBorder="1" applyAlignment="1">
      <alignment horizontal="center" vertical="center"/>
    </xf>
    <xf numFmtId="3" fontId="10" fillId="6" borderId="0" xfId="0" applyNumberFormat="1" applyFont="1" applyFill="1" applyBorder="1" applyAlignment="1">
      <alignment horizontal="center" vertical="center"/>
    </xf>
    <xf numFmtId="164" fontId="10" fillId="6" borderId="0" xfId="0" applyNumberFormat="1" applyFont="1" applyFill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6"/>
  <sheetViews>
    <sheetView showGridLines="0" showRowColHeaders="0" tabSelected="1" zoomScaleNormal="100" workbookViewId="0">
      <selection sqref="A1:J1"/>
    </sheetView>
  </sheetViews>
  <sheetFormatPr defaultColWidth="9.1796875" defaultRowHeight="12.75" customHeight="1" x14ac:dyDescent="0.3"/>
  <cols>
    <col min="1" max="1" width="84.54296875" style="2" bestFit="1" customWidth="1"/>
    <col min="2" max="2" width="20.1796875" style="2" bestFit="1" customWidth="1"/>
    <col min="3" max="3" width="22.54296875" style="2" bestFit="1" customWidth="1"/>
    <col min="4" max="4" width="14.6328125" style="2" bestFit="1" customWidth="1"/>
    <col min="5" max="5" width="23.81640625" style="2" bestFit="1" customWidth="1"/>
    <col min="6" max="6" width="22.54296875" style="2" bestFit="1" customWidth="1"/>
    <col min="7" max="7" width="10" style="2" bestFit="1" customWidth="1"/>
    <col min="8" max="8" width="25.1796875" style="2" bestFit="1" customWidth="1"/>
    <col min="9" max="9" width="22.54296875" style="2" bestFit="1" customWidth="1"/>
    <col min="10" max="10" width="10" style="2" bestFit="1" customWidth="1"/>
    <col min="11" max="11" width="9.1796875" style="2" customWidth="1"/>
    <col min="12" max="16384" width="9.1796875" style="2"/>
  </cols>
  <sheetData>
    <row r="1" spans="1:10" ht="21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25.5" customHeight="1" x14ac:dyDescent="0.3">
      <c r="A2" s="25" t="s">
        <v>133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12.75" customHeight="1" x14ac:dyDescent="0.3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0" ht="21" customHeight="1" x14ac:dyDescent="0.3">
      <c r="A4" s="1" t="s">
        <v>2</v>
      </c>
      <c r="J4" s="3" t="s">
        <v>3</v>
      </c>
    </row>
    <row r="5" spans="1:10" ht="12.75" customHeight="1" x14ac:dyDescent="0.3">
      <c r="C5" s="30"/>
      <c r="D5" s="30"/>
      <c r="F5" s="30"/>
      <c r="I5" s="30"/>
    </row>
    <row r="6" spans="1:10" ht="12.75" customHeight="1" x14ac:dyDescent="0.3">
      <c r="A6" s="26" t="s">
        <v>4</v>
      </c>
      <c r="B6" s="24"/>
      <c r="C6" s="24"/>
      <c r="D6" s="24"/>
      <c r="E6" s="24"/>
      <c r="F6" s="24"/>
      <c r="G6" s="24"/>
      <c r="H6" s="24"/>
      <c r="I6" s="24"/>
      <c r="J6" s="27"/>
    </row>
    <row r="7" spans="1:10" ht="12.75" customHeight="1" x14ac:dyDescent="0.3">
      <c r="A7" s="28" t="s">
        <v>134</v>
      </c>
      <c r="B7" s="28" t="s">
        <v>6</v>
      </c>
      <c r="C7" s="28"/>
      <c r="D7" s="28"/>
      <c r="E7" s="28" t="s">
        <v>7</v>
      </c>
      <c r="F7" s="28"/>
      <c r="G7" s="28"/>
      <c r="H7" s="28" t="s">
        <v>8</v>
      </c>
      <c r="I7" s="28"/>
      <c r="J7" s="29"/>
    </row>
    <row r="8" spans="1:10" ht="12.75" customHeight="1" x14ac:dyDescent="0.3">
      <c r="A8" s="28"/>
      <c r="B8" s="8" t="s">
        <v>9</v>
      </c>
      <c r="C8" s="8" t="s">
        <v>10</v>
      </c>
      <c r="D8" s="8" t="s">
        <v>11</v>
      </c>
      <c r="E8" s="8" t="s">
        <v>12</v>
      </c>
      <c r="F8" s="8" t="s">
        <v>10</v>
      </c>
      <c r="G8" s="8" t="s">
        <v>11</v>
      </c>
      <c r="H8" s="8" t="s">
        <v>13</v>
      </c>
      <c r="I8" s="8" t="s">
        <v>10</v>
      </c>
      <c r="J8" s="9" t="s">
        <v>11</v>
      </c>
    </row>
    <row r="9" spans="1:10" ht="12.75" customHeight="1" x14ac:dyDescent="0.3">
      <c r="A9" s="10" t="s">
        <v>16</v>
      </c>
      <c r="B9" s="11" t="s">
        <v>15</v>
      </c>
      <c r="C9" s="12">
        <v>71832564.304590002</v>
      </c>
      <c r="D9" s="13">
        <v>0.26228029527713548</v>
      </c>
      <c r="E9" s="11" t="s">
        <v>15</v>
      </c>
      <c r="F9" s="12">
        <v>30303556.056129999</v>
      </c>
      <c r="G9" s="13">
        <v>0.32796881236455411</v>
      </c>
      <c r="H9" s="11" t="s">
        <v>17</v>
      </c>
      <c r="I9" s="12">
        <v>109023115.25131001</v>
      </c>
      <c r="J9" s="13">
        <v>0.20892341712668672</v>
      </c>
    </row>
    <row r="10" spans="1:10" ht="12.75" customHeight="1" x14ac:dyDescent="0.3">
      <c r="A10" s="14" t="s">
        <v>14</v>
      </c>
      <c r="B10" s="15" t="s">
        <v>17</v>
      </c>
      <c r="C10" s="16">
        <v>67406675.699359998</v>
      </c>
      <c r="D10" s="17">
        <v>0.24612016816095428</v>
      </c>
      <c r="E10" s="15" t="s">
        <v>17</v>
      </c>
      <c r="F10" s="16">
        <v>23771170.490269993</v>
      </c>
      <c r="G10" s="17">
        <v>0.25727022068857558</v>
      </c>
      <c r="H10" s="15" t="s">
        <v>15</v>
      </c>
      <c r="I10" s="16">
        <v>133124311.20658</v>
      </c>
      <c r="J10" s="17">
        <v>0.25510907421608442</v>
      </c>
    </row>
    <row r="11" spans="1:10" ht="12.75" customHeight="1" x14ac:dyDescent="0.3">
      <c r="A11" s="10" t="s">
        <v>20</v>
      </c>
      <c r="B11" s="11" t="s">
        <v>19</v>
      </c>
      <c r="C11" s="12">
        <v>27190607.62427</v>
      </c>
      <c r="D11" s="13">
        <v>9.9280328713011984E-2</v>
      </c>
      <c r="E11" s="11" t="s">
        <v>19</v>
      </c>
      <c r="F11" s="12">
        <v>11229827.006999999</v>
      </c>
      <c r="G11" s="13">
        <v>0.12153798120996949</v>
      </c>
      <c r="H11" s="11" t="s">
        <v>21</v>
      </c>
      <c r="I11" s="12">
        <v>48233774.598990008</v>
      </c>
      <c r="J11" s="13">
        <v>9.243145352167223E-2</v>
      </c>
    </row>
    <row r="12" spans="1:10" ht="12.75" customHeight="1" x14ac:dyDescent="0.3">
      <c r="A12" s="14" t="s">
        <v>18</v>
      </c>
      <c r="B12" s="15" t="s">
        <v>21</v>
      </c>
      <c r="C12" s="16">
        <v>26365641.195629999</v>
      </c>
      <c r="D12" s="17">
        <v>9.626815114992314E-2</v>
      </c>
      <c r="E12" s="15" t="s">
        <v>24</v>
      </c>
      <c r="F12" s="16">
        <v>4531890.0289899996</v>
      </c>
      <c r="G12" s="17">
        <v>4.9047662519262417E-2</v>
      </c>
      <c r="H12" s="15" t="s">
        <v>19</v>
      </c>
      <c r="I12" s="16">
        <v>51065890.528899997</v>
      </c>
      <c r="J12" s="17">
        <v>9.7858700178601793E-2</v>
      </c>
    </row>
    <row r="13" spans="1:10" ht="12.75" customHeight="1" x14ac:dyDescent="0.3">
      <c r="A13" s="10" t="s">
        <v>23</v>
      </c>
      <c r="B13" s="11" t="s">
        <v>22</v>
      </c>
      <c r="C13" s="12">
        <v>20534147.74628</v>
      </c>
      <c r="D13" s="13">
        <v>7.4975777160366602E-2</v>
      </c>
      <c r="E13" s="11" t="s">
        <v>22</v>
      </c>
      <c r="F13" s="12">
        <v>4590681.9999899995</v>
      </c>
      <c r="G13" s="13">
        <v>4.9683955265556815E-2</v>
      </c>
      <c r="H13" s="11" t="s">
        <v>22</v>
      </c>
      <c r="I13" s="12">
        <v>48187515.605239987</v>
      </c>
      <c r="J13" s="13">
        <v>9.2342806384550724E-2</v>
      </c>
    </row>
    <row r="14" spans="1:10" ht="12.75" customHeight="1" x14ac:dyDescent="0.3">
      <c r="A14" s="14" t="s">
        <v>25</v>
      </c>
      <c r="B14" s="15" t="s">
        <v>24</v>
      </c>
      <c r="C14" s="16">
        <v>18952268.723549999</v>
      </c>
      <c r="D14" s="17">
        <v>6.9199905155922239E-2</v>
      </c>
      <c r="E14" s="15" t="s">
        <v>21</v>
      </c>
      <c r="F14" s="16">
        <v>6741104.3499999996</v>
      </c>
      <c r="G14" s="17">
        <v>7.2957509791917632E-2</v>
      </c>
      <c r="H14" s="15" t="s">
        <v>24</v>
      </c>
      <c r="I14" s="16">
        <v>39234968.964599997</v>
      </c>
      <c r="J14" s="17">
        <v>7.5186842423723879E-2</v>
      </c>
    </row>
    <row r="15" spans="1:10" ht="12.75" customHeight="1" x14ac:dyDescent="0.3">
      <c r="A15" s="10" t="s">
        <v>33</v>
      </c>
      <c r="B15" s="11" t="s">
        <v>27</v>
      </c>
      <c r="C15" s="12">
        <v>8347905.8700000001</v>
      </c>
      <c r="D15" s="13">
        <v>3.0480482462595687E-2</v>
      </c>
      <c r="E15" s="11" t="s">
        <v>27</v>
      </c>
      <c r="F15" s="12">
        <v>2661558.25</v>
      </c>
      <c r="G15" s="13">
        <v>2.8805467473016374E-2</v>
      </c>
      <c r="H15" s="11" t="s">
        <v>31</v>
      </c>
      <c r="I15" s="12">
        <v>12045938.470000001</v>
      </c>
      <c r="J15" s="13">
        <v>2.3083899426731638E-2</v>
      </c>
    </row>
    <row r="16" spans="1:10" ht="12.75" customHeight="1" x14ac:dyDescent="0.3">
      <c r="A16" s="14" t="s">
        <v>32</v>
      </c>
      <c r="B16" s="15" t="s">
        <v>29</v>
      </c>
      <c r="C16" s="16">
        <v>7647522.3944899999</v>
      </c>
      <c r="D16" s="17">
        <v>2.7923191259889017E-2</v>
      </c>
      <c r="E16" s="15" t="s">
        <v>31</v>
      </c>
      <c r="F16" s="16">
        <v>2008405.9999800001</v>
      </c>
      <c r="G16" s="17">
        <v>2.1736542382656782E-2</v>
      </c>
      <c r="H16" s="15" t="s">
        <v>29</v>
      </c>
      <c r="I16" s="16">
        <v>14114835.227739999</v>
      </c>
      <c r="J16" s="17">
        <v>2.7048572233163572E-2</v>
      </c>
    </row>
    <row r="17" spans="1:11" ht="12.75" customHeight="1" x14ac:dyDescent="0.3">
      <c r="A17" s="10" t="s">
        <v>26</v>
      </c>
      <c r="B17" s="11" t="s">
        <v>31</v>
      </c>
      <c r="C17" s="12">
        <v>4809861.4253199995</v>
      </c>
      <c r="D17" s="13">
        <v>1.7562116667947256E-2</v>
      </c>
      <c r="E17" s="11" t="s">
        <v>30</v>
      </c>
      <c r="F17" s="12">
        <v>1634060.40384</v>
      </c>
      <c r="G17" s="13">
        <v>1.768508121577167E-2</v>
      </c>
      <c r="H17" s="11" t="s">
        <v>30</v>
      </c>
      <c r="I17" s="12">
        <v>10496803.47398</v>
      </c>
      <c r="J17" s="13">
        <v>2.0115257628036148E-2</v>
      </c>
    </row>
    <row r="18" spans="1:11" ht="12.75" customHeight="1" x14ac:dyDescent="0.3">
      <c r="A18" s="14" t="s">
        <v>28</v>
      </c>
      <c r="B18" s="15" t="s">
        <v>30</v>
      </c>
      <c r="C18" s="16">
        <v>4790792.7911399994</v>
      </c>
      <c r="D18" s="17">
        <v>1.7492491880753872E-2</v>
      </c>
      <c r="E18" s="15" t="s">
        <v>35</v>
      </c>
      <c r="F18" s="16">
        <v>770549.47994000011</v>
      </c>
      <c r="G18" s="17">
        <v>8.339489838616666E-3</v>
      </c>
      <c r="H18" s="15" t="s">
        <v>35</v>
      </c>
      <c r="I18" s="16">
        <v>8194254.2911299989</v>
      </c>
      <c r="J18" s="17">
        <v>1.5702831490015823E-2</v>
      </c>
      <c r="K18" s="30"/>
    </row>
    <row r="19" spans="1:11" ht="12.75" customHeight="1" x14ac:dyDescent="0.3">
      <c r="A19" s="10" t="s">
        <v>57</v>
      </c>
      <c r="B19" s="11" t="s">
        <v>35</v>
      </c>
      <c r="C19" s="12">
        <v>4053220</v>
      </c>
      <c r="D19" s="13">
        <v>1.4799412337772573E-2</v>
      </c>
      <c r="E19" s="11" t="s">
        <v>29</v>
      </c>
      <c r="F19" s="12">
        <v>2132000</v>
      </c>
      <c r="G19" s="13">
        <v>2.3074173429219861E-2</v>
      </c>
      <c r="H19" s="11" t="s">
        <v>27</v>
      </c>
      <c r="I19" s="12">
        <v>22733220</v>
      </c>
      <c r="J19" s="13">
        <v>4.3564174383979248E-2</v>
      </c>
    </row>
    <row r="20" spans="1:11" ht="12.75" customHeight="1" x14ac:dyDescent="0.3">
      <c r="A20" s="14" t="s">
        <v>39</v>
      </c>
      <c r="B20" s="15" t="s">
        <v>37</v>
      </c>
      <c r="C20" s="16">
        <v>3079587.0611899998</v>
      </c>
      <c r="D20" s="17">
        <v>1.124441277518123E-2</v>
      </c>
      <c r="E20" s="15" t="s">
        <v>49</v>
      </c>
      <c r="F20" s="16">
        <v>192000</v>
      </c>
      <c r="G20" s="17">
        <v>2.0779743425939088E-3</v>
      </c>
      <c r="H20" s="15" t="s">
        <v>36</v>
      </c>
      <c r="I20" s="16">
        <v>3674723.5411899998</v>
      </c>
      <c r="J20" s="17">
        <v>7.0419543364870843E-3</v>
      </c>
    </row>
    <row r="21" spans="1:11" ht="12.75" customHeight="1" x14ac:dyDescent="0.3">
      <c r="A21" s="10" t="s">
        <v>34</v>
      </c>
      <c r="B21" s="11" t="s">
        <v>36</v>
      </c>
      <c r="C21" s="12">
        <v>2132000.94936</v>
      </c>
      <c r="D21" s="13">
        <v>7.7845172860346156E-3</v>
      </c>
      <c r="E21" s="11" t="s">
        <v>37</v>
      </c>
      <c r="F21" s="12">
        <v>401544.40566999989</v>
      </c>
      <c r="G21" s="13">
        <v>4.345827981220728E-3</v>
      </c>
      <c r="H21" s="11" t="s">
        <v>37</v>
      </c>
      <c r="I21" s="12">
        <v>4269949.5643699998</v>
      </c>
      <c r="J21" s="13">
        <v>8.182599184497881E-3</v>
      </c>
    </row>
    <row r="22" spans="1:11" ht="12.75" customHeight="1" x14ac:dyDescent="0.3">
      <c r="A22" s="14" t="s">
        <v>38</v>
      </c>
      <c r="B22" s="15" t="s">
        <v>40</v>
      </c>
      <c r="C22" s="16">
        <v>1104652.9999800001</v>
      </c>
      <c r="D22" s="17">
        <v>4.0333895611048744E-3</v>
      </c>
      <c r="E22" s="15" t="s">
        <v>36</v>
      </c>
      <c r="F22" s="16">
        <v>294652.99998000002</v>
      </c>
      <c r="G22" s="17">
        <v>3.1889654892018932E-3</v>
      </c>
      <c r="H22" s="15" t="s">
        <v>42</v>
      </c>
      <c r="I22" s="16">
        <v>2575600.0832500001</v>
      </c>
      <c r="J22" s="17">
        <v>4.9356796428352201E-3</v>
      </c>
    </row>
    <row r="23" spans="1:11" ht="12.75" customHeight="1" x14ac:dyDescent="0.3">
      <c r="A23" s="10" t="s">
        <v>46</v>
      </c>
      <c r="B23" s="11" t="s">
        <v>42</v>
      </c>
      <c r="C23" s="12">
        <v>1096352.9999800001</v>
      </c>
      <c r="D23" s="13">
        <v>4.0030839960470905E-3</v>
      </c>
      <c r="E23" s="11" t="s">
        <v>45</v>
      </c>
      <c r="F23" s="12">
        <v>166249.99999000001</v>
      </c>
      <c r="G23" s="13">
        <v>1.7992876793513416E-3</v>
      </c>
      <c r="H23" s="11" t="s">
        <v>47</v>
      </c>
      <c r="I23" s="12">
        <v>2190683.9999199999</v>
      </c>
      <c r="J23" s="13">
        <v>4.1980564034794924E-3</v>
      </c>
    </row>
    <row r="24" spans="1:11" ht="12.75" customHeight="1" x14ac:dyDescent="0.3">
      <c r="A24" s="14" t="s">
        <v>78</v>
      </c>
      <c r="B24" s="15" t="s">
        <v>47</v>
      </c>
      <c r="C24" s="16">
        <v>944200</v>
      </c>
      <c r="D24" s="17">
        <v>3.4475318707903506E-3</v>
      </c>
      <c r="E24" s="15" t="s">
        <v>47</v>
      </c>
      <c r="F24" s="16">
        <v>257000</v>
      </c>
      <c r="G24" s="17">
        <v>2.7814552398262213E-3</v>
      </c>
      <c r="H24" s="15" t="s">
        <v>40</v>
      </c>
      <c r="I24" s="16">
        <v>3123600</v>
      </c>
      <c r="J24" s="17">
        <v>5.9858240542165859E-3</v>
      </c>
    </row>
    <row r="25" spans="1:11" ht="12.75" customHeight="1" x14ac:dyDescent="0.3">
      <c r="A25" s="10" t="s">
        <v>43</v>
      </c>
      <c r="B25" s="11" t="s">
        <v>49</v>
      </c>
      <c r="C25" s="12">
        <v>745098.44700000004</v>
      </c>
      <c r="D25" s="13">
        <v>2.7205577662665695E-3</v>
      </c>
      <c r="E25" s="11"/>
      <c r="F25" s="12">
        <v>0</v>
      </c>
      <c r="G25" s="13"/>
      <c r="H25" s="11" t="s">
        <v>45</v>
      </c>
      <c r="I25" s="12">
        <v>1152059.821</v>
      </c>
      <c r="J25" s="13">
        <v>2.2077178218844456E-3</v>
      </c>
    </row>
    <row r="26" spans="1:11" ht="12.75" customHeight="1" x14ac:dyDescent="0.3">
      <c r="A26" s="14" t="s">
        <v>51</v>
      </c>
      <c r="B26" s="15" t="s">
        <v>45</v>
      </c>
      <c r="C26" s="16">
        <v>648000</v>
      </c>
      <c r="D26" s="17">
        <v>2.3660248382462901E-3</v>
      </c>
      <c r="E26" s="15" t="s">
        <v>42</v>
      </c>
      <c r="F26" s="16">
        <v>270000</v>
      </c>
      <c r="G26" s="17">
        <v>2.9221514192726838E-3</v>
      </c>
      <c r="H26" s="15" t="s">
        <v>50</v>
      </c>
      <c r="I26" s="16">
        <v>825666.66665999999</v>
      </c>
      <c r="J26" s="17">
        <v>1.5822433711289077E-3</v>
      </c>
    </row>
    <row r="27" spans="1:11" ht="12.75" customHeight="1" x14ac:dyDescent="0.3">
      <c r="A27" s="10" t="s">
        <v>48</v>
      </c>
      <c r="B27" s="11" t="s">
        <v>50</v>
      </c>
      <c r="C27" s="12">
        <v>414130</v>
      </c>
      <c r="D27" s="13">
        <v>1.512101645467494E-3</v>
      </c>
      <c r="E27" s="11" t="s">
        <v>40</v>
      </c>
      <c r="F27" s="12">
        <v>273630</v>
      </c>
      <c r="G27" s="13">
        <v>2.9614381216873501E-3</v>
      </c>
      <c r="H27" s="11" t="s">
        <v>55</v>
      </c>
      <c r="I27" s="12">
        <v>724511</v>
      </c>
      <c r="J27" s="13">
        <v>1.3883965204714154E-3</v>
      </c>
    </row>
    <row r="28" spans="1:11" ht="12.75" customHeight="1" x14ac:dyDescent="0.3">
      <c r="A28" s="14" t="s">
        <v>41</v>
      </c>
      <c r="B28" s="15" t="s">
        <v>55</v>
      </c>
      <c r="C28" s="16">
        <v>405199.99998999998</v>
      </c>
      <c r="D28" s="17">
        <v>1.4794957784471242E-3</v>
      </c>
      <c r="E28" s="15" t="s">
        <v>55</v>
      </c>
      <c r="F28" s="16">
        <v>30200</v>
      </c>
      <c r="G28" s="17">
        <v>3.2684804763716686E-4</v>
      </c>
      <c r="H28" s="15" t="s">
        <v>44</v>
      </c>
      <c r="I28" s="16">
        <v>692699.99996000004</v>
      </c>
      <c r="J28" s="17">
        <v>1.3274363945820196E-3</v>
      </c>
    </row>
    <row r="29" spans="1:11" ht="12.75" customHeight="1" x14ac:dyDescent="0.3">
      <c r="A29" s="10" t="s">
        <v>54</v>
      </c>
      <c r="B29" s="11" t="s">
        <v>44</v>
      </c>
      <c r="C29" s="12">
        <v>310761.94400000002</v>
      </c>
      <c r="D29" s="13">
        <v>1.1346766640211461E-3</v>
      </c>
      <c r="E29" s="11"/>
      <c r="F29" s="12">
        <v>0</v>
      </c>
      <c r="G29" s="13"/>
      <c r="H29" s="11" t="s">
        <v>64</v>
      </c>
      <c r="I29" s="12">
        <v>380761.94400000002</v>
      </c>
      <c r="J29" s="13">
        <v>7.2966256989546324E-4</v>
      </c>
    </row>
    <row r="30" spans="1:11" ht="12.75" customHeight="1" x14ac:dyDescent="0.3">
      <c r="A30" s="14" t="s">
        <v>52</v>
      </c>
      <c r="B30" s="15" t="s">
        <v>59</v>
      </c>
      <c r="C30" s="16">
        <v>209004</v>
      </c>
      <c r="D30" s="17">
        <v>7.6313064088399322E-4</v>
      </c>
      <c r="E30" s="15"/>
      <c r="F30" s="16">
        <v>0</v>
      </c>
      <c r="G30" s="17"/>
      <c r="H30" s="15" t="s">
        <v>62</v>
      </c>
      <c r="I30" s="16">
        <v>209004</v>
      </c>
      <c r="J30" s="17">
        <v>4.0051900711598267E-4</v>
      </c>
    </row>
    <row r="31" spans="1:11" ht="12.75" customHeight="1" x14ac:dyDescent="0.3">
      <c r="A31" s="10" t="s">
        <v>69</v>
      </c>
      <c r="B31" s="11" t="s">
        <v>60</v>
      </c>
      <c r="C31" s="12">
        <v>126500</v>
      </c>
      <c r="D31" s="13">
        <v>4.6188602166382053E-4</v>
      </c>
      <c r="E31" s="11"/>
      <c r="F31" s="12">
        <v>0</v>
      </c>
      <c r="G31" s="13"/>
      <c r="H31" s="11" t="s">
        <v>60</v>
      </c>
      <c r="I31" s="12">
        <v>513768</v>
      </c>
      <c r="J31" s="13">
        <v>9.8454502903276586E-4</v>
      </c>
    </row>
    <row r="32" spans="1:11" ht="12.75" customHeight="1" x14ac:dyDescent="0.3">
      <c r="A32" s="14" t="s">
        <v>88</v>
      </c>
      <c r="B32" s="15" t="s">
        <v>64</v>
      </c>
      <c r="C32" s="16">
        <v>119772.93610000001</v>
      </c>
      <c r="D32" s="17">
        <v>4.3732367555908295E-4</v>
      </c>
      <c r="E32" s="15"/>
      <c r="F32" s="16">
        <v>0</v>
      </c>
      <c r="G32" s="17"/>
      <c r="H32" s="15" t="s">
        <v>53</v>
      </c>
      <c r="I32" s="16">
        <v>242814.35758000001</v>
      </c>
      <c r="J32" s="17">
        <v>4.6531054626441015E-4</v>
      </c>
    </row>
    <row r="33" spans="1:10" ht="12.75" customHeight="1" x14ac:dyDescent="0.3">
      <c r="A33" s="10" t="s">
        <v>58</v>
      </c>
      <c r="B33" s="11" t="s">
        <v>67</v>
      </c>
      <c r="C33" s="12">
        <v>100000</v>
      </c>
      <c r="D33" s="13">
        <v>3.6512728985282255E-4</v>
      </c>
      <c r="E33" s="11"/>
      <c r="F33" s="12">
        <v>0</v>
      </c>
      <c r="G33" s="13"/>
      <c r="H33" s="11" t="s">
        <v>67</v>
      </c>
      <c r="I33" s="12">
        <v>302088</v>
      </c>
      <c r="J33" s="13">
        <v>5.7889794368362786E-4</v>
      </c>
    </row>
    <row r="34" spans="1:10" ht="12.75" customHeight="1" x14ac:dyDescent="0.3">
      <c r="A34" s="14" t="s">
        <v>61</v>
      </c>
      <c r="B34" s="15" t="s">
        <v>67</v>
      </c>
      <c r="C34" s="16">
        <v>100000</v>
      </c>
      <c r="D34" s="17">
        <v>3.6512728985282255E-4</v>
      </c>
      <c r="E34" s="15"/>
      <c r="F34" s="16">
        <v>0</v>
      </c>
      <c r="G34" s="17"/>
      <c r="H34" s="15" t="s">
        <v>80</v>
      </c>
      <c r="I34" s="16">
        <v>192278</v>
      </c>
      <c r="J34" s="17">
        <v>3.6846660183655294E-4</v>
      </c>
    </row>
    <row r="35" spans="1:10" ht="12.75" customHeight="1" x14ac:dyDescent="0.3">
      <c r="A35" s="10" t="s">
        <v>63</v>
      </c>
      <c r="B35" s="11" t="s">
        <v>56</v>
      </c>
      <c r="C35" s="12">
        <v>89500</v>
      </c>
      <c r="D35" s="13">
        <v>3.267889244182762E-4</v>
      </c>
      <c r="E35" s="11" t="s">
        <v>50</v>
      </c>
      <c r="F35" s="12">
        <v>89500</v>
      </c>
      <c r="G35" s="13">
        <v>9.6863908157372302E-4</v>
      </c>
      <c r="H35" s="11" t="s">
        <v>68</v>
      </c>
      <c r="I35" s="12">
        <v>89500</v>
      </c>
      <c r="J35" s="13">
        <v>1.7151083776808314E-4</v>
      </c>
    </row>
    <row r="36" spans="1:10" ht="12.75" customHeight="1" x14ac:dyDescent="0.3">
      <c r="A36" s="14" t="s">
        <v>71</v>
      </c>
      <c r="B36" s="15" t="s">
        <v>74</v>
      </c>
      <c r="C36" s="16">
        <v>88205</v>
      </c>
      <c r="D36" s="17">
        <v>3.2206052601468211E-4</v>
      </c>
      <c r="E36" s="15"/>
      <c r="F36" s="16">
        <v>0</v>
      </c>
      <c r="G36" s="17"/>
      <c r="H36" s="15" t="s">
        <v>77</v>
      </c>
      <c r="I36" s="16">
        <v>88205</v>
      </c>
      <c r="J36" s="17">
        <v>1.6902920050652261E-4</v>
      </c>
    </row>
    <row r="37" spans="1:10" ht="12.75" customHeight="1" x14ac:dyDescent="0.3">
      <c r="A37" s="10" t="s">
        <v>66</v>
      </c>
      <c r="B37" s="11" t="s">
        <v>53</v>
      </c>
      <c r="C37" s="12">
        <v>84735.507400000002</v>
      </c>
      <c r="D37" s="13">
        <v>3.0939246171265787E-4</v>
      </c>
      <c r="E37" s="11" t="s">
        <v>59</v>
      </c>
      <c r="F37" s="12">
        <v>19735.507399999999</v>
      </c>
      <c r="G37" s="13">
        <v>2.1359311466287613E-4</v>
      </c>
      <c r="H37" s="11" t="s">
        <v>72</v>
      </c>
      <c r="I37" s="12">
        <v>84735.507400000002</v>
      </c>
      <c r="J37" s="13">
        <v>1.6238053478075541E-4</v>
      </c>
    </row>
    <row r="38" spans="1:10" ht="12.75" customHeight="1" x14ac:dyDescent="0.3">
      <c r="A38" s="14" t="s">
        <v>73</v>
      </c>
      <c r="B38" s="15" t="s">
        <v>62</v>
      </c>
      <c r="C38" s="16">
        <v>75281.343999999997</v>
      </c>
      <c r="D38" s="17">
        <v>2.7487273111198043E-4</v>
      </c>
      <c r="E38" s="15"/>
      <c r="F38" s="16">
        <v>0</v>
      </c>
      <c r="G38" s="17"/>
      <c r="H38" s="15" t="s">
        <v>75</v>
      </c>
      <c r="I38" s="16">
        <v>75281.343999999997</v>
      </c>
      <c r="J38" s="17">
        <v>1.4426331148320958E-4</v>
      </c>
    </row>
    <row r="39" spans="1:10" ht="12.75" customHeight="1" x14ac:dyDescent="0.3">
      <c r="A39" s="10" t="s">
        <v>79</v>
      </c>
      <c r="B39" s="11" t="s">
        <v>80</v>
      </c>
      <c r="C39" s="12">
        <v>29827.00001</v>
      </c>
      <c r="D39" s="13">
        <v>1.0890651678091411E-4</v>
      </c>
      <c r="E39" s="11"/>
      <c r="F39" s="12">
        <v>0</v>
      </c>
      <c r="G39" s="13"/>
      <c r="H39" s="11" t="s">
        <v>70</v>
      </c>
      <c r="I39" s="12">
        <v>280827.00001000002</v>
      </c>
      <c r="J39" s="13">
        <v>5.3815501720237539E-4</v>
      </c>
    </row>
    <row r="40" spans="1:10" ht="12.75" customHeight="1" x14ac:dyDescent="0.3">
      <c r="A40" s="14" t="s">
        <v>82</v>
      </c>
      <c r="B40" s="15" t="s">
        <v>65</v>
      </c>
      <c r="C40" s="16">
        <v>20000</v>
      </c>
      <c r="D40" s="17">
        <v>7.3025457970564506E-5</v>
      </c>
      <c r="E40" s="15" t="s">
        <v>44</v>
      </c>
      <c r="F40" s="16">
        <v>20000</v>
      </c>
      <c r="G40" s="17">
        <v>2.1645566068686549E-4</v>
      </c>
      <c r="H40" s="15" t="s">
        <v>98</v>
      </c>
      <c r="I40" s="16">
        <v>20000</v>
      </c>
      <c r="J40" s="17">
        <v>3.832644419398506E-5</v>
      </c>
    </row>
    <row r="41" spans="1:10" ht="12.75" customHeight="1" x14ac:dyDescent="0.3">
      <c r="A41" s="10" t="s">
        <v>81</v>
      </c>
      <c r="B41" s="11" t="s">
        <v>83</v>
      </c>
      <c r="C41" s="12">
        <v>14703</v>
      </c>
      <c r="D41" s="13">
        <v>5.3684665427060495E-5</v>
      </c>
      <c r="E41" s="11"/>
      <c r="F41" s="12">
        <v>0</v>
      </c>
      <c r="G41" s="13"/>
      <c r="H41" s="11" t="s">
        <v>49</v>
      </c>
      <c r="I41" s="12">
        <v>2177872</v>
      </c>
      <c r="J41" s="13">
        <v>4.1735044834821317E-3</v>
      </c>
    </row>
    <row r="42" spans="1:10" ht="12.75" customHeight="1" x14ac:dyDescent="0.3">
      <c r="A42" s="14" t="s">
        <v>86</v>
      </c>
      <c r="B42" s="15" t="s">
        <v>68</v>
      </c>
      <c r="C42" s="16">
        <v>8358.9999799999987</v>
      </c>
      <c r="D42" s="17">
        <v>3.0520990085771973E-5</v>
      </c>
      <c r="E42" s="15" t="s">
        <v>60</v>
      </c>
      <c r="F42" s="16">
        <v>8358.9999799999987</v>
      </c>
      <c r="G42" s="17">
        <v>9.0467643167619748E-5</v>
      </c>
      <c r="H42" s="15" t="s">
        <v>89</v>
      </c>
      <c r="I42" s="16">
        <v>19144.999970000001</v>
      </c>
      <c r="J42" s="17">
        <v>3.6687988647202532E-5</v>
      </c>
    </row>
    <row r="43" spans="1:10" ht="12.75" customHeight="1" x14ac:dyDescent="0.3">
      <c r="A43" s="10" t="s">
        <v>102</v>
      </c>
      <c r="B43" s="11" t="s">
        <v>77</v>
      </c>
      <c r="C43" s="12">
        <v>11.06485</v>
      </c>
      <c r="D43" s="13">
        <v>4.0400786931280032E-8</v>
      </c>
      <c r="E43" s="11"/>
      <c r="F43" s="12">
        <v>0</v>
      </c>
      <c r="G43" s="13"/>
      <c r="H43" s="11" t="s">
        <v>84</v>
      </c>
      <c r="I43" s="12">
        <v>11.06485</v>
      </c>
      <c r="J43" s="13">
        <v>2.120381780199078E-8</v>
      </c>
    </row>
    <row r="44" spans="1:10" ht="12.75" customHeight="1" x14ac:dyDescent="0.3">
      <c r="A44" s="14" t="s">
        <v>135</v>
      </c>
      <c r="B44" s="15"/>
      <c r="C44" s="16">
        <v>0</v>
      </c>
      <c r="D44" s="17"/>
      <c r="E44" s="15"/>
      <c r="F44" s="16">
        <v>0</v>
      </c>
      <c r="G44" s="17"/>
      <c r="H44" s="15" t="s">
        <v>59</v>
      </c>
      <c r="I44" s="16">
        <v>600000</v>
      </c>
      <c r="J44" s="17">
        <v>1.1497933258195518E-3</v>
      </c>
    </row>
    <row r="45" spans="1:10" ht="12.75" customHeight="1" x14ac:dyDescent="0.3">
      <c r="A45" s="10" t="s">
        <v>105</v>
      </c>
      <c r="B45" s="11"/>
      <c r="C45" s="12">
        <v>0</v>
      </c>
      <c r="D45" s="13"/>
      <c r="E45" s="11"/>
      <c r="F45" s="12">
        <v>0</v>
      </c>
      <c r="G45" s="13"/>
      <c r="H45" s="11" t="s">
        <v>56</v>
      </c>
      <c r="I45" s="12">
        <v>277500</v>
      </c>
      <c r="J45" s="13">
        <v>5.3177941319154263E-4</v>
      </c>
    </row>
    <row r="46" spans="1:10" ht="12.75" customHeight="1" x14ac:dyDescent="0.3">
      <c r="A46" s="14" t="s">
        <v>106</v>
      </c>
      <c r="B46" s="15"/>
      <c r="C46" s="16">
        <v>0</v>
      </c>
      <c r="D46" s="17"/>
      <c r="E46" s="15"/>
      <c r="F46" s="16">
        <v>0</v>
      </c>
      <c r="G46" s="17"/>
      <c r="H46" s="15" t="s">
        <v>74</v>
      </c>
      <c r="I46" s="16">
        <v>250000</v>
      </c>
      <c r="J46" s="17">
        <v>4.790805524248132E-4</v>
      </c>
    </row>
    <row r="47" spans="1:10" ht="12.75" customHeight="1" x14ac:dyDescent="0.3">
      <c r="A47" s="10" t="s">
        <v>104</v>
      </c>
      <c r="B47" s="11"/>
      <c r="C47" s="12">
        <v>0</v>
      </c>
      <c r="D47" s="13"/>
      <c r="E47" s="11"/>
      <c r="F47" s="12">
        <v>0</v>
      </c>
      <c r="G47" s="13"/>
      <c r="H47" s="11" t="s">
        <v>65</v>
      </c>
      <c r="I47" s="12">
        <v>175000</v>
      </c>
      <c r="J47" s="13">
        <v>3.3535638669736925E-4</v>
      </c>
    </row>
    <row r="48" spans="1:10" ht="12.75" customHeight="1" x14ac:dyDescent="0.3">
      <c r="A48" s="14" t="s">
        <v>107</v>
      </c>
      <c r="B48" s="15"/>
      <c r="C48" s="16">
        <v>0</v>
      </c>
      <c r="D48" s="17"/>
      <c r="E48" s="15"/>
      <c r="F48" s="16">
        <v>0</v>
      </c>
      <c r="G48" s="17"/>
      <c r="H48" s="15" t="s">
        <v>83</v>
      </c>
      <c r="I48" s="16">
        <v>89999</v>
      </c>
      <c r="J48" s="17">
        <v>1.7246708255072305E-4</v>
      </c>
    </row>
    <row r="49" spans="1:10" ht="12.75" customHeight="1" x14ac:dyDescent="0.3">
      <c r="A49" s="10" t="s">
        <v>108</v>
      </c>
      <c r="B49" s="11"/>
      <c r="C49" s="12">
        <v>0</v>
      </c>
      <c r="D49" s="13"/>
      <c r="E49" s="11"/>
      <c r="F49" s="12">
        <v>0</v>
      </c>
      <c r="G49" s="13"/>
      <c r="H49" s="11" t="s">
        <v>87</v>
      </c>
      <c r="I49" s="12">
        <v>40000</v>
      </c>
      <c r="J49" s="13">
        <v>7.6652888387970119E-5</v>
      </c>
    </row>
    <row r="50" spans="1:10" ht="12.75" customHeight="1" x14ac:dyDescent="0.3">
      <c r="A50" s="14" t="s">
        <v>76</v>
      </c>
      <c r="B50" s="15"/>
      <c r="C50" s="16">
        <v>0</v>
      </c>
      <c r="D50" s="17"/>
      <c r="E50" s="15"/>
      <c r="F50" s="16">
        <v>0</v>
      </c>
      <c r="G50" s="17"/>
      <c r="H50" s="15" t="s">
        <v>87</v>
      </c>
      <c r="I50" s="16">
        <v>40000</v>
      </c>
      <c r="J50" s="17">
        <v>7.6652888387970119E-5</v>
      </c>
    </row>
    <row r="51" spans="1:10" ht="12.75" customHeight="1" x14ac:dyDescent="0.3">
      <c r="A51" s="18" t="s">
        <v>116</v>
      </c>
      <c r="B51" s="19"/>
      <c r="C51" s="20">
        <f>SUM(C9:C50)</f>
        <v>273877091.02846992</v>
      </c>
      <c r="D51" s="21">
        <f>ROUND(SUM(D9:D50), 1)</f>
        <v>1</v>
      </c>
      <c r="E51" s="19"/>
      <c r="F51" s="20">
        <f>SUM(F9:F50)</f>
        <v>92397675.979160011</v>
      </c>
      <c r="G51" s="21">
        <f>ROUND(SUM(G9:G50), 1)</f>
        <v>1</v>
      </c>
      <c r="H51" s="19"/>
      <c r="I51" s="20">
        <f>SUM(I9:I50)</f>
        <v>521832912.51262999</v>
      </c>
      <c r="J51" s="21">
        <f>ROUND(SUM(J9:J50), 1)</f>
        <v>1</v>
      </c>
    </row>
    <row r="54" spans="1:10" ht="12.75" customHeight="1" x14ac:dyDescent="0.3">
      <c r="A54" s="26" t="s">
        <v>117</v>
      </c>
      <c r="B54" s="24"/>
      <c r="C54" s="24"/>
      <c r="D54" s="24"/>
      <c r="E54" s="24"/>
      <c r="F54" s="24"/>
      <c r="G54" s="24"/>
      <c r="H54" s="24"/>
      <c r="I54" s="24"/>
      <c r="J54" s="27"/>
    </row>
    <row r="55" spans="1:10" ht="12.75" customHeight="1" x14ac:dyDescent="0.3">
      <c r="A55" s="28" t="s">
        <v>134</v>
      </c>
      <c r="B55" s="28" t="s">
        <v>6</v>
      </c>
      <c r="C55" s="28"/>
      <c r="D55" s="28"/>
      <c r="E55" s="28" t="s">
        <v>7</v>
      </c>
      <c r="F55" s="28"/>
      <c r="G55" s="28"/>
      <c r="H55" s="28" t="s">
        <v>8</v>
      </c>
      <c r="I55" s="28"/>
      <c r="J55" s="29"/>
    </row>
    <row r="56" spans="1:10" ht="12.75" customHeight="1" x14ac:dyDescent="0.3">
      <c r="A56" s="28"/>
      <c r="B56" s="8" t="s">
        <v>9</v>
      </c>
      <c r="C56" s="8" t="s">
        <v>10</v>
      </c>
      <c r="D56" s="8" t="s">
        <v>11</v>
      </c>
      <c r="E56" s="8" t="s">
        <v>12</v>
      </c>
      <c r="F56" s="8" t="s">
        <v>10</v>
      </c>
      <c r="G56" s="8" t="s">
        <v>11</v>
      </c>
      <c r="H56" s="8" t="s">
        <v>13</v>
      </c>
      <c r="I56" s="8" t="s">
        <v>10</v>
      </c>
      <c r="J56" s="9" t="s">
        <v>11</v>
      </c>
    </row>
    <row r="57" spans="1:10" ht="12.75" customHeight="1" x14ac:dyDescent="0.3">
      <c r="A57" s="10" t="s">
        <v>16</v>
      </c>
      <c r="B57" s="11" t="s">
        <v>15</v>
      </c>
      <c r="C57" s="12">
        <v>8539604.4600000009</v>
      </c>
      <c r="D57" s="13">
        <v>0.70755414991999999</v>
      </c>
      <c r="E57" s="11" t="s">
        <v>15</v>
      </c>
      <c r="F57" s="12">
        <v>1996794.46</v>
      </c>
      <c r="G57" s="13">
        <v>0.58887229897000004</v>
      </c>
      <c r="H57" s="11" t="s">
        <v>15</v>
      </c>
      <c r="I57" s="12">
        <v>11920604.460000001</v>
      </c>
      <c r="J57" s="13">
        <v>0.53200006337000005</v>
      </c>
    </row>
    <row r="58" spans="1:10" ht="12.75" customHeight="1" x14ac:dyDescent="0.3">
      <c r="A58" s="14" t="s">
        <v>14</v>
      </c>
      <c r="B58" s="15" t="s">
        <v>17</v>
      </c>
      <c r="C58" s="16">
        <v>1451584.1115999999</v>
      </c>
      <c r="D58" s="17">
        <v>0.12027188928</v>
      </c>
      <c r="E58" s="15" t="s">
        <v>17</v>
      </c>
      <c r="F58" s="16">
        <v>986584.11160000006</v>
      </c>
      <c r="G58" s="17">
        <v>0.29095235667000002</v>
      </c>
      <c r="H58" s="15" t="s">
        <v>17</v>
      </c>
      <c r="I58" s="16">
        <v>7387984.1116000004</v>
      </c>
      <c r="J58" s="17">
        <v>0.32971549628000002</v>
      </c>
    </row>
    <row r="59" spans="1:10" ht="12.75" customHeight="1" x14ac:dyDescent="0.3">
      <c r="A59" s="10" t="s">
        <v>18</v>
      </c>
      <c r="B59" s="11" t="s">
        <v>19</v>
      </c>
      <c r="C59" s="12">
        <v>1300000</v>
      </c>
      <c r="D59" s="13">
        <v>0.10771229501</v>
      </c>
      <c r="E59" s="11"/>
      <c r="F59" s="12">
        <v>0</v>
      </c>
      <c r="G59" s="13"/>
      <c r="H59" s="11" t="s">
        <v>19</v>
      </c>
      <c r="I59" s="12">
        <v>1300000</v>
      </c>
      <c r="J59" s="13">
        <v>5.80171991E-2</v>
      </c>
    </row>
    <row r="60" spans="1:10" ht="12.75" customHeight="1" x14ac:dyDescent="0.3">
      <c r="A60" s="14" t="s">
        <v>78</v>
      </c>
      <c r="B60" s="15" t="s">
        <v>21</v>
      </c>
      <c r="C60" s="16">
        <v>257000</v>
      </c>
      <c r="D60" s="17">
        <v>2.1293892169999998E-2</v>
      </c>
      <c r="E60" s="15" t="s">
        <v>19</v>
      </c>
      <c r="F60" s="16">
        <v>257000</v>
      </c>
      <c r="G60" s="17">
        <v>7.5791566869999993E-2</v>
      </c>
      <c r="H60" s="15" t="s">
        <v>24</v>
      </c>
      <c r="I60" s="16">
        <v>257000</v>
      </c>
      <c r="J60" s="17">
        <v>1.146955398E-2</v>
      </c>
    </row>
    <row r="61" spans="1:10" ht="12.75" customHeight="1" x14ac:dyDescent="0.3">
      <c r="A61" s="10" t="s">
        <v>33</v>
      </c>
      <c r="B61" s="11" t="s">
        <v>22</v>
      </c>
      <c r="C61" s="12">
        <v>200000</v>
      </c>
      <c r="D61" s="13">
        <v>1.6571122309999999E-2</v>
      </c>
      <c r="E61" s="11"/>
      <c r="F61" s="12">
        <v>0</v>
      </c>
      <c r="G61" s="13"/>
      <c r="H61" s="11" t="s">
        <v>27</v>
      </c>
      <c r="I61" s="12">
        <v>200000</v>
      </c>
      <c r="J61" s="13">
        <v>8.9257229400000002E-3</v>
      </c>
    </row>
    <row r="62" spans="1:10" ht="12.75" customHeight="1" x14ac:dyDescent="0.3">
      <c r="A62" s="14" t="s">
        <v>25</v>
      </c>
      <c r="B62" s="15" t="s">
        <v>24</v>
      </c>
      <c r="C62" s="16">
        <v>176000</v>
      </c>
      <c r="D62" s="17">
        <v>1.4582587629999999E-2</v>
      </c>
      <c r="E62" s="15" t="s">
        <v>21</v>
      </c>
      <c r="F62" s="16">
        <v>150500</v>
      </c>
      <c r="G62" s="17">
        <v>4.4383777479999997E-2</v>
      </c>
      <c r="H62" s="15" t="s">
        <v>21</v>
      </c>
      <c r="I62" s="16">
        <v>829000</v>
      </c>
      <c r="J62" s="17">
        <v>3.699712158E-2</v>
      </c>
    </row>
    <row r="63" spans="1:10" ht="12.75" customHeight="1" x14ac:dyDescent="0.3">
      <c r="A63" s="10" t="s">
        <v>20</v>
      </c>
      <c r="B63" s="11" t="s">
        <v>27</v>
      </c>
      <c r="C63" s="12">
        <v>145000</v>
      </c>
      <c r="D63" s="13">
        <v>1.201406367E-2</v>
      </c>
      <c r="E63" s="11"/>
      <c r="F63" s="12">
        <v>0</v>
      </c>
      <c r="G63" s="13"/>
      <c r="H63" s="11" t="s">
        <v>22</v>
      </c>
      <c r="I63" s="12">
        <v>352560</v>
      </c>
      <c r="J63" s="13">
        <v>1.57342644E-2</v>
      </c>
    </row>
    <row r="64" spans="1:10" ht="12.75" customHeight="1" x14ac:dyDescent="0.3">
      <c r="A64" s="14" t="s">
        <v>23</v>
      </c>
      <c r="B64" s="15"/>
      <c r="C64" s="16">
        <v>0</v>
      </c>
      <c r="D64" s="17"/>
      <c r="E64" s="15"/>
      <c r="F64" s="16">
        <v>0</v>
      </c>
      <c r="G64" s="17"/>
      <c r="H64" s="15" t="s">
        <v>29</v>
      </c>
      <c r="I64" s="16">
        <v>160000</v>
      </c>
      <c r="J64" s="17">
        <v>7.1405783500000002E-3</v>
      </c>
    </row>
    <row r="65" spans="1:10" ht="12.75" customHeight="1" x14ac:dyDescent="0.3">
      <c r="A65" s="18" t="s">
        <v>116</v>
      </c>
      <c r="B65" s="19"/>
      <c r="C65" s="20">
        <f>SUM(C57:C64)</f>
        <v>12069188.571600001</v>
      </c>
      <c r="D65" s="21">
        <f>ROUND(SUM(D57:D64), 1)</f>
        <v>1</v>
      </c>
      <c r="E65" s="19"/>
      <c r="F65" s="20">
        <f>SUM(F57:F64)</f>
        <v>3390878.5715999999</v>
      </c>
      <c r="G65" s="21">
        <f>ROUND(SUM(G57:G64), 1)</f>
        <v>1</v>
      </c>
      <c r="H65" s="19"/>
      <c r="I65" s="20">
        <f>SUM(I57:I64)</f>
        <v>22407148.571600001</v>
      </c>
      <c r="J65" s="21">
        <f>ROUND(SUM(J57:J64), 1)</f>
        <v>1</v>
      </c>
    </row>
    <row r="67" spans="1:10" ht="12.75" customHeight="1" x14ac:dyDescent="0.3">
      <c r="C67" s="30"/>
      <c r="D67" s="30"/>
      <c r="I67" s="30"/>
    </row>
    <row r="68" spans="1:10" ht="12.75" customHeight="1" x14ac:dyDescent="0.3">
      <c r="A68" s="26" t="s">
        <v>118</v>
      </c>
      <c r="B68" s="24"/>
      <c r="C68" s="24"/>
      <c r="D68" s="24"/>
      <c r="E68" s="24"/>
      <c r="F68" s="24"/>
      <c r="G68" s="24"/>
      <c r="H68" s="24"/>
      <c r="I68" s="24"/>
      <c r="J68" s="27"/>
    </row>
    <row r="69" spans="1:10" ht="12.75" customHeight="1" x14ac:dyDescent="0.3">
      <c r="A69" s="28" t="s">
        <v>134</v>
      </c>
      <c r="B69" s="28" t="s">
        <v>6</v>
      </c>
      <c r="C69" s="28"/>
      <c r="D69" s="28"/>
      <c r="E69" s="28" t="s">
        <v>7</v>
      </c>
      <c r="F69" s="28"/>
      <c r="G69" s="28"/>
      <c r="H69" s="28" t="s">
        <v>8</v>
      </c>
      <c r="I69" s="28"/>
      <c r="J69" s="29"/>
    </row>
    <row r="70" spans="1:10" ht="12.75" customHeight="1" x14ac:dyDescent="0.3">
      <c r="A70" s="28"/>
      <c r="B70" s="8" t="s">
        <v>9</v>
      </c>
      <c r="C70" s="8" t="s">
        <v>10</v>
      </c>
      <c r="D70" s="8" t="s">
        <v>11</v>
      </c>
      <c r="E70" s="8" t="s">
        <v>12</v>
      </c>
      <c r="F70" s="8" t="s">
        <v>10</v>
      </c>
      <c r="G70" s="8" t="s">
        <v>11</v>
      </c>
      <c r="H70" s="8" t="s">
        <v>13</v>
      </c>
      <c r="I70" s="8" t="s">
        <v>10</v>
      </c>
      <c r="J70" s="9" t="s">
        <v>11</v>
      </c>
    </row>
    <row r="71" spans="1:10" ht="12.75" customHeight="1" x14ac:dyDescent="0.3">
      <c r="A71" s="10" t="s">
        <v>16</v>
      </c>
      <c r="B71" s="11" t="s">
        <v>15</v>
      </c>
      <c r="C71" s="12">
        <v>55646592.887720004</v>
      </c>
      <c r="D71" s="13">
        <v>0.26199371504260444</v>
      </c>
      <c r="E71" s="11" t="s">
        <v>15</v>
      </c>
      <c r="F71" s="12">
        <v>27373799.59615</v>
      </c>
      <c r="G71" s="13">
        <v>0.3802361085901958</v>
      </c>
      <c r="H71" s="11" t="s">
        <v>17</v>
      </c>
      <c r="I71" s="12">
        <v>84148825.69547002</v>
      </c>
      <c r="J71" s="13">
        <v>0.20890302693542348</v>
      </c>
    </row>
    <row r="72" spans="1:10" ht="12.75" customHeight="1" x14ac:dyDescent="0.3">
      <c r="A72" s="14" t="s">
        <v>14</v>
      </c>
      <c r="B72" s="15" t="s">
        <v>17</v>
      </c>
      <c r="C72" s="16">
        <v>45631775.380570002</v>
      </c>
      <c r="D72" s="17">
        <v>0.21484223445751072</v>
      </c>
      <c r="E72" s="15" t="s">
        <v>17</v>
      </c>
      <c r="F72" s="16">
        <v>14412914.5847</v>
      </c>
      <c r="G72" s="17">
        <v>0.20020277184684243</v>
      </c>
      <c r="H72" s="15" t="s">
        <v>15</v>
      </c>
      <c r="I72" s="16">
        <v>94748091.030780017</v>
      </c>
      <c r="J72" s="17">
        <v>0.23521615244297484</v>
      </c>
    </row>
    <row r="73" spans="1:10" ht="12.75" customHeight="1" x14ac:dyDescent="0.3">
      <c r="A73" s="10" t="s">
        <v>20</v>
      </c>
      <c r="B73" s="11" t="s">
        <v>19</v>
      </c>
      <c r="C73" s="12">
        <v>23650186.504280001</v>
      </c>
      <c r="D73" s="13">
        <v>0.1113491393122498</v>
      </c>
      <c r="E73" s="11" t="s">
        <v>19</v>
      </c>
      <c r="F73" s="12">
        <v>8424577.0069999993</v>
      </c>
      <c r="G73" s="13">
        <v>0.11702169318543021</v>
      </c>
      <c r="H73" s="11" t="s">
        <v>21</v>
      </c>
      <c r="I73" s="12">
        <v>41518398.312409997</v>
      </c>
      <c r="J73" s="13">
        <v>0.10307118381379786</v>
      </c>
    </row>
    <row r="74" spans="1:10" ht="12.75" customHeight="1" x14ac:dyDescent="0.3">
      <c r="A74" s="14" t="s">
        <v>18</v>
      </c>
      <c r="B74" s="15" t="s">
        <v>21</v>
      </c>
      <c r="C74" s="16">
        <v>22530403.566649999</v>
      </c>
      <c r="D74" s="17">
        <v>0.10607700895086433</v>
      </c>
      <c r="E74" s="15" t="s">
        <v>22</v>
      </c>
      <c r="F74" s="16">
        <v>4399216.4000000004</v>
      </c>
      <c r="G74" s="17">
        <v>6.1107370897003056E-2</v>
      </c>
      <c r="H74" s="15" t="s">
        <v>19</v>
      </c>
      <c r="I74" s="16">
        <v>42355205.899970002</v>
      </c>
      <c r="J74" s="17">
        <v>0.10514859412296186</v>
      </c>
    </row>
    <row r="75" spans="1:10" ht="12.75" customHeight="1" x14ac:dyDescent="0.3">
      <c r="A75" s="10" t="s">
        <v>23</v>
      </c>
      <c r="B75" s="11" t="s">
        <v>22</v>
      </c>
      <c r="C75" s="12">
        <v>17352225.996300001</v>
      </c>
      <c r="D75" s="13">
        <v>8.1697259744230213E-2</v>
      </c>
      <c r="E75" s="11" t="s">
        <v>24</v>
      </c>
      <c r="F75" s="12">
        <v>3244579</v>
      </c>
      <c r="G75" s="13">
        <v>4.5068865527421488E-2</v>
      </c>
      <c r="H75" s="11" t="s">
        <v>22</v>
      </c>
      <c r="I75" s="12">
        <v>33452331.246300001</v>
      </c>
      <c r="J75" s="13">
        <v>8.3046830394149132E-2</v>
      </c>
    </row>
    <row r="76" spans="1:10" ht="12.75" customHeight="1" x14ac:dyDescent="0.3">
      <c r="A76" s="14" t="s">
        <v>25</v>
      </c>
      <c r="B76" s="15" t="s">
        <v>24</v>
      </c>
      <c r="C76" s="16">
        <v>15184682.516659999</v>
      </c>
      <c r="D76" s="17">
        <v>7.1492092827846063E-2</v>
      </c>
      <c r="E76" s="15" t="s">
        <v>21</v>
      </c>
      <c r="F76" s="16">
        <v>6346604.3499999996</v>
      </c>
      <c r="G76" s="17">
        <v>8.8157587781310998E-2</v>
      </c>
      <c r="H76" s="15" t="s">
        <v>24</v>
      </c>
      <c r="I76" s="16">
        <v>33227917.757720001</v>
      </c>
      <c r="J76" s="17">
        <v>8.2489714395654293E-2</v>
      </c>
    </row>
    <row r="77" spans="1:10" ht="12.75" customHeight="1" x14ac:dyDescent="0.3">
      <c r="A77" s="10" t="s">
        <v>33</v>
      </c>
      <c r="B77" s="11" t="s">
        <v>27</v>
      </c>
      <c r="C77" s="12">
        <v>7655058.25</v>
      </c>
      <c r="D77" s="13">
        <v>3.6041328780573471E-2</v>
      </c>
      <c r="E77" s="11" t="s">
        <v>27</v>
      </c>
      <c r="F77" s="12">
        <v>2242558.25</v>
      </c>
      <c r="G77" s="13">
        <v>3.1150283659809073E-2</v>
      </c>
      <c r="H77" s="11" t="s">
        <v>29</v>
      </c>
      <c r="I77" s="12">
        <v>10972222.85</v>
      </c>
      <c r="J77" s="13">
        <v>2.7239008347782697E-2</v>
      </c>
    </row>
    <row r="78" spans="1:10" ht="12.75" customHeight="1" x14ac:dyDescent="0.3">
      <c r="A78" s="14" t="s">
        <v>32</v>
      </c>
      <c r="B78" s="15" t="s">
        <v>29</v>
      </c>
      <c r="C78" s="16">
        <v>5612449.39451</v>
      </c>
      <c r="D78" s="17">
        <v>2.6424375528672876E-2</v>
      </c>
      <c r="E78" s="15" t="s">
        <v>30</v>
      </c>
      <c r="F78" s="16">
        <v>1133333</v>
      </c>
      <c r="G78" s="17">
        <v>1.5742576332642595E-2</v>
      </c>
      <c r="H78" s="15" t="s">
        <v>31</v>
      </c>
      <c r="I78" s="16">
        <v>9178016.0611700006</v>
      </c>
      <c r="J78" s="17">
        <v>2.2784813936429782E-2</v>
      </c>
    </row>
    <row r="79" spans="1:10" ht="12.75" customHeight="1" x14ac:dyDescent="0.3">
      <c r="A79" s="10" t="s">
        <v>57</v>
      </c>
      <c r="B79" s="11" t="s">
        <v>31</v>
      </c>
      <c r="C79" s="12">
        <v>4053220</v>
      </c>
      <c r="D79" s="13">
        <v>1.9083255785806205E-2</v>
      </c>
      <c r="E79" s="11" t="s">
        <v>29</v>
      </c>
      <c r="F79" s="12">
        <v>2132000</v>
      </c>
      <c r="G79" s="13">
        <v>2.961457289357498E-2</v>
      </c>
      <c r="H79" s="11" t="s">
        <v>27</v>
      </c>
      <c r="I79" s="12">
        <v>22733220</v>
      </c>
      <c r="J79" s="13">
        <v>5.643618233218628E-2</v>
      </c>
    </row>
    <row r="80" spans="1:10" ht="12.75" customHeight="1" x14ac:dyDescent="0.3">
      <c r="A80" s="14" t="s">
        <v>26</v>
      </c>
      <c r="B80" s="15" t="s">
        <v>30</v>
      </c>
      <c r="C80" s="16">
        <v>4039740.4038399998</v>
      </c>
      <c r="D80" s="17">
        <v>1.9019791532345832E-2</v>
      </c>
      <c r="E80" s="15" t="s">
        <v>31</v>
      </c>
      <c r="F80" s="16">
        <v>1385408.40384</v>
      </c>
      <c r="G80" s="17">
        <v>1.9244032909423565E-2</v>
      </c>
      <c r="H80" s="15" t="s">
        <v>30</v>
      </c>
      <c r="I80" s="16">
        <v>8159373.2925000004</v>
      </c>
      <c r="J80" s="17">
        <v>2.0255990081998992E-2</v>
      </c>
    </row>
    <row r="81" spans="1:10" ht="12.75" customHeight="1" x14ac:dyDescent="0.3">
      <c r="A81" s="10" t="s">
        <v>28</v>
      </c>
      <c r="B81" s="11" t="s">
        <v>35</v>
      </c>
      <c r="C81" s="12">
        <v>3366711.3111999999</v>
      </c>
      <c r="D81" s="13">
        <v>1.5851054990500539E-2</v>
      </c>
      <c r="E81" s="11" t="s">
        <v>35</v>
      </c>
      <c r="F81" s="12">
        <v>444593</v>
      </c>
      <c r="G81" s="13">
        <v>6.1756246747059944E-3</v>
      </c>
      <c r="H81" s="11" t="s">
        <v>35</v>
      </c>
      <c r="I81" s="12">
        <v>5935211.3111999994</v>
      </c>
      <c r="J81" s="13">
        <v>1.4734413679141694E-2</v>
      </c>
    </row>
    <row r="82" spans="1:10" ht="12.75" customHeight="1" x14ac:dyDescent="0.3">
      <c r="A82" s="14" t="s">
        <v>39</v>
      </c>
      <c r="B82" s="15" t="s">
        <v>37</v>
      </c>
      <c r="C82" s="16">
        <v>3079587.0611899998</v>
      </c>
      <c r="D82" s="17">
        <v>1.449922471599074E-2</v>
      </c>
      <c r="E82" s="15" t="s">
        <v>37</v>
      </c>
      <c r="F82" s="16">
        <v>192000</v>
      </c>
      <c r="G82" s="17">
        <v>2.6669784219354579E-3</v>
      </c>
      <c r="H82" s="15" t="s">
        <v>37</v>
      </c>
      <c r="I82" s="16">
        <v>3674723.5411899998</v>
      </c>
      <c r="J82" s="17">
        <v>9.1226569659281029E-3</v>
      </c>
    </row>
    <row r="83" spans="1:10" ht="12.75" customHeight="1" x14ac:dyDescent="0.3">
      <c r="A83" s="10" t="s">
        <v>46</v>
      </c>
      <c r="B83" s="11" t="s">
        <v>36</v>
      </c>
      <c r="C83" s="12">
        <v>921093</v>
      </c>
      <c r="D83" s="13">
        <v>4.3366640156506661E-3</v>
      </c>
      <c r="E83" s="11" t="s">
        <v>40</v>
      </c>
      <c r="F83" s="12">
        <v>80000</v>
      </c>
      <c r="G83" s="13">
        <v>1.111241009139774E-3</v>
      </c>
      <c r="H83" s="11" t="s">
        <v>40</v>
      </c>
      <c r="I83" s="12">
        <v>1778535</v>
      </c>
      <c r="J83" s="13">
        <v>4.4152885312408411E-3</v>
      </c>
    </row>
    <row r="84" spans="1:10" ht="12.75" customHeight="1" x14ac:dyDescent="0.3">
      <c r="A84" s="14" t="s">
        <v>43</v>
      </c>
      <c r="B84" s="15" t="s">
        <v>40</v>
      </c>
      <c r="C84" s="16">
        <v>736443.68700000003</v>
      </c>
      <c r="D84" s="17">
        <v>3.4673033417537669E-3</v>
      </c>
      <c r="E84" s="15"/>
      <c r="F84" s="16">
        <v>0</v>
      </c>
      <c r="G84" s="17"/>
      <c r="H84" s="15" t="s">
        <v>49</v>
      </c>
      <c r="I84" s="16">
        <v>1086443.6869999999</v>
      </c>
      <c r="J84" s="17">
        <v>2.6971425083285481E-3</v>
      </c>
    </row>
    <row r="85" spans="1:10" ht="12.75" customHeight="1" x14ac:dyDescent="0.3">
      <c r="A85" s="10" t="s">
        <v>78</v>
      </c>
      <c r="B85" s="11" t="s">
        <v>42</v>
      </c>
      <c r="C85" s="12">
        <v>687200</v>
      </c>
      <c r="D85" s="13">
        <v>3.2354556071483962E-3</v>
      </c>
      <c r="E85" s="11"/>
      <c r="F85" s="12">
        <v>0</v>
      </c>
      <c r="G85" s="13"/>
      <c r="H85" s="11" t="s">
        <v>36</v>
      </c>
      <c r="I85" s="12">
        <v>2611600</v>
      </c>
      <c r="J85" s="13">
        <v>6.4834077081353933E-3</v>
      </c>
    </row>
    <row r="86" spans="1:10" ht="12.75" customHeight="1" x14ac:dyDescent="0.3">
      <c r="A86" s="14" t="s">
        <v>34</v>
      </c>
      <c r="B86" s="15" t="s">
        <v>47</v>
      </c>
      <c r="C86" s="16">
        <v>661517</v>
      </c>
      <c r="D86" s="17">
        <v>3.1145356328201191E-3</v>
      </c>
      <c r="E86" s="15"/>
      <c r="F86" s="16">
        <v>0</v>
      </c>
      <c r="G86" s="17"/>
      <c r="H86" s="15" t="s">
        <v>47</v>
      </c>
      <c r="I86" s="16">
        <v>1727222</v>
      </c>
      <c r="J86" s="17">
        <v>4.287901833535392E-3</v>
      </c>
    </row>
    <row r="87" spans="1:10" ht="12.75" customHeight="1" x14ac:dyDescent="0.3">
      <c r="A87" s="10" t="s">
        <v>51</v>
      </c>
      <c r="B87" s="11" t="s">
        <v>49</v>
      </c>
      <c r="C87" s="12">
        <v>558000</v>
      </c>
      <c r="D87" s="13">
        <v>2.6271598207054788E-3</v>
      </c>
      <c r="E87" s="11" t="s">
        <v>36</v>
      </c>
      <c r="F87" s="12">
        <v>180000</v>
      </c>
      <c r="G87" s="13">
        <v>2.5002922705644917E-3</v>
      </c>
      <c r="H87" s="11" t="s">
        <v>45</v>
      </c>
      <c r="I87" s="12">
        <v>735666.66665999999</v>
      </c>
      <c r="J87" s="13">
        <v>1.8263236855727198E-3</v>
      </c>
    </row>
    <row r="88" spans="1:10" ht="12.75" customHeight="1" x14ac:dyDescent="0.3">
      <c r="A88" s="14" t="s">
        <v>38</v>
      </c>
      <c r="B88" s="15" t="s">
        <v>45</v>
      </c>
      <c r="C88" s="16">
        <v>360000</v>
      </c>
      <c r="D88" s="17">
        <v>1.6949418198099865E-3</v>
      </c>
      <c r="E88" s="15"/>
      <c r="F88" s="16">
        <v>0</v>
      </c>
      <c r="G88" s="17"/>
      <c r="H88" s="15" t="s">
        <v>44</v>
      </c>
      <c r="I88" s="16">
        <v>550000</v>
      </c>
      <c r="J88" s="17">
        <v>1.3653983150078367E-3</v>
      </c>
    </row>
    <row r="89" spans="1:10" ht="12.75" customHeight="1" x14ac:dyDescent="0.3">
      <c r="A89" s="10" t="s">
        <v>41</v>
      </c>
      <c r="B89" s="11" t="s">
        <v>50</v>
      </c>
      <c r="C89" s="12">
        <v>350000</v>
      </c>
      <c r="D89" s="13">
        <v>1.6478601025930425E-3</v>
      </c>
      <c r="E89" s="11"/>
      <c r="F89" s="12">
        <v>0</v>
      </c>
      <c r="G89" s="13"/>
      <c r="H89" s="11" t="s">
        <v>55</v>
      </c>
      <c r="I89" s="12">
        <v>575000</v>
      </c>
      <c r="J89" s="13">
        <v>1.4274618747809201E-3</v>
      </c>
    </row>
    <row r="90" spans="1:10" ht="12.75" customHeight="1" x14ac:dyDescent="0.3">
      <c r="A90" s="14" t="s">
        <v>88</v>
      </c>
      <c r="B90" s="15" t="s">
        <v>55</v>
      </c>
      <c r="C90" s="16">
        <v>119772.93610000001</v>
      </c>
      <c r="D90" s="17">
        <v>5.639115507703312E-4</v>
      </c>
      <c r="E90" s="15"/>
      <c r="F90" s="16">
        <v>0</v>
      </c>
      <c r="G90" s="17"/>
      <c r="H90" s="15" t="s">
        <v>64</v>
      </c>
      <c r="I90" s="16">
        <v>242814.35758000001</v>
      </c>
      <c r="J90" s="17">
        <v>6.0279693581716796E-4</v>
      </c>
    </row>
    <row r="91" spans="1:10" ht="12.75" customHeight="1" x14ac:dyDescent="0.3">
      <c r="A91" s="10" t="s">
        <v>58</v>
      </c>
      <c r="B91" s="11" t="s">
        <v>44</v>
      </c>
      <c r="C91" s="12">
        <v>100000</v>
      </c>
      <c r="D91" s="13">
        <v>4.7081717216944071E-4</v>
      </c>
      <c r="E91" s="11"/>
      <c r="F91" s="12">
        <v>0</v>
      </c>
      <c r="G91" s="13"/>
      <c r="H91" s="11" t="s">
        <v>67</v>
      </c>
      <c r="I91" s="12">
        <v>182088</v>
      </c>
      <c r="J91" s="13">
        <v>4.5204117887844903E-4</v>
      </c>
    </row>
    <row r="92" spans="1:10" ht="12.75" customHeight="1" x14ac:dyDescent="0.3">
      <c r="A92" s="14" t="s">
        <v>61</v>
      </c>
      <c r="B92" s="15" t="s">
        <v>44</v>
      </c>
      <c r="C92" s="16">
        <v>100000</v>
      </c>
      <c r="D92" s="17">
        <v>4.7081717216944071E-4</v>
      </c>
      <c r="E92" s="15"/>
      <c r="F92" s="16">
        <v>0</v>
      </c>
      <c r="G92" s="17"/>
      <c r="H92" s="15" t="s">
        <v>70</v>
      </c>
      <c r="I92" s="16">
        <v>100000</v>
      </c>
      <c r="J92" s="17">
        <v>2.4825423909233393E-4</v>
      </c>
    </row>
    <row r="93" spans="1:10" ht="12.75" customHeight="1" x14ac:dyDescent="0.3">
      <c r="A93" s="10" t="s">
        <v>102</v>
      </c>
      <c r="B93" s="11" t="s">
        <v>60</v>
      </c>
      <c r="C93" s="12">
        <v>11.06485</v>
      </c>
      <c r="D93" s="13">
        <v>5.2095213874790359E-8</v>
      </c>
      <c r="E93" s="11"/>
      <c r="F93" s="12">
        <v>0</v>
      </c>
      <c r="G93" s="13"/>
      <c r="H93" s="11" t="s">
        <v>80</v>
      </c>
      <c r="I93" s="12">
        <v>11.06485</v>
      </c>
      <c r="J93" s="13">
        <v>2.7468959174208111E-8</v>
      </c>
    </row>
    <row r="94" spans="1:10" ht="12.75" customHeight="1" x14ac:dyDescent="0.3">
      <c r="A94" s="14" t="s">
        <v>81</v>
      </c>
      <c r="B94" s="15"/>
      <c r="C94" s="16">
        <v>0</v>
      </c>
      <c r="D94" s="17"/>
      <c r="E94" s="15"/>
      <c r="F94" s="16">
        <v>0</v>
      </c>
      <c r="G94" s="17"/>
      <c r="H94" s="15" t="s">
        <v>42</v>
      </c>
      <c r="I94" s="16">
        <v>1727443</v>
      </c>
      <c r="J94" s="17">
        <v>4.2884504754037859E-3</v>
      </c>
    </row>
    <row r="95" spans="1:10" ht="12.75" customHeight="1" x14ac:dyDescent="0.3">
      <c r="A95" s="10" t="s">
        <v>135</v>
      </c>
      <c r="B95" s="11"/>
      <c r="C95" s="12">
        <v>0</v>
      </c>
      <c r="D95" s="13"/>
      <c r="E95" s="11"/>
      <c r="F95" s="12">
        <v>0</v>
      </c>
      <c r="G95" s="13"/>
      <c r="H95" s="11" t="s">
        <v>50</v>
      </c>
      <c r="I95" s="12">
        <v>600000</v>
      </c>
      <c r="J95" s="13">
        <v>1.4895254345540037E-3</v>
      </c>
    </row>
    <row r="96" spans="1:10" ht="12.75" customHeight="1" x14ac:dyDescent="0.3">
      <c r="A96" s="14" t="s">
        <v>105</v>
      </c>
      <c r="B96" s="15"/>
      <c r="C96" s="16">
        <v>0</v>
      </c>
      <c r="D96" s="17"/>
      <c r="E96" s="15"/>
      <c r="F96" s="16">
        <v>0</v>
      </c>
      <c r="G96" s="17"/>
      <c r="H96" s="15" t="s">
        <v>59</v>
      </c>
      <c r="I96" s="16">
        <v>277500</v>
      </c>
      <c r="J96" s="17">
        <v>6.8890551348122669E-4</v>
      </c>
    </row>
    <row r="97" spans="1:10" ht="12.75" customHeight="1" x14ac:dyDescent="0.3">
      <c r="A97" s="10" t="s">
        <v>106</v>
      </c>
      <c r="B97" s="11"/>
      <c r="C97" s="12">
        <v>0</v>
      </c>
      <c r="D97" s="13"/>
      <c r="E97" s="11"/>
      <c r="F97" s="12">
        <v>0</v>
      </c>
      <c r="G97" s="13"/>
      <c r="H97" s="11" t="s">
        <v>60</v>
      </c>
      <c r="I97" s="12">
        <v>250000</v>
      </c>
      <c r="J97" s="13">
        <v>6.206355977308349E-4</v>
      </c>
    </row>
    <row r="98" spans="1:10" ht="12.75" customHeight="1" x14ac:dyDescent="0.3">
      <c r="A98" s="14" t="s">
        <v>107</v>
      </c>
      <c r="B98" s="15"/>
      <c r="C98" s="16">
        <v>0</v>
      </c>
      <c r="D98" s="17"/>
      <c r="E98" s="15"/>
      <c r="F98" s="16">
        <v>0</v>
      </c>
      <c r="G98" s="17"/>
      <c r="H98" s="15" t="s">
        <v>56</v>
      </c>
      <c r="I98" s="16">
        <v>89999</v>
      </c>
      <c r="J98" s="17">
        <v>2.2342633264070961E-4</v>
      </c>
    </row>
    <row r="99" spans="1:10" ht="12.75" customHeight="1" x14ac:dyDescent="0.3">
      <c r="A99" s="10" t="s">
        <v>79</v>
      </c>
      <c r="B99" s="11"/>
      <c r="C99" s="12">
        <v>0</v>
      </c>
      <c r="D99" s="13"/>
      <c r="E99" s="11"/>
      <c r="F99" s="12">
        <v>0</v>
      </c>
      <c r="G99" s="13"/>
      <c r="H99" s="11" t="s">
        <v>74</v>
      </c>
      <c r="I99" s="12">
        <v>80000</v>
      </c>
      <c r="J99" s="13">
        <v>1.9860339127386714E-4</v>
      </c>
    </row>
    <row r="100" spans="1:10" ht="12.75" customHeight="1" x14ac:dyDescent="0.3">
      <c r="A100" s="14" t="s">
        <v>54</v>
      </c>
      <c r="B100" s="15"/>
      <c r="C100" s="16">
        <v>0</v>
      </c>
      <c r="D100" s="17"/>
      <c r="E100" s="15"/>
      <c r="F100" s="16">
        <v>0</v>
      </c>
      <c r="G100" s="17"/>
      <c r="H100" s="15" t="s">
        <v>53</v>
      </c>
      <c r="I100" s="16">
        <v>70000</v>
      </c>
      <c r="J100" s="17">
        <v>1.7377796736463375E-4</v>
      </c>
    </row>
    <row r="101" spans="1:10" ht="12.75" customHeight="1" x14ac:dyDescent="0.3">
      <c r="A101" s="10" t="s">
        <v>104</v>
      </c>
      <c r="B101" s="11"/>
      <c r="C101" s="12">
        <v>0</v>
      </c>
      <c r="D101" s="13"/>
      <c r="E101" s="11"/>
      <c r="F101" s="12">
        <v>0</v>
      </c>
      <c r="G101" s="13"/>
      <c r="H101" s="11" t="s">
        <v>62</v>
      </c>
      <c r="I101" s="12">
        <v>25000</v>
      </c>
      <c r="J101" s="13">
        <v>6.2063559773083482E-5</v>
      </c>
    </row>
    <row r="102" spans="1:10" ht="12.75" customHeight="1" x14ac:dyDescent="0.3">
      <c r="A102" s="18" t="s">
        <v>116</v>
      </c>
      <c r="B102" s="19"/>
      <c r="C102" s="20">
        <f>SUM(C71:C101)</f>
        <v>212396670.96087006</v>
      </c>
      <c r="D102" s="21">
        <f>ROUND(SUM(D71:D101), 1)</f>
        <v>1</v>
      </c>
      <c r="E102" s="19"/>
      <c r="F102" s="20">
        <f>SUM(F71:F101)</f>
        <v>71991583.591690004</v>
      </c>
      <c r="G102" s="21">
        <f>ROUND(SUM(G71:G101), 1)</f>
        <v>1</v>
      </c>
      <c r="H102" s="19"/>
      <c r="I102" s="20">
        <f>SUM(I71:I101)</f>
        <v>402812859.77480006</v>
      </c>
      <c r="J102" s="21">
        <f>ROUND(SUM(J71:J101), 1)</f>
        <v>1</v>
      </c>
    </row>
    <row r="104" spans="1:10" ht="12.75" customHeight="1" x14ac:dyDescent="0.3">
      <c r="C104" s="32"/>
      <c r="D104" s="32"/>
      <c r="F104" s="31"/>
      <c r="I104" s="32"/>
    </row>
    <row r="105" spans="1:10" ht="12.75" customHeight="1" x14ac:dyDescent="0.3">
      <c r="A105" s="26" t="s">
        <v>119</v>
      </c>
      <c r="B105" s="24"/>
      <c r="C105" s="24"/>
      <c r="D105" s="24"/>
      <c r="E105" s="24"/>
      <c r="F105" s="24"/>
      <c r="G105" s="24"/>
      <c r="H105" s="24"/>
      <c r="I105" s="24"/>
      <c r="J105" s="27"/>
    </row>
    <row r="106" spans="1:10" ht="12.75" customHeight="1" x14ac:dyDescent="0.3">
      <c r="A106" s="28" t="s">
        <v>134</v>
      </c>
      <c r="B106" s="28" t="s">
        <v>6</v>
      </c>
      <c r="C106" s="28"/>
      <c r="D106" s="28"/>
      <c r="E106" s="28" t="s">
        <v>7</v>
      </c>
      <c r="F106" s="28"/>
      <c r="G106" s="28"/>
      <c r="H106" s="28" t="s">
        <v>8</v>
      </c>
      <c r="I106" s="28"/>
      <c r="J106" s="29"/>
    </row>
    <row r="107" spans="1:10" ht="12.75" customHeight="1" x14ac:dyDescent="0.3">
      <c r="A107" s="28"/>
      <c r="B107" s="8" t="s">
        <v>9</v>
      </c>
      <c r="C107" s="8" t="s">
        <v>10</v>
      </c>
      <c r="D107" s="8" t="s">
        <v>11</v>
      </c>
      <c r="E107" s="8" t="s">
        <v>12</v>
      </c>
      <c r="F107" s="8" t="s">
        <v>10</v>
      </c>
      <c r="G107" s="8" t="s">
        <v>11</v>
      </c>
      <c r="H107" s="8" t="s">
        <v>13</v>
      </c>
      <c r="I107" s="8" t="s">
        <v>10</v>
      </c>
      <c r="J107" s="9" t="s">
        <v>11</v>
      </c>
    </row>
    <row r="108" spans="1:10" ht="12.75" customHeight="1" x14ac:dyDescent="0.3">
      <c r="A108" s="10" t="s">
        <v>14</v>
      </c>
      <c r="B108" s="11" t="s">
        <v>15</v>
      </c>
      <c r="C108" s="12">
        <v>20323316.207190011</v>
      </c>
      <c r="D108" s="13">
        <v>0.41130964746011733</v>
      </c>
      <c r="E108" s="11" t="s">
        <v>15</v>
      </c>
      <c r="F108" s="12">
        <v>8371671.79397</v>
      </c>
      <c r="G108" s="13">
        <v>0.49201096645413805</v>
      </c>
      <c r="H108" s="11" t="s">
        <v>15</v>
      </c>
      <c r="I108" s="12">
        <v>30988236.06420001</v>
      </c>
      <c r="J108" s="13">
        <v>0.3207463467911319</v>
      </c>
    </row>
    <row r="109" spans="1:10" ht="12.75" customHeight="1" x14ac:dyDescent="0.3">
      <c r="A109" s="14" t="s">
        <v>16</v>
      </c>
      <c r="B109" s="15" t="s">
        <v>17</v>
      </c>
      <c r="C109" s="16">
        <v>7646366.9568700008</v>
      </c>
      <c r="D109" s="17">
        <v>0.15474957262477856</v>
      </c>
      <c r="E109" s="15" t="s">
        <v>21</v>
      </c>
      <c r="F109" s="16">
        <v>932961.99997999996</v>
      </c>
      <c r="G109" s="17">
        <v>5.483104767745154E-2</v>
      </c>
      <c r="H109" s="15" t="s">
        <v>19</v>
      </c>
      <c r="I109" s="16">
        <v>12953685.09584</v>
      </c>
      <c r="J109" s="17">
        <v>0.13407820836802684</v>
      </c>
    </row>
    <row r="110" spans="1:10" ht="12.75" customHeight="1" x14ac:dyDescent="0.3">
      <c r="A110" s="10" t="s">
        <v>25</v>
      </c>
      <c r="B110" s="11" t="s">
        <v>19</v>
      </c>
      <c r="C110" s="12">
        <v>3591586.20689</v>
      </c>
      <c r="D110" s="13">
        <v>7.2687648094355822E-2</v>
      </c>
      <c r="E110" s="11" t="s">
        <v>37</v>
      </c>
      <c r="F110" s="12">
        <v>244000</v>
      </c>
      <c r="G110" s="13">
        <v>1.4340107778864495E-2</v>
      </c>
      <c r="H110" s="11" t="s">
        <v>24</v>
      </c>
      <c r="I110" s="12">
        <v>5178051.2068800004</v>
      </c>
      <c r="J110" s="13">
        <v>5.3595855042001012E-2</v>
      </c>
    </row>
    <row r="111" spans="1:10" ht="12.75" customHeight="1" x14ac:dyDescent="0.3">
      <c r="A111" s="14" t="s">
        <v>20</v>
      </c>
      <c r="B111" s="15" t="s">
        <v>21</v>
      </c>
      <c r="C111" s="16">
        <v>3395421.11999</v>
      </c>
      <c r="D111" s="17">
        <v>6.8717597541863934E-2</v>
      </c>
      <c r="E111" s="15" t="s">
        <v>17</v>
      </c>
      <c r="F111" s="16">
        <v>2805250</v>
      </c>
      <c r="G111" s="17">
        <v>0.16486716125680176</v>
      </c>
      <c r="H111" s="15" t="s">
        <v>22</v>
      </c>
      <c r="I111" s="16">
        <v>6362816.2865799991</v>
      </c>
      <c r="J111" s="17">
        <v>6.585886576426972E-2</v>
      </c>
    </row>
    <row r="112" spans="1:10" ht="12.75" customHeight="1" x14ac:dyDescent="0.3">
      <c r="A112" s="10" t="s">
        <v>23</v>
      </c>
      <c r="B112" s="11" t="s">
        <v>22</v>
      </c>
      <c r="C112" s="12">
        <v>3181921.7499799998</v>
      </c>
      <c r="D112" s="13">
        <v>6.4396730331191726E-2</v>
      </c>
      <c r="E112" s="11" t="s">
        <v>19</v>
      </c>
      <c r="F112" s="12">
        <v>1346102.9999899999</v>
      </c>
      <c r="G112" s="13">
        <v>7.9111729923399307E-2</v>
      </c>
      <c r="H112" s="11" t="s">
        <v>17</v>
      </c>
      <c r="I112" s="12">
        <v>14575184.35894</v>
      </c>
      <c r="J112" s="13">
        <v>0.1508616730314023</v>
      </c>
    </row>
    <row r="113" spans="1:10" ht="12.75" customHeight="1" x14ac:dyDescent="0.3">
      <c r="A113" s="14" t="s">
        <v>18</v>
      </c>
      <c r="B113" s="15" t="s">
        <v>24</v>
      </c>
      <c r="C113" s="16">
        <v>2535237.62898</v>
      </c>
      <c r="D113" s="17">
        <v>5.1308934269028189E-2</v>
      </c>
      <c r="E113" s="15" t="s">
        <v>36</v>
      </c>
      <c r="F113" s="16">
        <v>132673.62899</v>
      </c>
      <c r="G113" s="17">
        <v>7.7973530292200039E-3</v>
      </c>
      <c r="H113" s="15" t="s">
        <v>21</v>
      </c>
      <c r="I113" s="16">
        <v>7410684.6289299997</v>
      </c>
      <c r="J113" s="17">
        <v>7.6704915279012201E-2</v>
      </c>
    </row>
    <row r="114" spans="1:10" ht="12.75" customHeight="1" x14ac:dyDescent="0.3">
      <c r="A114" s="10" t="s">
        <v>32</v>
      </c>
      <c r="B114" s="11" t="s">
        <v>27</v>
      </c>
      <c r="C114" s="12">
        <v>2035072.9999800001</v>
      </c>
      <c r="D114" s="13">
        <v>4.1186445639282344E-2</v>
      </c>
      <c r="E114" s="11" t="s">
        <v>22</v>
      </c>
      <c r="F114" s="12">
        <v>875072.99997999996</v>
      </c>
      <c r="G114" s="13">
        <v>5.1428857106915936E-2</v>
      </c>
      <c r="H114" s="11" t="s">
        <v>27</v>
      </c>
      <c r="I114" s="12">
        <v>4936819.1665699994</v>
      </c>
      <c r="J114" s="13">
        <v>5.1098962495484214E-2</v>
      </c>
    </row>
    <row r="115" spans="1:10" ht="12.75" customHeight="1" x14ac:dyDescent="0.3">
      <c r="A115" s="14" t="s">
        <v>34</v>
      </c>
      <c r="B115" s="15" t="s">
        <v>29</v>
      </c>
      <c r="C115" s="16">
        <v>1470483.94936</v>
      </c>
      <c r="D115" s="17">
        <v>2.9760115359177802E-2</v>
      </c>
      <c r="E115" s="15" t="s">
        <v>27</v>
      </c>
      <c r="F115" s="16">
        <v>401544.40566999989</v>
      </c>
      <c r="G115" s="17">
        <v>2.3599139570933958E-2</v>
      </c>
      <c r="H115" s="15" t="s">
        <v>29</v>
      </c>
      <c r="I115" s="16">
        <v>2542727.5643699998</v>
      </c>
      <c r="J115" s="17">
        <v>2.6318715769014029E-2</v>
      </c>
    </row>
    <row r="116" spans="1:10" ht="12.75" customHeight="1" x14ac:dyDescent="0.3">
      <c r="A116" s="10" t="s">
        <v>28</v>
      </c>
      <c r="B116" s="11" t="s">
        <v>31</v>
      </c>
      <c r="C116" s="12">
        <v>1424081.47994</v>
      </c>
      <c r="D116" s="13">
        <v>2.8821007629718429E-2</v>
      </c>
      <c r="E116" s="11">
        <v>8</v>
      </c>
      <c r="F116" s="12">
        <v>325956.47993999999</v>
      </c>
      <c r="G116" s="13">
        <v>1.9156766612946241E-2</v>
      </c>
      <c r="H116" s="11" t="s">
        <v>30</v>
      </c>
      <c r="I116" s="12">
        <v>2259042.9799299999</v>
      </c>
      <c r="J116" s="13">
        <v>2.3382414589702638E-2</v>
      </c>
    </row>
    <row r="117" spans="1:10" ht="12.75" customHeight="1" x14ac:dyDescent="0.3">
      <c r="A117" s="14" t="s">
        <v>26</v>
      </c>
      <c r="B117" s="15" t="s">
        <v>30</v>
      </c>
      <c r="C117" s="16">
        <v>770121.02148</v>
      </c>
      <c r="D117" s="17">
        <v>1.5585950767941163E-2</v>
      </c>
      <c r="E117" s="15" t="s">
        <v>35</v>
      </c>
      <c r="F117" s="16">
        <v>248652</v>
      </c>
      <c r="G117" s="17">
        <v>1.4613510161599241E-2</v>
      </c>
      <c r="H117" s="15" t="s">
        <v>31</v>
      </c>
      <c r="I117" s="16">
        <v>2337430.1814799998</v>
      </c>
      <c r="J117" s="17">
        <v>2.4193767920052053E-2</v>
      </c>
    </row>
    <row r="118" spans="1:10" ht="12.75" customHeight="1" x14ac:dyDescent="0.3">
      <c r="A118" s="10" t="s">
        <v>38</v>
      </c>
      <c r="B118" s="11" t="s">
        <v>35</v>
      </c>
      <c r="C118" s="12">
        <v>744652.99997999996</v>
      </c>
      <c r="D118" s="13">
        <v>1.507052096121672E-2</v>
      </c>
      <c r="E118" s="11">
        <v>9</v>
      </c>
      <c r="F118" s="12">
        <v>294652.99998000002</v>
      </c>
      <c r="G118" s="13">
        <v>1.7317031873274418E-2</v>
      </c>
      <c r="H118" s="11" t="s">
        <v>35</v>
      </c>
      <c r="I118" s="12">
        <v>2025600.0832499999</v>
      </c>
      <c r="J118" s="13">
        <v>2.096614423022412E-2</v>
      </c>
    </row>
    <row r="119" spans="1:10" ht="12.75" customHeight="1" x14ac:dyDescent="0.3">
      <c r="A119" s="14" t="s">
        <v>33</v>
      </c>
      <c r="B119" s="15" t="s">
        <v>37</v>
      </c>
      <c r="C119" s="16">
        <v>492847.62</v>
      </c>
      <c r="D119" s="17">
        <v>9.9744047067496684E-3</v>
      </c>
      <c r="E119" s="15" t="s">
        <v>24</v>
      </c>
      <c r="F119" s="16">
        <v>419000</v>
      </c>
      <c r="G119" s="17">
        <v>2.4625021144853376E-2</v>
      </c>
      <c r="H119" s="15" t="s">
        <v>37</v>
      </c>
      <c r="I119" s="16">
        <v>873715.62</v>
      </c>
      <c r="J119" s="17">
        <v>9.0434670972803395E-3</v>
      </c>
    </row>
    <row r="120" spans="1:10" ht="12.75" customHeight="1" x14ac:dyDescent="0.3">
      <c r="A120" s="10" t="s">
        <v>48</v>
      </c>
      <c r="B120" s="11" t="s">
        <v>36</v>
      </c>
      <c r="C120" s="12">
        <v>414130</v>
      </c>
      <c r="D120" s="13">
        <v>8.3812928247603991E-3</v>
      </c>
      <c r="E120" s="11" t="s">
        <v>30</v>
      </c>
      <c r="F120" s="12">
        <v>273630</v>
      </c>
      <c r="G120" s="13">
        <v>1.6081490539060214E-2</v>
      </c>
      <c r="H120" s="11" t="s">
        <v>36</v>
      </c>
      <c r="I120" s="12">
        <v>724511</v>
      </c>
      <c r="J120" s="13">
        <v>7.4991121139824377E-3</v>
      </c>
    </row>
    <row r="121" spans="1:10" ht="12.75" customHeight="1" x14ac:dyDescent="0.3">
      <c r="A121" s="14" t="s">
        <v>54</v>
      </c>
      <c r="B121" s="15" t="s">
        <v>40</v>
      </c>
      <c r="C121" s="16">
        <v>310761.94400000002</v>
      </c>
      <c r="D121" s="17">
        <v>6.2892976878173362E-3</v>
      </c>
      <c r="E121" s="15"/>
      <c r="F121" s="16">
        <v>0</v>
      </c>
      <c r="G121" s="17"/>
      <c r="H121" s="15" t="s">
        <v>49</v>
      </c>
      <c r="I121" s="16">
        <v>310761.94400000002</v>
      </c>
      <c r="J121" s="17">
        <v>3.2165676695248687E-3</v>
      </c>
    </row>
    <row r="122" spans="1:10" ht="12.75" customHeight="1" x14ac:dyDescent="0.3">
      <c r="A122" s="10" t="s">
        <v>52</v>
      </c>
      <c r="B122" s="11" t="s">
        <v>42</v>
      </c>
      <c r="C122" s="12">
        <v>209004</v>
      </c>
      <c r="D122" s="13">
        <v>4.2298885025142414E-3</v>
      </c>
      <c r="E122" s="11"/>
      <c r="F122" s="12">
        <v>0</v>
      </c>
      <c r="G122" s="13"/>
      <c r="H122" s="11" t="s">
        <v>50</v>
      </c>
      <c r="I122" s="12">
        <v>209004</v>
      </c>
      <c r="J122" s="13">
        <v>2.1633135014800125E-3</v>
      </c>
    </row>
    <row r="123" spans="1:10" ht="12.75" customHeight="1" x14ac:dyDescent="0.3">
      <c r="A123" s="14" t="s">
        <v>46</v>
      </c>
      <c r="B123" s="15" t="s">
        <v>47</v>
      </c>
      <c r="C123" s="16">
        <v>175259.99997999999</v>
      </c>
      <c r="D123" s="17">
        <v>3.5469668468835432E-3</v>
      </c>
      <c r="E123" s="15" t="s">
        <v>47</v>
      </c>
      <c r="F123" s="16">
        <v>86249.999990000011</v>
      </c>
      <c r="G123" s="17">
        <f>F123/$F$142</f>
        <v>5.068993015506811E-3</v>
      </c>
      <c r="H123" s="15" t="s">
        <v>47</v>
      </c>
      <c r="I123" s="16">
        <v>412148.99991999997</v>
      </c>
      <c r="J123" s="17">
        <v>4.2659829292665237E-3</v>
      </c>
    </row>
    <row r="124" spans="1:10" ht="12.75" customHeight="1" x14ac:dyDescent="0.3">
      <c r="A124" s="10" t="s">
        <v>69</v>
      </c>
      <c r="B124" s="11" t="s">
        <v>49</v>
      </c>
      <c r="C124" s="12">
        <v>126500</v>
      </c>
      <c r="D124" s="13">
        <v>2.5601466745519296E-3</v>
      </c>
      <c r="E124" s="11"/>
      <c r="F124" s="12">
        <v>0</v>
      </c>
      <c r="G124" s="13"/>
      <c r="H124" s="11" t="s">
        <v>40</v>
      </c>
      <c r="I124" s="12">
        <v>513768</v>
      </c>
      <c r="J124" s="13">
        <v>5.3177989465674489E-3</v>
      </c>
    </row>
    <row r="125" spans="1:10" ht="12.75" customHeight="1" x14ac:dyDescent="0.3">
      <c r="A125" s="14" t="s">
        <v>51</v>
      </c>
      <c r="B125" s="15" t="s">
        <v>45</v>
      </c>
      <c r="C125" s="16">
        <v>90000</v>
      </c>
      <c r="D125" s="17">
        <v>1.821448226953942E-3</v>
      </c>
      <c r="E125" s="15" t="s">
        <v>40</v>
      </c>
      <c r="F125" s="16">
        <v>90000</v>
      </c>
      <c r="G125" s="17">
        <f>F125/$F$142</f>
        <v>5.2893840167942815E-3</v>
      </c>
      <c r="H125" s="15" t="s">
        <v>67</v>
      </c>
      <c r="I125" s="16">
        <v>90000</v>
      </c>
      <c r="J125" s="17">
        <v>9.3155257857840588E-4</v>
      </c>
    </row>
    <row r="126" spans="1:10" ht="12.75" customHeight="1" x14ac:dyDescent="0.3">
      <c r="A126" s="10" t="s">
        <v>63</v>
      </c>
      <c r="B126" s="11" t="s">
        <v>50</v>
      </c>
      <c r="C126" s="12">
        <v>89500</v>
      </c>
      <c r="D126" s="13">
        <v>1.8113290701375312E-3</v>
      </c>
      <c r="E126" s="11" t="s">
        <v>42</v>
      </c>
      <c r="F126" s="12">
        <v>89500</v>
      </c>
      <c r="G126" s="13">
        <f>F126/$F$142</f>
        <v>5.2599985500343133E-3</v>
      </c>
      <c r="H126" s="11" t="s">
        <v>70</v>
      </c>
      <c r="I126" s="12">
        <v>89500</v>
      </c>
      <c r="J126" s="13">
        <v>9.2637728647519246E-4</v>
      </c>
    </row>
    <row r="127" spans="1:10" ht="12.75" customHeight="1" x14ac:dyDescent="0.3">
      <c r="A127" s="14" t="s">
        <v>71</v>
      </c>
      <c r="B127" s="15" t="s">
        <v>55</v>
      </c>
      <c r="C127" s="16">
        <v>88205</v>
      </c>
      <c r="D127" s="17">
        <v>1.7851204539830272E-3</v>
      </c>
      <c r="E127" s="15"/>
      <c r="F127" s="16">
        <v>0</v>
      </c>
      <c r="G127" s="17"/>
      <c r="H127" s="15" t="s">
        <v>56</v>
      </c>
      <c r="I127" s="16">
        <v>88205</v>
      </c>
      <c r="J127" s="17">
        <v>9.1297327992786981E-4</v>
      </c>
    </row>
    <row r="128" spans="1:10" ht="12.75" customHeight="1" x14ac:dyDescent="0.3">
      <c r="A128" s="10" t="s">
        <v>66</v>
      </c>
      <c r="B128" s="11" t="s">
        <v>44</v>
      </c>
      <c r="C128" s="12">
        <v>84735.507400000002</v>
      </c>
      <c r="D128" s="13">
        <v>1.7149037745974737E-3</v>
      </c>
      <c r="E128" s="11" t="s">
        <v>50</v>
      </c>
      <c r="F128" s="12">
        <v>19735.507399999999</v>
      </c>
      <c r="G128" s="13">
        <f>F128/$F$142</f>
        <v>1.1598741933876138E-3</v>
      </c>
      <c r="H128" s="11" t="s">
        <v>74</v>
      </c>
      <c r="I128" s="12">
        <v>84735.507400000002</v>
      </c>
      <c r="J128" s="13">
        <v>8.7706200461799551E-4</v>
      </c>
    </row>
    <row r="129" spans="1:10" ht="12.75" customHeight="1" x14ac:dyDescent="0.3">
      <c r="A129" s="14" t="s">
        <v>73</v>
      </c>
      <c r="B129" s="15" t="s">
        <v>59</v>
      </c>
      <c r="C129" s="16">
        <v>75281.343999999997</v>
      </c>
      <c r="D129" s="17">
        <v>1.5235674505723307E-3</v>
      </c>
      <c r="E129" s="15"/>
      <c r="F129" s="16">
        <v>0</v>
      </c>
      <c r="G129" s="17"/>
      <c r="H129" s="15" t="s">
        <v>53</v>
      </c>
      <c r="I129" s="16">
        <v>75281.343999999997</v>
      </c>
      <c r="J129" s="17">
        <v>7.7920589024497772E-4</v>
      </c>
    </row>
    <row r="130" spans="1:10" ht="12.75" customHeight="1" x14ac:dyDescent="0.3">
      <c r="A130" s="10" t="s">
        <v>41</v>
      </c>
      <c r="B130" s="11" t="s">
        <v>60</v>
      </c>
      <c r="C130" s="12">
        <v>55199.999989999997</v>
      </c>
      <c r="D130" s="13">
        <v>1.1171549123293678E-3</v>
      </c>
      <c r="E130" s="11" t="s">
        <v>49</v>
      </c>
      <c r="F130" s="12">
        <v>30200</v>
      </c>
      <c r="G130" s="13">
        <f>F130/$F$142</f>
        <v>1.7748821923020809E-3</v>
      </c>
      <c r="H130" s="11" t="s">
        <v>60</v>
      </c>
      <c r="I130" s="12">
        <v>117699.99996</v>
      </c>
      <c r="J130" s="13">
        <v>1.2182637606824029E-3</v>
      </c>
    </row>
    <row r="131" spans="1:10" ht="12.75" customHeight="1" x14ac:dyDescent="0.3">
      <c r="A131" s="14" t="s">
        <v>79</v>
      </c>
      <c r="B131" s="15" t="s">
        <v>64</v>
      </c>
      <c r="C131" s="16">
        <v>29827.00001</v>
      </c>
      <c r="D131" s="17">
        <v>6.0364818092855234E-4</v>
      </c>
      <c r="E131" s="15"/>
      <c r="F131" s="16">
        <v>0</v>
      </c>
      <c r="G131" s="17"/>
      <c r="H131" s="15" t="s">
        <v>55</v>
      </c>
      <c r="I131" s="16">
        <v>200827.00000999999</v>
      </c>
      <c r="J131" s="17">
        <v>2.0786767745275669E-3</v>
      </c>
    </row>
    <row r="132" spans="1:10" ht="12.75" customHeight="1" x14ac:dyDescent="0.3">
      <c r="A132" s="10" t="s">
        <v>82</v>
      </c>
      <c r="B132" s="11" t="s">
        <v>67</v>
      </c>
      <c r="C132" s="12">
        <v>20000</v>
      </c>
      <c r="D132" s="13">
        <v>4.0476627265643154E-4</v>
      </c>
      <c r="E132" s="11" t="s">
        <v>45</v>
      </c>
      <c r="F132" s="12">
        <v>20000</v>
      </c>
      <c r="G132" s="13">
        <f>F132/$F$142</f>
        <v>1.1754186703987291E-3</v>
      </c>
      <c r="H132" s="11" t="s">
        <v>83</v>
      </c>
      <c r="I132" s="12">
        <v>20000</v>
      </c>
      <c r="J132" s="13">
        <v>2.0701168412853464E-4</v>
      </c>
    </row>
    <row r="133" spans="1:10" ht="12.75" customHeight="1" x14ac:dyDescent="0.3">
      <c r="A133" s="14" t="s">
        <v>81</v>
      </c>
      <c r="B133" s="15" t="s">
        <v>70</v>
      </c>
      <c r="C133" s="16">
        <v>14703</v>
      </c>
      <c r="D133" s="17">
        <v>2.9756392534337564E-4</v>
      </c>
      <c r="E133" s="15"/>
      <c r="F133" s="16">
        <v>0</v>
      </c>
      <c r="G133" s="17"/>
      <c r="H133" s="15" t="s">
        <v>42</v>
      </c>
      <c r="I133" s="16">
        <v>450429</v>
      </c>
      <c r="J133" s="17">
        <v>4.6622032935165862E-3</v>
      </c>
    </row>
    <row r="134" spans="1:10" ht="12.75" customHeight="1" x14ac:dyDescent="0.3">
      <c r="A134" s="10" t="s">
        <v>43</v>
      </c>
      <c r="B134" s="11" t="s">
        <v>56</v>
      </c>
      <c r="C134" s="12">
        <v>8654.76</v>
      </c>
      <c r="D134" s="13">
        <v>1.7515774729679888E-4</v>
      </c>
      <c r="E134" s="11"/>
      <c r="F134" s="12">
        <v>0</v>
      </c>
      <c r="G134" s="13"/>
      <c r="H134" s="11" t="s">
        <v>62</v>
      </c>
      <c r="I134" s="12">
        <v>65616.134000000005</v>
      </c>
      <c r="J134" s="13">
        <v>6.7916532026718009E-4</v>
      </c>
    </row>
    <row r="135" spans="1:10" ht="12.75" customHeight="1" x14ac:dyDescent="0.3">
      <c r="A135" s="14" t="s">
        <v>86</v>
      </c>
      <c r="B135" s="15" t="s">
        <v>74</v>
      </c>
      <c r="C135" s="16">
        <v>8358.9999799999987</v>
      </c>
      <c r="D135" s="17">
        <v>1.6917206325198927E-4</v>
      </c>
      <c r="E135" s="15" t="s">
        <v>55</v>
      </c>
      <c r="F135" s="16">
        <v>8358.9999799999987</v>
      </c>
      <c r="G135" s="17">
        <f>F135/$F$142</f>
        <v>4.9126623211773006E-4</v>
      </c>
      <c r="H135" s="15" t="s">
        <v>68</v>
      </c>
      <c r="I135" s="16">
        <v>19144.999970000001</v>
      </c>
      <c r="J135" s="17">
        <v>1.9816193432152225E-4</v>
      </c>
    </row>
    <row r="136" spans="1:10" ht="12.75" customHeight="1" x14ac:dyDescent="0.3">
      <c r="A136" s="10" t="s">
        <v>78</v>
      </c>
      <c r="B136" s="11"/>
      <c r="C136" s="12">
        <v>0</v>
      </c>
      <c r="D136" s="13"/>
      <c r="E136" s="11"/>
      <c r="F136" s="12">
        <v>0</v>
      </c>
      <c r="G136" s="13"/>
      <c r="H136" s="11" t="s">
        <v>45</v>
      </c>
      <c r="I136" s="12">
        <v>255000</v>
      </c>
      <c r="J136" s="13">
        <v>2.6393989726388165E-3</v>
      </c>
    </row>
    <row r="137" spans="1:10" ht="12.75" customHeight="1" x14ac:dyDescent="0.3">
      <c r="A137" s="14" t="s">
        <v>104</v>
      </c>
      <c r="B137" s="15"/>
      <c r="C137" s="16">
        <v>0</v>
      </c>
      <c r="D137" s="17"/>
      <c r="E137" s="15"/>
      <c r="F137" s="16">
        <v>0</v>
      </c>
      <c r="G137" s="17"/>
      <c r="H137" s="15" t="s">
        <v>44</v>
      </c>
      <c r="I137" s="16">
        <v>150000</v>
      </c>
      <c r="J137" s="17">
        <v>1.5525876309640098E-3</v>
      </c>
    </row>
    <row r="138" spans="1:10" ht="12.75" customHeight="1" x14ac:dyDescent="0.3">
      <c r="A138" s="10" t="s">
        <v>58</v>
      </c>
      <c r="B138" s="11"/>
      <c r="C138" s="12">
        <v>0</v>
      </c>
      <c r="D138" s="13"/>
      <c r="E138" s="11"/>
      <c r="F138" s="12">
        <v>0</v>
      </c>
      <c r="G138" s="13"/>
      <c r="H138" s="11" t="s">
        <v>59</v>
      </c>
      <c r="I138" s="12">
        <v>120000</v>
      </c>
      <c r="J138" s="13">
        <v>1.2420701047712078E-3</v>
      </c>
    </row>
    <row r="139" spans="1:10" ht="12.75" customHeight="1" x14ac:dyDescent="0.3">
      <c r="A139" s="14" t="s">
        <v>61</v>
      </c>
      <c r="B139" s="15"/>
      <c r="C139" s="16">
        <v>0</v>
      </c>
      <c r="D139" s="17"/>
      <c r="E139" s="15"/>
      <c r="F139" s="16">
        <v>0</v>
      </c>
      <c r="G139" s="17"/>
      <c r="H139" s="15" t="s">
        <v>64</v>
      </c>
      <c r="I139" s="16">
        <v>92278</v>
      </c>
      <c r="J139" s="17">
        <v>9.5513120940064593E-4</v>
      </c>
    </row>
    <row r="140" spans="1:10" ht="12.75" customHeight="1" x14ac:dyDescent="0.3">
      <c r="A140" s="10" t="s">
        <v>108</v>
      </c>
      <c r="B140" s="11"/>
      <c r="C140" s="12">
        <v>0</v>
      </c>
      <c r="D140" s="13"/>
      <c r="E140" s="11"/>
      <c r="F140" s="12">
        <v>0</v>
      </c>
      <c r="G140" s="13"/>
      <c r="H140" s="11" t="s">
        <v>80</v>
      </c>
      <c r="I140" s="12">
        <v>40000</v>
      </c>
      <c r="J140" s="13">
        <v>4.1402336825706928E-4</v>
      </c>
    </row>
    <row r="141" spans="1:10" ht="12.75" customHeight="1" x14ac:dyDescent="0.3">
      <c r="A141" s="14" t="s">
        <v>76</v>
      </c>
      <c r="B141" s="15"/>
      <c r="C141" s="16">
        <v>0</v>
      </c>
      <c r="D141" s="17"/>
      <c r="E141" s="15"/>
      <c r="F141" s="16">
        <v>0</v>
      </c>
      <c r="G141" s="17"/>
      <c r="H141" s="15" t="s">
        <v>80</v>
      </c>
      <c r="I141" s="16">
        <v>40000</v>
      </c>
      <c r="J141" s="17">
        <v>4.1402336825706928E-4</v>
      </c>
    </row>
    <row r="142" spans="1:10" ht="12.75" customHeight="1" x14ac:dyDescent="0.3">
      <c r="A142" s="18" t="s">
        <v>116</v>
      </c>
      <c r="B142" s="33"/>
      <c r="C142" s="34">
        <f>SUM(C108:C141)</f>
        <v>49411231.496000014</v>
      </c>
      <c r="D142" s="35">
        <f>ROUND(SUM(D108:D141), 1)</f>
        <v>1</v>
      </c>
      <c r="E142" s="33"/>
      <c r="F142" s="34">
        <f>SUM(F108:F141)</f>
        <v>17015213.815869998</v>
      </c>
      <c r="G142" s="35">
        <f>ROUND(SUM(G108:G141), 1)</f>
        <v>1</v>
      </c>
      <c r="H142" s="33"/>
      <c r="I142" s="34">
        <f>SUM(I108:I141)</f>
        <v>96612904.166230038</v>
      </c>
      <c r="J142" s="35">
        <f>ROUND(SUM(J108:J141), 1)</f>
        <v>1</v>
      </c>
    </row>
    <row r="144" spans="1:10" ht="12.75" customHeight="1" x14ac:dyDescent="0.3">
      <c r="C144" s="32"/>
      <c r="F144" s="32"/>
      <c r="H144" s="32"/>
      <c r="I144" s="32"/>
    </row>
    <row r="145" spans="1:10" ht="12.75" customHeight="1" x14ac:dyDescent="0.3">
      <c r="A145" s="26" t="s">
        <v>120</v>
      </c>
      <c r="B145" s="24"/>
      <c r="C145" s="24"/>
      <c r="D145" s="24"/>
      <c r="E145" s="24"/>
      <c r="F145" s="24"/>
      <c r="G145" s="24"/>
      <c r="H145" s="24"/>
      <c r="I145" s="24"/>
      <c r="J145" s="27"/>
    </row>
    <row r="146" spans="1:10" ht="12.75" customHeight="1" x14ac:dyDescent="0.3">
      <c r="A146" s="28" t="s">
        <v>134</v>
      </c>
      <c r="B146" s="28" t="s">
        <v>6</v>
      </c>
      <c r="C146" s="28"/>
      <c r="D146" s="28"/>
      <c r="E146" s="28" t="s">
        <v>7</v>
      </c>
      <c r="F146" s="28"/>
      <c r="G146" s="28"/>
      <c r="H146" s="28" t="s">
        <v>8</v>
      </c>
      <c r="I146" s="28"/>
      <c r="J146" s="29"/>
    </row>
    <row r="147" spans="1:10" ht="12.75" customHeight="1" x14ac:dyDescent="0.3">
      <c r="A147" s="28"/>
      <c r="B147" s="8" t="s">
        <v>9</v>
      </c>
      <c r="C147" s="8" t="s">
        <v>10</v>
      </c>
      <c r="D147" s="8" t="s">
        <v>11</v>
      </c>
      <c r="E147" s="8" t="s">
        <v>12</v>
      </c>
      <c r="F147" s="8" t="s">
        <v>10</v>
      </c>
      <c r="G147" s="8" t="s">
        <v>11</v>
      </c>
      <c r="H147" s="8" t="s">
        <v>13</v>
      </c>
      <c r="I147" s="8" t="s">
        <v>10</v>
      </c>
      <c r="J147" s="9" t="s">
        <v>11</v>
      </c>
    </row>
    <row r="148" spans="1:10" ht="12.75" customHeight="1" x14ac:dyDescent="0.3">
      <c r="A148" s="10" t="s">
        <v>14</v>
      </c>
      <c r="B148" s="11" t="s">
        <v>15</v>
      </c>
      <c r="C148" s="12">
        <v>17132771.207230002</v>
      </c>
      <c r="D148" s="13">
        <v>0.50302164036345443</v>
      </c>
      <c r="E148" s="11" t="s">
        <v>15</v>
      </c>
      <c r="F148" s="12">
        <v>7023636.7939999998</v>
      </c>
      <c r="G148" s="13">
        <v>0.64371150776249608</v>
      </c>
      <c r="H148" s="11" t="s">
        <v>15</v>
      </c>
      <c r="I148" s="12">
        <v>20287514.42723</v>
      </c>
      <c r="J148" s="13">
        <v>0.43140378165554405</v>
      </c>
    </row>
    <row r="149" spans="1:10" ht="12.75" customHeight="1" x14ac:dyDescent="0.3">
      <c r="A149" s="14" t="s">
        <v>16</v>
      </c>
      <c r="B149" s="15" t="s">
        <v>17</v>
      </c>
      <c r="C149" s="16">
        <v>5752586.20689</v>
      </c>
      <c r="D149" s="17">
        <v>0.16889709873093173</v>
      </c>
      <c r="E149" s="15" t="s">
        <v>19</v>
      </c>
      <c r="F149" s="16">
        <v>430000</v>
      </c>
      <c r="G149" s="17">
        <v>3.9409205865304504E-2</v>
      </c>
      <c r="H149" s="15" t="s">
        <v>17</v>
      </c>
      <c r="I149" s="16">
        <v>7224636.2068899991</v>
      </c>
      <c r="J149" s="17">
        <v>0.15362825209157283</v>
      </c>
    </row>
    <row r="150" spans="1:10" ht="12.75" customHeight="1" x14ac:dyDescent="0.3">
      <c r="A150" s="10" t="s">
        <v>25</v>
      </c>
      <c r="B150" s="11" t="s">
        <v>19</v>
      </c>
      <c r="C150" s="12">
        <v>3441586.20689</v>
      </c>
      <c r="D150" s="13">
        <v>0.10104566962941094</v>
      </c>
      <c r="E150" s="11" t="s">
        <v>24</v>
      </c>
      <c r="F150" s="12">
        <v>244000</v>
      </c>
      <c r="G150" s="13">
        <v>2.2362433095661161E-2</v>
      </c>
      <c r="H150" s="11" t="s">
        <v>21</v>
      </c>
      <c r="I150" s="12">
        <v>4091396.20689</v>
      </c>
      <c r="J150" s="13">
        <v>8.7001480749876597E-2</v>
      </c>
    </row>
    <row r="151" spans="1:10" ht="12.75" customHeight="1" x14ac:dyDescent="0.3">
      <c r="A151" s="14" t="s">
        <v>20</v>
      </c>
      <c r="B151" s="15" t="s">
        <v>21</v>
      </c>
      <c r="C151" s="16">
        <v>2093250</v>
      </c>
      <c r="D151" s="17">
        <v>6.1458244901236865E-2</v>
      </c>
      <c r="E151" s="15" t="s">
        <v>17</v>
      </c>
      <c r="F151" s="16">
        <v>2093250</v>
      </c>
      <c r="G151" s="17">
        <v>0.19184493064546199</v>
      </c>
      <c r="H151" s="15" t="s">
        <v>19</v>
      </c>
      <c r="I151" s="16">
        <v>4208101</v>
      </c>
      <c r="J151" s="17">
        <v>8.9483149426715883E-2</v>
      </c>
    </row>
    <row r="152" spans="1:10" ht="12.75" customHeight="1" x14ac:dyDescent="0.3">
      <c r="A152" s="10" t="s">
        <v>28</v>
      </c>
      <c r="B152" s="11" t="s">
        <v>22</v>
      </c>
      <c r="C152" s="12">
        <v>1235019</v>
      </c>
      <c r="D152" s="13">
        <v>3.626040853203423E-2</v>
      </c>
      <c r="E152" s="11" t="s">
        <v>31</v>
      </c>
      <c r="F152" s="12">
        <v>136894</v>
      </c>
      <c r="G152" s="13">
        <v>1.254624145982557E-2</v>
      </c>
      <c r="H152" s="11" t="s">
        <v>27</v>
      </c>
      <c r="I152" s="12">
        <v>1688619</v>
      </c>
      <c r="J152" s="13">
        <v>3.5907632992124371E-2</v>
      </c>
    </row>
    <row r="153" spans="1:10" ht="12.75" customHeight="1" x14ac:dyDescent="0.3">
      <c r="A153" s="14" t="s">
        <v>32</v>
      </c>
      <c r="B153" s="15" t="s">
        <v>24</v>
      </c>
      <c r="C153" s="16">
        <v>1020000</v>
      </c>
      <c r="D153" s="17">
        <v>2.9947407046106104E-2</v>
      </c>
      <c r="E153" s="15"/>
      <c r="F153" s="16">
        <v>0</v>
      </c>
      <c r="G153" s="17"/>
      <c r="H153" s="15" t="s">
        <v>29</v>
      </c>
      <c r="I153" s="16">
        <v>1620000</v>
      </c>
      <c r="J153" s="17">
        <v>3.4448484499606767E-2</v>
      </c>
    </row>
    <row r="154" spans="1:10" ht="12.75" customHeight="1" x14ac:dyDescent="0.3">
      <c r="A154" s="10" t="s">
        <v>18</v>
      </c>
      <c r="B154" s="11" t="s">
        <v>24</v>
      </c>
      <c r="C154" s="12">
        <v>1020000</v>
      </c>
      <c r="D154" s="13">
        <v>2.9947407046106104E-2</v>
      </c>
      <c r="E154" s="11"/>
      <c r="F154" s="12">
        <v>0</v>
      </c>
      <c r="G154" s="13"/>
      <c r="H154" s="11" t="s">
        <v>29</v>
      </c>
      <c r="I154" s="12">
        <v>1620000</v>
      </c>
      <c r="J154" s="13">
        <v>3.4448484499606767E-2</v>
      </c>
    </row>
    <row r="155" spans="1:10" ht="12.75" customHeight="1" x14ac:dyDescent="0.3">
      <c r="A155" s="14" t="s">
        <v>26</v>
      </c>
      <c r="B155" s="15" t="s">
        <v>29</v>
      </c>
      <c r="C155" s="16">
        <v>700121.02148</v>
      </c>
      <c r="D155" s="17">
        <v>2.0555695305683484E-2</v>
      </c>
      <c r="E155" s="15" t="s">
        <v>22</v>
      </c>
      <c r="F155" s="16">
        <v>248652</v>
      </c>
      <c r="G155" s="17">
        <v>2.2788785713534175E-2</v>
      </c>
      <c r="H155" s="15" t="s">
        <v>24</v>
      </c>
      <c r="I155" s="16">
        <v>1785430.18148</v>
      </c>
      <c r="J155" s="17">
        <v>3.7966274032002395E-2</v>
      </c>
    </row>
    <row r="156" spans="1:10" ht="12.75" customHeight="1" x14ac:dyDescent="0.3">
      <c r="A156" s="10" t="s">
        <v>34</v>
      </c>
      <c r="B156" s="11" t="s">
        <v>31</v>
      </c>
      <c r="C156" s="12">
        <v>666440.87540000002</v>
      </c>
      <c r="D156" s="13">
        <v>1.9566839380163802E-2</v>
      </c>
      <c r="E156" s="11" t="s">
        <v>21</v>
      </c>
      <c r="F156" s="12">
        <v>270624.87540000002</v>
      </c>
      <c r="G156" s="13">
        <v>2.4802584713746467E-2</v>
      </c>
      <c r="H156" s="11" t="s">
        <v>30</v>
      </c>
      <c r="I156" s="12">
        <v>1331466.9775400001</v>
      </c>
      <c r="J156" s="13">
        <v>2.8312975023163559E-2</v>
      </c>
    </row>
    <row r="157" spans="1:10" ht="12.75" customHeight="1" x14ac:dyDescent="0.3">
      <c r="A157" s="14" t="s">
        <v>23</v>
      </c>
      <c r="B157" s="15" t="s">
        <v>30</v>
      </c>
      <c r="C157" s="16">
        <v>548250</v>
      </c>
      <c r="D157" s="17">
        <v>1.6096731287282031E-2</v>
      </c>
      <c r="E157" s="15" t="s">
        <v>29</v>
      </c>
      <c r="F157" s="16">
        <v>173250</v>
      </c>
      <c r="G157" s="17">
        <v>1.587824399107908E-2</v>
      </c>
      <c r="H157" s="15" t="s">
        <v>22</v>
      </c>
      <c r="I157" s="16">
        <v>2051614.7</v>
      </c>
      <c r="J157" s="17">
        <v>4.3626553822293447E-2</v>
      </c>
    </row>
    <row r="158" spans="1:10" ht="12.75" customHeight="1" x14ac:dyDescent="0.3">
      <c r="A158" s="10" t="s">
        <v>33</v>
      </c>
      <c r="B158" s="11" t="s">
        <v>35</v>
      </c>
      <c r="C158" s="12">
        <v>200000</v>
      </c>
      <c r="D158" s="13">
        <v>5.8720405972757066E-3</v>
      </c>
      <c r="E158" s="11" t="s">
        <v>27</v>
      </c>
      <c r="F158" s="12">
        <v>200000</v>
      </c>
      <c r="G158" s="13">
        <v>1.8329863193164885E-2</v>
      </c>
      <c r="H158" s="11" t="s">
        <v>36</v>
      </c>
      <c r="I158" s="12">
        <v>200000</v>
      </c>
      <c r="J158" s="13">
        <v>4.252899320939107E-3</v>
      </c>
    </row>
    <row r="159" spans="1:10" ht="12.75" customHeight="1" x14ac:dyDescent="0.3">
      <c r="A159" s="14" t="s">
        <v>46</v>
      </c>
      <c r="B159" s="15" t="s">
        <v>37</v>
      </c>
      <c r="C159" s="16">
        <v>135123</v>
      </c>
      <c r="D159" s="17">
        <v>3.9672387081284262E-3</v>
      </c>
      <c r="E159" s="15" t="s">
        <v>30</v>
      </c>
      <c r="F159" s="16">
        <v>71113</v>
      </c>
      <c r="G159" s="17">
        <v>6.5174578062776722E-3</v>
      </c>
      <c r="H159" s="15" t="s">
        <v>42</v>
      </c>
      <c r="I159" s="16">
        <v>135123</v>
      </c>
      <c r="J159" s="17">
        <v>2.8733225747162748E-3</v>
      </c>
    </row>
    <row r="160" spans="1:10" ht="12.75" customHeight="1" x14ac:dyDescent="0.3">
      <c r="A160" s="10" t="s">
        <v>66</v>
      </c>
      <c r="B160" s="11" t="s">
        <v>36</v>
      </c>
      <c r="C160" s="12">
        <v>84735.507400000002</v>
      </c>
      <c r="D160" s="13">
        <v>2.4878516974177803E-3</v>
      </c>
      <c r="E160" s="11" t="s">
        <v>35</v>
      </c>
      <c r="F160" s="12">
        <v>19735.507399999999</v>
      </c>
      <c r="G160" s="13">
        <v>1.808745753448466E-3</v>
      </c>
      <c r="H160" s="11" t="s">
        <v>49</v>
      </c>
      <c r="I160" s="12">
        <v>84735.507400000002</v>
      </c>
      <c r="J160" s="13">
        <v>1.8018579094044535E-3</v>
      </c>
    </row>
    <row r="161" spans="1:10" ht="12.75" customHeight="1" x14ac:dyDescent="0.3">
      <c r="A161" s="14" t="s">
        <v>79</v>
      </c>
      <c r="B161" s="15" t="s">
        <v>40</v>
      </c>
      <c r="C161" s="16">
        <v>29827.00001</v>
      </c>
      <c r="D161" s="17">
        <v>8.7572677476831446E-4</v>
      </c>
      <c r="E161" s="15"/>
      <c r="F161" s="16">
        <v>0</v>
      </c>
      <c r="G161" s="17"/>
      <c r="H161" s="15" t="s">
        <v>37</v>
      </c>
      <c r="I161" s="16">
        <v>200827.00000999999</v>
      </c>
      <c r="J161" s="17">
        <v>4.2704850598438348E-3</v>
      </c>
    </row>
    <row r="162" spans="1:10" ht="12.75" customHeight="1" x14ac:dyDescent="0.3">
      <c r="A162" s="10" t="s">
        <v>78</v>
      </c>
      <c r="B162" s="11"/>
      <c r="C162" s="12">
        <v>0</v>
      </c>
      <c r="D162" s="13"/>
      <c r="E162" s="11"/>
      <c r="F162" s="12">
        <v>0</v>
      </c>
      <c r="G162" s="13"/>
      <c r="H162" s="11" t="s">
        <v>35</v>
      </c>
      <c r="I162" s="12">
        <v>255000</v>
      </c>
      <c r="J162" s="13">
        <v>5.4224466341973613E-3</v>
      </c>
    </row>
    <row r="163" spans="1:10" ht="12.75" customHeight="1" x14ac:dyDescent="0.3">
      <c r="A163" s="14" t="s">
        <v>104</v>
      </c>
      <c r="B163" s="15"/>
      <c r="C163" s="16">
        <v>0</v>
      </c>
      <c r="D163" s="17"/>
      <c r="E163" s="15"/>
      <c r="F163" s="16">
        <v>0</v>
      </c>
      <c r="G163" s="17"/>
      <c r="H163" s="15" t="s">
        <v>40</v>
      </c>
      <c r="I163" s="16">
        <v>150000</v>
      </c>
      <c r="J163" s="17">
        <v>3.18967449070433E-3</v>
      </c>
    </row>
    <row r="164" spans="1:10" ht="12.75" customHeight="1" x14ac:dyDescent="0.3">
      <c r="A164" s="10" t="s">
        <v>61</v>
      </c>
      <c r="B164" s="11"/>
      <c r="C164" s="12">
        <v>0</v>
      </c>
      <c r="D164" s="13"/>
      <c r="E164" s="11"/>
      <c r="F164" s="12">
        <v>0</v>
      </c>
      <c r="G164" s="13"/>
      <c r="H164" s="11" t="s">
        <v>47</v>
      </c>
      <c r="I164" s="12">
        <v>92278</v>
      </c>
      <c r="J164" s="13">
        <v>1.9622452176880946E-3</v>
      </c>
    </row>
    <row r="165" spans="1:10" ht="12.75" customHeight="1" x14ac:dyDescent="0.3">
      <c r="A165" s="18" t="s">
        <v>116</v>
      </c>
      <c r="B165" s="19"/>
      <c r="C165" s="20">
        <f>SUM(C148:C164)</f>
        <v>34059710.025300004</v>
      </c>
      <c r="D165" s="21">
        <f>ROUND(SUM(D148:D164), 1)</f>
        <v>1</v>
      </c>
      <c r="E165" s="19"/>
      <c r="F165" s="20">
        <f>SUM(F148:F164)</f>
        <v>10911156.1768</v>
      </c>
      <c r="G165" s="21">
        <f>ROUND(SUM(G148:G164), 1)</f>
        <v>1</v>
      </c>
      <c r="H165" s="19"/>
      <c r="I165" s="20">
        <f>SUM(I148:I164)</f>
        <v>47026742.207439996</v>
      </c>
      <c r="J165" s="21">
        <f>ROUND(SUM(J148:J164), 1)</f>
        <v>1</v>
      </c>
    </row>
    <row r="168" spans="1:10" ht="12.75" customHeight="1" x14ac:dyDescent="0.3">
      <c r="A168" s="26" t="s">
        <v>121</v>
      </c>
      <c r="B168" s="24"/>
      <c r="C168" s="24"/>
      <c r="D168" s="24"/>
      <c r="E168" s="24"/>
      <c r="F168" s="24"/>
      <c r="G168" s="24"/>
      <c r="H168" s="24"/>
      <c r="I168" s="24"/>
      <c r="J168" s="27"/>
    </row>
    <row r="169" spans="1:10" ht="12.75" customHeight="1" x14ac:dyDescent="0.3">
      <c r="A169" s="28" t="s">
        <v>134</v>
      </c>
      <c r="B169" s="28" t="s">
        <v>6</v>
      </c>
      <c r="C169" s="28"/>
      <c r="D169" s="28"/>
      <c r="E169" s="28" t="s">
        <v>7</v>
      </c>
      <c r="F169" s="28"/>
      <c r="G169" s="28"/>
      <c r="H169" s="28" t="s">
        <v>8</v>
      </c>
      <c r="I169" s="28"/>
      <c r="J169" s="29"/>
    </row>
    <row r="170" spans="1:10" ht="12.75" customHeight="1" x14ac:dyDescent="0.3">
      <c r="A170" s="28"/>
      <c r="B170" s="8" t="s">
        <v>9</v>
      </c>
      <c r="C170" s="8" t="s">
        <v>10</v>
      </c>
      <c r="D170" s="8" t="s">
        <v>11</v>
      </c>
      <c r="E170" s="8" t="s">
        <v>12</v>
      </c>
      <c r="F170" s="8" t="s">
        <v>10</v>
      </c>
      <c r="G170" s="8" t="s">
        <v>11</v>
      </c>
      <c r="H170" s="8" t="s">
        <v>13</v>
      </c>
      <c r="I170" s="8" t="s">
        <v>10</v>
      </c>
      <c r="J170" s="9" t="s">
        <v>11</v>
      </c>
    </row>
    <row r="171" spans="1:10" ht="12.75" customHeight="1" x14ac:dyDescent="0.3">
      <c r="A171" s="10" t="s">
        <v>14</v>
      </c>
      <c r="B171" s="11" t="s">
        <v>15</v>
      </c>
      <c r="C171" s="12">
        <v>1973515</v>
      </c>
      <c r="D171" s="13">
        <v>0.24791863396</v>
      </c>
      <c r="E171" s="11" t="s">
        <v>15</v>
      </c>
      <c r="F171" s="12">
        <v>804800</v>
      </c>
      <c r="G171" s="13">
        <v>0.26445675811000002</v>
      </c>
      <c r="H171" s="11" t="s">
        <v>17</v>
      </c>
      <c r="I171" s="12">
        <v>4023581.4999799989</v>
      </c>
      <c r="J171" s="13">
        <v>0.21348798541</v>
      </c>
    </row>
    <row r="172" spans="1:10" ht="12.75" customHeight="1" x14ac:dyDescent="0.3">
      <c r="A172" s="14" t="s">
        <v>23</v>
      </c>
      <c r="B172" s="15" t="s">
        <v>17</v>
      </c>
      <c r="C172" s="16">
        <v>1641318.75</v>
      </c>
      <c r="D172" s="17">
        <v>0.206187185</v>
      </c>
      <c r="E172" s="15" t="s">
        <v>17</v>
      </c>
      <c r="F172" s="16">
        <v>660500</v>
      </c>
      <c r="G172" s="17">
        <v>0.21703987168</v>
      </c>
      <c r="H172" s="15" t="s">
        <v>15</v>
      </c>
      <c r="I172" s="16">
        <v>5882649.351879999</v>
      </c>
      <c r="J172" s="17">
        <v>0.31212862446</v>
      </c>
    </row>
    <row r="173" spans="1:10" ht="12.75" customHeight="1" x14ac:dyDescent="0.3">
      <c r="A173" s="10" t="s">
        <v>18</v>
      </c>
      <c r="B173" s="11" t="s">
        <v>19</v>
      </c>
      <c r="C173" s="12">
        <v>948671.62899999996</v>
      </c>
      <c r="D173" s="13">
        <v>0.11917486026</v>
      </c>
      <c r="E173" s="11" t="s">
        <v>31</v>
      </c>
      <c r="F173" s="12">
        <v>111107.629</v>
      </c>
      <c r="G173" s="13">
        <v>3.6509894840000001E-2</v>
      </c>
      <c r="H173" s="11" t="s">
        <v>21</v>
      </c>
      <c r="I173" s="12">
        <v>1198671.629</v>
      </c>
      <c r="J173" s="13">
        <v>6.3600548729999998E-2</v>
      </c>
    </row>
    <row r="174" spans="1:10" ht="12.75" customHeight="1" x14ac:dyDescent="0.3">
      <c r="A174" s="14" t="s">
        <v>34</v>
      </c>
      <c r="B174" s="15" t="s">
        <v>21</v>
      </c>
      <c r="C174" s="16">
        <v>804043.07396000007</v>
      </c>
      <c r="D174" s="17">
        <v>0.10100620494</v>
      </c>
      <c r="E174" s="15" t="s">
        <v>27</v>
      </c>
      <c r="F174" s="16">
        <v>130919.53027</v>
      </c>
      <c r="G174" s="17">
        <v>4.3020072749999999E-2</v>
      </c>
      <c r="H174" s="15" t="s">
        <v>22</v>
      </c>
      <c r="I174" s="16">
        <v>1161260.5868299999</v>
      </c>
      <c r="J174" s="17">
        <v>6.1615549040000002E-2</v>
      </c>
    </row>
    <row r="175" spans="1:10" ht="12.75" customHeight="1" x14ac:dyDescent="0.3">
      <c r="A175" s="10" t="s">
        <v>20</v>
      </c>
      <c r="B175" s="11" t="s">
        <v>22</v>
      </c>
      <c r="C175" s="12">
        <v>473323.5</v>
      </c>
      <c r="D175" s="13">
        <v>5.9460260270000002E-2</v>
      </c>
      <c r="E175" s="11" t="s">
        <v>22</v>
      </c>
      <c r="F175" s="12">
        <v>207000</v>
      </c>
      <c r="G175" s="13">
        <v>6.8020065769999999E-2</v>
      </c>
      <c r="H175" s="11" t="s">
        <v>27</v>
      </c>
      <c r="I175" s="12">
        <v>553323.5</v>
      </c>
      <c r="J175" s="13">
        <v>2.935889811E-2</v>
      </c>
    </row>
    <row r="176" spans="1:10" ht="12.75" customHeight="1" x14ac:dyDescent="0.3">
      <c r="A176" s="14" t="s">
        <v>16</v>
      </c>
      <c r="B176" s="15" t="s">
        <v>24</v>
      </c>
      <c r="C176" s="16">
        <v>470818.75</v>
      </c>
      <c r="D176" s="17">
        <v>5.9145606359999998E-2</v>
      </c>
      <c r="E176" s="15" t="s">
        <v>30</v>
      </c>
      <c r="F176" s="16">
        <v>100000</v>
      </c>
      <c r="G176" s="17">
        <v>3.2859935149999998E-2</v>
      </c>
      <c r="H176" s="15" t="s">
        <v>19</v>
      </c>
      <c r="I176" s="16">
        <v>1508942.2499800001</v>
      </c>
      <c r="J176" s="17">
        <v>8.0063257339999999E-2</v>
      </c>
    </row>
    <row r="177" spans="1:10" ht="12.75" customHeight="1" x14ac:dyDescent="0.3">
      <c r="A177" s="10" t="s">
        <v>32</v>
      </c>
      <c r="B177" s="11" t="s">
        <v>27</v>
      </c>
      <c r="C177" s="12">
        <v>367500</v>
      </c>
      <c r="D177" s="13">
        <v>4.6166407639999997E-2</v>
      </c>
      <c r="E177" s="11" t="s">
        <v>19</v>
      </c>
      <c r="F177" s="12">
        <v>367500</v>
      </c>
      <c r="G177" s="13">
        <v>0.12076026169</v>
      </c>
      <c r="H177" s="11" t="s">
        <v>24</v>
      </c>
      <c r="I177" s="12">
        <v>852499.99999000004</v>
      </c>
      <c r="J177" s="13">
        <v>4.5232961619999998E-2</v>
      </c>
    </row>
    <row r="178" spans="1:10" ht="12.75" customHeight="1" x14ac:dyDescent="0.3">
      <c r="A178" s="14" t="s">
        <v>33</v>
      </c>
      <c r="B178" s="15" t="s">
        <v>29</v>
      </c>
      <c r="C178" s="16">
        <v>239000</v>
      </c>
      <c r="D178" s="17">
        <v>3.0023867829999999E-2</v>
      </c>
      <c r="E178" s="15" t="s">
        <v>21</v>
      </c>
      <c r="F178" s="16">
        <v>219000</v>
      </c>
      <c r="G178" s="17">
        <v>7.1963257980000001E-2</v>
      </c>
      <c r="H178" s="15" t="s">
        <v>36</v>
      </c>
      <c r="I178" s="16">
        <v>359000</v>
      </c>
      <c r="J178" s="17">
        <v>1.9048250110000001E-2</v>
      </c>
    </row>
    <row r="179" spans="1:10" ht="12.75" customHeight="1" x14ac:dyDescent="0.3">
      <c r="A179" s="10" t="s">
        <v>52</v>
      </c>
      <c r="B179" s="11" t="s">
        <v>31</v>
      </c>
      <c r="C179" s="12">
        <v>209004</v>
      </c>
      <c r="D179" s="13">
        <v>2.625568398E-2</v>
      </c>
      <c r="E179" s="11"/>
      <c r="F179" s="12">
        <v>0</v>
      </c>
      <c r="G179" s="13"/>
      <c r="H179" s="11" t="s">
        <v>40</v>
      </c>
      <c r="I179" s="12">
        <v>209004</v>
      </c>
      <c r="J179" s="13">
        <v>1.1089583470000001E-2</v>
      </c>
    </row>
    <row r="180" spans="1:10" ht="12.75" customHeight="1" x14ac:dyDescent="0.3">
      <c r="A180" s="14" t="s">
        <v>28</v>
      </c>
      <c r="B180" s="15" t="s">
        <v>30</v>
      </c>
      <c r="C180" s="16">
        <v>189062.47993999999</v>
      </c>
      <c r="D180" s="17">
        <v>2.3750572840000001E-2</v>
      </c>
      <c r="E180" s="15" t="s">
        <v>24</v>
      </c>
      <c r="F180" s="16">
        <v>189062.47993999999</v>
      </c>
      <c r="G180" s="17">
        <v>6.2125808310000002E-2</v>
      </c>
      <c r="H180" s="15" t="s">
        <v>30</v>
      </c>
      <c r="I180" s="16">
        <v>460991.47992999997</v>
      </c>
      <c r="J180" s="17">
        <v>2.445983568E-2</v>
      </c>
    </row>
    <row r="181" spans="1:10" ht="12.75" customHeight="1" x14ac:dyDescent="0.3">
      <c r="A181" s="10" t="s">
        <v>48</v>
      </c>
      <c r="B181" s="11" t="s">
        <v>35</v>
      </c>
      <c r="C181" s="12">
        <v>172130</v>
      </c>
      <c r="D181" s="13">
        <v>2.1623465979999999E-2</v>
      </c>
      <c r="E181" s="11" t="s">
        <v>29</v>
      </c>
      <c r="F181" s="12">
        <v>113630</v>
      </c>
      <c r="G181" s="13">
        <v>3.7338744309999998E-2</v>
      </c>
      <c r="H181" s="11" t="s">
        <v>31</v>
      </c>
      <c r="I181" s="12">
        <v>462511</v>
      </c>
      <c r="J181" s="13">
        <v>2.4540460189999998E-2</v>
      </c>
    </row>
    <row r="182" spans="1:10" ht="12.75" customHeight="1" x14ac:dyDescent="0.3">
      <c r="A182" s="14" t="s">
        <v>69</v>
      </c>
      <c r="B182" s="15" t="s">
        <v>37</v>
      </c>
      <c r="C182" s="16">
        <v>126500</v>
      </c>
      <c r="D182" s="17">
        <v>1.5891294059999998E-2</v>
      </c>
      <c r="E182" s="15"/>
      <c r="F182" s="16">
        <v>0</v>
      </c>
      <c r="G182" s="17"/>
      <c r="H182" s="15" t="s">
        <v>37</v>
      </c>
      <c r="I182" s="16">
        <v>411268</v>
      </c>
      <c r="J182" s="17">
        <v>2.1821547989999999E-2</v>
      </c>
    </row>
    <row r="183" spans="1:10" ht="12.75" customHeight="1" x14ac:dyDescent="0.3">
      <c r="A183" s="10" t="s">
        <v>63</v>
      </c>
      <c r="B183" s="11" t="s">
        <v>36</v>
      </c>
      <c r="C183" s="12">
        <v>89500</v>
      </c>
      <c r="D183" s="13">
        <v>1.1243247580000001E-2</v>
      </c>
      <c r="E183" s="11" t="s">
        <v>35</v>
      </c>
      <c r="F183" s="12">
        <v>89500</v>
      </c>
      <c r="G183" s="13">
        <v>2.940964196E-2</v>
      </c>
      <c r="H183" s="11" t="s">
        <v>45</v>
      </c>
      <c r="I183" s="12">
        <v>89500</v>
      </c>
      <c r="J183" s="13">
        <v>4.7487977299999996E-3</v>
      </c>
    </row>
    <row r="184" spans="1:10" ht="12.75" customHeight="1" x14ac:dyDescent="0.3">
      <c r="A184" s="14" t="s">
        <v>73</v>
      </c>
      <c r="B184" s="15" t="s">
        <v>40</v>
      </c>
      <c r="C184" s="16">
        <v>75281.343999999997</v>
      </c>
      <c r="D184" s="17">
        <v>9.4570590900000008E-3</v>
      </c>
      <c r="E184" s="15"/>
      <c r="F184" s="16">
        <v>0</v>
      </c>
      <c r="G184" s="17"/>
      <c r="H184" s="15" t="s">
        <v>50</v>
      </c>
      <c r="I184" s="16">
        <v>75281.343999999997</v>
      </c>
      <c r="J184" s="17">
        <v>3.99436732E-3</v>
      </c>
    </row>
    <row r="185" spans="1:10" ht="12.75" customHeight="1" x14ac:dyDescent="0.3">
      <c r="A185" s="10" t="s">
        <v>26</v>
      </c>
      <c r="B185" s="11" t="s">
        <v>42</v>
      </c>
      <c r="C185" s="12">
        <v>70000</v>
      </c>
      <c r="D185" s="13">
        <v>8.7936014599999997E-3</v>
      </c>
      <c r="E185" s="11"/>
      <c r="F185" s="12">
        <v>0</v>
      </c>
      <c r="G185" s="13"/>
      <c r="H185" s="11" t="s">
        <v>29</v>
      </c>
      <c r="I185" s="12">
        <v>552000</v>
      </c>
      <c r="J185" s="13">
        <v>2.9288674269999999E-2</v>
      </c>
    </row>
    <row r="186" spans="1:10" ht="12.75" customHeight="1" x14ac:dyDescent="0.3">
      <c r="A186" s="14" t="s">
        <v>54</v>
      </c>
      <c r="B186" s="15" t="s">
        <v>47</v>
      </c>
      <c r="C186" s="16">
        <v>45761.944000000003</v>
      </c>
      <c r="D186" s="17">
        <v>5.7487471099999998E-3</v>
      </c>
      <c r="E186" s="15"/>
      <c r="F186" s="16">
        <v>0</v>
      </c>
      <c r="G186" s="17"/>
      <c r="H186" s="15" t="s">
        <v>55</v>
      </c>
      <c r="I186" s="16">
        <v>45761.944000000003</v>
      </c>
      <c r="J186" s="17">
        <v>2.4280918000000001E-3</v>
      </c>
    </row>
    <row r="187" spans="1:10" ht="12.75" customHeight="1" x14ac:dyDescent="0.3">
      <c r="A187" s="10" t="s">
        <v>41</v>
      </c>
      <c r="B187" s="11" t="s">
        <v>49</v>
      </c>
      <c r="C187" s="12">
        <v>30200</v>
      </c>
      <c r="D187" s="13">
        <v>3.7938109100000002E-3</v>
      </c>
      <c r="E187" s="11" t="s">
        <v>37</v>
      </c>
      <c r="F187" s="12">
        <v>30200</v>
      </c>
      <c r="G187" s="13">
        <v>9.9237004200000006E-3</v>
      </c>
      <c r="H187" s="11" t="s">
        <v>59</v>
      </c>
      <c r="I187" s="12">
        <v>30200</v>
      </c>
      <c r="J187" s="13">
        <v>1.60238761E-3</v>
      </c>
    </row>
    <row r="188" spans="1:10" ht="12.75" customHeight="1" x14ac:dyDescent="0.3">
      <c r="A188" s="14" t="s">
        <v>82</v>
      </c>
      <c r="B188" s="15" t="s">
        <v>45</v>
      </c>
      <c r="C188" s="16">
        <v>20000</v>
      </c>
      <c r="D188" s="17">
        <v>2.51245756E-3</v>
      </c>
      <c r="E188" s="15" t="s">
        <v>36</v>
      </c>
      <c r="F188" s="16">
        <v>20000</v>
      </c>
      <c r="G188" s="17">
        <v>6.5719870300000004E-3</v>
      </c>
      <c r="H188" s="15" t="s">
        <v>60</v>
      </c>
      <c r="I188" s="16">
        <v>20000</v>
      </c>
      <c r="J188" s="17">
        <v>1.0611838499999999E-3</v>
      </c>
    </row>
    <row r="189" spans="1:10" ht="12.75" customHeight="1" x14ac:dyDescent="0.3">
      <c r="A189" s="10" t="s">
        <v>81</v>
      </c>
      <c r="B189" s="11" t="s">
        <v>50</v>
      </c>
      <c r="C189" s="12">
        <v>14703</v>
      </c>
      <c r="D189" s="13">
        <v>1.8470331700000001E-3</v>
      </c>
      <c r="E189" s="11"/>
      <c r="F189" s="12">
        <v>0</v>
      </c>
      <c r="G189" s="13"/>
      <c r="H189" s="11" t="s">
        <v>35</v>
      </c>
      <c r="I189" s="12">
        <v>450429</v>
      </c>
      <c r="J189" s="13">
        <v>2.3899399030000001E-2</v>
      </c>
    </row>
    <row r="190" spans="1:10" ht="12.75" customHeight="1" x14ac:dyDescent="0.3">
      <c r="A190" s="14" t="s">
        <v>46</v>
      </c>
      <c r="B190" s="15"/>
      <c r="C190" s="16">
        <v>0</v>
      </c>
      <c r="D190" s="17"/>
      <c r="E190" s="15"/>
      <c r="F190" s="16">
        <v>0</v>
      </c>
      <c r="G190" s="17"/>
      <c r="H190" s="15" t="s">
        <v>42</v>
      </c>
      <c r="I190" s="16">
        <v>169999.99999000001</v>
      </c>
      <c r="J190" s="17">
        <v>9.0200627300000003E-3</v>
      </c>
    </row>
    <row r="191" spans="1:10" ht="12.75" customHeight="1" x14ac:dyDescent="0.3">
      <c r="A191" s="10" t="s">
        <v>25</v>
      </c>
      <c r="B191" s="11"/>
      <c r="C191" s="12">
        <v>0</v>
      </c>
      <c r="D191" s="13"/>
      <c r="E191" s="11"/>
      <c r="F191" s="12">
        <v>0</v>
      </c>
      <c r="G191" s="13"/>
      <c r="H191" s="11" t="s">
        <v>42</v>
      </c>
      <c r="I191" s="12">
        <v>169999.99999000001</v>
      </c>
      <c r="J191" s="13">
        <v>9.0200627300000003E-3</v>
      </c>
    </row>
    <row r="192" spans="1:10" ht="12.75" customHeight="1" x14ac:dyDescent="0.3">
      <c r="A192" s="14" t="s">
        <v>58</v>
      </c>
      <c r="B192" s="15"/>
      <c r="C192" s="16">
        <v>0</v>
      </c>
      <c r="D192" s="17"/>
      <c r="E192" s="15"/>
      <c r="F192" s="16">
        <v>0</v>
      </c>
      <c r="G192" s="17"/>
      <c r="H192" s="15" t="s">
        <v>49</v>
      </c>
      <c r="I192" s="16">
        <v>120000</v>
      </c>
      <c r="J192" s="17">
        <v>6.3671031000000003E-3</v>
      </c>
    </row>
    <row r="193" spans="1:10" ht="12.75" customHeight="1" x14ac:dyDescent="0.3">
      <c r="A193" s="10" t="s">
        <v>76</v>
      </c>
      <c r="B193" s="11"/>
      <c r="C193" s="12">
        <v>0</v>
      </c>
      <c r="D193" s="13"/>
      <c r="E193" s="11"/>
      <c r="F193" s="12">
        <v>0</v>
      </c>
      <c r="G193" s="13"/>
      <c r="H193" s="11" t="s">
        <v>44</v>
      </c>
      <c r="I193" s="12">
        <v>40000</v>
      </c>
      <c r="J193" s="13">
        <v>2.1223676999999998E-3</v>
      </c>
    </row>
    <row r="194" spans="1:10" ht="12.75" customHeight="1" x14ac:dyDescent="0.3">
      <c r="A194" s="18" t="s">
        <v>116</v>
      </c>
      <c r="B194" s="19"/>
      <c r="C194" s="20">
        <f>SUM(C171:C193)</f>
        <v>7960333.4708999991</v>
      </c>
      <c r="D194" s="21">
        <f>ROUND(SUM(D171:D193), 1)</f>
        <v>1</v>
      </c>
      <c r="E194" s="19"/>
      <c r="F194" s="20">
        <f>SUM(F171:F193)</f>
        <v>3043219.6392099997</v>
      </c>
      <c r="G194" s="21">
        <f>ROUND(SUM(G171:G193), 1)</f>
        <v>1</v>
      </c>
      <c r="H194" s="19"/>
      <c r="I194" s="20">
        <f>SUM(I171:I193)</f>
        <v>18846875.58557</v>
      </c>
      <c r="J194" s="21">
        <f>ROUND(SUM(J171:J193), 1)</f>
        <v>1</v>
      </c>
    </row>
    <row r="197" spans="1:10" ht="12.75" customHeight="1" x14ac:dyDescent="0.3">
      <c r="A197" s="26" t="s">
        <v>122</v>
      </c>
      <c r="B197" s="24"/>
      <c r="C197" s="24"/>
      <c r="D197" s="24"/>
      <c r="E197" s="24"/>
      <c r="F197" s="24"/>
      <c r="G197" s="24"/>
      <c r="H197" s="24"/>
      <c r="I197" s="24"/>
      <c r="J197" s="27"/>
    </row>
    <row r="198" spans="1:10" ht="12.75" customHeight="1" x14ac:dyDescent="0.3">
      <c r="A198" s="28" t="s">
        <v>134</v>
      </c>
      <c r="B198" s="28" t="s">
        <v>6</v>
      </c>
      <c r="C198" s="28"/>
      <c r="D198" s="28"/>
      <c r="E198" s="28" t="s">
        <v>7</v>
      </c>
      <c r="F198" s="28"/>
      <c r="G198" s="28"/>
      <c r="H198" s="28" t="s">
        <v>8</v>
      </c>
      <c r="I198" s="28"/>
      <c r="J198" s="29"/>
    </row>
    <row r="199" spans="1:10" ht="12.75" customHeight="1" x14ac:dyDescent="0.3">
      <c r="A199" s="28"/>
      <c r="B199" s="8" t="s">
        <v>9</v>
      </c>
      <c r="C199" s="8" t="s">
        <v>10</v>
      </c>
      <c r="D199" s="8" t="s">
        <v>11</v>
      </c>
      <c r="E199" s="8" t="s">
        <v>12</v>
      </c>
      <c r="F199" s="8" t="s">
        <v>10</v>
      </c>
      <c r="G199" s="8" t="s">
        <v>11</v>
      </c>
      <c r="H199" s="8" t="s">
        <v>13</v>
      </c>
      <c r="I199" s="8" t="s">
        <v>10</v>
      </c>
      <c r="J199" s="9" t="s">
        <v>11</v>
      </c>
    </row>
    <row r="200" spans="1:10" ht="12.75" customHeight="1" x14ac:dyDescent="0.3">
      <c r="A200" s="10" t="s">
        <v>16</v>
      </c>
      <c r="B200" s="11" t="s">
        <v>15</v>
      </c>
      <c r="C200" s="12">
        <v>1237961.9999800001</v>
      </c>
      <c r="D200" s="13">
        <v>0.18845961505</v>
      </c>
      <c r="E200" s="11" t="s">
        <v>21</v>
      </c>
      <c r="F200" s="12">
        <v>402961.99998000002</v>
      </c>
      <c r="G200" s="13">
        <v>0.15892833548999999</v>
      </c>
      <c r="H200" s="11" t="s">
        <v>21</v>
      </c>
      <c r="I200" s="12">
        <v>4035106.6389700002</v>
      </c>
      <c r="J200" s="13">
        <v>0.14115934971999999</v>
      </c>
    </row>
    <row r="201" spans="1:10" ht="12.75" customHeight="1" x14ac:dyDescent="0.3">
      <c r="A201" s="14" t="s">
        <v>23</v>
      </c>
      <c r="B201" s="15" t="s">
        <v>17</v>
      </c>
      <c r="C201" s="16">
        <v>992352.99997999996</v>
      </c>
      <c r="D201" s="17">
        <v>0.15106963248999999</v>
      </c>
      <c r="E201" s="15" t="s">
        <v>15</v>
      </c>
      <c r="F201" s="16">
        <v>512352.99998999998</v>
      </c>
      <c r="G201" s="17">
        <v>0.20207217921000001</v>
      </c>
      <c r="H201" s="15" t="s">
        <v>15</v>
      </c>
      <c r="I201" s="16">
        <v>6640920.3070599996</v>
      </c>
      <c r="J201" s="17">
        <v>0.2323180218</v>
      </c>
    </row>
    <row r="202" spans="1:10" ht="12.75" customHeight="1" x14ac:dyDescent="0.3">
      <c r="A202" s="10" t="s">
        <v>20</v>
      </c>
      <c r="B202" s="11" t="s">
        <v>19</v>
      </c>
      <c r="C202" s="12">
        <v>783847.61999000004</v>
      </c>
      <c r="D202" s="13">
        <v>0.11932807366000001</v>
      </c>
      <c r="E202" s="11" t="s">
        <v>19</v>
      </c>
      <c r="F202" s="12">
        <v>460000</v>
      </c>
      <c r="G202" s="13">
        <v>0.18142414006999999</v>
      </c>
      <c r="H202" s="11" t="s">
        <v>27</v>
      </c>
      <c r="I202" s="12">
        <v>1556391.7865800001</v>
      </c>
      <c r="J202" s="13">
        <v>5.4446950770000002E-2</v>
      </c>
    </row>
    <row r="203" spans="1:10" ht="12.75" customHeight="1" x14ac:dyDescent="0.3">
      <c r="A203" s="14" t="s">
        <v>38</v>
      </c>
      <c r="B203" s="15" t="s">
        <v>21</v>
      </c>
      <c r="C203" s="16">
        <v>744652.99997999996</v>
      </c>
      <c r="D203" s="17">
        <v>0.11336132912000001</v>
      </c>
      <c r="E203" s="15" t="s">
        <v>22</v>
      </c>
      <c r="F203" s="16">
        <v>294652.99998000002</v>
      </c>
      <c r="G203" s="17">
        <v>0.11621123291</v>
      </c>
      <c r="H203" s="15" t="s">
        <v>24</v>
      </c>
      <c r="I203" s="16">
        <v>2025600.0832499999</v>
      </c>
      <c r="J203" s="17">
        <v>7.0861173230000005E-2</v>
      </c>
    </row>
    <row r="204" spans="1:10" ht="12.75" customHeight="1" x14ac:dyDescent="0.3">
      <c r="A204" s="10" t="s">
        <v>32</v>
      </c>
      <c r="B204" s="11" t="s">
        <v>22</v>
      </c>
      <c r="C204" s="12">
        <v>647572.99997999996</v>
      </c>
      <c r="D204" s="13">
        <v>9.8582475310000001E-2</v>
      </c>
      <c r="E204" s="11" t="s">
        <v>17</v>
      </c>
      <c r="F204" s="12">
        <v>507572.99998000002</v>
      </c>
      <c r="G204" s="13">
        <v>0.20018694575000001</v>
      </c>
      <c r="H204" s="11" t="s">
        <v>22</v>
      </c>
      <c r="I204" s="12">
        <v>2464319.16658</v>
      </c>
      <c r="J204" s="13">
        <v>8.6208797480000002E-2</v>
      </c>
    </row>
    <row r="205" spans="1:10" ht="12.75" customHeight="1" x14ac:dyDescent="0.3">
      <c r="A205" s="14" t="s">
        <v>14</v>
      </c>
      <c r="B205" s="15" t="s">
        <v>24</v>
      </c>
      <c r="C205" s="16">
        <v>624686.99996000004</v>
      </c>
      <c r="D205" s="17">
        <v>9.5098453380000003E-2</v>
      </c>
      <c r="E205" s="15" t="s">
        <v>29</v>
      </c>
      <c r="F205" s="16">
        <v>62891.999969999997</v>
      </c>
      <c r="G205" s="17">
        <v>2.4804623939999999E-2</v>
      </c>
      <c r="H205" s="15" t="s">
        <v>17</v>
      </c>
      <c r="I205" s="16">
        <v>4898797.1369899996</v>
      </c>
      <c r="J205" s="17">
        <v>0.17137366621</v>
      </c>
    </row>
    <row r="206" spans="1:10" ht="12.75" customHeight="1" x14ac:dyDescent="0.3">
      <c r="A206" s="10" t="s">
        <v>18</v>
      </c>
      <c r="B206" s="11" t="s">
        <v>27</v>
      </c>
      <c r="C206" s="12">
        <v>566565.99997999996</v>
      </c>
      <c r="D206" s="13">
        <v>8.6250474780000003E-2</v>
      </c>
      <c r="E206" s="11" t="s">
        <v>31</v>
      </c>
      <c r="F206" s="12">
        <v>21565.99999</v>
      </c>
      <c r="G206" s="13">
        <v>8.5056369600000001E-3</v>
      </c>
      <c r="H206" s="11" t="s">
        <v>19</v>
      </c>
      <c r="I206" s="12">
        <v>4592012.999929999</v>
      </c>
      <c r="J206" s="13">
        <v>0.16064149649000001</v>
      </c>
    </row>
    <row r="207" spans="1:10" ht="12.75" customHeight="1" x14ac:dyDescent="0.3">
      <c r="A207" s="14" t="s">
        <v>54</v>
      </c>
      <c r="B207" s="15" t="s">
        <v>29</v>
      </c>
      <c r="C207" s="16">
        <v>265000</v>
      </c>
      <c r="D207" s="17">
        <v>4.0341947480000001E-2</v>
      </c>
      <c r="E207" s="15"/>
      <c r="F207" s="16">
        <v>0</v>
      </c>
      <c r="G207" s="17"/>
      <c r="H207" s="15" t="s">
        <v>30</v>
      </c>
      <c r="I207" s="16">
        <v>265000</v>
      </c>
      <c r="J207" s="17">
        <v>9.2704433900000008E-3</v>
      </c>
    </row>
    <row r="208" spans="1:10" ht="12.75" customHeight="1" x14ac:dyDescent="0.3">
      <c r="A208" s="10" t="s">
        <v>48</v>
      </c>
      <c r="B208" s="11" t="s">
        <v>31</v>
      </c>
      <c r="C208" s="12">
        <v>242000</v>
      </c>
      <c r="D208" s="13">
        <v>3.6840570910000002E-2</v>
      </c>
      <c r="E208" s="11" t="s">
        <v>24</v>
      </c>
      <c r="F208" s="12">
        <v>160000</v>
      </c>
      <c r="G208" s="13">
        <v>6.310404872E-2</v>
      </c>
      <c r="H208" s="11" t="s">
        <v>35</v>
      </c>
      <c r="I208" s="12">
        <v>262000</v>
      </c>
      <c r="J208" s="13">
        <v>9.1654949799999993E-3</v>
      </c>
    </row>
    <row r="209" spans="1:10" ht="12.75" customHeight="1" x14ac:dyDescent="0.3">
      <c r="A209" s="14" t="s">
        <v>25</v>
      </c>
      <c r="B209" s="15" t="s">
        <v>30</v>
      </c>
      <c r="C209" s="16">
        <v>150000</v>
      </c>
      <c r="D209" s="17">
        <v>2.2835064610000001E-2</v>
      </c>
      <c r="E209" s="15"/>
      <c r="F209" s="16">
        <v>0</v>
      </c>
      <c r="G209" s="17"/>
      <c r="H209" s="15" t="s">
        <v>29</v>
      </c>
      <c r="I209" s="16">
        <v>916655</v>
      </c>
      <c r="J209" s="17">
        <v>3.2067163349999997E-2</v>
      </c>
    </row>
    <row r="210" spans="1:10" ht="12.75" customHeight="1" x14ac:dyDescent="0.3">
      <c r="A210" s="10" t="s">
        <v>51</v>
      </c>
      <c r="B210" s="11" t="s">
        <v>35</v>
      </c>
      <c r="C210" s="12">
        <v>90000</v>
      </c>
      <c r="D210" s="13">
        <v>1.370103877E-2</v>
      </c>
      <c r="E210" s="11" t="s">
        <v>27</v>
      </c>
      <c r="F210" s="12">
        <v>90000</v>
      </c>
      <c r="G210" s="13">
        <v>3.5496027399999998E-2</v>
      </c>
      <c r="H210" s="11" t="s">
        <v>40</v>
      </c>
      <c r="I210" s="12">
        <v>90000</v>
      </c>
      <c r="J210" s="13">
        <v>3.1484524699999998E-3</v>
      </c>
    </row>
    <row r="211" spans="1:10" ht="12.75" customHeight="1" x14ac:dyDescent="0.3">
      <c r="A211" s="14" t="s">
        <v>71</v>
      </c>
      <c r="B211" s="15" t="s">
        <v>37</v>
      </c>
      <c r="C211" s="16">
        <v>88205</v>
      </c>
      <c r="D211" s="17">
        <v>1.342777916E-2</v>
      </c>
      <c r="E211" s="15"/>
      <c r="F211" s="16">
        <v>0</v>
      </c>
      <c r="G211" s="17"/>
      <c r="H211" s="15" t="s">
        <v>42</v>
      </c>
      <c r="I211" s="16">
        <v>88205</v>
      </c>
      <c r="J211" s="17">
        <v>3.0856583400000002E-3</v>
      </c>
    </row>
    <row r="212" spans="1:10" ht="12.75" customHeight="1" x14ac:dyDescent="0.3">
      <c r="A212" s="10" t="s">
        <v>33</v>
      </c>
      <c r="B212" s="11" t="s">
        <v>36</v>
      </c>
      <c r="C212" s="12">
        <v>53847.62</v>
      </c>
      <c r="D212" s="13">
        <v>8.1974258799999995E-3</v>
      </c>
      <c r="E212" s="11"/>
      <c r="F212" s="12">
        <v>0</v>
      </c>
      <c r="G212" s="13"/>
      <c r="H212" s="11" t="s">
        <v>31</v>
      </c>
      <c r="I212" s="12">
        <v>314715.62</v>
      </c>
      <c r="J212" s="13">
        <v>1.1009635239999999E-2</v>
      </c>
    </row>
    <row r="213" spans="1:10" ht="12.75" customHeight="1" x14ac:dyDescent="0.3">
      <c r="A213" s="14" t="s">
        <v>46</v>
      </c>
      <c r="B213" s="15" t="s">
        <v>40</v>
      </c>
      <c r="C213" s="16">
        <v>40136.999980000008</v>
      </c>
      <c r="D213" s="17">
        <v>6.1102065900000002E-3</v>
      </c>
      <c r="E213" s="15" t="s">
        <v>30</v>
      </c>
      <c r="F213" s="16">
        <v>15136.99999</v>
      </c>
      <c r="G213" s="17">
        <v>5.9700374100000002E-3</v>
      </c>
      <c r="H213" s="15" t="s">
        <v>37</v>
      </c>
      <c r="I213" s="16">
        <v>107025.99993000001</v>
      </c>
      <c r="J213" s="17">
        <v>3.7440697099999998E-3</v>
      </c>
    </row>
    <row r="214" spans="1:10" ht="12.75" customHeight="1" x14ac:dyDescent="0.3">
      <c r="A214" s="10" t="s">
        <v>41</v>
      </c>
      <c r="B214" s="11" t="s">
        <v>42</v>
      </c>
      <c r="C214" s="12">
        <v>24999.99999</v>
      </c>
      <c r="D214" s="13">
        <v>3.8058441000000001E-3</v>
      </c>
      <c r="E214" s="11"/>
      <c r="F214" s="12">
        <v>0</v>
      </c>
      <c r="G214" s="13"/>
      <c r="H214" s="11" t="s">
        <v>47</v>
      </c>
      <c r="I214" s="12">
        <v>87499.999960000016</v>
      </c>
      <c r="J214" s="13">
        <v>3.0609954599999998E-3</v>
      </c>
    </row>
    <row r="215" spans="1:10" ht="12.75" customHeight="1" x14ac:dyDescent="0.3">
      <c r="A215" s="14" t="s">
        <v>43</v>
      </c>
      <c r="B215" s="15" t="s">
        <v>47</v>
      </c>
      <c r="C215" s="16">
        <v>8654.76</v>
      </c>
      <c r="D215" s="17">
        <v>1.31754669E-3</v>
      </c>
      <c r="E215" s="15"/>
      <c r="F215" s="16">
        <v>0</v>
      </c>
      <c r="G215" s="17"/>
      <c r="H215" s="15" t="s">
        <v>44</v>
      </c>
      <c r="I215" s="16">
        <v>8654.76</v>
      </c>
      <c r="J215" s="17">
        <v>3.0276777999999998E-4</v>
      </c>
    </row>
    <row r="216" spans="1:10" ht="12.75" customHeight="1" x14ac:dyDescent="0.3">
      <c r="A216" s="10" t="s">
        <v>86</v>
      </c>
      <c r="B216" s="11" t="s">
        <v>49</v>
      </c>
      <c r="C216" s="12">
        <v>8358.9999799999987</v>
      </c>
      <c r="D216" s="13">
        <v>1.27252203E-3</v>
      </c>
      <c r="E216" s="11" t="s">
        <v>35</v>
      </c>
      <c r="F216" s="12">
        <v>8358.9999799999987</v>
      </c>
      <c r="G216" s="13">
        <v>3.2967921400000001E-3</v>
      </c>
      <c r="H216" s="11" t="s">
        <v>55</v>
      </c>
      <c r="I216" s="12">
        <v>19144.999970000001</v>
      </c>
      <c r="J216" s="13">
        <v>6.6974581000000004E-4</v>
      </c>
    </row>
    <row r="217" spans="1:10" ht="12.75" customHeight="1" x14ac:dyDescent="0.3">
      <c r="A217" s="14" t="s">
        <v>69</v>
      </c>
      <c r="B217" s="15"/>
      <c r="C217" s="16">
        <v>0</v>
      </c>
      <c r="D217" s="17"/>
      <c r="E217" s="15"/>
      <c r="F217" s="16">
        <v>0</v>
      </c>
      <c r="G217" s="17"/>
      <c r="H217" s="15" t="s">
        <v>36</v>
      </c>
      <c r="I217" s="16">
        <v>102500</v>
      </c>
      <c r="J217" s="17">
        <v>3.5857375399999999E-3</v>
      </c>
    </row>
    <row r="218" spans="1:10" ht="12.75" customHeight="1" x14ac:dyDescent="0.3">
      <c r="A218" s="10" t="s">
        <v>34</v>
      </c>
      <c r="B218" s="11"/>
      <c r="C218" s="12">
        <v>0</v>
      </c>
      <c r="D218" s="13"/>
      <c r="E218" s="11"/>
      <c r="F218" s="12">
        <v>0</v>
      </c>
      <c r="G218" s="13"/>
      <c r="H218" s="11" t="s">
        <v>49</v>
      </c>
      <c r="I218" s="12">
        <v>50000</v>
      </c>
      <c r="J218" s="13">
        <v>1.74914026E-3</v>
      </c>
    </row>
    <row r="219" spans="1:10" ht="12.75" customHeight="1" x14ac:dyDescent="0.3">
      <c r="A219" s="14" t="s">
        <v>108</v>
      </c>
      <c r="B219" s="15"/>
      <c r="C219" s="16">
        <v>0</v>
      </c>
      <c r="D219" s="17"/>
      <c r="E219" s="15"/>
      <c r="F219" s="16">
        <v>0</v>
      </c>
      <c r="G219" s="17"/>
      <c r="H219" s="15" t="s">
        <v>45</v>
      </c>
      <c r="I219" s="16">
        <v>40000</v>
      </c>
      <c r="J219" s="17">
        <v>1.39931221E-3</v>
      </c>
    </row>
    <row r="220" spans="1:10" ht="12.75" customHeight="1" x14ac:dyDescent="0.3">
      <c r="A220" s="10" t="s">
        <v>28</v>
      </c>
      <c r="B220" s="11"/>
      <c r="C220" s="12">
        <v>0</v>
      </c>
      <c r="D220" s="13"/>
      <c r="E220" s="11"/>
      <c r="F220" s="12">
        <v>0</v>
      </c>
      <c r="G220" s="13"/>
      <c r="H220" s="11" t="s">
        <v>50</v>
      </c>
      <c r="I220" s="12">
        <v>20922.5</v>
      </c>
      <c r="J220" s="13">
        <v>7.3192774000000003E-4</v>
      </c>
    </row>
    <row r="221" spans="1:10" ht="12.75" customHeight="1" x14ac:dyDescent="0.3">
      <c r="A221" s="18" t="s">
        <v>116</v>
      </c>
      <c r="B221" s="19"/>
      <c r="C221" s="20">
        <f>SUM(C200:C220)</f>
        <v>6568844.9997999994</v>
      </c>
      <c r="D221" s="21">
        <f>ROUND(SUM(D200:D220), 1)</f>
        <v>1</v>
      </c>
      <c r="E221" s="19"/>
      <c r="F221" s="20">
        <f>SUM(F200:F220)</f>
        <v>2535494.9998599994</v>
      </c>
      <c r="G221" s="21">
        <f>ROUND(SUM(G200:G220), 1)</f>
        <v>1</v>
      </c>
      <c r="H221" s="19"/>
      <c r="I221" s="20">
        <f>SUM(I200:I220)</f>
        <v>28585471.999220002</v>
      </c>
      <c r="J221" s="21">
        <f>ROUND(SUM(J200:J220), 1)</f>
        <v>1</v>
      </c>
    </row>
    <row r="224" spans="1:10" ht="12.75" customHeight="1" x14ac:dyDescent="0.3">
      <c r="A224" s="26" t="s">
        <v>123</v>
      </c>
      <c r="B224" s="24"/>
      <c r="C224" s="24"/>
      <c r="D224" s="24"/>
      <c r="E224" s="24"/>
      <c r="F224" s="24"/>
      <c r="G224" s="24"/>
      <c r="H224" s="24"/>
      <c r="I224" s="24"/>
      <c r="J224" s="27"/>
    </row>
    <row r="225" spans="1:10" ht="12.75" customHeight="1" x14ac:dyDescent="0.3">
      <c r="A225" s="28" t="s">
        <v>134</v>
      </c>
      <c r="B225" s="28" t="s">
        <v>6</v>
      </c>
      <c r="C225" s="28"/>
      <c r="D225" s="28"/>
      <c r="E225" s="28" t="s">
        <v>7</v>
      </c>
      <c r="F225" s="28"/>
      <c r="G225" s="28"/>
      <c r="H225" s="28" t="s">
        <v>8</v>
      </c>
      <c r="I225" s="28"/>
      <c r="J225" s="29"/>
    </row>
    <row r="226" spans="1:10" ht="12.75" customHeight="1" x14ac:dyDescent="0.3">
      <c r="A226" s="28"/>
      <c r="B226" s="8" t="s">
        <v>9</v>
      </c>
      <c r="C226" s="8" t="s">
        <v>10</v>
      </c>
      <c r="D226" s="8" t="s">
        <v>11</v>
      </c>
      <c r="E226" s="8" t="s">
        <v>12</v>
      </c>
      <c r="F226" s="8" t="s">
        <v>10</v>
      </c>
      <c r="G226" s="8" t="s">
        <v>11</v>
      </c>
      <c r="H226" s="8" t="s">
        <v>13</v>
      </c>
      <c r="I226" s="8" t="s">
        <v>10</v>
      </c>
      <c r="J226" s="9" t="s">
        <v>11</v>
      </c>
    </row>
    <row r="227" spans="1:10" ht="12.75" customHeight="1" x14ac:dyDescent="0.3">
      <c r="A227" s="10" t="s">
        <v>14</v>
      </c>
      <c r="B227" s="11" t="s">
        <v>15</v>
      </c>
      <c r="C227" s="12">
        <v>592343</v>
      </c>
      <c r="D227" s="13">
        <v>0.72031135426000004</v>
      </c>
      <c r="E227" s="11" t="s">
        <v>15</v>
      </c>
      <c r="F227" s="12">
        <v>480343</v>
      </c>
      <c r="G227" s="13">
        <v>0.91434167771999997</v>
      </c>
      <c r="H227" s="11" t="s">
        <v>15</v>
      </c>
      <c r="I227" s="12">
        <v>1778343</v>
      </c>
      <c r="J227" s="13">
        <v>0.82567143271999999</v>
      </c>
    </row>
    <row r="228" spans="1:10" ht="12.75" customHeight="1" x14ac:dyDescent="0.3">
      <c r="A228" s="14" t="s">
        <v>16</v>
      </c>
      <c r="B228" s="15" t="s">
        <v>17</v>
      </c>
      <c r="C228" s="16">
        <v>185000</v>
      </c>
      <c r="D228" s="17">
        <v>0.22496695418000001</v>
      </c>
      <c r="E228" s="15"/>
      <c r="F228" s="16">
        <v>0</v>
      </c>
      <c r="G228" s="17"/>
      <c r="H228" s="15" t="s">
        <v>17</v>
      </c>
      <c r="I228" s="16">
        <v>185000</v>
      </c>
      <c r="J228" s="17">
        <v>8.5894124500000002E-2</v>
      </c>
    </row>
    <row r="229" spans="1:10" ht="12.75" customHeight="1" x14ac:dyDescent="0.3">
      <c r="A229" s="10" t="s">
        <v>20</v>
      </c>
      <c r="B229" s="11" t="s">
        <v>19</v>
      </c>
      <c r="C229" s="12">
        <v>45000</v>
      </c>
      <c r="D229" s="13">
        <v>5.4721691560000001E-2</v>
      </c>
      <c r="E229" s="11" t="s">
        <v>17</v>
      </c>
      <c r="F229" s="12">
        <v>45000</v>
      </c>
      <c r="G229" s="13">
        <v>8.5658322280000004E-2</v>
      </c>
      <c r="H229" s="11" t="s">
        <v>22</v>
      </c>
      <c r="I229" s="12">
        <v>45000</v>
      </c>
      <c r="J229" s="13">
        <v>2.0893165419999998E-2</v>
      </c>
    </row>
    <row r="230" spans="1:10" ht="12.75" customHeight="1" x14ac:dyDescent="0.3">
      <c r="A230" s="14" t="s">
        <v>28</v>
      </c>
      <c r="B230" s="15"/>
      <c r="C230" s="16">
        <v>0</v>
      </c>
      <c r="D230" s="17"/>
      <c r="E230" s="15"/>
      <c r="F230" s="16">
        <v>0</v>
      </c>
      <c r="G230" s="17"/>
      <c r="H230" s="15" t="s">
        <v>19</v>
      </c>
      <c r="I230" s="16">
        <v>88510</v>
      </c>
      <c r="J230" s="17">
        <v>4.1094534920000002E-2</v>
      </c>
    </row>
    <row r="231" spans="1:10" ht="12.75" customHeight="1" x14ac:dyDescent="0.3">
      <c r="A231" s="10" t="s">
        <v>43</v>
      </c>
      <c r="B231" s="11"/>
      <c r="C231" s="12">
        <v>0</v>
      </c>
      <c r="D231" s="13"/>
      <c r="E231" s="11"/>
      <c r="F231" s="12">
        <v>0</v>
      </c>
      <c r="G231" s="13"/>
      <c r="H231" s="11" t="s">
        <v>21</v>
      </c>
      <c r="I231" s="12">
        <v>56961.374000000003</v>
      </c>
      <c r="J231" s="13">
        <v>2.644674243E-2</v>
      </c>
    </row>
    <row r="232" spans="1:10" ht="12.75" customHeight="1" x14ac:dyDescent="0.3">
      <c r="A232" s="18" t="s">
        <v>116</v>
      </c>
      <c r="B232" s="19"/>
      <c r="C232" s="20">
        <f>SUM(C227:C231)</f>
        <v>822343</v>
      </c>
      <c r="D232" s="21">
        <f>ROUND(SUM(D227:D231), 1)</f>
        <v>1</v>
      </c>
      <c r="E232" s="19"/>
      <c r="F232" s="20">
        <f>SUM(F227:F231)</f>
        <v>525343</v>
      </c>
      <c r="G232" s="21">
        <f>ROUND(SUM(G227:G231), 1)</f>
        <v>1</v>
      </c>
      <c r="H232" s="19"/>
      <c r="I232" s="20">
        <f>SUM(I227:I231)</f>
        <v>2153814.3739999998</v>
      </c>
      <c r="J232" s="21">
        <f>ROUND(SUM(J227:J231), 1)</f>
        <v>1</v>
      </c>
    </row>
    <row r="234" spans="1:10" ht="12.75" customHeight="1" x14ac:dyDescent="0.3">
      <c r="A234" s="32"/>
      <c r="B234" s="32"/>
      <c r="F234" s="32"/>
    </row>
    <row r="235" spans="1:10" ht="12.75" customHeight="1" x14ac:dyDescent="0.3">
      <c r="A235" s="26" t="s">
        <v>124</v>
      </c>
      <c r="B235" s="24"/>
      <c r="C235" s="24"/>
      <c r="D235" s="24"/>
      <c r="E235" s="24"/>
      <c r="F235" s="24"/>
      <c r="G235" s="24"/>
      <c r="H235" s="24"/>
      <c r="I235" s="24"/>
      <c r="J235" s="27"/>
    </row>
    <row r="236" spans="1:10" ht="12.75" customHeight="1" x14ac:dyDescent="0.3">
      <c r="A236" s="28" t="s">
        <v>134</v>
      </c>
      <c r="B236" s="28" t="s">
        <v>6</v>
      </c>
      <c r="C236" s="28"/>
      <c r="D236" s="28"/>
      <c r="E236" s="28" t="s">
        <v>7</v>
      </c>
      <c r="F236" s="28"/>
      <c r="G236" s="28"/>
      <c r="H236" s="28" t="s">
        <v>8</v>
      </c>
      <c r="I236" s="28"/>
      <c r="J236" s="29"/>
    </row>
    <row r="237" spans="1:10" ht="12.75" customHeight="1" x14ac:dyDescent="0.3">
      <c r="A237" s="28"/>
      <c r="B237" s="8" t="s">
        <v>9</v>
      </c>
      <c r="C237" s="8" t="s">
        <v>10</v>
      </c>
      <c r="D237" s="8" t="s">
        <v>11</v>
      </c>
      <c r="E237" s="8" t="s">
        <v>12</v>
      </c>
      <c r="F237" s="8" t="s">
        <v>10</v>
      </c>
      <c r="G237" s="8" t="s">
        <v>11</v>
      </c>
      <c r="H237" s="8" t="s">
        <v>13</v>
      </c>
      <c r="I237" s="8" t="s">
        <v>10</v>
      </c>
      <c r="J237" s="9" t="s">
        <v>11</v>
      </c>
    </row>
    <row r="238" spans="1:10" ht="12.75" customHeight="1" x14ac:dyDescent="0.3">
      <c r="A238" s="10" t="s">
        <v>23</v>
      </c>
      <c r="B238" s="11" t="s">
        <v>15</v>
      </c>
      <c r="C238" s="12">
        <v>6334167.6111299992</v>
      </c>
      <c r="D238" s="13">
        <v>0.53285211336858129</v>
      </c>
      <c r="E238" s="11" t="s">
        <v>15</v>
      </c>
      <c r="F238" s="12">
        <v>4618865.2028799998</v>
      </c>
      <c r="G238" s="13">
        <v>0.60886242283318015</v>
      </c>
      <c r="H238" s="11" t="s">
        <v>15</v>
      </c>
      <c r="I238" s="12">
        <v>8182526.1111299992</v>
      </c>
      <c r="J238" s="13">
        <v>0.32308231738438864</v>
      </c>
    </row>
    <row r="239" spans="1:10" ht="12.75" customHeight="1" x14ac:dyDescent="0.3">
      <c r="A239" s="14" t="s">
        <v>14</v>
      </c>
      <c r="B239" s="15" t="s">
        <v>17</v>
      </c>
      <c r="C239" s="16">
        <v>2941749.1743600001</v>
      </c>
      <c r="D239" s="17">
        <v>0.24747012721982015</v>
      </c>
      <c r="E239" s="15" t="s">
        <v>17</v>
      </c>
      <c r="F239" s="16">
        <v>1968310.1743600001</v>
      </c>
      <c r="G239" s="17">
        <v>0.25946418633320845</v>
      </c>
      <c r="H239" s="15" t="s">
        <v>17</v>
      </c>
      <c r="I239" s="16">
        <v>8167353.9742099997</v>
      </c>
      <c r="J239" s="17">
        <v>0.3224832543213183</v>
      </c>
    </row>
    <row r="240" spans="1:10" ht="12.75" customHeight="1" x14ac:dyDescent="0.3">
      <c r="A240" s="10" t="s">
        <v>34</v>
      </c>
      <c r="B240" s="11" t="s">
        <v>19</v>
      </c>
      <c r="C240" s="12">
        <v>1429769.8218799999</v>
      </c>
      <c r="D240" s="13">
        <v>0.12027718841552172</v>
      </c>
      <c r="E240" s="11" t="s">
        <v>29</v>
      </c>
      <c r="F240" s="12">
        <v>90000</v>
      </c>
      <c r="G240" s="13">
        <v>1.186387037682292E-2</v>
      </c>
      <c r="H240" s="11" t="s">
        <v>19</v>
      </c>
      <c r="I240" s="12">
        <v>3132604.5915899999</v>
      </c>
      <c r="J240" s="13">
        <v>0.1236890829499724</v>
      </c>
    </row>
    <row r="241" spans="1:10" ht="12.75" customHeight="1" x14ac:dyDescent="0.3">
      <c r="A241" s="14" t="s">
        <v>58</v>
      </c>
      <c r="B241" s="15" t="s">
        <v>21</v>
      </c>
      <c r="C241" s="16">
        <v>251326.89490000001</v>
      </c>
      <c r="D241" s="17">
        <v>2.11424886923599E-2</v>
      </c>
      <c r="E241" s="15" t="s">
        <v>19</v>
      </c>
      <c r="F241" s="16">
        <v>251326.89490000001</v>
      </c>
      <c r="G241" s="17">
        <v>3.3130107814477748E-2</v>
      </c>
      <c r="H241" s="15" t="s">
        <v>27</v>
      </c>
      <c r="I241" s="16">
        <v>376246.64889999997</v>
      </c>
      <c r="J241" s="17">
        <v>1.485588161697113E-2</v>
      </c>
    </row>
    <row r="242" spans="1:10" ht="12.75" customHeight="1" x14ac:dyDescent="0.3">
      <c r="A242" s="10" t="s">
        <v>16</v>
      </c>
      <c r="B242" s="11" t="s">
        <v>22</v>
      </c>
      <c r="C242" s="12">
        <v>242762.8</v>
      </c>
      <c r="D242" s="13">
        <v>2.0422047373671776E-2</v>
      </c>
      <c r="E242" s="11" t="s">
        <v>21</v>
      </c>
      <c r="F242" s="12">
        <v>242762.8</v>
      </c>
      <c r="G242" s="13">
        <v>3.2001182127939856E-2</v>
      </c>
      <c r="H242" s="11" t="s">
        <v>21</v>
      </c>
      <c r="I242" s="12">
        <v>3132266.0017900001</v>
      </c>
      <c r="J242" s="13">
        <v>0.12367571392728417</v>
      </c>
    </row>
    <row r="243" spans="1:10" ht="12.75" customHeight="1" x14ac:dyDescent="0.3">
      <c r="A243" s="14" t="s">
        <v>26</v>
      </c>
      <c r="B243" s="15" t="s">
        <v>24</v>
      </c>
      <c r="C243" s="16">
        <v>190422</v>
      </c>
      <c r="D243" s="17">
        <v>1.6018958032241046E-2</v>
      </c>
      <c r="E243" s="15" t="s">
        <v>30</v>
      </c>
      <c r="F243" s="16">
        <v>20522</v>
      </c>
      <c r="G243" s="17">
        <v>2.7052260874795551E-3</v>
      </c>
      <c r="H243" s="15" t="s">
        <v>24</v>
      </c>
      <c r="I243" s="16">
        <v>414570.46399999998</v>
      </c>
      <c r="J243" s="17">
        <v>1.636907532089063E-2</v>
      </c>
    </row>
    <row r="244" spans="1:10" ht="12.75" customHeight="1" x14ac:dyDescent="0.3">
      <c r="A244" s="10" t="s">
        <v>43</v>
      </c>
      <c r="B244" s="11" t="s">
        <v>27</v>
      </c>
      <c r="C244" s="12">
        <v>105000</v>
      </c>
      <c r="D244" s="13">
        <v>8.8329635934152034E-3</v>
      </c>
      <c r="E244" s="11" t="s">
        <v>22</v>
      </c>
      <c r="F244" s="12">
        <v>105000</v>
      </c>
      <c r="G244" s="13">
        <v>1.3841182106293407E-2</v>
      </c>
      <c r="H244" s="11" t="s">
        <v>30</v>
      </c>
      <c r="I244" s="12">
        <v>105000</v>
      </c>
      <c r="J244" s="13">
        <v>4.145864353456488E-3</v>
      </c>
    </row>
    <row r="245" spans="1:10" ht="12.75" customHeight="1" x14ac:dyDescent="0.3">
      <c r="A245" s="14" t="s">
        <v>18</v>
      </c>
      <c r="B245" s="15" t="s">
        <v>29</v>
      </c>
      <c r="C245" s="16">
        <v>102955.17436</v>
      </c>
      <c r="D245" s="17">
        <v>8.6609457797675662E-3</v>
      </c>
      <c r="E245" s="15" t="s">
        <v>24</v>
      </c>
      <c r="F245" s="16">
        <v>102955.17436</v>
      </c>
      <c r="G245" s="17">
        <v>1.357163159144714E-2</v>
      </c>
      <c r="H245" s="15" t="s">
        <v>31</v>
      </c>
      <c r="I245" s="16">
        <v>146045.94102</v>
      </c>
      <c r="J245" s="17">
        <v>5.7665396270650164E-3</v>
      </c>
    </row>
    <row r="246" spans="1:10" ht="12.75" customHeight="1" x14ac:dyDescent="0.3">
      <c r="A246" s="10" t="s">
        <v>61</v>
      </c>
      <c r="B246" s="11" t="s">
        <v>31</v>
      </c>
      <c r="C246" s="12">
        <v>93660.213180000006</v>
      </c>
      <c r="D246" s="13">
        <v>7.8790214587661604E-3</v>
      </c>
      <c r="E246" s="11" t="s">
        <v>27</v>
      </c>
      <c r="F246" s="12">
        <v>93660.213180000006</v>
      </c>
      <c r="G246" s="13">
        <v>1.2346362540368019E-2</v>
      </c>
      <c r="H246" s="11" t="s">
        <v>35</v>
      </c>
      <c r="I246" s="12">
        <v>93660.213180000006</v>
      </c>
      <c r="J246" s="13">
        <v>3.6981194205723579E-3</v>
      </c>
    </row>
    <row r="247" spans="1:10" ht="12.75" customHeight="1" x14ac:dyDescent="0.3">
      <c r="A247" s="14" t="s">
        <v>71</v>
      </c>
      <c r="B247" s="15" t="s">
        <v>30</v>
      </c>
      <c r="C247" s="16">
        <v>82555</v>
      </c>
      <c r="D247" s="17">
        <v>6.9448124709942114E-3</v>
      </c>
      <c r="E247" s="15" t="s">
        <v>31</v>
      </c>
      <c r="F247" s="16">
        <v>82555</v>
      </c>
      <c r="G247" s="17">
        <v>1.0882464655095734E-2</v>
      </c>
      <c r="H247" s="15" t="s">
        <v>37</v>
      </c>
      <c r="I247" s="16">
        <v>82555</v>
      </c>
      <c r="J247" s="17">
        <v>3.2596364923771467E-3</v>
      </c>
    </row>
    <row r="248" spans="1:10" ht="12.75" customHeight="1" x14ac:dyDescent="0.3">
      <c r="A248" s="10" t="s">
        <v>28</v>
      </c>
      <c r="B248" s="11" t="s">
        <v>35</v>
      </c>
      <c r="C248" s="12">
        <v>75000</v>
      </c>
      <c r="D248" s="13">
        <v>6.309259709582289E-3</v>
      </c>
      <c r="E248" s="11"/>
      <c r="F248" s="12">
        <v>0</v>
      </c>
      <c r="G248" s="13"/>
      <c r="H248" s="11" t="s">
        <v>36</v>
      </c>
      <c r="I248" s="12">
        <v>75000</v>
      </c>
      <c r="J248" s="13">
        <v>2.9613316810403489E-3</v>
      </c>
    </row>
    <row r="249" spans="1:10" ht="12.75" customHeight="1" x14ac:dyDescent="0.3">
      <c r="A249" s="14" t="s">
        <v>125</v>
      </c>
      <c r="B249" s="15" t="s">
        <v>37</v>
      </c>
      <c r="C249" s="16">
        <v>19750</v>
      </c>
      <c r="D249" s="17">
        <v>1.6614383901900026E-3</v>
      </c>
      <c r="E249" s="15"/>
      <c r="F249" s="16">
        <v>0</v>
      </c>
      <c r="G249" s="17"/>
      <c r="H249" s="15" t="s">
        <v>47</v>
      </c>
      <c r="I249" s="16">
        <v>19750</v>
      </c>
      <c r="J249" s="17">
        <v>7.7981734267395847E-4</v>
      </c>
    </row>
    <row r="250" spans="1:10" ht="12.75" customHeight="1" x14ac:dyDescent="0.3">
      <c r="A250" s="10" t="s">
        <v>82</v>
      </c>
      <c r="B250" s="11" t="s">
        <v>36</v>
      </c>
      <c r="C250" s="12">
        <v>10099.799999999999</v>
      </c>
      <c r="D250" s="13">
        <v>8.4963014953118928E-4</v>
      </c>
      <c r="E250" s="11" t="s">
        <v>35</v>
      </c>
      <c r="F250" s="12">
        <v>10099.799999999999</v>
      </c>
      <c r="G250" s="13">
        <v>1.331363533687068E-3</v>
      </c>
      <c r="H250" s="11" t="s">
        <v>49</v>
      </c>
      <c r="I250" s="12">
        <v>10099.799999999999</v>
      </c>
      <c r="J250" s="13">
        <v>3.9878476949561752E-4</v>
      </c>
    </row>
    <row r="251" spans="1:10" ht="12.75" customHeight="1" x14ac:dyDescent="0.3">
      <c r="A251" s="14" t="s">
        <v>126</v>
      </c>
      <c r="B251" s="15" t="s">
        <v>40</v>
      </c>
      <c r="C251" s="16">
        <v>8071.5334699999994</v>
      </c>
      <c r="D251" s="17">
        <v>6.7900534555754557E-4</v>
      </c>
      <c r="E251" s="15"/>
      <c r="F251" s="16">
        <v>0</v>
      </c>
      <c r="G251" s="17"/>
      <c r="H251" s="15" t="s">
        <v>45</v>
      </c>
      <c r="I251" s="16">
        <v>8071.5334699999994</v>
      </c>
      <c r="J251" s="17">
        <v>3.1869983705718049E-4</v>
      </c>
    </row>
    <row r="252" spans="1:10" ht="12.75" customHeight="1" x14ac:dyDescent="0.3">
      <c r="A252" s="10" t="s">
        <v>25</v>
      </c>
      <c r="B252" s="11"/>
      <c r="C252" s="12">
        <v>0</v>
      </c>
      <c r="D252" s="13"/>
      <c r="E252" s="11"/>
      <c r="F252" s="12">
        <v>0</v>
      </c>
      <c r="G252" s="13"/>
      <c r="H252" s="11" t="s">
        <v>22</v>
      </c>
      <c r="I252" s="12">
        <v>1020205.58202</v>
      </c>
      <c r="J252" s="13">
        <v>4.0282228149467122E-2</v>
      </c>
    </row>
    <row r="253" spans="1:10" ht="12.75" customHeight="1" x14ac:dyDescent="0.3">
      <c r="A253" s="14" t="s">
        <v>38</v>
      </c>
      <c r="B253" s="15"/>
      <c r="C253" s="16">
        <v>0</v>
      </c>
      <c r="D253" s="17"/>
      <c r="E253" s="15"/>
      <c r="F253" s="16">
        <v>0</v>
      </c>
      <c r="G253" s="17"/>
      <c r="H253" s="15" t="s">
        <v>29</v>
      </c>
      <c r="I253" s="16">
        <v>242397.03930999999</v>
      </c>
      <c r="J253" s="17">
        <v>9.5709070919878098E-3</v>
      </c>
    </row>
    <row r="254" spans="1:10" ht="12.75" customHeight="1" x14ac:dyDescent="0.3">
      <c r="A254" s="10" t="s">
        <v>32</v>
      </c>
      <c r="B254" s="11"/>
      <c r="C254" s="12">
        <v>0</v>
      </c>
      <c r="D254" s="13"/>
      <c r="E254" s="11"/>
      <c r="F254" s="12">
        <v>0</v>
      </c>
      <c r="G254" s="13"/>
      <c r="H254" s="11" t="s">
        <v>36</v>
      </c>
      <c r="I254" s="12">
        <v>75000</v>
      </c>
      <c r="J254" s="13">
        <v>2.9613316810403489E-3</v>
      </c>
    </row>
    <row r="255" spans="1:10" ht="12.75" customHeight="1" x14ac:dyDescent="0.3">
      <c r="A255" s="14" t="s">
        <v>104</v>
      </c>
      <c r="B255" s="15"/>
      <c r="C255" s="16">
        <v>0</v>
      </c>
      <c r="D255" s="17"/>
      <c r="E255" s="15"/>
      <c r="F255" s="16">
        <v>0</v>
      </c>
      <c r="G255" s="17"/>
      <c r="H255" s="15" t="s">
        <v>42</v>
      </c>
      <c r="I255" s="16">
        <v>43090.766659999987</v>
      </c>
      <c r="J255" s="17">
        <v>1.7014140329410024E-3</v>
      </c>
    </row>
    <row r="256" spans="1:10" ht="12.75" customHeight="1" x14ac:dyDescent="0.3">
      <c r="A256" s="18" t="s">
        <v>116</v>
      </c>
      <c r="B256" s="19"/>
      <c r="C256" s="20">
        <f>SUM(C238:C255)</f>
        <v>11887290.023279998</v>
      </c>
      <c r="D256" s="21">
        <f>ROUND(SUM(D238:D255), 1)</f>
        <v>1</v>
      </c>
      <c r="E256" s="19"/>
      <c r="F256" s="20">
        <f>SUM(F238:F255)</f>
        <v>7586057.2596799992</v>
      </c>
      <c r="G256" s="21">
        <f>ROUND(SUM(G238:G255), 1)</f>
        <v>1</v>
      </c>
      <c r="H256" s="19"/>
      <c r="I256" s="20">
        <f>SUM(I238:I255)</f>
        <v>25326443.667280007</v>
      </c>
      <c r="J256" s="21">
        <f>ROUND(SUM(J238:J255), 1)</f>
        <v>1</v>
      </c>
    </row>
    <row r="259" spans="1:10" ht="12.75" customHeight="1" x14ac:dyDescent="0.3">
      <c r="A259" s="26" t="s">
        <v>127</v>
      </c>
      <c r="B259" s="24"/>
      <c r="C259" s="24"/>
      <c r="D259" s="24"/>
      <c r="E259" s="24"/>
      <c r="F259" s="24"/>
      <c r="G259" s="24"/>
      <c r="H259" s="24"/>
      <c r="I259" s="24"/>
      <c r="J259" s="27"/>
    </row>
    <row r="260" spans="1:10" ht="12.75" customHeight="1" x14ac:dyDescent="0.3">
      <c r="A260" s="28" t="s">
        <v>134</v>
      </c>
      <c r="B260" s="28" t="s">
        <v>6</v>
      </c>
      <c r="C260" s="28"/>
      <c r="D260" s="28"/>
      <c r="E260" s="28" t="s">
        <v>7</v>
      </c>
      <c r="F260" s="28"/>
      <c r="G260" s="28"/>
      <c r="H260" s="28" t="s">
        <v>8</v>
      </c>
      <c r="I260" s="28"/>
      <c r="J260" s="29"/>
    </row>
    <row r="261" spans="1:10" ht="12.75" customHeight="1" x14ac:dyDescent="0.3">
      <c r="A261" s="28"/>
      <c r="B261" s="8" t="s">
        <v>9</v>
      </c>
      <c r="C261" s="8" t="s">
        <v>10</v>
      </c>
      <c r="D261" s="8" t="s">
        <v>11</v>
      </c>
      <c r="E261" s="8" t="s">
        <v>12</v>
      </c>
      <c r="F261" s="8" t="s">
        <v>10</v>
      </c>
      <c r="G261" s="8" t="s">
        <v>11</v>
      </c>
      <c r="H261" s="8" t="s">
        <v>13</v>
      </c>
      <c r="I261" s="8" t="s">
        <v>10</v>
      </c>
      <c r="J261" s="9" t="s">
        <v>11</v>
      </c>
    </row>
    <row r="262" spans="1:10" ht="12.75" customHeight="1" x14ac:dyDescent="0.3">
      <c r="A262" s="10" t="s">
        <v>25</v>
      </c>
      <c r="B262" s="11"/>
      <c r="C262" s="12">
        <v>0</v>
      </c>
      <c r="D262" s="13"/>
      <c r="E262" s="11"/>
      <c r="F262" s="12">
        <v>0</v>
      </c>
      <c r="G262" s="13"/>
      <c r="H262" s="11" t="s">
        <v>15</v>
      </c>
      <c r="I262" s="12">
        <v>1020205.58202</v>
      </c>
      <c r="J262" s="13">
        <v>0.5</v>
      </c>
    </row>
    <row r="263" spans="1:10" ht="12.75" customHeight="1" x14ac:dyDescent="0.3">
      <c r="A263" s="14" t="s">
        <v>16</v>
      </c>
      <c r="B263" s="15"/>
      <c r="C263" s="16">
        <v>0</v>
      </c>
      <c r="D263" s="17"/>
      <c r="E263" s="15"/>
      <c r="F263" s="16">
        <v>0</v>
      </c>
      <c r="G263" s="17"/>
      <c r="H263" s="15" t="s">
        <v>15</v>
      </c>
      <c r="I263" s="16">
        <v>1020205.58202</v>
      </c>
      <c r="J263" s="17">
        <v>0.5</v>
      </c>
    </row>
    <row r="264" spans="1:10" ht="12.75" customHeight="1" x14ac:dyDescent="0.3">
      <c r="A264" s="18" t="s">
        <v>116</v>
      </c>
      <c r="B264" s="19"/>
      <c r="C264" s="20">
        <f>SUM(C262:C263)</f>
        <v>0</v>
      </c>
      <c r="D264" s="21">
        <f>ROUND(SUM(D262:D263), 1)</f>
        <v>0</v>
      </c>
      <c r="E264" s="19"/>
      <c r="F264" s="20">
        <f>SUM(F262:F263)</f>
        <v>0</v>
      </c>
      <c r="G264" s="21">
        <f>ROUND(SUM(G262:G263), 1)</f>
        <v>0</v>
      </c>
      <c r="H264" s="19"/>
      <c r="I264" s="20">
        <f>SUM(I262:I263)</f>
        <v>2040411.1640399999</v>
      </c>
      <c r="J264" s="21">
        <f>ROUND(SUM(J262:J263), 1)</f>
        <v>1</v>
      </c>
    </row>
    <row r="267" spans="1:10" ht="12.75" customHeight="1" x14ac:dyDescent="0.3">
      <c r="A267" s="26" t="s">
        <v>128</v>
      </c>
      <c r="B267" s="24"/>
      <c r="C267" s="24"/>
      <c r="D267" s="24"/>
      <c r="E267" s="24"/>
      <c r="F267" s="24"/>
      <c r="G267" s="24"/>
      <c r="H267" s="24"/>
      <c r="I267" s="24"/>
      <c r="J267" s="27"/>
    </row>
    <row r="268" spans="1:10" ht="12.75" customHeight="1" x14ac:dyDescent="0.3">
      <c r="A268" s="28" t="s">
        <v>134</v>
      </c>
      <c r="B268" s="28" t="s">
        <v>6</v>
      </c>
      <c r="C268" s="28"/>
      <c r="D268" s="28"/>
      <c r="E268" s="28" t="s">
        <v>7</v>
      </c>
      <c r="F268" s="28"/>
      <c r="G268" s="28"/>
      <c r="H268" s="28" t="s">
        <v>8</v>
      </c>
      <c r="I268" s="28"/>
      <c r="J268" s="29"/>
    </row>
    <row r="269" spans="1:10" ht="12.75" customHeight="1" x14ac:dyDescent="0.3">
      <c r="A269" s="28"/>
      <c r="B269" s="8" t="s">
        <v>9</v>
      </c>
      <c r="C269" s="8" t="s">
        <v>10</v>
      </c>
      <c r="D269" s="8" t="s">
        <v>11</v>
      </c>
      <c r="E269" s="8" t="s">
        <v>12</v>
      </c>
      <c r="F269" s="8" t="s">
        <v>10</v>
      </c>
      <c r="G269" s="8" t="s">
        <v>11</v>
      </c>
      <c r="H269" s="8" t="s">
        <v>13</v>
      </c>
      <c r="I269" s="8" t="s">
        <v>10</v>
      </c>
      <c r="J269" s="9" t="s">
        <v>11</v>
      </c>
    </row>
    <row r="270" spans="1:10" ht="12.75" customHeight="1" x14ac:dyDescent="0.3">
      <c r="A270" s="10" t="s">
        <v>23</v>
      </c>
      <c r="B270" s="11" t="s">
        <v>15</v>
      </c>
      <c r="C270" s="12">
        <v>4529440.36778</v>
      </c>
      <c r="D270" s="13">
        <v>0.57954978375999999</v>
      </c>
      <c r="E270" s="11" t="s">
        <v>15</v>
      </c>
      <c r="F270" s="12">
        <v>3675232.7028800002</v>
      </c>
      <c r="G270" s="13">
        <v>0.73581582917999999</v>
      </c>
      <c r="H270" s="11" t="s">
        <v>15</v>
      </c>
      <c r="I270" s="12">
        <v>6226211.36778</v>
      </c>
      <c r="J270" s="13">
        <v>0.37494461091999998</v>
      </c>
    </row>
    <row r="271" spans="1:10" ht="12.75" customHeight="1" x14ac:dyDescent="0.3">
      <c r="A271" s="14" t="s">
        <v>34</v>
      </c>
      <c r="B271" s="15" t="s">
        <v>17</v>
      </c>
      <c r="C271" s="16">
        <v>1429769.8218799999</v>
      </c>
      <c r="D271" s="17">
        <v>0.18294153887</v>
      </c>
      <c r="E271" s="15" t="s">
        <v>27</v>
      </c>
      <c r="F271" s="16">
        <v>90000</v>
      </c>
      <c r="G271" s="17">
        <v>1.8018838530000001E-2</v>
      </c>
      <c r="H271" s="15" t="s">
        <v>19</v>
      </c>
      <c r="I271" s="16">
        <v>3132604.5915899999</v>
      </c>
      <c r="J271" s="17">
        <v>0.18864653645000001</v>
      </c>
    </row>
    <row r="272" spans="1:10" ht="12.75" customHeight="1" x14ac:dyDescent="0.3">
      <c r="A272" s="10" t="s">
        <v>14</v>
      </c>
      <c r="B272" s="11" t="s">
        <v>19</v>
      </c>
      <c r="C272" s="12">
        <v>964135.17436000006</v>
      </c>
      <c r="D272" s="13">
        <v>0.12336277475</v>
      </c>
      <c r="E272" s="11" t="s">
        <v>17</v>
      </c>
      <c r="F272" s="12">
        <v>420510.17436</v>
      </c>
      <c r="G272" s="13">
        <v>8.4190054789999996E-2</v>
      </c>
      <c r="H272" s="11" t="s">
        <v>17</v>
      </c>
      <c r="I272" s="12">
        <v>4274366.9742099997</v>
      </c>
      <c r="J272" s="13">
        <v>0.25740386367000001</v>
      </c>
    </row>
    <row r="273" spans="1:10" ht="12.75" customHeight="1" x14ac:dyDescent="0.3">
      <c r="A273" s="14" t="s">
        <v>58</v>
      </c>
      <c r="B273" s="15" t="s">
        <v>21</v>
      </c>
      <c r="C273" s="16">
        <v>251326.89490000001</v>
      </c>
      <c r="D273" s="17">
        <v>3.2157713929999998E-2</v>
      </c>
      <c r="E273" s="15" t="s">
        <v>19</v>
      </c>
      <c r="F273" s="16">
        <v>251326.89490000001</v>
      </c>
      <c r="G273" s="17">
        <v>5.031798597E-2</v>
      </c>
      <c r="H273" s="15" t="s">
        <v>22</v>
      </c>
      <c r="I273" s="16">
        <v>376246.64889999997</v>
      </c>
      <c r="J273" s="17">
        <v>2.265770387E-2</v>
      </c>
    </row>
    <row r="274" spans="1:10" ht="12.75" customHeight="1" x14ac:dyDescent="0.3">
      <c r="A274" s="10" t="s">
        <v>16</v>
      </c>
      <c r="B274" s="11" t="s">
        <v>22</v>
      </c>
      <c r="C274" s="12">
        <v>242762.8</v>
      </c>
      <c r="D274" s="13">
        <v>3.1061923070000001E-2</v>
      </c>
      <c r="E274" s="11" t="s">
        <v>21</v>
      </c>
      <c r="F274" s="12">
        <v>242762.8</v>
      </c>
      <c r="G274" s="13">
        <v>4.8603374380000001E-2</v>
      </c>
      <c r="H274" s="11" t="s">
        <v>21</v>
      </c>
      <c r="I274" s="12">
        <v>2112060.41977</v>
      </c>
      <c r="J274" s="13">
        <v>0.12718901198999999</v>
      </c>
    </row>
    <row r="275" spans="1:10" ht="12.75" customHeight="1" x14ac:dyDescent="0.3">
      <c r="A275" s="14" t="s">
        <v>43</v>
      </c>
      <c r="B275" s="15" t="s">
        <v>24</v>
      </c>
      <c r="C275" s="16">
        <v>105000</v>
      </c>
      <c r="D275" s="17">
        <v>1.3434932869999999E-2</v>
      </c>
      <c r="E275" s="15" t="s">
        <v>22</v>
      </c>
      <c r="F275" s="16">
        <v>105000</v>
      </c>
      <c r="G275" s="17">
        <v>2.1021978279999999E-2</v>
      </c>
      <c r="H275" s="15" t="s">
        <v>27</v>
      </c>
      <c r="I275" s="16">
        <v>105000</v>
      </c>
      <c r="J275" s="17">
        <v>6.3231364699999999E-3</v>
      </c>
    </row>
    <row r="276" spans="1:10" ht="12.75" customHeight="1" x14ac:dyDescent="0.3">
      <c r="A276" s="10" t="s">
        <v>18</v>
      </c>
      <c r="B276" s="11" t="s">
        <v>27</v>
      </c>
      <c r="C276" s="12">
        <v>102955.17436</v>
      </c>
      <c r="D276" s="13">
        <v>1.317329387E-2</v>
      </c>
      <c r="E276" s="11" t="s">
        <v>24</v>
      </c>
      <c r="F276" s="12">
        <v>102955.17436</v>
      </c>
      <c r="G276" s="13">
        <v>2.061258514E-2</v>
      </c>
      <c r="H276" s="11" t="s">
        <v>24</v>
      </c>
      <c r="I276" s="12">
        <v>146045.94102</v>
      </c>
      <c r="J276" s="13">
        <v>8.7949372900000006E-3</v>
      </c>
    </row>
    <row r="277" spans="1:10" ht="12.75" customHeight="1" x14ac:dyDescent="0.3">
      <c r="A277" s="14" t="s">
        <v>71</v>
      </c>
      <c r="B277" s="15" t="s">
        <v>29</v>
      </c>
      <c r="C277" s="16">
        <v>82555</v>
      </c>
      <c r="D277" s="17">
        <v>1.056305603E-2</v>
      </c>
      <c r="E277" s="15" t="s">
        <v>29</v>
      </c>
      <c r="F277" s="16">
        <v>82555</v>
      </c>
      <c r="G277" s="17">
        <v>1.6528280159999999E-2</v>
      </c>
      <c r="H277" s="15" t="s">
        <v>29</v>
      </c>
      <c r="I277" s="16">
        <v>82555</v>
      </c>
      <c r="J277" s="17">
        <v>4.9714907699999998E-3</v>
      </c>
    </row>
    <row r="278" spans="1:10" ht="12.75" customHeight="1" x14ac:dyDescent="0.3">
      <c r="A278" s="10" t="s">
        <v>28</v>
      </c>
      <c r="B278" s="11" t="s">
        <v>31</v>
      </c>
      <c r="C278" s="12">
        <v>75000</v>
      </c>
      <c r="D278" s="13">
        <v>9.5963806200000008E-3</v>
      </c>
      <c r="E278" s="11"/>
      <c r="F278" s="12">
        <v>0</v>
      </c>
      <c r="G278" s="13"/>
      <c r="H278" s="11" t="s">
        <v>31</v>
      </c>
      <c r="I278" s="12">
        <v>75000</v>
      </c>
      <c r="J278" s="13">
        <v>4.5165260499999997E-3</v>
      </c>
    </row>
    <row r="279" spans="1:10" ht="12.75" customHeight="1" x14ac:dyDescent="0.3">
      <c r="A279" s="14" t="s">
        <v>61</v>
      </c>
      <c r="B279" s="15" t="s">
        <v>30</v>
      </c>
      <c r="C279" s="16">
        <v>14330</v>
      </c>
      <c r="D279" s="17">
        <v>1.8335484600000001E-3</v>
      </c>
      <c r="E279" s="15" t="s">
        <v>31</v>
      </c>
      <c r="F279" s="16">
        <v>14330</v>
      </c>
      <c r="G279" s="17">
        <v>2.8689995099999998E-3</v>
      </c>
      <c r="H279" s="15" t="s">
        <v>35</v>
      </c>
      <c r="I279" s="16">
        <v>14330</v>
      </c>
      <c r="J279" s="17">
        <v>8.6295757999999998E-4</v>
      </c>
    </row>
    <row r="280" spans="1:10" ht="12.75" customHeight="1" x14ac:dyDescent="0.3">
      <c r="A280" s="10" t="s">
        <v>82</v>
      </c>
      <c r="B280" s="11" t="s">
        <v>35</v>
      </c>
      <c r="C280" s="12">
        <v>10099.799999999999</v>
      </c>
      <c r="D280" s="13">
        <v>1.292287E-3</v>
      </c>
      <c r="E280" s="11" t="s">
        <v>30</v>
      </c>
      <c r="F280" s="12">
        <v>10099.799999999999</v>
      </c>
      <c r="G280" s="13">
        <v>2.0220740600000002E-3</v>
      </c>
      <c r="H280" s="11" t="s">
        <v>37</v>
      </c>
      <c r="I280" s="12">
        <v>10099.799999999999</v>
      </c>
      <c r="J280" s="13">
        <v>6.0821346000000003E-4</v>
      </c>
    </row>
    <row r="281" spans="1:10" ht="12.75" customHeight="1" x14ac:dyDescent="0.3">
      <c r="A281" s="14" t="s">
        <v>126</v>
      </c>
      <c r="B281" s="15" t="s">
        <v>37</v>
      </c>
      <c r="C281" s="16">
        <v>8071.5334699999994</v>
      </c>
      <c r="D281" s="17">
        <v>1.03276677E-3</v>
      </c>
      <c r="E281" s="15"/>
      <c r="F281" s="16">
        <v>0</v>
      </c>
      <c r="G281" s="17"/>
      <c r="H281" s="15" t="s">
        <v>36</v>
      </c>
      <c r="I281" s="16">
        <v>8071.5334699999994</v>
      </c>
      <c r="J281" s="17">
        <v>4.8607054999999998E-4</v>
      </c>
    </row>
    <row r="282" spans="1:10" ht="12.75" customHeight="1" x14ac:dyDescent="0.3">
      <c r="A282" s="10" t="s">
        <v>104</v>
      </c>
      <c r="B282" s="11"/>
      <c r="C282" s="12">
        <v>0</v>
      </c>
      <c r="D282" s="13"/>
      <c r="E282" s="11"/>
      <c r="F282" s="12">
        <v>0</v>
      </c>
      <c r="G282" s="13"/>
      <c r="H282" s="11" t="s">
        <v>30</v>
      </c>
      <c r="I282" s="12">
        <v>43090.766659999987</v>
      </c>
      <c r="J282" s="13">
        <v>2.5949409300000002E-3</v>
      </c>
    </row>
    <row r="283" spans="1:10" ht="12.75" customHeight="1" x14ac:dyDescent="0.3">
      <c r="A283" s="18" t="s">
        <v>116</v>
      </c>
      <c r="B283" s="19"/>
      <c r="C283" s="20">
        <f>SUM(C270:C282)</f>
        <v>7815446.5667499984</v>
      </c>
      <c r="D283" s="21">
        <f>ROUND(SUM(D270:D282), 1)</f>
        <v>1</v>
      </c>
      <c r="E283" s="19"/>
      <c r="F283" s="20">
        <f>SUM(F270:F282)</f>
        <v>4994772.5464999992</v>
      </c>
      <c r="G283" s="21">
        <f>ROUND(SUM(G270:G282), 1)</f>
        <v>1</v>
      </c>
      <c r="H283" s="19"/>
      <c r="I283" s="20">
        <f>SUM(I270:I282)</f>
        <v>16605683.043400001</v>
      </c>
      <c r="J283" s="21">
        <f>ROUND(SUM(J270:J282), 1)</f>
        <v>1</v>
      </c>
    </row>
    <row r="286" spans="1:10" ht="12.75" customHeight="1" x14ac:dyDescent="0.3">
      <c r="A286" s="26" t="s">
        <v>129</v>
      </c>
      <c r="B286" s="24"/>
      <c r="C286" s="24"/>
      <c r="D286" s="24"/>
      <c r="E286" s="24"/>
      <c r="F286" s="24"/>
      <c r="G286" s="24"/>
      <c r="H286" s="24"/>
      <c r="I286" s="24"/>
      <c r="J286" s="27"/>
    </row>
    <row r="287" spans="1:10" ht="12.75" customHeight="1" x14ac:dyDescent="0.3">
      <c r="A287" s="28" t="s">
        <v>134</v>
      </c>
      <c r="B287" s="28" t="s">
        <v>6</v>
      </c>
      <c r="C287" s="28"/>
      <c r="D287" s="28"/>
      <c r="E287" s="28" t="s">
        <v>7</v>
      </c>
      <c r="F287" s="28"/>
      <c r="G287" s="28"/>
      <c r="H287" s="28" t="s">
        <v>8</v>
      </c>
      <c r="I287" s="28"/>
      <c r="J287" s="29"/>
    </row>
    <row r="288" spans="1:10" ht="12.75" customHeight="1" x14ac:dyDescent="0.3">
      <c r="A288" s="28"/>
      <c r="B288" s="8" t="s">
        <v>9</v>
      </c>
      <c r="C288" s="8" t="s">
        <v>10</v>
      </c>
      <c r="D288" s="8" t="s">
        <v>11</v>
      </c>
      <c r="E288" s="8" t="s">
        <v>12</v>
      </c>
      <c r="F288" s="8" t="s">
        <v>10</v>
      </c>
      <c r="G288" s="8" t="s">
        <v>11</v>
      </c>
      <c r="H288" s="8" t="s">
        <v>13</v>
      </c>
      <c r="I288" s="8" t="s">
        <v>10</v>
      </c>
      <c r="J288" s="9" t="s">
        <v>11</v>
      </c>
    </row>
    <row r="289" spans="1:10" ht="12.75" customHeight="1" x14ac:dyDescent="0.3">
      <c r="A289" s="10" t="s">
        <v>38</v>
      </c>
      <c r="B289" s="11"/>
      <c r="C289" s="12">
        <v>0</v>
      </c>
      <c r="D289" s="13"/>
      <c r="E289" s="11"/>
      <c r="F289" s="12">
        <v>0</v>
      </c>
      <c r="G289" s="13"/>
      <c r="H289" s="11" t="s">
        <v>15</v>
      </c>
      <c r="I289" s="12">
        <v>242397.03930999999</v>
      </c>
      <c r="J289" s="13">
        <v>1</v>
      </c>
    </row>
    <row r="290" spans="1:10" ht="12.75" customHeight="1" x14ac:dyDescent="0.3">
      <c r="A290" s="18" t="s">
        <v>116</v>
      </c>
      <c r="B290" s="19"/>
      <c r="C290" s="20">
        <f>SUM(C289:C289)</f>
        <v>0</v>
      </c>
      <c r="D290" s="21">
        <f>ROUND(SUM(D289:D289), 1)</f>
        <v>0</v>
      </c>
      <c r="E290" s="19"/>
      <c r="F290" s="20">
        <f>SUM(F289:F289)</f>
        <v>0</v>
      </c>
      <c r="G290" s="21">
        <f>ROUND(SUM(G289:G289), 1)</f>
        <v>0</v>
      </c>
      <c r="H290" s="19"/>
      <c r="I290" s="20">
        <f>SUM(I289:I289)</f>
        <v>242397.03930999999</v>
      </c>
      <c r="J290" s="21">
        <f>ROUND(SUM(J289:J289), 1)</f>
        <v>1</v>
      </c>
    </row>
    <row r="293" spans="1:10" ht="12.75" customHeight="1" x14ac:dyDescent="0.3">
      <c r="A293" s="26" t="s">
        <v>130</v>
      </c>
      <c r="B293" s="24"/>
      <c r="C293" s="24"/>
      <c r="D293" s="24"/>
      <c r="E293" s="24"/>
      <c r="F293" s="24"/>
      <c r="G293" s="24"/>
      <c r="H293" s="24"/>
      <c r="I293" s="24"/>
      <c r="J293" s="27"/>
    </row>
    <row r="294" spans="1:10" ht="12.75" customHeight="1" x14ac:dyDescent="0.3">
      <c r="A294" s="28" t="s">
        <v>134</v>
      </c>
      <c r="B294" s="28" t="s">
        <v>6</v>
      </c>
      <c r="C294" s="28"/>
      <c r="D294" s="28"/>
      <c r="E294" s="28" t="s">
        <v>7</v>
      </c>
      <c r="F294" s="28"/>
      <c r="G294" s="28"/>
      <c r="H294" s="28" t="s">
        <v>8</v>
      </c>
      <c r="I294" s="28"/>
      <c r="J294" s="29"/>
    </row>
    <row r="295" spans="1:10" ht="12.75" customHeight="1" x14ac:dyDescent="0.3">
      <c r="A295" s="28"/>
      <c r="B295" s="8" t="s">
        <v>9</v>
      </c>
      <c r="C295" s="8" t="s">
        <v>10</v>
      </c>
      <c r="D295" s="8" t="s">
        <v>11</v>
      </c>
      <c r="E295" s="8" t="s">
        <v>12</v>
      </c>
      <c r="F295" s="8" t="s">
        <v>10</v>
      </c>
      <c r="G295" s="8" t="s">
        <v>11</v>
      </c>
      <c r="H295" s="8" t="s">
        <v>13</v>
      </c>
      <c r="I295" s="8" t="s">
        <v>10</v>
      </c>
      <c r="J295" s="9" t="s">
        <v>11</v>
      </c>
    </row>
    <row r="296" spans="1:10" ht="12.75" customHeight="1" x14ac:dyDescent="0.3">
      <c r="A296" s="10" t="s">
        <v>14</v>
      </c>
      <c r="B296" s="11" t="s">
        <v>15</v>
      </c>
      <c r="C296" s="12">
        <v>1080000</v>
      </c>
      <c r="D296" s="13">
        <v>0.57025847029999999</v>
      </c>
      <c r="E296" s="11" t="s">
        <v>15</v>
      </c>
      <c r="F296" s="12">
        <v>1080000</v>
      </c>
      <c r="G296" s="13">
        <v>0.70369670776000004</v>
      </c>
      <c r="H296" s="11" t="s">
        <v>15</v>
      </c>
      <c r="I296" s="12">
        <v>1278000</v>
      </c>
      <c r="J296" s="13">
        <v>0.56965439015999997</v>
      </c>
    </row>
    <row r="297" spans="1:10" ht="12.75" customHeight="1" x14ac:dyDescent="0.3">
      <c r="A297" s="14" t="s">
        <v>23</v>
      </c>
      <c r="B297" s="15" t="s">
        <v>17</v>
      </c>
      <c r="C297" s="16">
        <v>813878.05047999998</v>
      </c>
      <c r="D297" s="17">
        <v>0.42974152970000001</v>
      </c>
      <c r="E297" s="15" t="s">
        <v>17</v>
      </c>
      <c r="F297" s="16">
        <v>454752.1</v>
      </c>
      <c r="G297" s="17">
        <v>0.29630329224000002</v>
      </c>
      <c r="H297" s="15" t="s">
        <v>17</v>
      </c>
      <c r="I297" s="16">
        <v>965465.55047999998</v>
      </c>
      <c r="J297" s="17">
        <v>0.43034560983999998</v>
      </c>
    </row>
    <row r="298" spans="1:10" ht="12.75" customHeight="1" x14ac:dyDescent="0.3">
      <c r="A298" s="18" t="s">
        <v>116</v>
      </c>
      <c r="B298" s="19"/>
      <c r="C298" s="20">
        <f>SUM(C296:C297)</f>
        <v>1893878.05048</v>
      </c>
      <c r="D298" s="21">
        <f>ROUND(SUM(D296:D297), 1)</f>
        <v>1</v>
      </c>
      <c r="E298" s="19"/>
      <c r="F298" s="20">
        <f>SUM(F296:F297)</f>
        <v>1534752.1</v>
      </c>
      <c r="G298" s="21">
        <f>ROUND(SUM(G296:G297), 1)</f>
        <v>1</v>
      </c>
      <c r="H298" s="19"/>
      <c r="I298" s="20">
        <f>SUM(I296:I297)</f>
        <v>2243465.5504799997</v>
      </c>
      <c r="J298" s="21">
        <f>ROUND(SUM(J296:J297), 1)</f>
        <v>1</v>
      </c>
    </row>
    <row r="300" spans="1:10" ht="12.75" customHeight="1" x14ac:dyDescent="0.3">
      <c r="C300" s="31"/>
      <c r="I300" s="31"/>
    </row>
    <row r="301" spans="1:10" ht="12.75" customHeight="1" x14ac:dyDescent="0.3">
      <c r="A301" s="26" t="s">
        <v>131</v>
      </c>
      <c r="B301" s="24"/>
      <c r="C301" s="24"/>
      <c r="D301" s="24"/>
      <c r="E301" s="24"/>
      <c r="F301" s="24"/>
      <c r="G301" s="24"/>
      <c r="H301" s="24"/>
      <c r="I301" s="24"/>
      <c r="J301" s="27"/>
    </row>
    <row r="302" spans="1:10" ht="12.75" customHeight="1" x14ac:dyDescent="0.3">
      <c r="A302" s="28" t="s">
        <v>134</v>
      </c>
      <c r="B302" s="28" t="s">
        <v>6</v>
      </c>
      <c r="C302" s="28"/>
      <c r="D302" s="28"/>
      <c r="E302" s="28" t="s">
        <v>7</v>
      </c>
      <c r="F302" s="28"/>
      <c r="G302" s="28"/>
      <c r="H302" s="28" t="s">
        <v>8</v>
      </c>
      <c r="I302" s="28"/>
      <c r="J302" s="29"/>
    </row>
    <row r="303" spans="1:10" ht="12.75" customHeight="1" x14ac:dyDescent="0.3">
      <c r="A303" s="28"/>
      <c r="B303" s="8" t="s">
        <v>9</v>
      </c>
      <c r="C303" s="8" t="s">
        <v>10</v>
      </c>
      <c r="D303" s="8" t="s">
        <v>11</v>
      </c>
      <c r="E303" s="8" t="s">
        <v>12</v>
      </c>
      <c r="F303" s="8" t="s">
        <v>10</v>
      </c>
      <c r="G303" s="8" t="s">
        <v>11</v>
      </c>
      <c r="H303" s="8" t="s">
        <v>13</v>
      </c>
      <c r="I303" s="8" t="s">
        <v>10</v>
      </c>
      <c r="J303" s="9" t="s">
        <v>11</v>
      </c>
    </row>
    <row r="304" spans="1:10" ht="12.75" customHeight="1" x14ac:dyDescent="0.3">
      <c r="A304" s="10" t="s">
        <v>23</v>
      </c>
      <c r="B304" s="11" t="s">
        <v>15</v>
      </c>
      <c r="C304" s="12">
        <v>990849.19287000003</v>
      </c>
      <c r="D304" s="13">
        <v>0.45775472296000003</v>
      </c>
      <c r="E304" s="11" t="s">
        <v>15</v>
      </c>
      <c r="F304" s="12">
        <v>488880.4</v>
      </c>
      <c r="G304" s="13">
        <v>0.46865664125000001</v>
      </c>
      <c r="H304" s="11" t="s">
        <v>17</v>
      </c>
      <c r="I304" s="12">
        <v>990849.19287000003</v>
      </c>
      <c r="J304" s="13">
        <v>0.23698250813999999</v>
      </c>
    </row>
    <row r="305" spans="1:10" ht="12.75" customHeight="1" x14ac:dyDescent="0.3">
      <c r="A305" s="14" t="s">
        <v>14</v>
      </c>
      <c r="B305" s="15" t="s">
        <v>17</v>
      </c>
      <c r="C305" s="16">
        <v>897614</v>
      </c>
      <c r="D305" s="17">
        <v>0.41468172034</v>
      </c>
      <c r="E305" s="15" t="s">
        <v>17</v>
      </c>
      <c r="F305" s="16">
        <v>467800</v>
      </c>
      <c r="G305" s="17">
        <v>0.44844828463999997</v>
      </c>
      <c r="H305" s="15" t="s">
        <v>15</v>
      </c>
      <c r="I305" s="16">
        <v>2614987</v>
      </c>
      <c r="J305" s="17">
        <v>0.62542936147999995</v>
      </c>
    </row>
    <row r="306" spans="1:10" ht="12.75" customHeight="1" x14ac:dyDescent="0.3">
      <c r="A306" s="10" t="s">
        <v>26</v>
      </c>
      <c r="B306" s="11" t="s">
        <v>19</v>
      </c>
      <c r="C306" s="12">
        <v>190422</v>
      </c>
      <c r="D306" s="13">
        <v>8.1790258539999994E-2</v>
      </c>
      <c r="E306" s="11" t="s">
        <v>21</v>
      </c>
      <c r="F306" s="12">
        <v>20522</v>
      </c>
      <c r="G306" s="13">
        <v>6.8465533300000004E-3</v>
      </c>
      <c r="H306" s="11" t="s">
        <v>19</v>
      </c>
      <c r="I306" s="12">
        <v>414570.46399999998</v>
      </c>
      <c r="J306" s="13">
        <v>9.5953171370000007E-2</v>
      </c>
    </row>
    <row r="307" spans="1:10" ht="12.75" customHeight="1" x14ac:dyDescent="0.3">
      <c r="A307" s="14" t="s">
        <v>61</v>
      </c>
      <c r="B307" s="15" t="s">
        <v>21</v>
      </c>
      <c r="C307" s="16">
        <v>79330.213180000006</v>
      </c>
      <c r="D307" s="17">
        <v>3.6649149050000003E-2</v>
      </c>
      <c r="E307" s="15" t="s">
        <v>19</v>
      </c>
      <c r="F307" s="16">
        <v>79330.213180000006</v>
      </c>
      <c r="G307" s="17">
        <v>7.6048520780000003E-2</v>
      </c>
      <c r="H307" s="15" t="s">
        <v>21</v>
      </c>
      <c r="I307" s="16">
        <v>79330.213180000006</v>
      </c>
      <c r="J307" s="17">
        <v>1.8973495690000002E-2</v>
      </c>
    </row>
    <row r="308" spans="1:10" ht="12.75" customHeight="1" x14ac:dyDescent="0.3">
      <c r="A308" s="10" t="s">
        <v>125</v>
      </c>
      <c r="B308" s="11" t="s">
        <v>22</v>
      </c>
      <c r="C308" s="12">
        <v>19750</v>
      </c>
      <c r="D308" s="13">
        <v>9.1241491100000002E-3</v>
      </c>
      <c r="E308" s="11"/>
      <c r="F308" s="12">
        <v>0</v>
      </c>
      <c r="G308" s="13"/>
      <c r="H308" s="11" t="s">
        <v>24</v>
      </c>
      <c r="I308" s="12">
        <v>19750</v>
      </c>
      <c r="J308" s="13">
        <v>4.7236295600000004E-3</v>
      </c>
    </row>
    <row r="309" spans="1:10" ht="12.75" customHeight="1" x14ac:dyDescent="0.3">
      <c r="A309" s="14" t="s">
        <v>32</v>
      </c>
      <c r="B309" s="15"/>
      <c r="C309" s="16">
        <v>0</v>
      </c>
      <c r="D309" s="17"/>
      <c r="E309" s="15"/>
      <c r="F309" s="16">
        <v>0</v>
      </c>
      <c r="G309" s="17"/>
      <c r="H309" s="15" t="s">
        <v>22</v>
      </c>
      <c r="I309" s="16">
        <v>75000</v>
      </c>
      <c r="J309" s="17">
        <v>1.7937833770000002E-2</v>
      </c>
    </row>
    <row r="310" spans="1:10" ht="12.75" customHeight="1" x14ac:dyDescent="0.3">
      <c r="A310" s="18" t="s">
        <v>116</v>
      </c>
      <c r="B310" s="19"/>
      <c r="C310" s="20">
        <f>SUM(C304:C309)</f>
        <v>2177965.4060499999</v>
      </c>
      <c r="D310" s="21">
        <f>ROUND(SUM(D304:D309), 1)</f>
        <v>1</v>
      </c>
      <c r="E310" s="19"/>
      <c r="F310" s="20">
        <f>SUM(F304:F309)</f>
        <v>1056532.6131800001</v>
      </c>
      <c r="G310" s="21">
        <f>ROUND(SUM(G304:G309), 1)</f>
        <v>1</v>
      </c>
      <c r="H310" s="19"/>
      <c r="I310" s="20">
        <f>SUM(I304:I309)</f>
        <v>4194486.87005</v>
      </c>
      <c r="J310" s="21">
        <f>ROUND(SUM(J304:J309), 1)</f>
        <v>1</v>
      </c>
    </row>
    <row r="312" spans="1:10" ht="12.75" customHeight="1" x14ac:dyDescent="0.3">
      <c r="J312" s="31"/>
    </row>
    <row r="313" spans="1:10" ht="12.75" customHeight="1" x14ac:dyDescent="0.3">
      <c r="A313" s="26" t="s">
        <v>136</v>
      </c>
      <c r="B313" s="24"/>
      <c r="C313" s="24"/>
      <c r="D313" s="24"/>
      <c r="E313" s="24"/>
      <c r="F313" s="24"/>
      <c r="G313" s="24"/>
      <c r="H313" s="24"/>
      <c r="I313" s="24"/>
      <c r="J313" s="27"/>
    </row>
    <row r="314" spans="1:10" ht="12.75" customHeight="1" x14ac:dyDescent="0.3">
      <c r="A314" s="28" t="s">
        <v>134</v>
      </c>
      <c r="B314" s="28" t="s">
        <v>6</v>
      </c>
      <c r="C314" s="28"/>
      <c r="D314" s="28"/>
      <c r="E314" s="28" t="s">
        <v>7</v>
      </c>
      <c r="F314" s="28"/>
      <c r="G314" s="28"/>
      <c r="H314" s="28" t="s">
        <v>8</v>
      </c>
      <c r="I314" s="28"/>
      <c r="J314" s="29"/>
    </row>
    <row r="315" spans="1:10" ht="12.75" customHeight="1" x14ac:dyDescent="0.3">
      <c r="A315" s="28"/>
      <c r="B315" s="8" t="s">
        <v>9</v>
      </c>
      <c r="C315" s="8" t="s">
        <v>10</v>
      </c>
      <c r="D315" s="8" t="s">
        <v>11</v>
      </c>
      <c r="E315" s="8" t="s">
        <v>12</v>
      </c>
      <c r="F315" s="8" t="s">
        <v>10</v>
      </c>
      <c r="G315" s="8" t="s">
        <v>11</v>
      </c>
      <c r="H315" s="8" t="s">
        <v>13</v>
      </c>
      <c r="I315" s="8" t="s">
        <v>10</v>
      </c>
      <c r="J315" s="9" t="s">
        <v>11</v>
      </c>
    </row>
    <row r="316" spans="1:10" ht="12.75" customHeight="1" x14ac:dyDescent="0.3">
      <c r="A316" s="10" t="s">
        <v>14</v>
      </c>
      <c r="B316" s="11" t="s">
        <v>15</v>
      </c>
      <c r="C316" s="12">
        <v>22686486.808060002</v>
      </c>
      <c r="D316" s="13">
        <v>0.44194911037320472</v>
      </c>
      <c r="E316" s="11" t="s">
        <v>15</v>
      </c>
      <c r="F316" s="12">
        <v>12455371.506589999</v>
      </c>
      <c r="G316" s="13">
        <v>0.43709522423180386</v>
      </c>
      <c r="H316" s="11" t="s">
        <v>15</v>
      </c>
      <c r="I316" s="12">
        <v>30200509.733739998</v>
      </c>
      <c r="J316" s="13">
        <v>0.32555726301296117</v>
      </c>
    </row>
    <row r="317" spans="1:10" ht="12.75" customHeight="1" x14ac:dyDescent="0.3">
      <c r="A317" s="14" t="s">
        <v>23</v>
      </c>
      <c r="B317" s="15" t="s">
        <v>17</v>
      </c>
      <c r="C317" s="16">
        <v>11719419.690370001</v>
      </c>
      <c r="D317" s="17">
        <v>0.22830274030834602</v>
      </c>
      <c r="E317" s="15" t="s">
        <v>17</v>
      </c>
      <c r="F317" s="16">
        <v>5445428.2713700002</v>
      </c>
      <c r="G317" s="17">
        <v>0.19109592114963028</v>
      </c>
      <c r="H317" s="15" t="s">
        <v>17</v>
      </c>
      <c r="I317" s="16">
        <v>23256966.24645</v>
      </c>
      <c r="J317" s="17">
        <v>0.25070683720017595</v>
      </c>
    </row>
    <row r="318" spans="1:10" ht="12.75" customHeight="1" x14ac:dyDescent="0.3">
      <c r="A318" s="10" t="s">
        <v>18</v>
      </c>
      <c r="B318" s="11" t="s">
        <v>19</v>
      </c>
      <c r="C318" s="12">
        <v>4755476.8502900004</v>
      </c>
      <c r="D318" s="13">
        <v>9.2640115729128933E-2</v>
      </c>
      <c r="E318" s="11" t="s">
        <v>21</v>
      </c>
      <c r="F318" s="12">
        <v>2171760.87</v>
      </c>
      <c r="G318" s="13">
        <v>7.6213407520463058E-2</v>
      </c>
      <c r="H318" s="11" t="s">
        <v>19</v>
      </c>
      <c r="I318" s="12">
        <v>9298447.8835400008</v>
      </c>
      <c r="J318" s="13">
        <v>0.10023596521789772</v>
      </c>
    </row>
    <row r="319" spans="1:10" ht="12.75" customHeight="1" x14ac:dyDescent="0.3">
      <c r="A319" s="14" t="s">
        <v>16</v>
      </c>
      <c r="B319" s="15" t="s">
        <v>21</v>
      </c>
      <c r="C319" s="16">
        <v>3528920.8186499998</v>
      </c>
      <c r="D319" s="17">
        <v>6.8745920405170732E-2</v>
      </c>
      <c r="E319" s="15" t="s">
        <v>19</v>
      </c>
      <c r="F319" s="16">
        <v>3454914</v>
      </c>
      <c r="G319" s="17">
        <v>0.1212429840998807</v>
      </c>
      <c r="H319" s="15" t="s">
        <v>22</v>
      </c>
      <c r="I319" s="16">
        <v>6141920.8186499998</v>
      </c>
      <c r="J319" s="17">
        <v>6.6209045774089259E-2</v>
      </c>
    </row>
    <row r="320" spans="1:10" ht="12.75" customHeight="1" x14ac:dyDescent="0.3">
      <c r="A320" s="10" t="s">
        <v>32</v>
      </c>
      <c r="B320" s="11" t="s">
        <v>22</v>
      </c>
      <c r="C320" s="12">
        <v>2777791.4707999998</v>
      </c>
      <c r="D320" s="13">
        <v>5.4113379462799052E-2</v>
      </c>
      <c r="E320" s="11" t="s">
        <v>27</v>
      </c>
      <c r="F320" s="12">
        <v>636072</v>
      </c>
      <c r="G320" s="13">
        <v>2.2321617088697236E-2</v>
      </c>
      <c r="H320" s="11" t="s">
        <v>24</v>
      </c>
      <c r="I320" s="12">
        <v>6017764.6708000004</v>
      </c>
      <c r="J320" s="13">
        <v>6.4870659897935612E-2</v>
      </c>
    </row>
    <row r="321" spans="1:10" ht="12.75" customHeight="1" x14ac:dyDescent="0.3">
      <c r="A321" s="14" t="s">
        <v>26</v>
      </c>
      <c r="B321" s="15" t="s">
        <v>24</v>
      </c>
      <c r="C321" s="16">
        <v>2410000</v>
      </c>
      <c r="D321" s="17">
        <v>4.694853658967673E-2</v>
      </c>
      <c r="E321" s="15" t="s">
        <v>22</v>
      </c>
      <c r="F321" s="16">
        <v>2060000</v>
      </c>
      <c r="G321" s="17">
        <v>7.2291393431429624E-2</v>
      </c>
      <c r="H321" s="15" t="s">
        <v>27</v>
      </c>
      <c r="I321" s="16">
        <v>4105820</v>
      </c>
      <c r="J321" s="17">
        <v>4.4260164262411056E-2</v>
      </c>
    </row>
    <row r="322" spans="1:10" ht="12.75" customHeight="1" x14ac:dyDescent="0.3">
      <c r="A322" s="10" t="s">
        <v>41</v>
      </c>
      <c r="B322" s="11" t="s">
        <v>27</v>
      </c>
      <c r="C322" s="12">
        <v>1491875.656</v>
      </c>
      <c r="D322" s="13">
        <v>2.9062812789611606E-2</v>
      </c>
      <c r="E322" s="11" t="s">
        <v>24</v>
      </c>
      <c r="F322" s="12">
        <v>1111443</v>
      </c>
      <c r="G322" s="13">
        <v>3.9003768538644873E-2</v>
      </c>
      <c r="H322" s="11" t="s">
        <v>29</v>
      </c>
      <c r="I322" s="12">
        <v>2310498.1048400002</v>
      </c>
      <c r="J322" s="13">
        <v>2.490684580624768E-2</v>
      </c>
    </row>
    <row r="323" spans="1:10" ht="12.75" customHeight="1" x14ac:dyDescent="0.3">
      <c r="A323" s="14" t="s">
        <v>28</v>
      </c>
      <c r="B323" s="15" t="s">
        <v>29</v>
      </c>
      <c r="C323" s="16">
        <v>530000</v>
      </c>
      <c r="D323" s="17">
        <v>1.0324781905613555E-2</v>
      </c>
      <c r="E323" s="15" t="s">
        <v>29</v>
      </c>
      <c r="F323" s="16">
        <v>530000</v>
      </c>
      <c r="G323" s="17">
        <v>1.8599241999348398E-2</v>
      </c>
      <c r="H323" s="15" t="s">
        <v>30</v>
      </c>
      <c r="I323" s="16">
        <v>530000</v>
      </c>
      <c r="J323" s="17">
        <v>5.7133257325157599E-3</v>
      </c>
    </row>
    <row r="324" spans="1:10" ht="12.75" customHeight="1" x14ac:dyDescent="0.3">
      <c r="A324" s="10" t="s">
        <v>20</v>
      </c>
      <c r="B324" s="11" t="s">
        <v>31</v>
      </c>
      <c r="C324" s="12">
        <v>502000</v>
      </c>
      <c r="D324" s="13">
        <v>9.7793217294679328E-3</v>
      </c>
      <c r="E324" s="11"/>
      <c r="F324" s="12">
        <v>0</v>
      </c>
      <c r="G324" s="13"/>
      <c r="H324" s="11" t="s">
        <v>21</v>
      </c>
      <c r="I324" s="12">
        <v>7502000</v>
      </c>
      <c r="J324" s="13">
        <v>8.0870508764779678E-2</v>
      </c>
    </row>
    <row r="325" spans="1:10" ht="12.75" customHeight="1" x14ac:dyDescent="0.3">
      <c r="A325" s="14" t="s">
        <v>34</v>
      </c>
      <c r="B325" s="15" t="s">
        <v>30</v>
      </c>
      <c r="C325" s="16">
        <v>412383.44212000002</v>
      </c>
      <c r="D325" s="17">
        <v>8.033526606368321E-3</v>
      </c>
      <c r="E325" s="15" t="s">
        <v>30</v>
      </c>
      <c r="F325" s="16">
        <v>173309.24479</v>
      </c>
      <c r="G325" s="17">
        <v>6.0819256312707936E-3</v>
      </c>
      <c r="H325" s="15" t="s">
        <v>35</v>
      </c>
      <c r="I325" s="16">
        <v>412383.44212000002</v>
      </c>
      <c r="J325" s="17">
        <v>4.4454357198634338E-3</v>
      </c>
    </row>
    <row r="326" spans="1:10" ht="12.75" customHeight="1" x14ac:dyDescent="0.3">
      <c r="A326" s="10" t="s">
        <v>25</v>
      </c>
      <c r="B326" s="11" t="s">
        <v>35</v>
      </c>
      <c r="C326" s="12">
        <v>267500</v>
      </c>
      <c r="D326" s="13">
        <v>5.21109275424835E-3</v>
      </c>
      <c r="E326" s="11" t="s">
        <v>31</v>
      </c>
      <c r="F326" s="12">
        <v>267500</v>
      </c>
      <c r="G326" s="13">
        <v>9.3873532732560317E-3</v>
      </c>
      <c r="H326" s="11" t="s">
        <v>31</v>
      </c>
      <c r="I326" s="12">
        <v>2017500</v>
      </c>
      <c r="J326" s="13">
        <v>2.1748367293114239E-2</v>
      </c>
    </row>
    <row r="327" spans="1:10" ht="12.75" customHeight="1" x14ac:dyDescent="0.3">
      <c r="A327" s="14" t="s">
        <v>43</v>
      </c>
      <c r="B327" s="15" t="s">
        <v>37</v>
      </c>
      <c r="C327" s="16">
        <v>166089.74400000001</v>
      </c>
      <c r="D327" s="17">
        <v>3.235547893507901E-3</v>
      </c>
      <c r="E327" s="15" t="s">
        <v>35</v>
      </c>
      <c r="F327" s="16">
        <v>166089.74400000001</v>
      </c>
      <c r="G327" s="17">
        <v>5.8285723438977807E-3</v>
      </c>
      <c r="H327" s="15" t="s">
        <v>40</v>
      </c>
      <c r="I327" s="16">
        <v>166089.74400000001</v>
      </c>
      <c r="J327" s="17">
        <v>1.7904241666078398E-3</v>
      </c>
    </row>
    <row r="328" spans="1:10" ht="12.75" customHeight="1" x14ac:dyDescent="0.3">
      <c r="A328" s="10" t="s">
        <v>125</v>
      </c>
      <c r="B328" s="11" t="s">
        <v>36</v>
      </c>
      <c r="C328" s="12">
        <v>62370.647920000003</v>
      </c>
      <c r="D328" s="13">
        <v>1.2150251643128485E-3</v>
      </c>
      <c r="E328" s="11" t="s">
        <v>36</v>
      </c>
      <c r="F328" s="12">
        <v>7492</v>
      </c>
      <c r="G328" s="13">
        <v>2.6291607747003432E-4</v>
      </c>
      <c r="H328" s="11" t="s">
        <v>47</v>
      </c>
      <c r="I328" s="12">
        <v>62370.647920000003</v>
      </c>
      <c r="J328" s="13">
        <v>6.7234684474531427E-4</v>
      </c>
    </row>
    <row r="329" spans="1:10" ht="12.75" customHeight="1" x14ac:dyDescent="0.3">
      <c r="A329" s="14" t="s">
        <v>82</v>
      </c>
      <c r="B329" s="15" t="s">
        <v>40</v>
      </c>
      <c r="C329" s="16">
        <v>16404.3</v>
      </c>
      <c r="D329" s="17">
        <v>3.1956758455520078E-4</v>
      </c>
      <c r="E329" s="15" t="s">
        <v>37</v>
      </c>
      <c r="F329" s="16">
        <v>16404.3</v>
      </c>
      <c r="G329" s="17">
        <v>5.7567461420737905E-4</v>
      </c>
      <c r="H329" s="15" t="s">
        <v>49</v>
      </c>
      <c r="I329" s="16">
        <v>16404.3</v>
      </c>
      <c r="J329" s="17">
        <v>1.768360553092609E-4</v>
      </c>
    </row>
    <row r="330" spans="1:10" ht="12.75" customHeight="1" x14ac:dyDescent="0.3">
      <c r="A330" s="10" t="s">
        <v>81</v>
      </c>
      <c r="B330" s="11" t="s">
        <v>42</v>
      </c>
      <c r="C330" s="12">
        <v>6084</v>
      </c>
      <c r="D330" s="13">
        <v>1.1852070398821295E-4</v>
      </c>
      <c r="E330" s="11"/>
      <c r="F330" s="12">
        <v>0</v>
      </c>
      <c r="G330" s="13"/>
      <c r="H330" s="11" t="s">
        <v>37</v>
      </c>
      <c r="I330" s="12">
        <v>317284</v>
      </c>
      <c r="J330" s="13">
        <v>3.4202770598406236E-3</v>
      </c>
    </row>
    <row r="331" spans="1:10" ht="12.75" customHeight="1" x14ac:dyDescent="0.3">
      <c r="A331" s="14" t="s">
        <v>46</v>
      </c>
      <c r="B331" s="15"/>
      <c r="C331" s="16">
        <v>0</v>
      </c>
      <c r="D331" s="17"/>
      <c r="E331" s="15"/>
      <c r="F331" s="16">
        <v>0</v>
      </c>
      <c r="G331" s="17"/>
      <c r="H331" s="15" t="s">
        <v>36</v>
      </c>
      <c r="I331" s="16">
        <v>288729.73015999998</v>
      </c>
      <c r="J331" s="17">
        <v>3.1124660321989804E-3</v>
      </c>
    </row>
    <row r="332" spans="1:10" ht="12.75" customHeight="1" x14ac:dyDescent="0.3">
      <c r="A332" s="10" t="s">
        <v>104</v>
      </c>
      <c r="B332" s="11"/>
      <c r="C332" s="12">
        <v>0</v>
      </c>
      <c r="D332" s="13"/>
      <c r="E332" s="11"/>
      <c r="F332" s="12">
        <v>0</v>
      </c>
      <c r="G332" s="13"/>
      <c r="H332" s="11" t="s">
        <v>42</v>
      </c>
      <c r="I332" s="12">
        <v>120895</v>
      </c>
      <c r="J332" s="13">
        <v>1.3032311593065902E-3</v>
      </c>
    </row>
    <row r="333" spans="1:10" ht="12.75" customHeight="1" x14ac:dyDescent="0.3">
      <c r="A333" s="18" t="s">
        <v>116</v>
      </c>
      <c r="B333" s="19"/>
      <c r="C333" s="20">
        <f>SUM(C316:C332)</f>
        <v>51332803.428209998</v>
      </c>
      <c r="D333" s="21">
        <f>ROUND(SUM(D316:D332), 1)</f>
        <v>1</v>
      </c>
      <c r="E333" s="19"/>
      <c r="F333" s="20">
        <f>SUM(F316:F332)</f>
        <v>28495784.936749998</v>
      </c>
      <c r="G333" s="21">
        <f>ROUND(SUM(G316:G332), 1)</f>
        <v>1</v>
      </c>
      <c r="H333" s="19"/>
      <c r="I333" s="20">
        <f>SUM(I316:I332)</f>
        <v>92765584.322219983</v>
      </c>
      <c r="J333" s="21">
        <f>ROUND(SUM(J316:J332), 1)</f>
        <v>1</v>
      </c>
    </row>
    <row r="336" spans="1:10" ht="12.75" customHeight="1" x14ac:dyDescent="0.3">
      <c r="A336" s="22" t="s">
        <v>132</v>
      </c>
    </row>
  </sheetData>
  <autoFilter ref="B107:J107" xr:uid="{00000000-0001-0000-0000-000000000000}"/>
  <mergeCells count="78">
    <mergeCell ref="A313:J313"/>
    <mergeCell ref="A314:A315"/>
    <mergeCell ref="B314:D314"/>
    <mergeCell ref="E314:G314"/>
    <mergeCell ref="H314:J314"/>
    <mergeCell ref="A301:J301"/>
    <mergeCell ref="A302:A303"/>
    <mergeCell ref="B302:D302"/>
    <mergeCell ref="E302:G302"/>
    <mergeCell ref="H302:J302"/>
    <mergeCell ref="A293:J293"/>
    <mergeCell ref="A294:A295"/>
    <mergeCell ref="B294:D294"/>
    <mergeCell ref="E294:G294"/>
    <mergeCell ref="H294:J294"/>
    <mergeCell ref="A286:J286"/>
    <mergeCell ref="A287:A288"/>
    <mergeCell ref="B287:D287"/>
    <mergeCell ref="E287:G287"/>
    <mergeCell ref="H287:J287"/>
    <mergeCell ref="A267:J267"/>
    <mergeCell ref="A268:A269"/>
    <mergeCell ref="B268:D268"/>
    <mergeCell ref="E268:G268"/>
    <mergeCell ref="H268:J268"/>
    <mergeCell ref="A259:J259"/>
    <mergeCell ref="A260:A261"/>
    <mergeCell ref="B260:D260"/>
    <mergeCell ref="E260:G260"/>
    <mergeCell ref="H260:J260"/>
    <mergeCell ref="A235:J235"/>
    <mergeCell ref="A236:A237"/>
    <mergeCell ref="B236:D236"/>
    <mergeCell ref="E236:G236"/>
    <mergeCell ref="H236:J236"/>
    <mergeCell ref="A224:J224"/>
    <mergeCell ref="A225:A226"/>
    <mergeCell ref="B225:D225"/>
    <mergeCell ref="E225:G225"/>
    <mergeCell ref="H225:J225"/>
    <mergeCell ref="A197:J197"/>
    <mergeCell ref="A198:A199"/>
    <mergeCell ref="B198:D198"/>
    <mergeCell ref="E198:G198"/>
    <mergeCell ref="H198:J198"/>
    <mergeCell ref="A168:J168"/>
    <mergeCell ref="A169:A170"/>
    <mergeCell ref="B169:D169"/>
    <mergeCell ref="E169:G169"/>
    <mergeCell ref="H169:J169"/>
    <mergeCell ref="A145:J145"/>
    <mergeCell ref="A146:A147"/>
    <mergeCell ref="B146:D146"/>
    <mergeCell ref="E146:G146"/>
    <mergeCell ref="H146:J146"/>
    <mergeCell ref="A105:J105"/>
    <mergeCell ref="A106:A107"/>
    <mergeCell ref="B106:D106"/>
    <mergeCell ref="E106:G106"/>
    <mergeCell ref="H106:J106"/>
    <mergeCell ref="A68:J68"/>
    <mergeCell ref="A69:A70"/>
    <mergeCell ref="B69:D69"/>
    <mergeCell ref="E69:G69"/>
    <mergeCell ref="H69:J69"/>
    <mergeCell ref="A54:J54"/>
    <mergeCell ref="A55:A56"/>
    <mergeCell ref="B55:D55"/>
    <mergeCell ref="E55:G55"/>
    <mergeCell ref="H55:J55"/>
    <mergeCell ref="A1:J1"/>
    <mergeCell ref="A2:J2"/>
    <mergeCell ref="A3:J3"/>
    <mergeCell ref="A6:J6"/>
    <mergeCell ref="A7:A8"/>
    <mergeCell ref="B7:D7"/>
    <mergeCell ref="E7:G7"/>
    <mergeCell ref="H7:J7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3"/>
  <sheetViews>
    <sheetView showGridLines="0" showRowColHeaders="0" workbookViewId="0">
      <selection sqref="A1:G1"/>
    </sheetView>
  </sheetViews>
  <sheetFormatPr defaultColWidth="9.1796875" defaultRowHeight="12.75" customHeight="1" x14ac:dyDescent="0.3"/>
  <cols>
    <col min="1" max="1" width="42.81640625" style="2" bestFit="1" customWidth="1"/>
    <col min="2" max="2" width="18.81640625" style="2" bestFit="1" customWidth="1"/>
    <col min="3" max="3" width="22.54296875" style="2" bestFit="1" customWidth="1"/>
    <col min="4" max="4" width="23.81640625" style="2" bestFit="1" customWidth="1"/>
    <col min="5" max="5" width="22.54296875" style="2" bestFit="1" customWidth="1"/>
    <col min="6" max="6" width="25.1796875" style="2" bestFit="1" customWidth="1"/>
    <col min="7" max="7" width="22.54296875" style="2" bestFit="1" customWidth="1"/>
    <col min="8" max="8" width="9.1796875" style="2" customWidth="1"/>
    <col min="9" max="16384" width="9.1796875" style="2"/>
  </cols>
  <sheetData>
    <row r="1" spans="1:7" ht="21" customHeight="1" x14ac:dyDescent="0.3">
      <c r="A1" s="23" t="s">
        <v>0</v>
      </c>
      <c r="B1" s="24"/>
      <c r="C1" s="24"/>
      <c r="D1" s="24"/>
      <c r="E1" s="24"/>
      <c r="F1" s="24"/>
      <c r="G1" s="24"/>
    </row>
    <row r="2" spans="1:7" ht="25.5" customHeight="1" x14ac:dyDescent="0.3">
      <c r="A2" s="25" t="s">
        <v>133</v>
      </c>
      <c r="B2" s="24"/>
      <c r="C2" s="24"/>
      <c r="D2" s="24"/>
      <c r="E2" s="24"/>
      <c r="F2" s="24"/>
      <c r="G2" s="24"/>
    </row>
    <row r="3" spans="1:7" ht="12" customHeight="1" x14ac:dyDescent="0.3">
      <c r="A3" s="6"/>
    </row>
    <row r="4" spans="1:7" ht="21" customHeight="1" x14ac:dyDescent="0.3">
      <c r="A4" s="1" t="s">
        <v>137</v>
      </c>
      <c r="G4" s="3" t="s">
        <v>3</v>
      </c>
    </row>
    <row r="5" spans="1:7" ht="9" customHeight="1" x14ac:dyDescent="0.3">
      <c r="A5" s="4"/>
      <c r="G5" s="5"/>
    </row>
    <row r="6" spans="1:7" ht="12.75" customHeight="1" x14ac:dyDescent="0.3">
      <c r="A6" s="26" t="s">
        <v>4</v>
      </c>
      <c r="B6" s="24"/>
      <c r="C6" s="24"/>
      <c r="D6" s="24"/>
      <c r="E6" s="24"/>
      <c r="F6" s="24"/>
      <c r="G6" s="27"/>
    </row>
    <row r="7" spans="1:7" ht="12.75" customHeight="1" x14ac:dyDescent="0.3">
      <c r="A7" s="28" t="s">
        <v>134</v>
      </c>
      <c r="B7" s="28" t="s">
        <v>6</v>
      </c>
      <c r="C7" s="28"/>
      <c r="D7" s="28" t="s">
        <v>7</v>
      </c>
      <c r="E7" s="28"/>
      <c r="F7" s="28" t="s">
        <v>8</v>
      </c>
      <c r="G7" s="29"/>
    </row>
    <row r="8" spans="1:7" ht="12.75" customHeight="1" x14ac:dyDescent="0.3">
      <c r="A8" s="28"/>
      <c r="B8" s="8" t="s">
        <v>9</v>
      </c>
      <c r="C8" s="8" t="s">
        <v>138</v>
      </c>
      <c r="D8" s="8" t="s">
        <v>12</v>
      </c>
      <c r="E8" s="8" t="s">
        <v>138</v>
      </c>
      <c r="F8" s="8" t="s">
        <v>13</v>
      </c>
      <c r="G8" s="9" t="s">
        <v>138</v>
      </c>
    </row>
    <row r="9" spans="1:7" ht="12.75" customHeight="1" x14ac:dyDescent="0.3">
      <c r="A9" s="10" t="s">
        <v>14</v>
      </c>
      <c r="B9" s="11" t="s">
        <v>15</v>
      </c>
      <c r="C9" s="11">
        <v>200</v>
      </c>
      <c r="D9" s="11" t="s">
        <v>15</v>
      </c>
      <c r="E9" s="11">
        <v>67</v>
      </c>
      <c r="F9" s="11" t="s">
        <v>15</v>
      </c>
      <c r="G9" s="11">
        <v>435</v>
      </c>
    </row>
    <row r="10" spans="1:7" ht="12.75" customHeight="1" x14ac:dyDescent="0.3">
      <c r="A10" s="14" t="s">
        <v>16</v>
      </c>
      <c r="B10" s="15" t="s">
        <v>17</v>
      </c>
      <c r="C10" s="15">
        <v>189</v>
      </c>
      <c r="D10" s="15" t="s">
        <v>17</v>
      </c>
      <c r="E10" s="15">
        <v>66</v>
      </c>
      <c r="F10" s="15" t="s">
        <v>17</v>
      </c>
      <c r="G10" s="15">
        <v>329</v>
      </c>
    </row>
    <row r="11" spans="1:7" ht="12.75" customHeight="1" x14ac:dyDescent="0.3">
      <c r="A11" s="10" t="s">
        <v>20</v>
      </c>
      <c r="B11" s="11" t="s">
        <v>19</v>
      </c>
      <c r="C11" s="11">
        <v>82</v>
      </c>
      <c r="D11" s="11" t="s">
        <v>19</v>
      </c>
      <c r="E11" s="11">
        <v>26</v>
      </c>
      <c r="F11" s="11" t="s">
        <v>19</v>
      </c>
      <c r="G11" s="11">
        <v>156</v>
      </c>
    </row>
    <row r="12" spans="1:7" ht="12.75" customHeight="1" x14ac:dyDescent="0.3">
      <c r="A12" s="14" t="s">
        <v>23</v>
      </c>
      <c r="B12" s="15" t="s">
        <v>21</v>
      </c>
      <c r="C12" s="15">
        <v>63</v>
      </c>
      <c r="D12" s="15" t="s">
        <v>21</v>
      </c>
      <c r="E12" s="15">
        <v>19</v>
      </c>
      <c r="F12" s="15" t="s">
        <v>21</v>
      </c>
      <c r="G12" s="15">
        <v>144</v>
      </c>
    </row>
    <row r="13" spans="1:7" ht="12.75" customHeight="1" x14ac:dyDescent="0.3">
      <c r="A13" s="10" t="s">
        <v>25</v>
      </c>
      <c r="B13" s="11" t="s">
        <v>22</v>
      </c>
      <c r="C13" s="11">
        <v>55</v>
      </c>
      <c r="D13" s="11" t="s">
        <v>21</v>
      </c>
      <c r="E13" s="11">
        <v>19</v>
      </c>
      <c r="F13" s="11" t="s">
        <v>22</v>
      </c>
      <c r="G13" s="11">
        <v>131</v>
      </c>
    </row>
    <row r="14" spans="1:7" ht="12.75" customHeight="1" x14ac:dyDescent="0.3">
      <c r="A14" s="14" t="s">
        <v>18</v>
      </c>
      <c r="B14" s="15" t="s">
        <v>24</v>
      </c>
      <c r="C14" s="15">
        <v>48</v>
      </c>
      <c r="D14" s="15" t="s">
        <v>29</v>
      </c>
      <c r="E14" s="15">
        <v>11</v>
      </c>
      <c r="F14" s="15" t="s">
        <v>24</v>
      </c>
      <c r="G14" s="15">
        <v>102</v>
      </c>
    </row>
    <row r="15" spans="1:7" ht="12.75" customHeight="1" x14ac:dyDescent="0.3">
      <c r="A15" s="10" t="s">
        <v>33</v>
      </c>
      <c r="B15" s="11" t="s">
        <v>27</v>
      </c>
      <c r="C15" s="11">
        <v>35</v>
      </c>
      <c r="D15" s="11" t="s">
        <v>24</v>
      </c>
      <c r="E15" s="11">
        <v>16</v>
      </c>
      <c r="F15" s="11" t="s">
        <v>31</v>
      </c>
      <c r="G15" s="11">
        <v>59</v>
      </c>
    </row>
    <row r="16" spans="1:7" ht="12.75" customHeight="1" x14ac:dyDescent="0.3">
      <c r="A16" s="14" t="s">
        <v>26</v>
      </c>
      <c r="B16" s="15" t="s">
        <v>29</v>
      </c>
      <c r="C16" s="15">
        <v>27</v>
      </c>
      <c r="D16" s="15" t="s">
        <v>27</v>
      </c>
      <c r="E16" s="15">
        <v>14</v>
      </c>
      <c r="F16" s="15" t="s">
        <v>29</v>
      </c>
      <c r="G16" s="15">
        <v>64</v>
      </c>
    </row>
    <row r="17" spans="1:7" ht="12.75" customHeight="1" x14ac:dyDescent="0.3">
      <c r="A17" s="10" t="s">
        <v>32</v>
      </c>
      <c r="B17" s="11" t="s">
        <v>29</v>
      </c>
      <c r="C17" s="11">
        <v>27</v>
      </c>
      <c r="D17" s="11" t="s">
        <v>31</v>
      </c>
      <c r="E17" s="11">
        <v>8</v>
      </c>
      <c r="F17" s="11" t="s">
        <v>27</v>
      </c>
      <c r="G17" s="11">
        <v>65</v>
      </c>
    </row>
    <row r="18" spans="1:7" ht="12.75" customHeight="1" x14ac:dyDescent="0.3">
      <c r="A18" s="14" t="s">
        <v>28</v>
      </c>
      <c r="B18" s="15" t="s">
        <v>30</v>
      </c>
      <c r="C18" s="15">
        <v>26</v>
      </c>
      <c r="D18" s="15" t="s">
        <v>30</v>
      </c>
      <c r="E18" s="15">
        <v>6</v>
      </c>
      <c r="F18" s="15" t="s">
        <v>30</v>
      </c>
      <c r="G18" s="15">
        <v>49</v>
      </c>
    </row>
    <row r="19" spans="1:7" ht="12.75" customHeight="1" x14ac:dyDescent="0.3">
      <c r="A19" s="10" t="s">
        <v>34</v>
      </c>
      <c r="B19" s="11" t="s">
        <v>35</v>
      </c>
      <c r="C19" s="11">
        <v>15</v>
      </c>
      <c r="D19" s="11" t="s">
        <v>37</v>
      </c>
      <c r="E19" s="11">
        <v>4</v>
      </c>
      <c r="F19" s="11" t="s">
        <v>35</v>
      </c>
      <c r="G19" s="11">
        <v>27</v>
      </c>
    </row>
    <row r="20" spans="1:7" ht="12.75" customHeight="1" x14ac:dyDescent="0.3">
      <c r="A20" s="14" t="s">
        <v>46</v>
      </c>
      <c r="B20" s="15" t="s">
        <v>37</v>
      </c>
      <c r="C20" s="15">
        <v>13</v>
      </c>
      <c r="D20" s="15" t="s">
        <v>36</v>
      </c>
      <c r="E20" s="15">
        <v>3</v>
      </c>
      <c r="F20" s="15" t="s">
        <v>37</v>
      </c>
      <c r="G20" s="15">
        <v>24</v>
      </c>
    </row>
    <row r="21" spans="1:7" ht="12.75" customHeight="1" x14ac:dyDescent="0.3">
      <c r="A21" s="10" t="s">
        <v>39</v>
      </c>
      <c r="B21" s="11" t="s">
        <v>37</v>
      </c>
      <c r="C21" s="11">
        <v>13</v>
      </c>
      <c r="D21" s="11" t="s">
        <v>47</v>
      </c>
      <c r="E21" s="11">
        <v>2</v>
      </c>
      <c r="F21" s="11" t="s">
        <v>40</v>
      </c>
      <c r="G21" s="11">
        <v>18</v>
      </c>
    </row>
    <row r="22" spans="1:7" ht="12.75" customHeight="1" x14ac:dyDescent="0.3">
      <c r="A22" s="14" t="s">
        <v>48</v>
      </c>
      <c r="B22" s="15" t="s">
        <v>40</v>
      </c>
      <c r="C22" s="15">
        <v>9</v>
      </c>
      <c r="D22" s="15" t="s">
        <v>35</v>
      </c>
      <c r="E22" s="15">
        <v>5</v>
      </c>
      <c r="F22" s="15" t="s">
        <v>36</v>
      </c>
      <c r="G22" s="15">
        <v>21</v>
      </c>
    </row>
    <row r="23" spans="1:7" ht="12.75" customHeight="1" x14ac:dyDescent="0.3">
      <c r="A23" s="10" t="s">
        <v>57</v>
      </c>
      <c r="B23" s="11" t="s">
        <v>42</v>
      </c>
      <c r="C23" s="11">
        <v>7</v>
      </c>
      <c r="D23" s="11" t="s">
        <v>36</v>
      </c>
      <c r="E23" s="11">
        <v>3</v>
      </c>
      <c r="F23" s="11" t="s">
        <v>42</v>
      </c>
      <c r="G23" s="11">
        <v>14</v>
      </c>
    </row>
    <row r="24" spans="1:7" ht="12.75" customHeight="1" x14ac:dyDescent="0.3">
      <c r="A24" s="14" t="s">
        <v>43</v>
      </c>
      <c r="B24" s="15" t="s">
        <v>47</v>
      </c>
      <c r="C24" s="15">
        <v>6</v>
      </c>
      <c r="D24" s="15"/>
      <c r="E24" s="15">
        <v>0</v>
      </c>
      <c r="F24" s="15" t="s">
        <v>45</v>
      </c>
      <c r="G24" s="15">
        <v>9</v>
      </c>
    </row>
    <row r="25" spans="1:7" ht="12.75" customHeight="1" x14ac:dyDescent="0.3">
      <c r="A25" s="10" t="s">
        <v>51</v>
      </c>
      <c r="B25" s="11" t="s">
        <v>49</v>
      </c>
      <c r="C25" s="11">
        <v>5</v>
      </c>
      <c r="D25" s="11" t="s">
        <v>36</v>
      </c>
      <c r="E25" s="11">
        <v>3</v>
      </c>
      <c r="F25" s="11" t="s">
        <v>44</v>
      </c>
      <c r="G25" s="11">
        <v>7</v>
      </c>
    </row>
    <row r="26" spans="1:7" ht="12.75" customHeight="1" x14ac:dyDescent="0.3">
      <c r="A26" s="14" t="s">
        <v>78</v>
      </c>
      <c r="B26" s="15" t="s">
        <v>45</v>
      </c>
      <c r="C26" s="15">
        <v>4</v>
      </c>
      <c r="D26" s="15" t="s">
        <v>49</v>
      </c>
      <c r="E26" s="15">
        <v>1</v>
      </c>
      <c r="F26" s="15" t="s">
        <v>45</v>
      </c>
      <c r="G26" s="15">
        <v>9</v>
      </c>
    </row>
    <row r="27" spans="1:7" ht="12.75" customHeight="1" x14ac:dyDescent="0.3">
      <c r="A27" s="10" t="s">
        <v>38</v>
      </c>
      <c r="B27" s="11" t="s">
        <v>50</v>
      </c>
      <c r="C27" s="11">
        <v>3</v>
      </c>
      <c r="D27" s="11" t="s">
        <v>49</v>
      </c>
      <c r="E27" s="11">
        <v>1</v>
      </c>
      <c r="F27" s="11" t="s">
        <v>47</v>
      </c>
      <c r="G27" s="11">
        <v>10</v>
      </c>
    </row>
    <row r="28" spans="1:7" ht="12.75" customHeight="1" x14ac:dyDescent="0.3">
      <c r="A28" s="14" t="s">
        <v>41</v>
      </c>
      <c r="B28" s="15" t="s">
        <v>50</v>
      </c>
      <c r="C28" s="15">
        <v>3</v>
      </c>
      <c r="D28" s="15" t="s">
        <v>49</v>
      </c>
      <c r="E28" s="15">
        <v>1</v>
      </c>
      <c r="F28" s="15" t="s">
        <v>59</v>
      </c>
      <c r="G28" s="15">
        <v>6</v>
      </c>
    </row>
    <row r="29" spans="1:7" ht="12.75" customHeight="1" x14ac:dyDescent="0.3">
      <c r="A29" s="10" t="s">
        <v>66</v>
      </c>
      <c r="B29" s="11" t="s">
        <v>50</v>
      </c>
      <c r="C29" s="11">
        <v>3</v>
      </c>
      <c r="D29" s="11" t="s">
        <v>49</v>
      </c>
      <c r="E29" s="11">
        <v>1</v>
      </c>
      <c r="F29" s="11" t="s">
        <v>67</v>
      </c>
      <c r="G29" s="11">
        <v>3</v>
      </c>
    </row>
    <row r="30" spans="1:7" ht="12.75" customHeight="1" x14ac:dyDescent="0.3">
      <c r="A30" s="14" t="s">
        <v>69</v>
      </c>
      <c r="B30" s="15" t="s">
        <v>50</v>
      </c>
      <c r="C30" s="15">
        <v>3</v>
      </c>
      <c r="D30" s="15"/>
      <c r="E30" s="15">
        <v>0</v>
      </c>
      <c r="F30" s="15" t="s">
        <v>47</v>
      </c>
      <c r="G30" s="15">
        <v>10</v>
      </c>
    </row>
    <row r="31" spans="1:7" ht="12.75" customHeight="1" x14ac:dyDescent="0.3">
      <c r="A31" s="10" t="s">
        <v>54</v>
      </c>
      <c r="B31" s="11" t="s">
        <v>50</v>
      </c>
      <c r="C31" s="11">
        <v>3</v>
      </c>
      <c r="D31" s="11"/>
      <c r="E31" s="11">
        <v>0</v>
      </c>
      <c r="F31" s="11" t="s">
        <v>60</v>
      </c>
      <c r="G31" s="11">
        <v>4</v>
      </c>
    </row>
    <row r="32" spans="1:7" ht="12.75" customHeight="1" x14ac:dyDescent="0.3">
      <c r="A32" s="14" t="s">
        <v>88</v>
      </c>
      <c r="B32" s="15" t="s">
        <v>50</v>
      </c>
      <c r="C32" s="15">
        <v>3</v>
      </c>
      <c r="D32" s="15"/>
      <c r="E32" s="15">
        <v>0</v>
      </c>
      <c r="F32" s="15" t="s">
        <v>60</v>
      </c>
      <c r="G32" s="15">
        <v>4</v>
      </c>
    </row>
    <row r="33" spans="1:7" ht="12.75" customHeight="1" x14ac:dyDescent="0.3">
      <c r="A33" s="10" t="s">
        <v>86</v>
      </c>
      <c r="B33" s="11" t="s">
        <v>67</v>
      </c>
      <c r="C33" s="11">
        <v>1</v>
      </c>
      <c r="D33" s="11" t="s">
        <v>49</v>
      </c>
      <c r="E33" s="11">
        <v>1</v>
      </c>
      <c r="F33" s="11" t="s">
        <v>74</v>
      </c>
      <c r="G33" s="11">
        <v>2</v>
      </c>
    </row>
    <row r="34" spans="1:7" ht="12.75" customHeight="1" x14ac:dyDescent="0.3">
      <c r="A34" s="14" t="s">
        <v>63</v>
      </c>
      <c r="B34" s="15" t="s">
        <v>67</v>
      </c>
      <c r="C34" s="15">
        <v>1</v>
      </c>
      <c r="D34" s="15" t="s">
        <v>49</v>
      </c>
      <c r="E34" s="15">
        <v>1</v>
      </c>
      <c r="F34" s="15" t="s">
        <v>80</v>
      </c>
      <c r="G34" s="15">
        <v>1</v>
      </c>
    </row>
    <row r="35" spans="1:7" ht="12.75" customHeight="1" x14ac:dyDescent="0.3">
      <c r="A35" s="10" t="s">
        <v>82</v>
      </c>
      <c r="B35" s="11" t="s">
        <v>67</v>
      </c>
      <c r="C35" s="11">
        <v>1</v>
      </c>
      <c r="D35" s="11" t="s">
        <v>49</v>
      </c>
      <c r="E35" s="11">
        <v>1</v>
      </c>
      <c r="F35" s="11" t="s">
        <v>80</v>
      </c>
      <c r="G35" s="11">
        <v>1</v>
      </c>
    </row>
    <row r="36" spans="1:7" ht="12.75" customHeight="1" x14ac:dyDescent="0.3">
      <c r="A36" s="14" t="s">
        <v>81</v>
      </c>
      <c r="B36" s="15" t="s">
        <v>67</v>
      </c>
      <c r="C36" s="15">
        <v>1</v>
      </c>
      <c r="D36" s="15"/>
      <c r="E36" s="15">
        <v>0</v>
      </c>
      <c r="F36" s="15" t="s">
        <v>55</v>
      </c>
      <c r="G36" s="15">
        <v>8</v>
      </c>
    </row>
    <row r="37" spans="1:7" ht="12.75" customHeight="1" x14ac:dyDescent="0.3">
      <c r="A37" s="10" t="s">
        <v>79</v>
      </c>
      <c r="B37" s="11" t="s">
        <v>67</v>
      </c>
      <c r="C37" s="11">
        <v>1</v>
      </c>
      <c r="D37" s="11"/>
      <c r="E37" s="11">
        <v>0</v>
      </c>
      <c r="F37" s="11" t="s">
        <v>67</v>
      </c>
      <c r="G37" s="11">
        <v>3</v>
      </c>
    </row>
    <row r="38" spans="1:7" ht="12.75" customHeight="1" x14ac:dyDescent="0.3">
      <c r="A38" s="14" t="s">
        <v>58</v>
      </c>
      <c r="B38" s="15" t="s">
        <v>67</v>
      </c>
      <c r="C38" s="15">
        <v>1</v>
      </c>
      <c r="D38" s="15"/>
      <c r="E38" s="15">
        <v>0</v>
      </c>
      <c r="F38" s="15" t="s">
        <v>67</v>
      </c>
      <c r="G38" s="15">
        <v>3</v>
      </c>
    </row>
    <row r="39" spans="1:7" ht="12.75" customHeight="1" x14ac:dyDescent="0.3">
      <c r="A39" s="10" t="s">
        <v>61</v>
      </c>
      <c r="B39" s="11" t="s">
        <v>67</v>
      </c>
      <c r="C39" s="11">
        <v>1</v>
      </c>
      <c r="D39" s="11"/>
      <c r="E39" s="11">
        <v>0</v>
      </c>
      <c r="F39" s="11" t="s">
        <v>74</v>
      </c>
      <c r="G39" s="11">
        <v>2</v>
      </c>
    </row>
    <row r="40" spans="1:7" ht="12.75" customHeight="1" x14ac:dyDescent="0.3">
      <c r="A40" s="14" t="s">
        <v>52</v>
      </c>
      <c r="B40" s="15" t="s">
        <v>67</v>
      </c>
      <c r="C40" s="15">
        <v>1</v>
      </c>
      <c r="D40" s="15"/>
      <c r="E40" s="15">
        <v>0</v>
      </c>
      <c r="F40" s="15" t="s">
        <v>80</v>
      </c>
      <c r="G40" s="15">
        <v>1</v>
      </c>
    </row>
    <row r="41" spans="1:7" ht="12.75" customHeight="1" x14ac:dyDescent="0.3">
      <c r="A41" s="10" t="s">
        <v>73</v>
      </c>
      <c r="B41" s="11" t="s">
        <v>67</v>
      </c>
      <c r="C41" s="11">
        <v>1</v>
      </c>
      <c r="D41" s="11"/>
      <c r="E41" s="11">
        <v>0</v>
      </c>
      <c r="F41" s="11" t="s">
        <v>80</v>
      </c>
      <c r="G41" s="11">
        <v>1</v>
      </c>
    </row>
    <row r="42" spans="1:7" ht="12.75" customHeight="1" x14ac:dyDescent="0.3">
      <c r="A42" s="14" t="s">
        <v>102</v>
      </c>
      <c r="B42" s="15" t="s">
        <v>67</v>
      </c>
      <c r="C42" s="15">
        <v>1</v>
      </c>
      <c r="D42" s="15"/>
      <c r="E42" s="15">
        <v>0</v>
      </c>
      <c r="F42" s="15" t="s">
        <v>80</v>
      </c>
      <c r="G42" s="15">
        <v>1</v>
      </c>
    </row>
    <row r="43" spans="1:7" ht="12.75" customHeight="1" x14ac:dyDescent="0.3">
      <c r="A43" s="10" t="s">
        <v>71</v>
      </c>
      <c r="B43" s="11" t="s">
        <v>67</v>
      </c>
      <c r="C43" s="11">
        <v>1</v>
      </c>
      <c r="D43" s="11"/>
      <c r="E43" s="11">
        <v>0</v>
      </c>
      <c r="F43" s="11" t="s">
        <v>80</v>
      </c>
      <c r="G43" s="11">
        <v>1</v>
      </c>
    </row>
    <row r="44" spans="1:7" ht="12.75" customHeight="1" x14ac:dyDescent="0.3">
      <c r="A44" s="14" t="s">
        <v>104</v>
      </c>
      <c r="B44" s="15"/>
      <c r="C44" s="15">
        <v>0</v>
      </c>
      <c r="D44" s="15"/>
      <c r="E44" s="15">
        <v>0</v>
      </c>
      <c r="F44" s="15" t="s">
        <v>74</v>
      </c>
      <c r="G44" s="15">
        <v>2</v>
      </c>
    </row>
    <row r="45" spans="1:7" ht="12.75" customHeight="1" x14ac:dyDescent="0.3">
      <c r="A45" s="10" t="s">
        <v>108</v>
      </c>
      <c r="B45" s="11"/>
      <c r="C45" s="11">
        <v>0</v>
      </c>
      <c r="D45" s="11"/>
      <c r="E45" s="11">
        <v>0</v>
      </c>
      <c r="F45" s="11" t="s">
        <v>80</v>
      </c>
      <c r="G45" s="11">
        <v>1</v>
      </c>
    </row>
    <row r="46" spans="1:7" ht="12.75" customHeight="1" x14ac:dyDescent="0.3">
      <c r="A46" s="14" t="s">
        <v>76</v>
      </c>
      <c r="B46" s="15"/>
      <c r="C46" s="15">
        <v>0</v>
      </c>
      <c r="D46" s="15"/>
      <c r="E46" s="15">
        <v>0</v>
      </c>
      <c r="F46" s="15" t="s">
        <v>80</v>
      </c>
      <c r="G46" s="15">
        <v>1</v>
      </c>
    </row>
    <row r="47" spans="1:7" ht="12.75" customHeight="1" x14ac:dyDescent="0.3">
      <c r="A47" s="10" t="s">
        <v>105</v>
      </c>
      <c r="B47" s="11"/>
      <c r="C47" s="11">
        <v>0</v>
      </c>
      <c r="D47" s="11"/>
      <c r="E47" s="11">
        <v>0</v>
      </c>
      <c r="F47" s="11" t="s">
        <v>80</v>
      </c>
      <c r="G47" s="11">
        <v>1</v>
      </c>
    </row>
    <row r="48" spans="1:7" ht="12.75" customHeight="1" x14ac:dyDescent="0.3">
      <c r="A48" s="14" t="s">
        <v>106</v>
      </c>
      <c r="B48" s="15"/>
      <c r="C48" s="15">
        <v>0</v>
      </c>
      <c r="D48" s="15"/>
      <c r="E48" s="15">
        <v>0</v>
      </c>
      <c r="F48" s="15" t="s">
        <v>80</v>
      </c>
      <c r="G48" s="15">
        <v>1</v>
      </c>
    </row>
    <row r="49" spans="1:7" ht="12.75" customHeight="1" x14ac:dyDescent="0.3">
      <c r="A49" s="10" t="s">
        <v>107</v>
      </c>
      <c r="B49" s="11"/>
      <c r="C49" s="11">
        <v>0</v>
      </c>
      <c r="D49" s="11"/>
      <c r="E49" s="11">
        <v>0</v>
      </c>
      <c r="F49" s="11" t="s">
        <v>80</v>
      </c>
      <c r="G49" s="11">
        <v>1</v>
      </c>
    </row>
    <row r="50" spans="1:7" ht="12.75" customHeight="1" x14ac:dyDescent="0.3">
      <c r="A50" s="14" t="s">
        <v>135</v>
      </c>
      <c r="B50" s="15"/>
      <c r="C50" s="15">
        <v>0</v>
      </c>
      <c r="D50" s="15"/>
      <c r="E50" s="15">
        <v>0</v>
      </c>
      <c r="F50" s="15" t="s">
        <v>80</v>
      </c>
      <c r="G50" s="15">
        <v>1</v>
      </c>
    </row>
    <row r="51" spans="1:7" ht="12.75" customHeight="1" x14ac:dyDescent="0.3">
      <c r="A51" s="18" t="s">
        <v>116</v>
      </c>
      <c r="B51" s="19"/>
      <c r="C51" s="19" t="s">
        <v>139</v>
      </c>
      <c r="D51" s="19"/>
      <c r="E51" s="19" t="s">
        <v>140</v>
      </c>
      <c r="F51" s="19"/>
      <c r="G51" s="19" t="s">
        <v>141</v>
      </c>
    </row>
    <row r="54" spans="1:7" ht="12.75" customHeight="1" x14ac:dyDescent="0.3">
      <c r="A54" s="26" t="s">
        <v>117</v>
      </c>
      <c r="B54" s="24"/>
      <c r="C54" s="24"/>
      <c r="D54" s="24"/>
      <c r="E54" s="24"/>
      <c r="F54" s="24"/>
      <c r="G54" s="27"/>
    </row>
    <row r="55" spans="1:7" ht="12.75" customHeight="1" x14ac:dyDescent="0.3">
      <c r="A55" s="28" t="s">
        <v>134</v>
      </c>
      <c r="B55" s="28" t="s">
        <v>6</v>
      </c>
      <c r="C55" s="28"/>
      <c r="D55" s="28" t="s">
        <v>7</v>
      </c>
      <c r="E55" s="28"/>
      <c r="F55" s="28" t="s">
        <v>8</v>
      </c>
      <c r="G55" s="29"/>
    </row>
    <row r="56" spans="1:7" ht="12.75" customHeight="1" x14ac:dyDescent="0.3">
      <c r="A56" s="28"/>
      <c r="B56" s="8" t="s">
        <v>9</v>
      </c>
      <c r="C56" s="8" t="s">
        <v>138</v>
      </c>
      <c r="D56" s="8" t="s">
        <v>12</v>
      </c>
      <c r="E56" s="8" t="s">
        <v>138</v>
      </c>
      <c r="F56" s="8" t="s">
        <v>13</v>
      </c>
      <c r="G56" s="9" t="s">
        <v>138</v>
      </c>
    </row>
    <row r="57" spans="1:7" ht="12.75" customHeight="1" x14ac:dyDescent="0.3">
      <c r="A57" s="10" t="s">
        <v>16</v>
      </c>
      <c r="B57" s="11" t="s">
        <v>15</v>
      </c>
      <c r="C57" s="11">
        <v>20</v>
      </c>
      <c r="D57" s="11" t="s">
        <v>15</v>
      </c>
      <c r="E57" s="11">
        <v>4</v>
      </c>
      <c r="F57" s="11" t="s">
        <v>15</v>
      </c>
      <c r="G57" s="11">
        <v>27</v>
      </c>
    </row>
    <row r="58" spans="1:7" ht="12.75" customHeight="1" x14ac:dyDescent="0.3">
      <c r="A58" s="14" t="s">
        <v>14</v>
      </c>
      <c r="B58" s="15" t="s">
        <v>17</v>
      </c>
      <c r="C58" s="15">
        <v>6</v>
      </c>
      <c r="D58" s="15" t="s">
        <v>15</v>
      </c>
      <c r="E58" s="15">
        <v>4</v>
      </c>
      <c r="F58" s="15" t="s">
        <v>17</v>
      </c>
      <c r="G58" s="15">
        <v>21</v>
      </c>
    </row>
    <row r="59" spans="1:7" ht="12.75" customHeight="1" x14ac:dyDescent="0.3">
      <c r="A59" s="10" t="s">
        <v>25</v>
      </c>
      <c r="B59" s="11" t="s">
        <v>19</v>
      </c>
      <c r="C59" s="11">
        <v>2</v>
      </c>
      <c r="D59" s="11" t="s">
        <v>19</v>
      </c>
      <c r="E59" s="11">
        <v>1</v>
      </c>
      <c r="F59" s="11" t="s">
        <v>19</v>
      </c>
      <c r="G59" s="11">
        <v>5</v>
      </c>
    </row>
    <row r="60" spans="1:7" ht="12.75" customHeight="1" x14ac:dyDescent="0.3">
      <c r="A60" s="14" t="s">
        <v>18</v>
      </c>
      <c r="B60" s="15" t="s">
        <v>19</v>
      </c>
      <c r="C60" s="15">
        <v>2</v>
      </c>
      <c r="D60" s="15"/>
      <c r="E60" s="15">
        <v>0</v>
      </c>
      <c r="F60" s="15" t="s">
        <v>21</v>
      </c>
      <c r="G60" s="15">
        <v>2</v>
      </c>
    </row>
    <row r="61" spans="1:7" ht="12.75" customHeight="1" x14ac:dyDescent="0.3">
      <c r="A61" s="10" t="s">
        <v>78</v>
      </c>
      <c r="B61" s="11" t="s">
        <v>22</v>
      </c>
      <c r="C61" s="11">
        <v>1</v>
      </c>
      <c r="D61" s="11" t="s">
        <v>19</v>
      </c>
      <c r="E61" s="11">
        <v>1</v>
      </c>
      <c r="F61" s="11" t="s">
        <v>24</v>
      </c>
      <c r="G61" s="11">
        <v>1</v>
      </c>
    </row>
    <row r="62" spans="1:7" ht="12.75" customHeight="1" x14ac:dyDescent="0.3">
      <c r="A62" s="14" t="s">
        <v>20</v>
      </c>
      <c r="B62" s="15" t="s">
        <v>22</v>
      </c>
      <c r="C62" s="15">
        <v>1</v>
      </c>
      <c r="D62" s="15"/>
      <c r="E62" s="15">
        <v>0</v>
      </c>
      <c r="F62" s="15" t="s">
        <v>21</v>
      </c>
      <c r="G62" s="15">
        <v>2</v>
      </c>
    </row>
    <row r="63" spans="1:7" ht="12.75" customHeight="1" x14ac:dyDescent="0.3">
      <c r="A63" s="10" t="s">
        <v>33</v>
      </c>
      <c r="B63" s="11" t="s">
        <v>22</v>
      </c>
      <c r="C63" s="11">
        <v>1</v>
      </c>
      <c r="D63" s="11"/>
      <c r="E63" s="11">
        <v>0</v>
      </c>
      <c r="F63" s="11" t="s">
        <v>24</v>
      </c>
      <c r="G63" s="11">
        <v>1</v>
      </c>
    </row>
    <row r="64" spans="1:7" ht="12.75" customHeight="1" x14ac:dyDescent="0.3">
      <c r="A64" s="14" t="s">
        <v>23</v>
      </c>
      <c r="B64" s="15"/>
      <c r="C64" s="15">
        <v>0</v>
      </c>
      <c r="D64" s="15"/>
      <c r="E64" s="15">
        <v>0</v>
      </c>
      <c r="F64" s="15" t="s">
        <v>24</v>
      </c>
      <c r="G64" s="15">
        <v>1</v>
      </c>
    </row>
    <row r="65" spans="1:7" ht="12.75" customHeight="1" x14ac:dyDescent="0.3">
      <c r="A65" s="18" t="s">
        <v>116</v>
      </c>
      <c r="B65" s="19"/>
      <c r="C65" s="19" t="s">
        <v>142</v>
      </c>
      <c r="D65" s="19"/>
      <c r="E65" s="19" t="s">
        <v>143</v>
      </c>
      <c r="F65" s="19"/>
      <c r="G65" s="19" t="s">
        <v>144</v>
      </c>
    </row>
    <row r="68" spans="1:7" ht="12.75" customHeight="1" x14ac:dyDescent="0.3">
      <c r="A68" s="26" t="s">
        <v>118</v>
      </c>
      <c r="B68" s="24"/>
      <c r="C68" s="24"/>
      <c r="D68" s="24"/>
      <c r="E68" s="24"/>
      <c r="F68" s="24"/>
      <c r="G68" s="27"/>
    </row>
    <row r="69" spans="1:7" ht="12.75" customHeight="1" x14ac:dyDescent="0.3">
      <c r="A69" s="28" t="s">
        <v>134</v>
      </c>
      <c r="B69" s="28" t="s">
        <v>6</v>
      </c>
      <c r="C69" s="28"/>
      <c r="D69" s="28" t="s">
        <v>7</v>
      </c>
      <c r="E69" s="28"/>
      <c r="F69" s="28" t="s">
        <v>8</v>
      </c>
      <c r="G69" s="29"/>
    </row>
    <row r="70" spans="1:7" ht="12.75" customHeight="1" x14ac:dyDescent="0.3">
      <c r="A70" s="28"/>
      <c r="B70" s="8" t="s">
        <v>9</v>
      </c>
      <c r="C70" s="8" t="s">
        <v>138</v>
      </c>
      <c r="D70" s="8" t="s">
        <v>12</v>
      </c>
      <c r="E70" s="8" t="s">
        <v>138</v>
      </c>
      <c r="F70" s="8" t="s">
        <v>13</v>
      </c>
      <c r="G70" s="9" t="s">
        <v>138</v>
      </c>
    </row>
    <row r="71" spans="1:7" ht="12.75" customHeight="1" x14ac:dyDescent="0.3">
      <c r="A71" s="10" t="s">
        <v>14</v>
      </c>
      <c r="B71" s="11" t="s">
        <v>15</v>
      </c>
      <c r="C71" s="11">
        <v>144</v>
      </c>
      <c r="D71" s="11" t="s">
        <v>17</v>
      </c>
      <c r="E71" s="11">
        <v>40</v>
      </c>
      <c r="F71" s="11" t="s">
        <v>15</v>
      </c>
      <c r="G71" s="11">
        <v>298</v>
      </c>
    </row>
    <row r="72" spans="1:7" ht="12.75" customHeight="1" x14ac:dyDescent="0.3">
      <c r="A72" s="14" t="s">
        <v>16</v>
      </c>
      <c r="B72" s="15" t="s">
        <v>17</v>
      </c>
      <c r="C72" s="15">
        <v>143</v>
      </c>
      <c r="D72" s="15" t="s">
        <v>15</v>
      </c>
      <c r="E72" s="15">
        <v>54</v>
      </c>
      <c r="F72" s="15" t="s">
        <v>17</v>
      </c>
      <c r="G72" s="15">
        <v>245</v>
      </c>
    </row>
    <row r="73" spans="1:7" ht="12.75" customHeight="1" x14ac:dyDescent="0.3">
      <c r="A73" s="10" t="s">
        <v>20</v>
      </c>
      <c r="B73" s="11" t="s">
        <v>19</v>
      </c>
      <c r="C73" s="11">
        <v>67</v>
      </c>
      <c r="D73" s="11" t="s">
        <v>19</v>
      </c>
      <c r="E73" s="11">
        <v>18</v>
      </c>
      <c r="F73" s="11" t="s">
        <v>19</v>
      </c>
      <c r="G73" s="11">
        <v>129</v>
      </c>
    </row>
    <row r="74" spans="1:7" ht="12.75" customHeight="1" x14ac:dyDescent="0.3">
      <c r="A74" s="14" t="s">
        <v>23</v>
      </c>
      <c r="B74" s="15" t="s">
        <v>21</v>
      </c>
      <c r="C74" s="15">
        <v>49</v>
      </c>
      <c r="D74" s="15" t="s">
        <v>22</v>
      </c>
      <c r="E74" s="15">
        <v>12</v>
      </c>
      <c r="F74" s="15" t="s">
        <v>22</v>
      </c>
      <c r="G74" s="15">
        <v>91</v>
      </c>
    </row>
    <row r="75" spans="1:7" ht="12.75" customHeight="1" x14ac:dyDescent="0.3">
      <c r="A75" s="10" t="s">
        <v>25</v>
      </c>
      <c r="B75" s="11" t="s">
        <v>22</v>
      </c>
      <c r="C75" s="11">
        <v>45</v>
      </c>
      <c r="D75" s="11" t="s">
        <v>21</v>
      </c>
      <c r="E75" s="11">
        <v>15</v>
      </c>
      <c r="F75" s="11" t="s">
        <v>21</v>
      </c>
      <c r="G75" s="11">
        <v>110</v>
      </c>
    </row>
    <row r="76" spans="1:7" ht="12.75" customHeight="1" x14ac:dyDescent="0.3">
      <c r="A76" s="14" t="s">
        <v>18</v>
      </c>
      <c r="B76" s="15" t="s">
        <v>24</v>
      </c>
      <c r="C76" s="15">
        <v>36</v>
      </c>
      <c r="D76" s="15" t="s">
        <v>29</v>
      </c>
      <c r="E76" s="15">
        <v>9</v>
      </c>
      <c r="F76" s="15" t="s">
        <v>24</v>
      </c>
      <c r="G76" s="15">
        <v>78</v>
      </c>
    </row>
    <row r="77" spans="1:7" ht="12.75" customHeight="1" x14ac:dyDescent="0.3">
      <c r="A77" s="10" t="s">
        <v>33</v>
      </c>
      <c r="B77" s="11" t="s">
        <v>27</v>
      </c>
      <c r="C77" s="11">
        <v>26</v>
      </c>
      <c r="D77" s="11" t="s">
        <v>27</v>
      </c>
      <c r="E77" s="11">
        <v>10</v>
      </c>
      <c r="F77" s="11" t="s">
        <v>29</v>
      </c>
      <c r="G77" s="11">
        <v>46</v>
      </c>
    </row>
    <row r="78" spans="1:7" ht="12.75" customHeight="1" x14ac:dyDescent="0.3">
      <c r="A78" s="14" t="s">
        <v>26</v>
      </c>
      <c r="B78" s="15" t="s">
        <v>29</v>
      </c>
      <c r="C78" s="15">
        <v>21</v>
      </c>
      <c r="D78" s="15" t="s">
        <v>24</v>
      </c>
      <c r="E78" s="15">
        <v>11</v>
      </c>
      <c r="F78" s="15" t="s">
        <v>27</v>
      </c>
      <c r="G78" s="15">
        <v>49</v>
      </c>
    </row>
    <row r="79" spans="1:7" ht="12.75" customHeight="1" x14ac:dyDescent="0.3">
      <c r="A79" s="10" t="s">
        <v>32</v>
      </c>
      <c r="B79" s="11" t="s">
        <v>29</v>
      </c>
      <c r="C79" s="11">
        <v>21</v>
      </c>
      <c r="D79" s="11" t="s">
        <v>31</v>
      </c>
      <c r="E79" s="11">
        <v>4</v>
      </c>
      <c r="F79" s="11" t="s">
        <v>31</v>
      </c>
      <c r="G79" s="11">
        <v>41</v>
      </c>
    </row>
    <row r="80" spans="1:7" ht="12.75" customHeight="1" x14ac:dyDescent="0.3">
      <c r="A80" s="14" t="s">
        <v>28</v>
      </c>
      <c r="B80" s="15" t="s">
        <v>30</v>
      </c>
      <c r="C80" s="15">
        <v>20</v>
      </c>
      <c r="D80" s="15" t="s">
        <v>30</v>
      </c>
      <c r="E80" s="15">
        <v>3</v>
      </c>
      <c r="F80" s="15" t="s">
        <v>30</v>
      </c>
      <c r="G80" s="15">
        <v>35</v>
      </c>
    </row>
    <row r="81" spans="1:7" ht="12.75" customHeight="1" x14ac:dyDescent="0.3">
      <c r="A81" s="10" t="s">
        <v>39</v>
      </c>
      <c r="B81" s="11" t="s">
        <v>35</v>
      </c>
      <c r="C81" s="11">
        <v>13</v>
      </c>
      <c r="D81" s="11" t="s">
        <v>37</v>
      </c>
      <c r="E81" s="11">
        <v>2</v>
      </c>
      <c r="F81" s="11" t="s">
        <v>35</v>
      </c>
      <c r="G81" s="11">
        <v>18</v>
      </c>
    </row>
    <row r="82" spans="1:7" ht="12.75" customHeight="1" x14ac:dyDescent="0.3">
      <c r="A82" s="14" t="s">
        <v>46</v>
      </c>
      <c r="B82" s="15" t="s">
        <v>37</v>
      </c>
      <c r="C82" s="15">
        <v>8</v>
      </c>
      <c r="D82" s="15" t="s">
        <v>40</v>
      </c>
      <c r="E82" s="15">
        <v>1</v>
      </c>
      <c r="F82" s="15" t="s">
        <v>37</v>
      </c>
      <c r="G82" s="15">
        <v>15</v>
      </c>
    </row>
    <row r="83" spans="1:7" ht="12.75" customHeight="1" x14ac:dyDescent="0.3">
      <c r="A83" s="10" t="s">
        <v>57</v>
      </c>
      <c r="B83" s="11" t="s">
        <v>36</v>
      </c>
      <c r="C83" s="11">
        <v>7</v>
      </c>
      <c r="D83" s="11" t="s">
        <v>30</v>
      </c>
      <c r="E83" s="11">
        <v>3</v>
      </c>
      <c r="F83" s="11" t="s">
        <v>36</v>
      </c>
      <c r="G83" s="11">
        <v>14</v>
      </c>
    </row>
    <row r="84" spans="1:7" ht="12.75" customHeight="1" x14ac:dyDescent="0.3">
      <c r="A84" s="14" t="s">
        <v>34</v>
      </c>
      <c r="B84" s="15" t="s">
        <v>40</v>
      </c>
      <c r="C84" s="15">
        <v>5</v>
      </c>
      <c r="D84" s="15"/>
      <c r="E84" s="15">
        <v>0</v>
      </c>
      <c r="F84" s="15" t="s">
        <v>40</v>
      </c>
      <c r="G84" s="15">
        <v>7</v>
      </c>
    </row>
    <row r="85" spans="1:7" ht="12.75" customHeight="1" x14ac:dyDescent="0.3">
      <c r="A85" s="10" t="s">
        <v>43</v>
      </c>
      <c r="B85" s="11" t="s">
        <v>40</v>
      </c>
      <c r="C85" s="11">
        <v>5</v>
      </c>
      <c r="D85" s="11"/>
      <c r="E85" s="11">
        <v>0</v>
      </c>
      <c r="F85" s="11" t="s">
        <v>40</v>
      </c>
      <c r="G85" s="11">
        <v>7</v>
      </c>
    </row>
    <row r="86" spans="1:7" ht="12.75" customHeight="1" x14ac:dyDescent="0.3">
      <c r="A86" s="14" t="s">
        <v>51</v>
      </c>
      <c r="B86" s="15" t="s">
        <v>47</v>
      </c>
      <c r="C86" s="15">
        <v>4</v>
      </c>
      <c r="D86" s="15" t="s">
        <v>37</v>
      </c>
      <c r="E86" s="15">
        <v>2</v>
      </c>
      <c r="F86" s="15" t="s">
        <v>49</v>
      </c>
      <c r="G86" s="15">
        <v>6</v>
      </c>
    </row>
    <row r="87" spans="1:7" ht="12.75" customHeight="1" x14ac:dyDescent="0.3">
      <c r="A87" s="10" t="s">
        <v>78</v>
      </c>
      <c r="B87" s="11" t="s">
        <v>49</v>
      </c>
      <c r="C87" s="11">
        <v>3</v>
      </c>
      <c r="D87" s="11"/>
      <c r="E87" s="11">
        <v>0</v>
      </c>
      <c r="F87" s="11" t="s">
        <v>40</v>
      </c>
      <c r="G87" s="11">
        <v>7</v>
      </c>
    </row>
    <row r="88" spans="1:7" ht="12.75" customHeight="1" x14ac:dyDescent="0.3">
      <c r="A88" s="14" t="s">
        <v>88</v>
      </c>
      <c r="B88" s="15" t="s">
        <v>49</v>
      </c>
      <c r="C88" s="15">
        <v>3</v>
      </c>
      <c r="D88" s="15"/>
      <c r="E88" s="15">
        <v>0</v>
      </c>
      <c r="F88" s="15" t="s">
        <v>45</v>
      </c>
      <c r="G88" s="15">
        <v>4</v>
      </c>
    </row>
    <row r="89" spans="1:7" ht="12.75" customHeight="1" x14ac:dyDescent="0.3">
      <c r="A89" s="10" t="s">
        <v>38</v>
      </c>
      <c r="B89" s="11" t="s">
        <v>50</v>
      </c>
      <c r="C89" s="11">
        <v>1</v>
      </c>
      <c r="D89" s="11"/>
      <c r="E89" s="11">
        <v>0</v>
      </c>
      <c r="F89" s="11" t="s">
        <v>50</v>
      </c>
      <c r="G89" s="11">
        <v>3</v>
      </c>
    </row>
    <row r="90" spans="1:7" ht="12.75" customHeight="1" x14ac:dyDescent="0.3">
      <c r="A90" s="14" t="s">
        <v>41</v>
      </c>
      <c r="B90" s="15" t="s">
        <v>50</v>
      </c>
      <c r="C90" s="15">
        <v>1</v>
      </c>
      <c r="D90" s="15"/>
      <c r="E90" s="15">
        <v>0</v>
      </c>
      <c r="F90" s="15" t="s">
        <v>50</v>
      </c>
      <c r="G90" s="15">
        <v>3</v>
      </c>
    </row>
    <row r="91" spans="1:7" ht="12.75" customHeight="1" x14ac:dyDescent="0.3">
      <c r="A91" s="10" t="s">
        <v>58</v>
      </c>
      <c r="B91" s="11" t="s">
        <v>50</v>
      </c>
      <c r="C91" s="11">
        <v>1</v>
      </c>
      <c r="D91" s="11"/>
      <c r="E91" s="11">
        <v>0</v>
      </c>
      <c r="F91" s="11" t="s">
        <v>44</v>
      </c>
      <c r="G91" s="11">
        <v>2</v>
      </c>
    </row>
    <row r="92" spans="1:7" ht="12.75" customHeight="1" x14ac:dyDescent="0.3">
      <c r="A92" s="14" t="s">
        <v>102</v>
      </c>
      <c r="B92" s="15" t="s">
        <v>50</v>
      </c>
      <c r="C92" s="15">
        <v>1</v>
      </c>
      <c r="D92" s="15"/>
      <c r="E92" s="15">
        <v>0</v>
      </c>
      <c r="F92" s="15" t="s">
        <v>60</v>
      </c>
      <c r="G92" s="15">
        <v>1</v>
      </c>
    </row>
    <row r="93" spans="1:7" ht="12.75" customHeight="1" x14ac:dyDescent="0.3">
      <c r="A93" s="10" t="s">
        <v>61</v>
      </c>
      <c r="B93" s="11" t="s">
        <v>50</v>
      </c>
      <c r="C93" s="11">
        <v>1</v>
      </c>
      <c r="D93" s="11"/>
      <c r="E93" s="11">
        <v>0</v>
      </c>
      <c r="F93" s="11" t="s">
        <v>60</v>
      </c>
      <c r="G93" s="11">
        <v>1</v>
      </c>
    </row>
    <row r="94" spans="1:7" ht="12.75" customHeight="1" x14ac:dyDescent="0.3">
      <c r="A94" s="14" t="s">
        <v>81</v>
      </c>
      <c r="B94" s="15"/>
      <c r="C94" s="15">
        <v>0</v>
      </c>
      <c r="D94" s="15"/>
      <c r="E94" s="15">
        <v>0</v>
      </c>
      <c r="F94" s="15" t="s">
        <v>44</v>
      </c>
      <c r="G94" s="15">
        <v>2</v>
      </c>
    </row>
    <row r="95" spans="1:7" ht="12.75" customHeight="1" x14ac:dyDescent="0.3">
      <c r="A95" s="10" t="s">
        <v>79</v>
      </c>
      <c r="B95" s="11"/>
      <c r="C95" s="11">
        <v>0</v>
      </c>
      <c r="D95" s="11"/>
      <c r="E95" s="11">
        <v>0</v>
      </c>
      <c r="F95" s="11" t="s">
        <v>60</v>
      </c>
      <c r="G95" s="11">
        <v>1</v>
      </c>
    </row>
    <row r="96" spans="1:7" ht="12.75" customHeight="1" x14ac:dyDescent="0.3">
      <c r="A96" s="14" t="s">
        <v>105</v>
      </c>
      <c r="B96" s="15"/>
      <c r="C96" s="15">
        <v>0</v>
      </c>
      <c r="D96" s="15"/>
      <c r="E96" s="15">
        <v>0</v>
      </c>
      <c r="F96" s="15" t="s">
        <v>60</v>
      </c>
      <c r="G96" s="15">
        <v>1</v>
      </c>
    </row>
    <row r="97" spans="1:7" ht="12.75" customHeight="1" x14ac:dyDescent="0.3">
      <c r="A97" s="10" t="s">
        <v>106</v>
      </c>
      <c r="B97" s="11"/>
      <c r="C97" s="11">
        <v>0</v>
      </c>
      <c r="D97" s="11"/>
      <c r="E97" s="11">
        <v>0</v>
      </c>
      <c r="F97" s="11" t="s">
        <v>60</v>
      </c>
      <c r="G97" s="11">
        <v>1</v>
      </c>
    </row>
    <row r="98" spans="1:7" ht="12.75" customHeight="1" x14ac:dyDescent="0.3">
      <c r="A98" s="14" t="s">
        <v>107</v>
      </c>
      <c r="B98" s="15"/>
      <c r="C98" s="15">
        <v>0</v>
      </c>
      <c r="D98" s="15"/>
      <c r="E98" s="15">
        <v>0</v>
      </c>
      <c r="F98" s="15" t="s">
        <v>60</v>
      </c>
      <c r="G98" s="15">
        <v>1</v>
      </c>
    </row>
    <row r="99" spans="1:7" ht="12.75" customHeight="1" x14ac:dyDescent="0.3">
      <c r="A99" s="10" t="s">
        <v>135</v>
      </c>
      <c r="B99" s="11"/>
      <c r="C99" s="11">
        <v>0</v>
      </c>
      <c r="D99" s="11"/>
      <c r="E99" s="11">
        <v>0</v>
      </c>
      <c r="F99" s="11" t="s">
        <v>60</v>
      </c>
      <c r="G99" s="11">
        <v>1</v>
      </c>
    </row>
    <row r="100" spans="1:7" ht="12.75" customHeight="1" x14ac:dyDescent="0.3">
      <c r="A100" s="14" t="s">
        <v>104</v>
      </c>
      <c r="B100" s="15"/>
      <c r="C100" s="15">
        <v>0</v>
      </c>
      <c r="D100" s="15"/>
      <c r="E100" s="15">
        <v>0</v>
      </c>
      <c r="F100" s="15" t="s">
        <v>60</v>
      </c>
      <c r="G100" s="15">
        <v>1</v>
      </c>
    </row>
    <row r="101" spans="1:7" ht="12.75" customHeight="1" x14ac:dyDescent="0.3">
      <c r="A101" s="10" t="s">
        <v>54</v>
      </c>
      <c r="B101" s="11"/>
      <c r="C101" s="11">
        <v>0</v>
      </c>
      <c r="D101" s="11"/>
      <c r="E101" s="11">
        <v>0</v>
      </c>
      <c r="F101" s="11" t="s">
        <v>60</v>
      </c>
      <c r="G101" s="11">
        <v>1</v>
      </c>
    </row>
    <row r="102" spans="1:7" ht="12.75" customHeight="1" x14ac:dyDescent="0.3">
      <c r="A102" s="18" t="s">
        <v>116</v>
      </c>
      <c r="B102" s="19"/>
      <c r="C102" s="19" t="s">
        <v>145</v>
      </c>
      <c r="D102" s="19"/>
      <c r="E102" s="19" t="s">
        <v>146</v>
      </c>
      <c r="F102" s="19"/>
      <c r="G102" s="19" t="s">
        <v>147</v>
      </c>
    </row>
    <row r="105" spans="1:7" ht="12.75" customHeight="1" x14ac:dyDescent="0.3">
      <c r="A105" s="26" t="s">
        <v>119</v>
      </c>
      <c r="B105" s="24"/>
      <c r="C105" s="24"/>
      <c r="D105" s="24"/>
      <c r="E105" s="24"/>
      <c r="F105" s="24"/>
      <c r="G105" s="27"/>
    </row>
    <row r="106" spans="1:7" ht="12.75" customHeight="1" x14ac:dyDescent="0.3">
      <c r="A106" s="28" t="s">
        <v>134</v>
      </c>
      <c r="B106" s="28" t="s">
        <v>6</v>
      </c>
      <c r="C106" s="28"/>
      <c r="D106" s="28" t="s">
        <v>7</v>
      </c>
      <c r="E106" s="28"/>
      <c r="F106" s="28" t="s">
        <v>8</v>
      </c>
      <c r="G106" s="29"/>
    </row>
    <row r="107" spans="1:7" ht="12.75" customHeight="1" x14ac:dyDescent="0.3">
      <c r="A107" s="28"/>
      <c r="B107" s="8" t="s">
        <v>9</v>
      </c>
      <c r="C107" s="8" t="s">
        <v>138</v>
      </c>
      <c r="D107" s="8" t="s">
        <v>12</v>
      </c>
      <c r="E107" s="8" t="s">
        <v>138</v>
      </c>
      <c r="F107" s="8" t="s">
        <v>13</v>
      </c>
      <c r="G107" s="9" t="s">
        <v>138</v>
      </c>
    </row>
    <row r="108" spans="1:7" ht="12.75" customHeight="1" x14ac:dyDescent="0.3">
      <c r="A108" s="10" t="s">
        <v>14</v>
      </c>
      <c r="B108" s="11" t="s">
        <v>15</v>
      </c>
      <c r="C108" s="11">
        <v>50</v>
      </c>
      <c r="D108" s="11" t="s">
        <v>15</v>
      </c>
      <c r="E108" s="11">
        <v>23</v>
      </c>
      <c r="F108" s="11" t="s">
        <v>15</v>
      </c>
      <c r="G108" s="11">
        <v>116</v>
      </c>
    </row>
    <row r="109" spans="1:7" ht="12.75" customHeight="1" x14ac:dyDescent="0.3">
      <c r="A109" s="14" t="s">
        <v>16</v>
      </c>
      <c r="B109" s="15" t="s">
        <v>17</v>
      </c>
      <c r="C109" s="15">
        <v>26</v>
      </c>
      <c r="D109" s="15" t="s">
        <v>17</v>
      </c>
      <c r="E109" s="15">
        <v>8</v>
      </c>
      <c r="F109" s="15" t="s">
        <v>17</v>
      </c>
      <c r="G109" s="15">
        <v>57</v>
      </c>
    </row>
    <row r="110" spans="1:7" ht="12.75" customHeight="1" x14ac:dyDescent="0.3">
      <c r="A110" s="10" t="s">
        <v>20</v>
      </c>
      <c r="B110" s="11" t="s">
        <v>19</v>
      </c>
      <c r="C110" s="11">
        <v>14</v>
      </c>
      <c r="D110" s="11" t="s">
        <v>17</v>
      </c>
      <c r="E110" s="11">
        <v>8</v>
      </c>
      <c r="F110" s="11" t="s">
        <v>21</v>
      </c>
      <c r="G110" s="11">
        <v>25</v>
      </c>
    </row>
    <row r="111" spans="1:7" ht="12.75" customHeight="1" x14ac:dyDescent="0.3">
      <c r="A111" s="14" t="s">
        <v>23</v>
      </c>
      <c r="B111" s="15" t="s">
        <v>19</v>
      </c>
      <c r="C111" s="15">
        <v>14</v>
      </c>
      <c r="D111" s="15" t="s">
        <v>21</v>
      </c>
      <c r="E111" s="15">
        <v>7</v>
      </c>
      <c r="F111" s="15" t="s">
        <v>19</v>
      </c>
      <c r="G111" s="15">
        <v>52</v>
      </c>
    </row>
    <row r="112" spans="1:7" ht="12.75" customHeight="1" x14ac:dyDescent="0.3">
      <c r="A112" s="10" t="s">
        <v>34</v>
      </c>
      <c r="B112" s="11" t="s">
        <v>22</v>
      </c>
      <c r="C112" s="11">
        <v>10</v>
      </c>
      <c r="D112" s="11" t="s">
        <v>27</v>
      </c>
      <c r="E112" s="11">
        <v>4</v>
      </c>
      <c r="F112" s="11" t="s">
        <v>29</v>
      </c>
      <c r="G112" s="11">
        <v>20</v>
      </c>
    </row>
    <row r="113" spans="1:7" ht="12.75" customHeight="1" x14ac:dyDescent="0.3">
      <c r="A113" s="14" t="s">
        <v>18</v>
      </c>
      <c r="B113" s="15" t="s">
        <v>22</v>
      </c>
      <c r="C113" s="15">
        <v>10</v>
      </c>
      <c r="D113" s="15" t="s">
        <v>37</v>
      </c>
      <c r="E113" s="15">
        <v>2</v>
      </c>
      <c r="F113" s="15" t="s">
        <v>24</v>
      </c>
      <c r="G113" s="15">
        <v>22</v>
      </c>
    </row>
    <row r="114" spans="1:7" ht="12.75" customHeight="1" x14ac:dyDescent="0.3">
      <c r="A114" s="10" t="s">
        <v>48</v>
      </c>
      <c r="B114" s="11" t="s">
        <v>27</v>
      </c>
      <c r="C114" s="11">
        <v>9</v>
      </c>
      <c r="D114" s="11" t="s">
        <v>24</v>
      </c>
      <c r="E114" s="11">
        <v>5</v>
      </c>
      <c r="F114" s="11" t="s">
        <v>27</v>
      </c>
      <c r="G114" s="11">
        <v>21</v>
      </c>
    </row>
    <row r="115" spans="1:7" ht="12.75" customHeight="1" x14ac:dyDescent="0.3">
      <c r="A115" s="14" t="s">
        <v>33</v>
      </c>
      <c r="B115" s="15" t="s">
        <v>29</v>
      </c>
      <c r="C115" s="15">
        <v>8</v>
      </c>
      <c r="D115" s="15" t="s">
        <v>22</v>
      </c>
      <c r="E115" s="15">
        <v>6</v>
      </c>
      <c r="F115" s="15" t="s">
        <v>37</v>
      </c>
      <c r="G115" s="15">
        <v>12</v>
      </c>
    </row>
    <row r="116" spans="1:7" ht="12.75" customHeight="1" x14ac:dyDescent="0.3">
      <c r="A116" s="10" t="s">
        <v>25</v>
      </c>
      <c r="B116" s="11" t="s">
        <v>29</v>
      </c>
      <c r="C116" s="11">
        <v>8</v>
      </c>
      <c r="D116" s="11" t="s">
        <v>31</v>
      </c>
      <c r="E116" s="11">
        <v>3</v>
      </c>
      <c r="F116" s="11" t="s">
        <v>31</v>
      </c>
      <c r="G116" s="11">
        <v>16</v>
      </c>
    </row>
    <row r="117" spans="1:7" ht="12.75" customHeight="1" x14ac:dyDescent="0.3">
      <c r="A117" s="14" t="s">
        <v>32</v>
      </c>
      <c r="B117" s="15" t="s">
        <v>30</v>
      </c>
      <c r="C117" s="15">
        <v>6</v>
      </c>
      <c r="D117" s="15" t="s">
        <v>27</v>
      </c>
      <c r="E117" s="15">
        <v>4</v>
      </c>
      <c r="F117" s="15" t="s">
        <v>22</v>
      </c>
      <c r="G117" s="15">
        <v>24</v>
      </c>
    </row>
    <row r="118" spans="1:7" ht="12.75" customHeight="1" x14ac:dyDescent="0.3">
      <c r="A118" s="10" t="s">
        <v>26</v>
      </c>
      <c r="B118" s="11" t="s">
        <v>30</v>
      </c>
      <c r="C118" s="11">
        <v>6</v>
      </c>
      <c r="D118" s="11" t="s">
        <v>31</v>
      </c>
      <c r="E118" s="11">
        <v>3</v>
      </c>
      <c r="F118" s="11" t="s">
        <v>30</v>
      </c>
      <c r="G118" s="11">
        <v>15</v>
      </c>
    </row>
    <row r="119" spans="1:7" ht="12.75" customHeight="1" x14ac:dyDescent="0.3">
      <c r="A119" s="14" t="s">
        <v>28</v>
      </c>
      <c r="B119" s="15" t="s">
        <v>30</v>
      </c>
      <c r="C119" s="15">
        <v>6</v>
      </c>
      <c r="D119" s="15" t="s">
        <v>31</v>
      </c>
      <c r="E119" s="15">
        <v>3</v>
      </c>
      <c r="F119" s="15" t="s">
        <v>35</v>
      </c>
      <c r="G119" s="15">
        <v>14</v>
      </c>
    </row>
    <row r="120" spans="1:7" ht="12.75" customHeight="1" x14ac:dyDescent="0.3">
      <c r="A120" s="10" t="s">
        <v>46</v>
      </c>
      <c r="B120" s="11" t="s">
        <v>36</v>
      </c>
      <c r="C120" s="11">
        <v>5</v>
      </c>
      <c r="D120" s="11" t="s">
        <v>37</v>
      </c>
      <c r="E120" s="11">
        <v>2</v>
      </c>
      <c r="F120" s="11" t="s">
        <v>40</v>
      </c>
      <c r="G120" s="11">
        <v>9</v>
      </c>
    </row>
    <row r="121" spans="1:7" ht="12.75" customHeight="1" x14ac:dyDescent="0.3">
      <c r="A121" s="14" t="s">
        <v>66</v>
      </c>
      <c r="B121" s="15" t="s">
        <v>40</v>
      </c>
      <c r="C121" s="15">
        <v>3</v>
      </c>
      <c r="D121" s="15" t="s">
        <v>40</v>
      </c>
      <c r="E121" s="15">
        <v>1</v>
      </c>
      <c r="F121" s="15" t="s">
        <v>49</v>
      </c>
      <c r="G121" s="15">
        <v>3</v>
      </c>
    </row>
    <row r="122" spans="1:7" ht="12.75" customHeight="1" x14ac:dyDescent="0.3">
      <c r="A122" s="10" t="s">
        <v>69</v>
      </c>
      <c r="B122" s="11" t="s">
        <v>40</v>
      </c>
      <c r="C122" s="11">
        <v>3</v>
      </c>
      <c r="D122" s="11"/>
      <c r="E122" s="11">
        <v>0</v>
      </c>
      <c r="F122" s="11" t="s">
        <v>36</v>
      </c>
      <c r="G122" s="11">
        <v>10</v>
      </c>
    </row>
    <row r="123" spans="1:7" ht="12.75" customHeight="1" x14ac:dyDescent="0.3">
      <c r="A123" s="14" t="s">
        <v>54</v>
      </c>
      <c r="B123" s="15" t="s">
        <v>40</v>
      </c>
      <c r="C123" s="15">
        <v>3</v>
      </c>
      <c r="D123" s="15"/>
      <c r="E123" s="15">
        <v>0</v>
      </c>
      <c r="F123" s="15" t="s">
        <v>49</v>
      </c>
      <c r="G123" s="15">
        <v>3</v>
      </c>
    </row>
    <row r="124" spans="1:7" ht="12.75" customHeight="1" x14ac:dyDescent="0.3">
      <c r="A124" s="10" t="s">
        <v>38</v>
      </c>
      <c r="B124" s="11" t="s">
        <v>49</v>
      </c>
      <c r="C124" s="11">
        <v>2</v>
      </c>
      <c r="D124" s="11" t="s">
        <v>40</v>
      </c>
      <c r="E124" s="11">
        <v>1</v>
      </c>
      <c r="F124" s="11" t="s">
        <v>42</v>
      </c>
      <c r="G124" s="11">
        <v>7</v>
      </c>
    </row>
    <row r="125" spans="1:7" ht="12.75" customHeight="1" x14ac:dyDescent="0.3">
      <c r="A125" s="14" t="s">
        <v>41</v>
      </c>
      <c r="B125" s="15" t="s">
        <v>49</v>
      </c>
      <c r="C125" s="15">
        <v>2</v>
      </c>
      <c r="D125" s="15" t="s">
        <v>40</v>
      </c>
      <c r="E125" s="15">
        <v>1</v>
      </c>
      <c r="F125" s="15" t="s">
        <v>49</v>
      </c>
      <c r="G125" s="15">
        <v>3</v>
      </c>
    </row>
    <row r="126" spans="1:7" ht="12.75" customHeight="1" x14ac:dyDescent="0.3">
      <c r="A126" s="10" t="s">
        <v>86</v>
      </c>
      <c r="B126" s="11" t="s">
        <v>50</v>
      </c>
      <c r="C126" s="11">
        <v>1</v>
      </c>
      <c r="D126" s="11" t="s">
        <v>40</v>
      </c>
      <c r="E126" s="11">
        <v>1</v>
      </c>
      <c r="F126" s="11" t="s">
        <v>55</v>
      </c>
      <c r="G126" s="11">
        <v>2</v>
      </c>
    </row>
    <row r="127" spans="1:7" ht="12.75" customHeight="1" x14ac:dyDescent="0.3">
      <c r="A127" s="14" t="s">
        <v>63</v>
      </c>
      <c r="B127" s="15" t="s">
        <v>50</v>
      </c>
      <c r="C127" s="15">
        <v>1</v>
      </c>
      <c r="D127" s="15" t="s">
        <v>40</v>
      </c>
      <c r="E127" s="15">
        <v>1</v>
      </c>
      <c r="F127" s="15" t="s">
        <v>60</v>
      </c>
      <c r="G127" s="15">
        <v>1</v>
      </c>
    </row>
    <row r="128" spans="1:7" ht="12.75" customHeight="1" x14ac:dyDescent="0.3">
      <c r="A128" s="10" t="s">
        <v>51</v>
      </c>
      <c r="B128" s="11" t="s">
        <v>50</v>
      </c>
      <c r="C128" s="11">
        <v>1</v>
      </c>
      <c r="D128" s="11" t="s">
        <v>40</v>
      </c>
      <c r="E128" s="11">
        <v>1</v>
      </c>
      <c r="F128" s="11" t="s">
        <v>60</v>
      </c>
      <c r="G128" s="11">
        <v>1</v>
      </c>
    </row>
    <row r="129" spans="1:7" ht="12.75" customHeight="1" x14ac:dyDescent="0.3">
      <c r="A129" s="14" t="s">
        <v>82</v>
      </c>
      <c r="B129" s="15" t="s">
        <v>50</v>
      </c>
      <c r="C129" s="15">
        <v>1</v>
      </c>
      <c r="D129" s="15" t="s">
        <v>40</v>
      </c>
      <c r="E129" s="15">
        <v>1</v>
      </c>
      <c r="F129" s="15" t="s">
        <v>60</v>
      </c>
      <c r="G129" s="15">
        <v>1</v>
      </c>
    </row>
    <row r="130" spans="1:7" ht="12.75" customHeight="1" x14ac:dyDescent="0.3">
      <c r="A130" s="10" t="s">
        <v>81</v>
      </c>
      <c r="B130" s="11" t="s">
        <v>50</v>
      </c>
      <c r="C130" s="11">
        <v>1</v>
      </c>
      <c r="D130" s="11"/>
      <c r="E130" s="11">
        <v>0</v>
      </c>
      <c r="F130" s="11" t="s">
        <v>47</v>
      </c>
      <c r="G130" s="11">
        <v>6</v>
      </c>
    </row>
    <row r="131" spans="1:7" ht="12.75" customHeight="1" x14ac:dyDescent="0.3">
      <c r="A131" s="14" t="s">
        <v>79</v>
      </c>
      <c r="B131" s="15" t="s">
        <v>50</v>
      </c>
      <c r="C131" s="15">
        <v>1</v>
      </c>
      <c r="D131" s="15"/>
      <c r="E131" s="15">
        <v>0</v>
      </c>
      <c r="F131" s="15" t="s">
        <v>55</v>
      </c>
      <c r="G131" s="15">
        <v>2</v>
      </c>
    </row>
    <row r="132" spans="1:7" ht="12.75" customHeight="1" x14ac:dyDescent="0.3">
      <c r="A132" s="10" t="s">
        <v>43</v>
      </c>
      <c r="B132" s="11" t="s">
        <v>50</v>
      </c>
      <c r="C132" s="11">
        <v>1</v>
      </c>
      <c r="D132" s="11"/>
      <c r="E132" s="11">
        <v>0</v>
      </c>
      <c r="F132" s="11" t="s">
        <v>55</v>
      </c>
      <c r="G132" s="11">
        <v>2</v>
      </c>
    </row>
    <row r="133" spans="1:7" ht="12.75" customHeight="1" x14ac:dyDescent="0.3">
      <c r="A133" s="14" t="s">
        <v>52</v>
      </c>
      <c r="B133" s="15" t="s">
        <v>50</v>
      </c>
      <c r="C133" s="15">
        <v>1</v>
      </c>
      <c r="D133" s="15"/>
      <c r="E133" s="15">
        <v>0</v>
      </c>
      <c r="F133" s="15" t="s">
        <v>60</v>
      </c>
      <c r="G133" s="15">
        <v>1</v>
      </c>
    </row>
    <row r="134" spans="1:7" ht="12.75" customHeight="1" x14ac:dyDescent="0.3">
      <c r="A134" s="10" t="s">
        <v>73</v>
      </c>
      <c r="B134" s="11" t="s">
        <v>50</v>
      </c>
      <c r="C134" s="11">
        <v>1</v>
      </c>
      <c r="D134" s="11"/>
      <c r="E134" s="11">
        <v>0</v>
      </c>
      <c r="F134" s="11" t="s">
        <v>60</v>
      </c>
      <c r="G134" s="11">
        <v>1</v>
      </c>
    </row>
    <row r="135" spans="1:7" ht="12.75" customHeight="1" x14ac:dyDescent="0.3">
      <c r="A135" s="14" t="s">
        <v>71</v>
      </c>
      <c r="B135" s="15" t="s">
        <v>50</v>
      </c>
      <c r="C135" s="15">
        <v>1</v>
      </c>
      <c r="D135" s="15"/>
      <c r="E135" s="15">
        <v>0</v>
      </c>
      <c r="F135" s="15" t="s">
        <v>60</v>
      </c>
      <c r="G135" s="15">
        <v>1</v>
      </c>
    </row>
    <row r="136" spans="1:7" ht="12.75" customHeight="1" x14ac:dyDescent="0.3">
      <c r="A136" s="10" t="s">
        <v>108</v>
      </c>
      <c r="B136" s="11"/>
      <c r="C136" s="11">
        <v>0</v>
      </c>
      <c r="D136" s="11"/>
      <c r="E136" s="11">
        <v>0</v>
      </c>
      <c r="F136" s="11" t="s">
        <v>60</v>
      </c>
      <c r="G136" s="11">
        <v>1</v>
      </c>
    </row>
    <row r="137" spans="1:7" ht="12.75" customHeight="1" x14ac:dyDescent="0.3">
      <c r="A137" s="14" t="s">
        <v>76</v>
      </c>
      <c r="B137" s="15"/>
      <c r="C137" s="15">
        <v>0</v>
      </c>
      <c r="D137" s="15"/>
      <c r="E137" s="15">
        <v>0</v>
      </c>
      <c r="F137" s="15" t="s">
        <v>60</v>
      </c>
      <c r="G137" s="15">
        <v>1</v>
      </c>
    </row>
    <row r="138" spans="1:7" ht="12.75" customHeight="1" x14ac:dyDescent="0.3">
      <c r="A138" s="10" t="s">
        <v>78</v>
      </c>
      <c r="B138" s="11"/>
      <c r="C138" s="11">
        <v>0</v>
      </c>
      <c r="D138" s="11"/>
      <c r="E138" s="11">
        <v>0</v>
      </c>
      <c r="F138" s="11" t="s">
        <v>60</v>
      </c>
      <c r="G138" s="11">
        <v>1</v>
      </c>
    </row>
    <row r="139" spans="1:7" ht="12.75" customHeight="1" x14ac:dyDescent="0.3">
      <c r="A139" s="14" t="s">
        <v>61</v>
      </c>
      <c r="B139" s="15"/>
      <c r="C139" s="15">
        <v>0</v>
      </c>
      <c r="D139" s="15"/>
      <c r="E139" s="15">
        <v>0</v>
      </c>
      <c r="F139" s="15" t="s">
        <v>60</v>
      </c>
      <c r="G139" s="15">
        <v>1</v>
      </c>
    </row>
    <row r="140" spans="1:7" ht="12.75" customHeight="1" x14ac:dyDescent="0.3">
      <c r="A140" s="10" t="s">
        <v>58</v>
      </c>
      <c r="B140" s="11"/>
      <c r="C140" s="11">
        <v>0</v>
      </c>
      <c r="D140" s="11"/>
      <c r="E140" s="11">
        <v>0</v>
      </c>
      <c r="F140" s="11" t="s">
        <v>60</v>
      </c>
      <c r="G140" s="11">
        <v>1</v>
      </c>
    </row>
    <row r="141" spans="1:7" ht="12.75" customHeight="1" x14ac:dyDescent="0.3">
      <c r="A141" s="14" t="s">
        <v>104</v>
      </c>
      <c r="B141" s="15"/>
      <c r="C141" s="15">
        <v>0</v>
      </c>
      <c r="D141" s="15"/>
      <c r="E141" s="15">
        <v>0</v>
      </c>
      <c r="F141" s="15" t="s">
        <v>60</v>
      </c>
      <c r="G141" s="15">
        <v>1</v>
      </c>
    </row>
    <row r="142" spans="1:7" ht="12.75" customHeight="1" x14ac:dyDescent="0.3">
      <c r="A142" s="18" t="s">
        <v>116</v>
      </c>
      <c r="B142" s="19"/>
      <c r="C142" s="19" t="s">
        <v>148</v>
      </c>
      <c r="D142" s="19"/>
      <c r="E142" s="19" t="s">
        <v>149</v>
      </c>
      <c r="F142" s="19"/>
      <c r="G142" s="19" t="s">
        <v>150</v>
      </c>
    </row>
    <row r="145" spans="1:7" ht="12.75" customHeight="1" x14ac:dyDescent="0.3">
      <c r="A145" s="26" t="s">
        <v>120</v>
      </c>
      <c r="B145" s="24"/>
      <c r="C145" s="24"/>
      <c r="D145" s="24"/>
      <c r="E145" s="24"/>
      <c r="F145" s="24"/>
      <c r="G145" s="27"/>
    </row>
    <row r="146" spans="1:7" ht="12.75" customHeight="1" x14ac:dyDescent="0.3">
      <c r="A146" s="28" t="s">
        <v>134</v>
      </c>
      <c r="B146" s="28" t="s">
        <v>6</v>
      </c>
      <c r="C146" s="28"/>
      <c r="D146" s="28" t="s">
        <v>7</v>
      </c>
      <c r="E146" s="28"/>
      <c r="F146" s="28" t="s">
        <v>8</v>
      </c>
      <c r="G146" s="29"/>
    </row>
    <row r="147" spans="1:7" ht="12.75" customHeight="1" x14ac:dyDescent="0.3">
      <c r="A147" s="28"/>
      <c r="B147" s="8" t="s">
        <v>9</v>
      </c>
      <c r="C147" s="8" t="s">
        <v>138</v>
      </c>
      <c r="D147" s="8" t="s">
        <v>12</v>
      </c>
      <c r="E147" s="8" t="s">
        <v>138</v>
      </c>
      <c r="F147" s="8" t="s">
        <v>13</v>
      </c>
      <c r="G147" s="9" t="s">
        <v>138</v>
      </c>
    </row>
    <row r="148" spans="1:7" ht="12.75" customHeight="1" x14ac:dyDescent="0.3">
      <c r="A148" s="10" t="s">
        <v>14</v>
      </c>
      <c r="B148" s="11" t="s">
        <v>15</v>
      </c>
      <c r="C148" s="11">
        <v>32</v>
      </c>
      <c r="D148" s="11" t="s">
        <v>15</v>
      </c>
      <c r="E148" s="11">
        <v>16</v>
      </c>
      <c r="F148" s="11" t="s">
        <v>15</v>
      </c>
      <c r="G148" s="11">
        <v>54</v>
      </c>
    </row>
    <row r="149" spans="1:7" ht="12.75" customHeight="1" x14ac:dyDescent="0.3">
      <c r="A149" s="14" t="s">
        <v>16</v>
      </c>
      <c r="B149" s="15" t="s">
        <v>17</v>
      </c>
      <c r="C149" s="15">
        <v>13</v>
      </c>
      <c r="D149" s="15" t="s">
        <v>17</v>
      </c>
      <c r="E149" s="15">
        <v>4</v>
      </c>
      <c r="F149" s="15" t="s">
        <v>17</v>
      </c>
      <c r="G149" s="15">
        <v>20</v>
      </c>
    </row>
    <row r="150" spans="1:7" ht="12.75" customHeight="1" x14ac:dyDescent="0.3">
      <c r="A150" s="10" t="s">
        <v>25</v>
      </c>
      <c r="B150" s="11" t="s">
        <v>19</v>
      </c>
      <c r="C150" s="11">
        <v>7</v>
      </c>
      <c r="D150" s="11" t="s">
        <v>19</v>
      </c>
      <c r="E150" s="11">
        <v>3</v>
      </c>
      <c r="F150" s="11" t="s">
        <v>22</v>
      </c>
      <c r="G150" s="11">
        <v>9</v>
      </c>
    </row>
    <row r="151" spans="1:7" ht="12.75" customHeight="1" x14ac:dyDescent="0.3">
      <c r="A151" s="14" t="s">
        <v>34</v>
      </c>
      <c r="B151" s="15" t="s">
        <v>21</v>
      </c>
      <c r="C151" s="15">
        <v>6</v>
      </c>
      <c r="D151" s="15" t="s">
        <v>19</v>
      </c>
      <c r="E151" s="15">
        <v>3</v>
      </c>
      <c r="F151" s="15" t="s">
        <v>21</v>
      </c>
      <c r="G151" s="15">
        <v>10</v>
      </c>
    </row>
    <row r="152" spans="1:7" ht="12.75" customHeight="1" x14ac:dyDescent="0.3">
      <c r="A152" s="10" t="s">
        <v>26</v>
      </c>
      <c r="B152" s="11" t="s">
        <v>22</v>
      </c>
      <c r="C152" s="11">
        <v>5</v>
      </c>
      <c r="D152" s="11" t="s">
        <v>19</v>
      </c>
      <c r="E152" s="11">
        <v>3</v>
      </c>
      <c r="F152" s="11" t="s">
        <v>19</v>
      </c>
      <c r="G152" s="11">
        <v>11</v>
      </c>
    </row>
    <row r="153" spans="1:7" ht="12.75" customHeight="1" x14ac:dyDescent="0.3">
      <c r="A153" s="14" t="s">
        <v>28</v>
      </c>
      <c r="B153" s="15" t="s">
        <v>24</v>
      </c>
      <c r="C153" s="15">
        <v>4</v>
      </c>
      <c r="D153" s="15" t="s">
        <v>27</v>
      </c>
      <c r="E153" s="15">
        <v>1</v>
      </c>
      <c r="F153" s="15" t="s">
        <v>24</v>
      </c>
      <c r="G153" s="15">
        <v>8</v>
      </c>
    </row>
    <row r="154" spans="1:7" ht="12.75" customHeight="1" x14ac:dyDescent="0.3">
      <c r="A154" s="10" t="s">
        <v>20</v>
      </c>
      <c r="B154" s="11" t="s">
        <v>27</v>
      </c>
      <c r="C154" s="11">
        <v>3</v>
      </c>
      <c r="D154" s="11" t="s">
        <v>19</v>
      </c>
      <c r="E154" s="11">
        <v>3</v>
      </c>
      <c r="F154" s="11" t="s">
        <v>27</v>
      </c>
      <c r="G154" s="11">
        <v>7</v>
      </c>
    </row>
    <row r="155" spans="1:7" ht="12.75" customHeight="1" x14ac:dyDescent="0.3">
      <c r="A155" s="14" t="s">
        <v>66</v>
      </c>
      <c r="B155" s="15" t="s">
        <v>27</v>
      </c>
      <c r="C155" s="15">
        <v>3</v>
      </c>
      <c r="D155" s="15" t="s">
        <v>27</v>
      </c>
      <c r="E155" s="15">
        <v>1</v>
      </c>
      <c r="F155" s="15" t="s">
        <v>31</v>
      </c>
      <c r="G155" s="15">
        <v>3</v>
      </c>
    </row>
    <row r="156" spans="1:7" ht="12.75" customHeight="1" x14ac:dyDescent="0.3">
      <c r="A156" s="10" t="s">
        <v>46</v>
      </c>
      <c r="B156" s="11" t="s">
        <v>27</v>
      </c>
      <c r="C156" s="11">
        <v>3</v>
      </c>
      <c r="D156" s="11" t="s">
        <v>27</v>
      </c>
      <c r="E156" s="11">
        <v>1</v>
      </c>
      <c r="F156" s="11" t="s">
        <v>31</v>
      </c>
      <c r="G156" s="11">
        <v>3</v>
      </c>
    </row>
    <row r="157" spans="1:7" ht="12.75" customHeight="1" x14ac:dyDescent="0.3">
      <c r="A157" s="14" t="s">
        <v>23</v>
      </c>
      <c r="B157" s="15" t="s">
        <v>30</v>
      </c>
      <c r="C157" s="15">
        <v>2</v>
      </c>
      <c r="D157" s="15" t="s">
        <v>27</v>
      </c>
      <c r="E157" s="15">
        <v>1</v>
      </c>
      <c r="F157" s="15" t="s">
        <v>29</v>
      </c>
      <c r="G157" s="15">
        <v>6</v>
      </c>
    </row>
    <row r="158" spans="1:7" ht="12.75" customHeight="1" x14ac:dyDescent="0.3">
      <c r="A158" s="10" t="s">
        <v>33</v>
      </c>
      <c r="B158" s="11" t="s">
        <v>35</v>
      </c>
      <c r="C158" s="11">
        <v>1</v>
      </c>
      <c r="D158" s="11" t="s">
        <v>27</v>
      </c>
      <c r="E158" s="11">
        <v>1</v>
      </c>
      <c r="F158" s="11" t="s">
        <v>40</v>
      </c>
      <c r="G158" s="11">
        <v>1</v>
      </c>
    </row>
    <row r="159" spans="1:7" ht="12.75" customHeight="1" x14ac:dyDescent="0.3">
      <c r="A159" s="14" t="s">
        <v>79</v>
      </c>
      <c r="B159" s="15" t="s">
        <v>35</v>
      </c>
      <c r="C159" s="15">
        <v>1</v>
      </c>
      <c r="D159" s="15"/>
      <c r="E159" s="15">
        <v>0</v>
      </c>
      <c r="F159" s="15" t="s">
        <v>35</v>
      </c>
      <c r="G159" s="15">
        <v>2</v>
      </c>
    </row>
    <row r="160" spans="1:7" ht="12.75" customHeight="1" x14ac:dyDescent="0.3">
      <c r="A160" s="10" t="s">
        <v>18</v>
      </c>
      <c r="B160" s="11" t="s">
        <v>35</v>
      </c>
      <c r="C160" s="11">
        <v>1</v>
      </c>
      <c r="D160" s="11"/>
      <c r="E160" s="11">
        <v>0</v>
      </c>
      <c r="F160" s="11" t="s">
        <v>35</v>
      </c>
      <c r="G160" s="11">
        <v>2</v>
      </c>
    </row>
    <row r="161" spans="1:7" ht="12.75" customHeight="1" x14ac:dyDescent="0.3">
      <c r="A161" s="14" t="s">
        <v>32</v>
      </c>
      <c r="B161" s="15" t="s">
        <v>35</v>
      </c>
      <c r="C161" s="15">
        <v>1</v>
      </c>
      <c r="D161" s="15"/>
      <c r="E161" s="15">
        <v>0</v>
      </c>
      <c r="F161" s="15" t="s">
        <v>35</v>
      </c>
      <c r="G161" s="15">
        <v>2</v>
      </c>
    </row>
    <row r="162" spans="1:7" ht="12.75" customHeight="1" x14ac:dyDescent="0.3">
      <c r="A162" s="10" t="s">
        <v>78</v>
      </c>
      <c r="B162" s="11"/>
      <c r="C162" s="11">
        <v>0</v>
      </c>
      <c r="D162" s="11"/>
      <c r="E162" s="11">
        <v>0</v>
      </c>
      <c r="F162" s="11" t="s">
        <v>40</v>
      </c>
      <c r="G162" s="11">
        <v>1</v>
      </c>
    </row>
    <row r="163" spans="1:7" ht="12.75" customHeight="1" x14ac:dyDescent="0.3">
      <c r="A163" s="14" t="s">
        <v>61</v>
      </c>
      <c r="B163" s="15"/>
      <c r="C163" s="15">
        <v>0</v>
      </c>
      <c r="D163" s="15"/>
      <c r="E163" s="15">
        <v>0</v>
      </c>
      <c r="F163" s="15" t="s">
        <v>40</v>
      </c>
      <c r="G163" s="15">
        <v>1</v>
      </c>
    </row>
    <row r="164" spans="1:7" ht="12.75" customHeight="1" x14ac:dyDescent="0.3">
      <c r="A164" s="10" t="s">
        <v>104</v>
      </c>
      <c r="B164" s="11"/>
      <c r="C164" s="11">
        <v>0</v>
      </c>
      <c r="D164" s="11"/>
      <c r="E164" s="11">
        <v>0</v>
      </c>
      <c r="F164" s="11" t="s">
        <v>40</v>
      </c>
      <c r="G164" s="11">
        <v>1</v>
      </c>
    </row>
    <row r="165" spans="1:7" ht="12.75" customHeight="1" x14ac:dyDescent="0.3">
      <c r="A165" s="18" t="s">
        <v>116</v>
      </c>
      <c r="B165" s="19"/>
      <c r="C165" s="19" t="s">
        <v>151</v>
      </c>
      <c r="D165" s="19"/>
      <c r="E165" s="19" t="s">
        <v>152</v>
      </c>
      <c r="F165" s="19"/>
      <c r="G165" s="19" t="s">
        <v>153</v>
      </c>
    </row>
    <row r="168" spans="1:7" ht="12.75" customHeight="1" x14ac:dyDescent="0.3">
      <c r="A168" s="26" t="s">
        <v>121</v>
      </c>
      <c r="B168" s="24"/>
      <c r="C168" s="24"/>
      <c r="D168" s="24"/>
      <c r="E168" s="24"/>
      <c r="F168" s="24"/>
      <c r="G168" s="27"/>
    </row>
    <row r="169" spans="1:7" ht="12.75" customHeight="1" x14ac:dyDescent="0.3">
      <c r="A169" s="28" t="s">
        <v>134</v>
      </c>
      <c r="B169" s="28" t="s">
        <v>6</v>
      </c>
      <c r="C169" s="28"/>
      <c r="D169" s="28" t="s">
        <v>7</v>
      </c>
      <c r="E169" s="28"/>
      <c r="F169" s="28" t="s">
        <v>8</v>
      </c>
      <c r="G169" s="29"/>
    </row>
    <row r="170" spans="1:7" ht="12.75" customHeight="1" x14ac:dyDescent="0.3">
      <c r="A170" s="28"/>
      <c r="B170" s="8" t="s">
        <v>9</v>
      </c>
      <c r="C170" s="8" t="s">
        <v>138</v>
      </c>
      <c r="D170" s="8" t="s">
        <v>12</v>
      </c>
      <c r="E170" s="8" t="s">
        <v>138</v>
      </c>
      <c r="F170" s="8" t="s">
        <v>13</v>
      </c>
      <c r="G170" s="9" t="s">
        <v>138</v>
      </c>
    </row>
    <row r="171" spans="1:7" ht="12.75" customHeight="1" x14ac:dyDescent="0.3">
      <c r="A171" s="10" t="s">
        <v>14</v>
      </c>
      <c r="B171" s="11" t="s">
        <v>15</v>
      </c>
      <c r="C171" s="11">
        <v>9</v>
      </c>
      <c r="D171" s="11" t="s">
        <v>17</v>
      </c>
      <c r="E171" s="11">
        <v>4</v>
      </c>
      <c r="F171" s="11" t="s">
        <v>17</v>
      </c>
      <c r="G171" s="11">
        <v>24</v>
      </c>
    </row>
    <row r="172" spans="1:7" ht="12.75" customHeight="1" x14ac:dyDescent="0.3">
      <c r="A172" s="14" t="s">
        <v>23</v>
      </c>
      <c r="B172" s="15" t="s">
        <v>17</v>
      </c>
      <c r="C172" s="15">
        <v>7</v>
      </c>
      <c r="D172" s="15" t="s">
        <v>19</v>
      </c>
      <c r="E172" s="15">
        <v>3</v>
      </c>
      <c r="F172" s="15" t="s">
        <v>15</v>
      </c>
      <c r="G172" s="15">
        <v>26</v>
      </c>
    </row>
    <row r="173" spans="1:7" ht="12.75" customHeight="1" x14ac:dyDescent="0.3">
      <c r="A173" s="10" t="s">
        <v>33</v>
      </c>
      <c r="B173" s="11" t="s">
        <v>19</v>
      </c>
      <c r="C173" s="11">
        <v>6</v>
      </c>
      <c r="D173" s="11" t="s">
        <v>15</v>
      </c>
      <c r="E173" s="11">
        <v>5</v>
      </c>
      <c r="F173" s="11" t="s">
        <v>24</v>
      </c>
      <c r="G173" s="11">
        <v>8</v>
      </c>
    </row>
    <row r="174" spans="1:7" ht="12.75" customHeight="1" x14ac:dyDescent="0.3">
      <c r="A174" s="14" t="s">
        <v>48</v>
      </c>
      <c r="B174" s="15" t="s">
        <v>21</v>
      </c>
      <c r="C174" s="15">
        <v>5</v>
      </c>
      <c r="D174" s="15" t="s">
        <v>19</v>
      </c>
      <c r="E174" s="15">
        <v>3</v>
      </c>
      <c r="F174" s="15" t="s">
        <v>19</v>
      </c>
      <c r="G174" s="15">
        <v>16</v>
      </c>
    </row>
    <row r="175" spans="1:7" ht="12.75" customHeight="1" x14ac:dyDescent="0.3">
      <c r="A175" s="10" t="s">
        <v>20</v>
      </c>
      <c r="B175" s="11" t="s">
        <v>21</v>
      </c>
      <c r="C175" s="11">
        <v>5</v>
      </c>
      <c r="D175" s="11" t="s">
        <v>22</v>
      </c>
      <c r="E175" s="11">
        <v>2</v>
      </c>
      <c r="F175" s="11" t="s">
        <v>31</v>
      </c>
      <c r="G175" s="11">
        <v>6</v>
      </c>
    </row>
    <row r="176" spans="1:7" ht="12.75" customHeight="1" x14ac:dyDescent="0.3">
      <c r="A176" s="14" t="s">
        <v>18</v>
      </c>
      <c r="B176" s="15" t="s">
        <v>21</v>
      </c>
      <c r="C176" s="15">
        <v>5</v>
      </c>
      <c r="D176" s="15" t="s">
        <v>29</v>
      </c>
      <c r="E176" s="15">
        <v>1</v>
      </c>
      <c r="F176" s="15" t="s">
        <v>31</v>
      </c>
      <c r="G176" s="15">
        <v>6</v>
      </c>
    </row>
    <row r="177" spans="1:7" ht="12.75" customHeight="1" x14ac:dyDescent="0.3">
      <c r="A177" s="10" t="s">
        <v>34</v>
      </c>
      <c r="B177" s="11" t="s">
        <v>27</v>
      </c>
      <c r="C177" s="11">
        <v>4</v>
      </c>
      <c r="D177" s="11" t="s">
        <v>29</v>
      </c>
      <c r="E177" s="11">
        <v>1</v>
      </c>
      <c r="F177" s="11" t="s">
        <v>22</v>
      </c>
      <c r="G177" s="11">
        <v>9</v>
      </c>
    </row>
    <row r="178" spans="1:7" ht="12.75" customHeight="1" x14ac:dyDescent="0.3">
      <c r="A178" s="14" t="s">
        <v>16</v>
      </c>
      <c r="B178" s="15" t="s">
        <v>29</v>
      </c>
      <c r="C178" s="15">
        <v>3</v>
      </c>
      <c r="D178" s="15" t="s">
        <v>29</v>
      </c>
      <c r="E178" s="15">
        <v>1</v>
      </c>
      <c r="F178" s="15" t="s">
        <v>21</v>
      </c>
      <c r="G178" s="15">
        <v>11</v>
      </c>
    </row>
    <row r="179" spans="1:7" ht="12.75" customHeight="1" x14ac:dyDescent="0.3">
      <c r="A179" s="10" t="s">
        <v>69</v>
      </c>
      <c r="B179" s="11" t="s">
        <v>29</v>
      </c>
      <c r="C179" s="11">
        <v>3</v>
      </c>
      <c r="D179" s="11"/>
      <c r="E179" s="11">
        <v>0</v>
      </c>
      <c r="F179" s="11" t="s">
        <v>24</v>
      </c>
      <c r="G179" s="11">
        <v>8</v>
      </c>
    </row>
    <row r="180" spans="1:7" ht="12.75" customHeight="1" x14ac:dyDescent="0.3">
      <c r="A180" s="14" t="s">
        <v>32</v>
      </c>
      <c r="B180" s="15" t="s">
        <v>30</v>
      </c>
      <c r="C180" s="15">
        <v>2</v>
      </c>
      <c r="D180" s="15" t="s">
        <v>22</v>
      </c>
      <c r="E180" s="15">
        <v>2</v>
      </c>
      <c r="F180" s="15" t="s">
        <v>24</v>
      </c>
      <c r="G180" s="15">
        <v>8</v>
      </c>
    </row>
    <row r="181" spans="1:7" ht="12.75" customHeight="1" x14ac:dyDescent="0.3">
      <c r="A181" s="10" t="s">
        <v>28</v>
      </c>
      <c r="B181" s="11" t="s">
        <v>30</v>
      </c>
      <c r="C181" s="11">
        <v>2</v>
      </c>
      <c r="D181" s="11" t="s">
        <v>22</v>
      </c>
      <c r="E181" s="11">
        <v>2</v>
      </c>
      <c r="F181" s="11" t="s">
        <v>37</v>
      </c>
      <c r="G181" s="11">
        <v>4</v>
      </c>
    </row>
    <row r="182" spans="1:7" ht="12.75" customHeight="1" x14ac:dyDescent="0.3">
      <c r="A182" s="14" t="s">
        <v>63</v>
      </c>
      <c r="B182" s="15" t="s">
        <v>37</v>
      </c>
      <c r="C182" s="15">
        <v>1</v>
      </c>
      <c r="D182" s="15" t="s">
        <v>29</v>
      </c>
      <c r="E182" s="15">
        <v>1</v>
      </c>
      <c r="F182" s="15" t="s">
        <v>47</v>
      </c>
      <c r="G182" s="15">
        <v>1</v>
      </c>
    </row>
    <row r="183" spans="1:7" ht="12.75" customHeight="1" x14ac:dyDescent="0.3">
      <c r="A183" s="10" t="s">
        <v>82</v>
      </c>
      <c r="B183" s="11" t="s">
        <v>37</v>
      </c>
      <c r="C183" s="11">
        <v>1</v>
      </c>
      <c r="D183" s="11" t="s">
        <v>29</v>
      </c>
      <c r="E183" s="11">
        <v>1</v>
      </c>
      <c r="F183" s="11" t="s">
        <v>47</v>
      </c>
      <c r="G183" s="11">
        <v>1</v>
      </c>
    </row>
    <row r="184" spans="1:7" ht="12.75" customHeight="1" x14ac:dyDescent="0.3">
      <c r="A184" s="14" t="s">
        <v>41</v>
      </c>
      <c r="B184" s="15" t="s">
        <v>37</v>
      </c>
      <c r="C184" s="15">
        <v>1</v>
      </c>
      <c r="D184" s="15" t="s">
        <v>29</v>
      </c>
      <c r="E184" s="15">
        <v>1</v>
      </c>
      <c r="F184" s="15" t="s">
        <v>47</v>
      </c>
      <c r="G184" s="15">
        <v>1</v>
      </c>
    </row>
    <row r="185" spans="1:7" ht="12.75" customHeight="1" x14ac:dyDescent="0.3">
      <c r="A185" s="10" t="s">
        <v>81</v>
      </c>
      <c r="B185" s="11" t="s">
        <v>37</v>
      </c>
      <c r="C185" s="11">
        <v>1</v>
      </c>
      <c r="D185" s="11"/>
      <c r="E185" s="11">
        <v>0</v>
      </c>
      <c r="F185" s="11" t="s">
        <v>31</v>
      </c>
      <c r="G185" s="11">
        <v>6</v>
      </c>
    </row>
    <row r="186" spans="1:7" ht="12.75" customHeight="1" x14ac:dyDescent="0.3">
      <c r="A186" s="14" t="s">
        <v>26</v>
      </c>
      <c r="B186" s="15" t="s">
        <v>37</v>
      </c>
      <c r="C186" s="15">
        <v>1</v>
      </c>
      <c r="D186" s="15"/>
      <c r="E186" s="15">
        <v>0</v>
      </c>
      <c r="F186" s="15" t="s">
        <v>37</v>
      </c>
      <c r="G186" s="15">
        <v>4</v>
      </c>
    </row>
    <row r="187" spans="1:7" ht="12.75" customHeight="1" x14ac:dyDescent="0.3">
      <c r="A187" s="10" t="s">
        <v>52</v>
      </c>
      <c r="B187" s="11" t="s">
        <v>37</v>
      </c>
      <c r="C187" s="11">
        <v>1</v>
      </c>
      <c r="D187" s="11"/>
      <c r="E187" s="11">
        <v>0</v>
      </c>
      <c r="F187" s="11" t="s">
        <v>47</v>
      </c>
      <c r="G187" s="11">
        <v>1</v>
      </c>
    </row>
    <row r="188" spans="1:7" ht="12.75" customHeight="1" x14ac:dyDescent="0.3">
      <c r="A188" s="14" t="s">
        <v>73</v>
      </c>
      <c r="B188" s="15" t="s">
        <v>37</v>
      </c>
      <c r="C188" s="15">
        <v>1</v>
      </c>
      <c r="D188" s="15"/>
      <c r="E188" s="15">
        <v>0</v>
      </c>
      <c r="F188" s="15" t="s">
        <v>47</v>
      </c>
      <c r="G188" s="15">
        <v>1</v>
      </c>
    </row>
    <row r="189" spans="1:7" ht="12.75" customHeight="1" x14ac:dyDescent="0.3">
      <c r="A189" s="10" t="s">
        <v>54</v>
      </c>
      <c r="B189" s="11" t="s">
        <v>37</v>
      </c>
      <c r="C189" s="11">
        <v>1</v>
      </c>
      <c r="D189" s="11"/>
      <c r="E189" s="11">
        <v>0</v>
      </c>
      <c r="F189" s="11" t="s">
        <v>47</v>
      </c>
      <c r="G189" s="11">
        <v>1</v>
      </c>
    </row>
    <row r="190" spans="1:7" ht="12.75" customHeight="1" x14ac:dyDescent="0.3">
      <c r="A190" s="14" t="s">
        <v>46</v>
      </c>
      <c r="B190" s="15"/>
      <c r="C190" s="15">
        <v>0</v>
      </c>
      <c r="D190" s="15"/>
      <c r="E190" s="15">
        <v>0</v>
      </c>
      <c r="F190" s="15" t="s">
        <v>40</v>
      </c>
      <c r="G190" s="15">
        <v>2</v>
      </c>
    </row>
    <row r="191" spans="1:7" ht="12.75" customHeight="1" x14ac:dyDescent="0.3">
      <c r="A191" s="10" t="s">
        <v>25</v>
      </c>
      <c r="B191" s="11"/>
      <c r="C191" s="11">
        <v>0</v>
      </c>
      <c r="D191" s="11"/>
      <c r="E191" s="11">
        <v>0</v>
      </c>
      <c r="F191" s="11" t="s">
        <v>40</v>
      </c>
      <c r="G191" s="11">
        <v>2</v>
      </c>
    </row>
    <row r="192" spans="1:7" ht="12.75" customHeight="1" x14ac:dyDescent="0.3">
      <c r="A192" s="14" t="s">
        <v>76</v>
      </c>
      <c r="B192" s="15"/>
      <c r="C192" s="15">
        <v>0</v>
      </c>
      <c r="D192" s="15"/>
      <c r="E192" s="15">
        <v>0</v>
      </c>
      <c r="F192" s="15" t="s">
        <v>47</v>
      </c>
      <c r="G192" s="15">
        <v>1</v>
      </c>
    </row>
    <row r="193" spans="1:7" ht="12.75" customHeight="1" x14ac:dyDescent="0.3">
      <c r="A193" s="10" t="s">
        <v>58</v>
      </c>
      <c r="B193" s="11"/>
      <c r="C193" s="11">
        <v>0</v>
      </c>
      <c r="D193" s="11"/>
      <c r="E193" s="11">
        <v>0</v>
      </c>
      <c r="F193" s="11" t="s">
        <v>47</v>
      </c>
      <c r="G193" s="11">
        <v>1</v>
      </c>
    </row>
    <row r="194" spans="1:7" ht="12.75" customHeight="1" x14ac:dyDescent="0.3">
      <c r="A194" s="18" t="s">
        <v>116</v>
      </c>
      <c r="B194" s="19"/>
      <c r="C194" s="19" t="s">
        <v>154</v>
      </c>
      <c r="D194" s="19"/>
      <c r="E194" s="19" t="s">
        <v>155</v>
      </c>
      <c r="F194" s="19"/>
      <c r="G194" s="19" t="s">
        <v>156</v>
      </c>
    </row>
    <row r="197" spans="1:7" ht="12.75" customHeight="1" x14ac:dyDescent="0.3">
      <c r="A197" s="26" t="s">
        <v>122</v>
      </c>
      <c r="B197" s="24"/>
      <c r="C197" s="24"/>
      <c r="D197" s="24"/>
      <c r="E197" s="24"/>
      <c r="F197" s="24"/>
      <c r="G197" s="27"/>
    </row>
    <row r="198" spans="1:7" ht="12.75" customHeight="1" x14ac:dyDescent="0.3">
      <c r="A198" s="28" t="s">
        <v>134</v>
      </c>
      <c r="B198" s="28" t="s">
        <v>6</v>
      </c>
      <c r="C198" s="28"/>
      <c r="D198" s="28" t="s">
        <v>7</v>
      </c>
      <c r="E198" s="28"/>
      <c r="F198" s="28" t="s">
        <v>8</v>
      </c>
      <c r="G198" s="29"/>
    </row>
    <row r="199" spans="1:7" ht="12.75" customHeight="1" x14ac:dyDescent="0.3">
      <c r="A199" s="28"/>
      <c r="B199" s="8" t="s">
        <v>9</v>
      </c>
      <c r="C199" s="8" t="s">
        <v>138</v>
      </c>
      <c r="D199" s="8" t="s">
        <v>12</v>
      </c>
      <c r="E199" s="8" t="s">
        <v>138</v>
      </c>
      <c r="F199" s="8" t="s">
        <v>13</v>
      </c>
      <c r="G199" s="9" t="s">
        <v>138</v>
      </c>
    </row>
    <row r="200" spans="1:7" ht="12.75" customHeight="1" x14ac:dyDescent="0.3">
      <c r="A200" s="10" t="s">
        <v>16</v>
      </c>
      <c r="B200" s="11" t="s">
        <v>15</v>
      </c>
      <c r="C200" s="11">
        <v>9</v>
      </c>
      <c r="D200" s="11" t="s">
        <v>15</v>
      </c>
      <c r="E200" s="11">
        <v>3</v>
      </c>
      <c r="F200" s="11" t="s">
        <v>17</v>
      </c>
      <c r="G200" s="11">
        <v>25</v>
      </c>
    </row>
    <row r="201" spans="1:7" ht="12.75" customHeight="1" x14ac:dyDescent="0.3">
      <c r="A201" s="14" t="s">
        <v>14</v>
      </c>
      <c r="B201" s="15" t="s">
        <v>17</v>
      </c>
      <c r="C201" s="15">
        <v>7</v>
      </c>
      <c r="D201" s="15" t="s">
        <v>19</v>
      </c>
      <c r="E201" s="15">
        <v>2</v>
      </c>
      <c r="F201" s="15" t="s">
        <v>15</v>
      </c>
      <c r="G201" s="15">
        <v>29</v>
      </c>
    </row>
    <row r="202" spans="1:7" ht="12.75" customHeight="1" x14ac:dyDescent="0.3">
      <c r="A202" s="10" t="s">
        <v>23</v>
      </c>
      <c r="B202" s="11" t="s">
        <v>19</v>
      </c>
      <c r="C202" s="11">
        <v>5</v>
      </c>
      <c r="D202" s="11" t="s">
        <v>15</v>
      </c>
      <c r="E202" s="11">
        <v>3</v>
      </c>
      <c r="F202" s="11" t="s">
        <v>19</v>
      </c>
      <c r="G202" s="11">
        <v>20</v>
      </c>
    </row>
    <row r="203" spans="1:7" ht="12.75" customHeight="1" x14ac:dyDescent="0.3">
      <c r="A203" s="14" t="s">
        <v>20</v>
      </c>
      <c r="B203" s="15" t="s">
        <v>19</v>
      </c>
      <c r="C203" s="15">
        <v>5</v>
      </c>
      <c r="D203" s="15" t="s">
        <v>19</v>
      </c>
      <c r="E203" s="15">
        <v>2</v>
      </c>
      <c r="F203" s="15" t="s">
        <v>24</v>
      </c>
      <c r="G203" s="15">
        <v>11</v>
      </c>
    </row>
    <row r="204" spans="1:7" ht="12.75" customHeight="1" x14ac:dyDescent="0.3">
      <c r="A204" s="10" t="s">
        <v>48</v>
      </c>
      <c r="B204" s="11" t="s">
        <v>22</v>
      </c>
      <c r="C204" s="11">
        <v>4</v>
      </c>
      <c r="D204" s="11" t="s">
        <v>19</v>
      </c>
      <c r="E204" s="11">
        <v>2</v>
      </c>
      <c r="F204" s="11" t="s">
        <v>29</v>
      </c>
      <c r="G204" s="11">
        <v>5</v>
      </c>
    </row>
    <row r="205" spans="1:7" ht="12.75" customHeight="1" x14ac:dyDescent="0.3">
      <c r="A205" s="14" t="s">
        <v>18</v>
      </c>
      <c r="B205" s="15" t="s">
        <v>22</v>
      </c>
      <c r="C205" s="15">
        <v>4</v>
      </c>
      <c r="D205" s="15" t="s">
        <v>27</v>
      </c>
      <c r="E205" s="15">
        <v>1</v>
      </c>
      <c r="F205" s="15" t="s">
        <v>21</v>
      </c>
      <c r="G205" s="15">
        <v>14</v>
      </c>
    </row>
    <row r="206" spans="1:7" ht="12.75" customHeight="1" x14ac:dyDescent="0.3">
      <c r="A206" s="10" t="s">
        <v>32</v>
      </c>
      <c r="B206" s="11" t="s">
        <v>27</v>
      </c>
      <c r="C206" s="11">
        <v>3</v>
      </c>
      <c r="D206" s="11" t="s">
        <v>19</v>
      </c>
      <c r="E206" s="11">
        <v>2</v>
      </c>
      <c r="F206" s="11" t="s">
        <v>21</v>
      </c>
      <c r="G206" s="11">
        <v>14</v>
      </c>
    </row>
    <row r="207" spans="1:7" ht="12.75" customHeight="1" x14ac:dyDescent="0.3">
      <c r="A207" s="14" t="s">
        <v>38</v>
      </c>
      <c r="B207" s="15" t="s">
        <v>29</v>
      </c>
      <c r="C207" s="15">
        <v>2</v>
      </c>
      <c r="D207" s="15" t="s">
        <v>27</v>
      </c>
      <c r="E207" s="15">
        <v>1</v>
      </c>
      <c r="F207" s="15" t="s">
        <v>27</v>
      </c>
      <c r="G207" s="15">
        <v>7</v>
      </c>
    </row>
    <row r="208" spans="1:7" ht="12.75" customHeight="1" x14ac:dyDescent="0.3">
      <c r="A208" s="10" t="s">
        <v>46</v>
      </c>
      <c r="B208" s="11" t="s">
        <v>29</v>
      </c>
      <c r="C208" s="11">
        <v>2</v>
      </c>
      <c r="D208" s="11" t="s">
        <v>27</v>
      </c>
      <c r="E208" s="11">
        <v>1</v>
      </c>
      <c r="F208" s="11" t="s">
        <v>30</v>
      </c>
      <c r="G208" s="11">
        <v>4</v>
      </c>
    </row>
    <row r="209" spans="1:7" ht="12.75" customHeight="1" x14ac:dyDescent="0.3">
      <c r="A209" s="14" t="s">
        <v>54</v>
      </c>
      <c r="B209" s="15" t="s">
        <v>29</v>
      </c>
      <c r="C209" s="15">
        <v>2</v>
      </c>
      <c r="D209" s="15"/>
      <c r="E209" s="15">
        <v>0</v>
      </c>
      <c r="F209" s="15" t="s">
        <v>37</v>
      </c>
      <c r="G209" s="15">
        <v>2</v>
      </c>
    </row>
    <row r="210" spans="1:7" ht="12.75" customHeight="1" x14ac:dyDescent="0.3">
      <c r="A210" s="10" t="s">
        <v>86</v>
      </c>
      <c r="B210" s="11" t="s">
        <v>35</v>
      </c>
      <c r="C210" s="11">
        <v>1</v>
      </c>
      <c r="D210" s="11" t="s">
        <v>27</v>
      </c>
      <c r="E210" s="11">
        <v>1</v>
      </c>
      <c r="F210" s="11" t="s">
        <v>37</v>
      </c>
      <c r="G210" s="11">
        <v>2</v>
      </c>
    </row>
    <row r="211" spans="1:7" ht="12.75" customHeight="1" x14ac:dyDescent="0.3">
      <c r="A211" s="14" t="s">
        <v>51</v>
      </c>
      <c r="B211" s="15" t="s">
        <v>35</v>
      </c>
      <c r="C211" s="15">
        <v>1</v>
      </c>
      <c r="D211" s="15" t="s">
        <v>27</v>
      </c>
      <c r="E211" s="15">
        <v>1</v>
      </c>
      <c r="F211" s="15" t="s">
        <v>47</v>
      </c>
      <c r="G211" s="15">
        <v>1</v>
      </c>
    </row>
    <row r="212" spans="1:7" ht="12.75" customHeight="1" x14ac:dyDescent="0.3">
      <c r="A212" s="10" t="s">
        <v>25</v>
      </c>
      <c r="B212" s="11" t="s">
        <v>35</v>
      </c>
      <c r="C212" s="11">
        <v>1</v>
      </c>
      <c r="D212" s="11"/>
      <c r="E212" s="11">
        <v>0</v>
      </c>
      <c r="F212" s="11" t="s">
        <v>29</v>
      </c>
      <c r="G212" s="11">
        <v>5</v>
      </c>
    </row>
    <row r="213" spans="1:7" ht="12.75" customHeight="1" x14ac:dyDescent="0.3">
      <c r="A213" s="14" t="s">
        <v>33</v>
      </c>
      <c r="B213" s="15" t="s">
        <v>35</v>
      </c>
      <c r="C213" s="15">
        <v>1</v>
      </c>
      <c r="D213" s="15"/>
      <c r="E213" s="15">
        <v>0</v>
      </c>
      <c r="F213" s="15" t="s">
        <v>35</v>
      </c>
      <c r="G213" s="15">
        <v>3</v>
      </c>
    </row>
    <row r="214" spans="1:7" ht="12.75" customHeight="1" x14ac:dyDescent="0.3">
      <c r="A214" s="10" t="s">
        <v>41</v>
      </c>
      <c r="B214" s="11" t="s">
        <v>35</v>
      </c>
      <c r="C214" s="11">
        <v>1</v>
      </c>
      <c r="D214" s="11"/>
      <c r="E214" s="11">
        <v>0</v>
      </c>
      <c r="F214" s="11" t="s">
        <v>37</v>
      </c>
      <c r="G214" s="11">
        <v>2</v>
      </c>
    </row>
    <row r="215" spans="1:7" ht="12.75" customHeight="1" x14ac:dyDescent="0.3">
      <c r="A215" s="14" t="s">
        <v>43</v>
      </c>
      <c r="B215" s="15" t="s">
        <v>35</v>
      </c>
      <c r="C215" s="15">
        <v>1</v>
      </c>
      <c r="D215" s="15"/>
      <c r="E215" s="15">
        <v>0</v>
      </c>
      <c r="F215" s="15" t="s">
        <v>47</v>
      </c>
      <c r="G215" s="15">
        <v>1</v>
      </c>
    </row>
    <row r="216" spans="1:7" ht="12.75" customHeight="1" x14ac:dyDescent="0.3">
      <c r="A216" s="10" t="s">
        <v>71</v>
      </c>
      <c r="B216" s="11" t="s">
        <v>35</v>
      </c>
      <c r="C216" s="11">
        <v>1</v>
      </c>
      <c r="D216" s="11"/>
      <c r="E216" s="11">
        <v>0</v>
      </c>
      <c r="F216" s="11" t="s">
        <v>47</v>
      </c>
      <c r="G216" s="11">
        <v>1</v>
      </c>
    </row>
    <row r="217" spans="1:7" ht="12.75" customHeight="1" x14ac:dyDescent="0.3">
      <c r="A217" s="14" t="s">
        <v>69</v>
      </c>
      <c r="B217" s="15"/>
      <c r="C217" s="15">
        <v>0</v>
      </c>
      <c r="D217" s="15"/>
      <c r="E217" s="15">
        <v>0</v>
      </c>
      <c r="F217" s="15" t="s">
        <v>37</v>
      </c>
      <c r="G217" s="15">
        <v>2</v>
      </c>
    </row>
    <row r="218" spans="1:7" ht="12.75" customHeight="1" x14ac:dyDescent="0.3">
      <c r="A218" s="10" t="s">
        <v>108</v>
      </c>
      <c r="B218" s="11"/>
      <c r="C218" s="11">
        <v>0</v>
      </c>
      <c r="D218" s="11"/>
      <c r="E218" s="11">
        <v>0</v>
      </c>
      <c r="F218" s="11" t="s">
        <v>47</v>
      </c>
      <c r="G218" s="11">
        <v>1</v>
      </c>
    </row>
    <row r="219" spans="1:7" ht="12.75" customHeight="1" x14ac:dyDescent="0.3">
      <c r="A219" s="14" t="s">
        <v>28</v>
      </c>
      <c r="B219" s="15"/>
      <c r="C219" s="15">
        <v>0</v>
      </c>
      <c r="D219" s="15"/>
      <c r="E219" s="15">
        <v>0</v>
      </c>
      <c r="F219" s="15" t="s">
        <v>47</v>
      </c>
      <c r="G219" s="15">
        <v>1</v>
      </c>
    </row>
    <row r="220" spans="1:7" ht="12.75" customHeight="1" x14ac:dyDescent="0.3">
      <c r="A220" s="10" t="s">
        <v>34</v>
      </c>
      <c r="B220" s="11"/>
      <c r="C220" s="11">
        <v>0</v>
      </c>
      <c r="D220" s="11"/>
      <c r="E220" s="11">
        <v>0</v>
      </c>
      <c r="F220" s="11" t="s">
        <v>47</v>
      </c>
      <c r="G220" s="11">
        <v>1</v>
      </c>
    </row>
    <row r="221" spans="1:7" ht="12.75" customHeight="1" x14ac:dyDescent="0.3">
      <c r="A221" s="18" t="s">
        <v>116</v>
      </c>
      <c r="B221" s="19"/>
      <c r="C221" s="19" t="s">
        <v>157</v>
      </c>
      <c r="D221" s="19"/>
      <c r="E221" s="19" t="s">
        <v>158</v>
      </c>
      <c r="F221" s="19"/>
      <c r="G221" s="19" t="s">
        <v>159</v>
      </c>
    </row>
    <row r="224" spans="1:7" ht="12.75" customHeight="1" x14ac:dyDescent="0.3">
      <c r="A224" s="26" t="s">
        <v>123</v>
      </c>
      <c r="B224" s="24"/>
      <c r="C224" s="24"/>
      <c r="D224" s="24"/>
      <c r="E224" s="24"/>
      <c r="F224" s="24"/>
      <c r="G224" s="27"/>
    </row>
    <row r="225" spans="1:7" ht="12.75" customHeight="1" x14ac:dyDescent="0.3">
      <c r="A225" s="28" t="s">
        <v>134</v>
      </c>
      <c r="B225" s="28" t="s">
        <v>6</v>
      </c>
      <c r="C225" s="28"/>
      <c r="D225" s="28" t="s">
        <v>7</v>
      </c>
      <c r="E225" s="28"/>
      <c r="F225" s="28" t="s">
        <v>8</v>
      </c>
      <c r="G225" s="29"/>
    </row>
    <row r="226" spans="1:7" ht="12.75" customHeight="1" x14ac:dyDescent="0.3">
      <c r="A226" s="28"/>
      <c r="B226" s="8" t="s">
        <v>9</v>
      </c>
      <c r="C226" s="8" t="s">
        <v>138</v>
      </c>
      <c r="D226" s="8" t="s">
        <v>12</v>
      </c>
      <c r="E226" s="8" t="s">
        <v>138</v>
      </c>
      <c r="F226" s="8" t="s">
        <v>13</v>
      </c>
      <c r="G226" s="9" t="s">
        <v>138</v>
      </c>
    </row>
    <row r="227" spans="1:7" ht="12.75" customHeight="1" x14ac:dyDescent="0.3">
      <c r="A227" s="10" t="s">
        <v>14</v>
      </c>
      <c r="B227" s="11" t="s">
        <v>15</v>
      </c>
      <c r="C227" s="11">
        <v>2</v>
      </c>
      <c r="D227" s="11" t="s">
        <v>15</v>
      </c>
      <c r="E227" s="11">
        <v>1</v>
      </c>
      <c r="F227" s="11" t="s">
        <v>15</v>
      </c>
      <c r="G227" s="11">
        <v>9</v>
      </c>
    </row>
    <row r="228" spans="1:7" ht="12.75" customHeight="1" x14ac:dyDescent="0.3">
      <c r="A228" s="14" t="s">
        <v>20</v>
      </c>
      <c r="B228" s="15" t="s">
        <v>17</v>
      </c>
      <c r="C228" s="15">
        <v>1</v>
      </c>
      <c r="D228" s="15" t="s">
        <v>15</v>
      </c>
      <c r="E228" s="15">
        <v>1</v>
      </c>
      <c r="F228" s="15" t="s">
        <v>17</v>
      </c>
      <c r="G228" s="15">
        <v>1</v>
      </c>
    </row>
    <row r="229" spans="1:7" ht="12.75" customHeight="1" x14ac:dyDescent="0.3">
      <c r="A229" s="10" t="s">
        <v>16</v>
      </c>
      <c r="B229" s="11" t="s">
        <v>17</v>
      </c>
      <c r="C229" s="11">
        <v>1</v>
      </c>
      <c r="D229" s="11"/>
      <c r="E229" s="11">
        <v>0</v>
      </c>
      <c r="F229" s="11" t="s">
        <v>17</v>
      </c>
      <c r="G229" s="11">
        <v>1</v>
      </c>
    </row>
    <row r="230" spans="1:7" ht="12.75" customHeight="1" x14ac:dyDescent="0.3">
      <c r="A230" s="14" t="s">
        <v>28</v>
      </c>
      <c r="B230" s="15"/>
      <c r="C230" s="15">
        <v>0</v>
      </c>
      <c r="D230" s="15"/>
      <c r="E230" s="15">
        <v>0</v>
      </c>
      <c r="F230" s="15" t="s">
        <v>17</v>
      </c>
      <c r="G230" s="15">
        <v>1</v>
      </c>
    </row>
    <row r="231" spans="1:7" ht="12.75" customHeight="1" x14ac:dyDescent="0.3">
      <c r="A231" s="10" t="s">
        <v>43</v>
      </c>
      <c r="B231" s="11"/>
      <c r="C231" s="11">
        <v>0</v>
      </c>
      <c r="D231" s="11"/>
      <c r="E231" s="11">
        <v>0</v>
      </c>
      <c r="F231" s="11" t="s">
        <v>17</v>
      </c>
      <c r="G231" s="11">
        <v>1</v>
      </c>
    </row>
    <row r="232" spans="1:7" ht="12.75" customHeight="1" x14ac:dyDescent="0.3">
      <c r="A232" s="18" t="s">
        <v>116</v>
      </c>
      <c r="B232" s="19"/>
      <c r="C232" s="19" t="s">
        <v>160</v>
      </c>
      <c r="D232" s="19"/>
      <c r="E232" s="19" t="s">
        <v>161</v>
      </c>
      <c r="F232" s="19"/>
      <c r="G232" s="19" t="s">
        <v>162</v>
      </c>
    </row>
    <row r="235" spans="1:7" ht="12.75" customHeight="1" x14ac:dyDescent="0.3">
      <c r="A235" s="26" t="s">
        <v>124</v>
      </c>
      <c r="B235" s="24"/>
      <c r="C235" s="24"/>
      <c r="D235" s="24"/>
      <c r="E235" s="24"/>
      <c r="F235" s="24"/>
      <c r="G235" s="27"/>
    </row>
    <row r="236" spans="1:7" ht="12.75" customHeight="1" x14ac:dyDescent="0.3">
      <c r="A236" s="28" t="s">
        <v>134</v>
      </c>
      <c r="B236" s="28" t="s">
        <v>6</v>
      </c>
      <c r="C236" s="28"/>
      <c r="D236" s="28" t="s">
        <v>7</v>
      </c>
      <c r="E236" s="28"/>
      <c r="F236" s="28" t="s">
        <v>8</v>
      </c>
      <c r="G236" s="29"/>
    </row>
    <row r="237" spans="1:7" ht="12.75" customHeight="1" x14ac:dyDescent="0.3">
      <c r="A237" s="28"/>
      <c r="B237" s="8" t="s">
        <v>9</v>
      </c>
      <c r="C237" s="8" t="s">
        <v>138</v>
      </c>
      <c r="D237" s="8" t="s">
        <v>12</v>
      </c>
      <c r="E237" s="8" t="s">
        <v>138</v>
      </c>
      <c r="F237" s="8" t="s">
        <v>13</v>
      </c>
      <c r="G237" s="9" t="s">
        <v>138</v>
      </c>
    </row>
    <row r="238" spans="1:7" ht="12.75" customHeight="1" x14ac:dyDescent="0.3">
      <c r="A238" s="10" t="s">
        <v>23</v>
      </c>
      <c r="B238" s="11" t="s">
        <v>15</v>
      </c>
      <c r="C238" s="11">
        <v>22</v>
      </c>
      <c r="D238" s="11" t="s">
        <v>15</v>
      </c>
      <c r="E238" s="11">
        <v>14</v>
      </c>
      <c r="F238" s="11" t="s">
        <v>15</v>
      </c>
      <c r="G238" s="11">
        <v>28</v>
      </c>
    </row>
    <row r="239" spans="1:7" ht="12.75" customHeight="1" x14ac:dyDescent="0.3">
      <c r="A239" s="14" t="s">
        <v>14</v>
      </c>
      <c r="B239" s="15" t="s">
        <v>17</v>
      </c>
      <c r="C239" s="15">
        <v>10</v>
      </c>
      <c r="D239" s="15" t="s">
        <v>17</v>
      </c>
      <c r="E239" s="15">
        <v>4</v>
      </c>
      <c r="F239" s="15" t="s">
        <v>17</v>
      </c>
      <c r="G239" s="15">
        <v>19</v>
      </c>
    </row>
    <row r="240" spans="1:7" ht="12.75" customHeight="1" x14ac:dyDescent="0.3">
      <c r="A240" s="10" t="s">
        <v>34</v>
      </c>
      <c r="B240" s="11" t="s">
        <v>19</v>
      </c>
      <c r="C240" s="11">
        <v>8</v>
      </c>
      <c r="D240" s="11" t="s">
        <v>22</v>
      </c>
      <c r="E240" s="11">
        <v>1</v>
      </c>
      <c r="F240" s="11" t="s">
        <v>19</v>
      </c>
      <c r="G240" s="11">
        <v>12</v>
      </c>
    </row>
    <row r="241" spans="1:7" ht="12.75" customHeight="1" x14ac:dyDescent="0.3">
      <c r="A241" s="14" t="s">
        <v>58</v>
      </c>
      <c r="B241" s="15" t="s">
        <v>21</v>
      </c>
      <c r="C241" s="15">
        <v>2</v>
      </c>
      <c r="D241" s="15" t="s">
        <v>19</v>
      </c>
      <c r="E241" s="15">
        <v>2</v>
      </c>
      <c r="F241" s="15" t="s">
        <v>22</v>
      </c>
      <c r="G241" s="15">
        <v>4</v>
      </c>
    </row>
    <row r="242" spans="1:7" ht="12.75" customHeight="1" x14ac:dyDescent="0.3">
      <c r="A242" s="10" t="s">
        <v>61</v>
      </c>
      <c r="B242" s="11" t="s">
        <v>21</v>
      </c>
      <c r="C242" s="11">
        <v>2</v>
      </c>
      <c r="D242" s="11" t="s">
        <v>19</v>
      </c>
      <c r="E242" s="11">
        <v>2</v>
      </c>
      <c r="F242" s="11" t="s">
        <v>27</v>
      </c>
      <c r="G242" s="11">
        <v>2</v>
      </c>
    </row>
    <row r="243" spans="1:7" ht="12.75" customHeight="1" x14ac:dyDescent="0.3">
      <c r="A243" s="14" t="s">
        <v>26</v>
      </c>
      <c r="B243" s="15" t="s">
        <v>21</v>
      </c>
      <c r="C243" s="15">
        <v>2</v>
      </c>
      <c r="D243" s="15" t="s">
        <v>22</v>
      </c>
      <c r="E243" s="15">
        <v>1</v>
      </c>
      <c r="F243" s="15" t="s">
        <v>21</v>
      </c>
      <c r="G243" s="15">
        <v>5</v>
      </c>
    </row>
    <row r="244" spans="1:7" ht="12.75" customHeight="1" x14ac:dyDescent="0.3">
      <c r="A244" s="10" t="s">
        <v>16</v>
      </c>
      <c r="B244" s="11" t="s">
        <v>27</v>
      </c>
      <c r="C244" s="11">
        <v>1</v>
      </c>
      <c r="D244" s="11" t="s">
        <v>22</v>
      </c>
      <c r="E244" s="11">
        <v>1</v>
      </c>
      <c r="F244" s="11" t="s">
        <v>22</v>
      </c>
      <c r="G244" s="11">
        <v>4</v>
      </c>
    </row>
    <row r="245" spans="1:7" ht="12.75" customHeight="1" x14ac:dyDescent="0.3">
      <c r="A245" s="14" t="s">
        <v>18</v>
      </c>
      <c r="B245" s="15" t="s">
        <v>27</v>
      </c>
      <c r="C245" s="15">
        <v>1</v>
      </c>
      <c r="D245" s="15" t="s">
        <v>22</v>
      </c>
      <c r="E245" s="15">
        <v>1</v>
      </c>
      <c r="F245" s="15" t="s">
        <v>27</v>
      </c>
      <c r="G245" s="15">
        <v>2</v>
      </c>
    </row>
    <row r="246" spans="1:7" ht="12.75" customHeight="1" x14ac:dyDescent="0.3">
      <c r="A246" s="10" t="s">
        <v>82</v>
      </c>
      <c r="B246" s="11" t="s">
        <v>27</v>
      </c>
      <c r="C246" s="11">
        <v>1</v>
      </c>
      <c r="D246" s="11" t="s">
        <v>22</v>
      </c>
      <c r="E246" s="11">
        <v>1</v>
      </c>
      <c r="F246" s="11" t="s">
        <v>31</v>
      </c>
      <c r="G246" s="11">
        <v>1</v>
      </c>
    </row>
    <row r="247" spans="1:7" ht="12.75" customHeight="1" x14ac:dyDescent="0.3">
      <c r="A247" s="14" t="s">
        <v>43</v>
      </c>
      <c r="B247" s="15" t="s">
        <v>27</v>
      </c>
      <c r="C247" s="15">
        <v>1</v>
      </c>
      <c r="D247" s="15" t="s">
        <v>22</v>
      </c>
      <c r="E247" s="15">
        <v>1</v>
      </c>
      <c r="F247" s="15" t="s">
        <v>31</v>
      </c>
      <c r="G247" s="15">
        <v>1</v>
      </c>
    </row>
    <row r="248" spans="1:7" ht="12.75" customHeight="1" x14ac:dyDescent="0.3">
      <c r="A248" s="10" t="s">
        <v>71</v>
      </c>
      <c r="B248" s="11" t="s">
        <v>27</v>
      </c>
      <c r="C248" s="11">
        <v>1</v>
      </c>
      <c r="D248" s="11" t="s">
        <v>22</v>
      </c>
      <c r="E248" s="11">
        <v>1</v>
      </c>
      <c r="F248" s="11" t="s">
        <v>31</v>
      </c>
      <c r="G248" s="11">
        <v>1</v>
      </c>
    </row>
    <row r="249" spans="1:7" ht="12.75" customHeight="1" x14ac:dyDescent="0.3">
      <c r="A249" s="14" t="s">
        <v>28</v>
      </c>
      <c r="B249" s="15" t="s">
        <v>27</v>
      </c>
      <c r="C249" s="15">
        <v>1</v>
      </c>
      <c r="D249" s="15"/>
      <c r="E249" s="15">
        <v>0</v>
      </c>
      <c r="F249" s="15" t="s">
        <v>31</v>
      </c>
      <c r="G249" s="15">
        <v>1</v>
      </c>
    </row>
    <row r="250" spans="1:7" ht="12.75" customHeight="1" x14ac:dyDescent="0.3">
      <c r="A250" s="10" t="s">
        <v>125</v>
      </c>
      <c r="B250" s="11" t="s">
        <v>27</v>
      </c>
      <c r="C250" s="11">
        <v>1</v>
      </c>
      <c r="D250" s="11"/>
      <c r="E250" s="11">
        <v>0</v>
      </c>
      <c r="F250" s="11" t="s">
        <v>31</v>
      </c>
      <c r="G250" s="11">
        <v>1</v>
      </c>
    </row>
    <row r="251" spans="1:7" ht="12.75" customHeight="1" x14ac:dyDescent="0.3">
      <c r="A251" s="14" t="s">
        <v>126</v>
      </c>
      <c r="B251" s="15" t="s">
        <v>27</v>
      </c>
      <c r="C251" s="15">
        <v>1</v>
      </c>
      <c r="D251" s="15"/>
      <c r="E251" s="15">
        <v>0</v>
      </c>
      <c r="F251" s="15" t="s">
        <v>31</v>
      </c>
      <c r="G251" s="15">
        <v>1</v>
      </c>
    </row>
    <row r="252" spans="1:7" ht="12.75" customHeight="1" x14ac:dyDescent="0.3">
      <c r="A252" s="10" t="s">
        <v>38</v>
      </c>
      <c r="B252" s="11"/>
      <c r="C252" s="11">
        <v>0</v>
      </c>
      <c r="D252" s="11"/>
      <c r="E252" s="11">
        <v>0</v>
      </c>
      <c r="F252" s="11" t="s">
        <v>31</v>
      </c>
      <c r="G252" s="11">
        <v>1</v>
      </c>
    </row>
    <row r="253" spans="1:7" ht="12.75" customHeight="1" x14ac:dyDescent="0.3">
      <c r="A253" s="14" t="s">
        <v>104</v>
      </c>
      <c r="B253" s="15"/>
      <c r="C253" s="15">
        <v>0</v>
      </c>
      <c r="D253" s="15"/>
      <c r="E253" s="15">
        <v>0</v>
      </c>
      <c r="F253" s="15" t="s">
        <v>31</v>
      </c>
      <c r="G253" s="15">
        <v>1</v>
      </c>
    </row>
    <row r="254" spans="1:7" ht="12.75" customHeight="1" x14ac:dyDescent="0.3">
      <c r="A254" s="10" t="s">
        <v>32</v>
      </c>
      <c r="B254" s="11"/>
      <c r="C254" s="11">
        <v>0</v>
      </c>
      <c r="D254" s="11"/>
      <c r="E254" s="11">
        <v>0</v>
      </c>
      <c r="F254" s="11" t="s">
        <v>31</v>
      </c>
      <c r="G254" s="11">
        <v>1</v>
      </c>
    </row>
    <row r="255" spans="1:7" ht="12.75" customHeight="1" x14ac:dyDescent="0.3">
      <c r="A255" s="14" t="s">
        <v>25</v>
      </c>
      <c r="B255" s="15"/>
      <c r="C255" s="15">
        <v>0</v>
      </c>
      <c r="D255" s="15"/>
      <c r="E255" s="15">
        <v>0</v>
      </c>
      <c r="F255" s="15" t="s">
        <v>31</v>
      </c>
      <c r="G255" s="15">
        <v>1</v>
      </c>
    </row>
    <row r="256" spans="1:7" ht="12.75" customHeight="1" x14ac:dyDescent="0.3">
      <c r="A256" s="18" t="s">
        <v>116</v>
      </c>
      <c r="B256" s="19"/>
      <c r="C256" s="19" t="s">
        <v>144</v>
      </c>
      <c r="D256" s="19"/>
      <c r="E256" s="19" t="s">
        <v>163</v>
      </c>
      <c r="F256" s="19"/>
      <c r="G256" s="19" t="s">
        <v>164</v>
      </c>
    </row>
    <row r="259" spans="1:7" ht="12.75" customHeight="1" x14ac:dyDescent="0.3">
      <c r="A259" s="26" t="s">
        <v>127</v>
      </c>
      <c r="B259" s="24"/>
      <c r="C259" s="24"/>
      <c r="D259" s="24"/>
      <c r="E259" s="24"/>
      <c r="F259" s="24"/>
      <c r="G259" s="27"/>
    </row>
    <row r="260" spans="1:7" ht="12.75" customHeight="1" x14ac:dyDescent="0.3">
      <c r="A260" s="28" t="s">
        <v>134</v>
      </c>
      <c r="B260" s="28" t="s">
        <v>6</v>
      </c>
      <c r="C260" s="28"/>
      <c r="D260" s="28" t="s">
        <v>7</v>
      </c>
      <c r="E260" s="28"/>
      <c r="F260" s="28" t="s">
        <v>8</v>
      </c>
      <c r="G260" s="29"/>
    </row>
    <row r="261" spans="1:7" ht="12.75" customHeight="1" x14ac:dyDescent="0.3">
      <c r="A261" s="28"/>
      <c r="B261" s="8" t="s">
        <v>9</v>
      </c>
      <c r="C261" s="8" t="s">
        <v>138</v>
      </c>
      <c r="D261" s="8" t="s">
        <v>12</v>
      </c>
      <c r="E261" s="8" t="s">
        <v>138</v>
      </c>
      <c r="F261" s="8" t="s">
        <v>13</v>
      </c>
      <c r="G261" s="9" t="s">
        <v>138</v>
      </c>
    </row>
    <row r="262" spans="1:7" ht="12.75" customHeight="1" x14ac:dyDescent="0.3">
      <c r="A262" s="10" t="s">
        <v>16</v>
      </c>
      <c r="B262" s="11"/>
      <c r="C262" s="11">
        <v>0</v>
      </c>
      <c r="D262" s="11"/>
      <c r="E262" s="11">
        <v>0</v>
      </c>
      <c r="F262" s="11" t="s">
        <v>15</v>
      </c>
      <c r="G262" s="11">
        <v>1</v>
      </c>
    </row>
    <row r="263" spans="1:7" ht="12.75" customHeight="1" x14ac:dyDescent="0.3">
      <c r="A263" s="14" t="s">
        <v>25</v>
      </c>
      <c r="B263" s="15"/>
      <c r="C263" s="15">
        <v>0</v>
      </c>
      <c r="D263" s="15"/>
      <c r="E263" s="15">
        <v>0</v>
      </c>
      <c r="F263" s="15" t="s">
        <v>15</v>
      </c>
      <c r="G263" s="15">
        <v>1</v>
      </c>
    </row>
    <row r="264" spans="1:7" ht="12.75" customHeight="1" x14ac:dyDescent="0.3">
      <c r="A264" s="18" t="s">
        <v>116</v>
      </c>
      <c r="B264" s="19"/>
      <c r="C264" s="19" t="s">
        <v>165</v>
      </c>
      <c r="D264" s="19"/>
      <c r="E264" s="19" t="s">
        <v>165</v>
      </c>
      <c r="F264" s="19"/>
      <c r="G264" s="19" t="s">
        <v>166</v>
      </c>
    </row>
    <row r="267" spans="1:7" ht="12.75" customHeight="1" x14ac:dyDescent="0.3">
      <c r="A267" s="26" t="s">
        <v>128</v>
      </c>
      <c r="B267" s="24"/>
      <c r="C267" s="24"/>
      <c r="D267" s="24"/>
      <c r="E267" s="24"/>
      <c r="F267" s="24"/>
      <c r="G267" s="27"/>
    </row>
    <row r="268" spans="1:7" ht="12.75" customHeight="1" x14ac:dyDescent="0.3">
      <c r="A268" s="28" t="s">
        <v>134</v>
      </c>
      <c r="B268" s="28" t="s">
        <v>6</v>
      </c>
      <c r="C268" s="28"/>
      <c r="D268" s="28" t="s">
        <v>7</v>
      </c>
      <c r="E268" s="28"/>
      <c r="F268" s="28" t="s">
        <v>8</v>
      </c>
      <c r="G268" s="29"/>
    </row>
    <row r="269" spans="1:7" ht="12.75" customHeight="1" x14ac:dyDescent="0.3">
      <c r="A269" s="28"/>
      <c r="B269" s="8" t="s">
        <v>9</v>
      </c>
      <c r="C269" s="8" t="s">
        <v>138</v>
      </c>
      <c r="D269" s="8" t="s">
        <v>12</v>
      </c>
      <c r="E269" s="8" t="s">
        <v>138</v>
      </c>
      <c r="F269" s="8" t="s">
        <v>13</v>
      </c>
      <c r="G269" s="9" t="s">
        <v>138</v>
      </c>
    </row>
    <row r="270" spans="1:7" ht="12.75" customHeight="1" x14ac:dyDescent="0.3">
      <c r="A270" s="10" t="s">
        <v>23</v>
      </c>
      <c r="B270" s="11" t="s">
        <v>15</v>
      </c>
      <c r="C270" s="11">
        <v>14</v>
      </c>
      <c r="D270" s="11" t="s">
        <v>15</v>
      </c>
      <c r="E270" s="11">
        <v>10</v>
      </c>
      <c r="F270" s="11" t="s">
        <v>15</v>
      </c>
      <c r="G270" s="11">
        <v>19</v>
      </c>
    </row>
    <row r="271" spans="1:7" ht="12.75" customHeight="1" x14ac:dyDescent="0.3">
      <c r="A271" s="14" t="s">
        <v>34</v>
      </c>
      <c r="B271" s="15" t="s">
        <v>17</v>
      </c>
      <c r="C271" s="15">
        <v>8</v>
      </c>
      <c r="D271" s="15" t="s">
        <v>21</v>
      </c>
      <c r="E271" s="15">
        <v>1</v>
      </c>
      <c r="F271" s="15" t="s">
        <v>17</v>
      </c>
      <c r="G271" s="15">
        <v>12</v>
      </c>
    </row>
    <row r="272" spans="1:7" ht="12.75" customHeight="1" x14ac:dyDescent="0.3">
      <c r="A272" s="10" t="s">
        <v>14</v>
      </c>
      <c r="B272" s="11" t="s">
        <v>19</v>
      </c>
      <c r="C272" s="11">
        <v>4</v>
      </c>
      <c r="D272" s="11" t="s">
        <v>17</v>
      </c>
      <c r="E272" s="11">
        <v>2</v>
      </c>
      <c r="F272" s="11" t="s">
        <v>19</v>
      </c>
      <c r="G272" s="11">
        <v>8</v>
      </c>
    </row>
    <row r="273" spans="1:7" ht="12.75" customHeight="1" x14ac:dyDescent="0.3">
      <c r="A273" s="14" t="s">
        <v>58</v>
      </c>
      <c r="B273" s="15" t="s">
        <v>21</v>
      </c>
      <c r="C273" s="15">
        <v>2</v>
      </c>
      <c r="D273" s="15" t="s">
        <v>17</v>
      </c>
      <c r="E273" s="15">
        <v>2</v>
      </c>
      <c r="F273" s="15" t="s">
        <v>21</v>
      </c>
      <c r="G273" s="15">
        <v>4</v>
      </c>
    </row>
    <row r="274" spans="1:7" ht="12.75" customHeight="1" x14ac:dyDescent="0.3">
      <c r="A274" s="10" t="s">
        <v>16</v>
      </c>
      <c r="B274" s="11" t="s">
        <v>22</v>
      </c>
      <c r="C274" s="11">
        <v>1</v>
      </c>
      <c r="D274" s="11" t="s">
        <v>21</v>
      </c>
      <c r="E274" s="11">
        <v>1</v>
      </c>
      <c r="F274" s="11" t="s">
        <v>22</v>
      </c>
      <c r="G274" s="11">
        <v>3</v>
      </c>
    </row>
    <row r="275" spans="1:7" ht="12.75" customHeight="1" x14ac:dyDescent="0.3">
      <c r="A275" s="14" t="s">
        <v>18</v>
      </c>
      <c r="B275" s="15" t="s">
        <v>22</v>
      </c>
      <c r="C275" s="15">
        <v>1</v>
      </c>
      <c r="D275" s="15" t="s">
        <v>21</v>
      </c>
      <c r="E275" s="15">
        <v>1</v>
      </c>
      <c r="F275" s="15" t="s">
        <v>24</v>
      </c>
      <c r="G275" s="15">
        <v>2</v>
      </c>
    </row>
    <row r="276" spans="1:7" ht="12.75" customHeight="1" x14ac:dyDescent="0.3">
      <c r="A276" s="10" t="s">
        <v>82</v>
      </c>
      <c r="B276" s="11" t="s">
        <v>22</v>
      </c>
      <c r="C276" s="11">
        <v>1</v>
      </c>
      <c r="D276" s="11" t="s">
        <v>21</v>
      </c>
      <c r="E276" s="11">
        <v>1</v>
      </c>
      <c r="F276" s="11" t="s">
        <v>27</v>
      </c>
      <c r="G276" s="11">
        <v>1</v>
      </c>
    </row>
    <row r="277" spans="1:7" ht="12.75" customHeight="1" x14ac:dyDescent="0.3">
      <c r="A277" s="14" t="s">
        <v>61</v>
      </c>
      <c r="B277" s="15" t="s">
        <v>22</v>
      </c>
      <c r="C277" s="15">
        <v>1</v>
      </c>
      <c r="D277" s="15" t="s">
        <v>21</v>
      </c>
      <c r="E277" s="15">
        <v>1</v>
      </c>
      <c r="F277" s="15" t="s">
        <v>27</v>
      </c>
      <c r="G277" s="15">
        <v>1</v>
      </c>
    </row>
    <row r="278" spans="1:7" ht="12.75" customHeight="1" x14ac:dyDescent="0.3">
      <c r="A278" s="10" t="s">
        <v>43</v>
      </c>
      <c r="B278" s="11" t="s">
        <v>22</v>
      </c>
      <c r="C278" s="11">
        <v>1</v>
      </c>
      <c r="D278" s="11" t="s">
        <v>21</v>
      </c>
      <c r="E278" s="11">
        <v>1</v>
      </c>
      <c r="F278" s="11" t="s">
        <v>27</v>
      </c>
      <c r="G278" s="11">
        <v>1</v>
      </c>
    </row>
    <row r="279" spans="1:7" ht="12.75" customHeight="1" x14ac:dyDescent="0.3">
      <c r="A279" s="14" t="s">
        <v>71</v>
      </c>
      <c r="B279" s="15" t="s">
        <v>22</v>
      </c>
      <c r="C279" s="15">
        <v>1</v>
      </c>
      <c r="D279" s="15" t="s">
        <v>21</v>
      </c>
      <c r="E279" s="15">
        <v>1</v>
      </c>
      <c r="F279" s="15" t="s">
        <v>27</v>
      </c>
      <c r="G279" s="15">
        <v>1</v>
      </c>
    </row>
    <row r="280" spans="1:7" ht="12.75" customHeight="1" x14ac:dyDescent="0.3">
      <c r="A280" s="10" t="s">
        <v>28</v>
      </c>
      <c r="B280" s="11" t="s">
        <v>22</v>
      </c>
      <c r="C280" s="11">
        <v>1</v>
      </c>
      <c r="D280" s="11"/>
      <c r="E280" s="11">
        <v>0</v>
      </c>
      <c r="F280" s="11" t="s">
        <v>27</v>
      </c>
      <c r="G280" s="11">
        <v>1</v>
      </c>
    </row>
    <row r="281" spans="1:7" ht="12.75" customHeight="1" x14ac:dyDescent="0.3">
      <c r="A281" s="14" t="s">
        <v>126</v>
      </c>
      <c r="B281" s="15" t="s">
        <v>22</v>
      </c>
      <c r="C281" s="15">
        <v>1</v>
      </c>
      <c r="D281" s="15"/>
      <c r="E281" s="15">
        <v>0</v>
      </c>
      <c r="F281" s="15" t="s">
        <v>27</v>
      </c>
      <c r="G281" s="15">
        <v>1</v>
      </c>
    </row>
    <row r="282" spans="1:7" ht="12.75" customHeight="1" x14ac:dyDescent="0.3">
      <c r="A282" s="10" t="s">
        <v>104</v>
      </c>
      <c r="B282" s="11"/>
      <c r="C282" s="11">
        <v>0</v>
      </c>
      <c r="D282" s="11"/>
      <c r="E282" s="11">
        <v>0</v>
      </c>
      <c r="F282" s="11" t="s">
        <v>27</v>
      </c>
      <c r="G282" s="11">
        <v>1</v>
      </c>
    </row>
    <row r="283" spans="1:7" ht="12.75" customHeight="1" x14ac:dyDescent="0.3">
      <c r="A283" s="18" t="s">
        <v>116</v>
      </c>
      <c r="B283" s="19"/>
      <c r="C283" s="19" t="s">
        <v>167</v>
      </c>
      <c r="D283" s="19"/>
      <c r="E283" s="19" t="s">
        <v>168</v>
      </c>
      <c r="F283" s="19"/>
      <c r="G283" s="19" t="s">
        <v>154</v>
      </c>
    </row>
    <row r="286" spans="1:7" ht="12.75" customHeight="1" x14ac:dyDescent="0.3">
      <c r="A286" s="26" t="s">
        <v>129</v>
      </c>
      <c r="B286" s="24"/>
      <c r="C286" s="24"/>
      <c r="D286" s="24"/>
      <c r="E286" s="24"/>
      <c r="F286" s="24"/>
      <c r="G286" s="27"/>
    </row>
    <row r="287" spans="1:7" ht="12.75" customHeight="1" x14ac:dyDescent="0.3">
      <c r="A287" s="28" t="s">
        <v>134</v>
      </c>
      <c r="B287" s="28" t="s">
        <v>6</v>
      </c>
      <c r="C287" s="28"/>
      <c r="D287" s="28" t="s">
        <v>7</v>
      </c>
      <c r="E287" s="28"/>
      <c r="F287" s="28" t="s">
        <v>8</v>
      </c>
      <c r="G287" s="29"/>
    </row>
    <row r="288" spans="1:7" ht="12.75" customHeight="1" x14ac:dyDescent="0.3">
      <c r="A288" s="28"/>
      <c r="B288" s="8" t="s">
        <v>9</v>
      </c>
      <c r="C288" s="8" t="s">
        <v>138</v>
      </c>
      <c r="D288" s="8" t="s">
        <v>12</v>
      </c>
      <c r="E288" s="8" t="s">
        <v>138</v>
      </c>
      <c r="F288" s="8" t="s">
        <v>13</v>
      </c>
      <c r="G288" s="9" t="s">
        <v>138</v>
      </c>
    </row>
    <row r="289" spans="1:7" ht="12.75" customHeight="1" x14ac:dyDescent="0.3">
      <c r="A289" s="10" t="s">
        <v>38</v>
      </c>
      <c r="B289" s="11"/>
      <c r="C289" s="11">
        <v>0</v>
      </c>
      <c r="D289" s="11"/>
      <c r="E289" s="11">
        <v>0</v>
      </c>
      <c r="F289" s="11" t="s">
        <v>15</v>
      </c>
      <c r="G289" s="11">
        <v>1</v>
      </c>
    </row>
    <row r="290" spans="1:7" ht="12.75" customHeight="1" x14ac:dyDescent="0.3">
      <c r="A290" s="18" t="s">
        <v>116</v>
      </c>
      <c r="B290" s="19"/>
      <c r="C290" s="19" t="s">
        <v>165</v>
      </c>
      <c r="D290" s="19"/>
      <c r="E290" s="19" t="s">
        <v>165</v>
      </c>
      <c r="F290" s="19"/>
      <c r="G290" s="19" t="s">
        <v>166</v>
      </c>
    </row>
    <row r="293" spans="1:7" ht="12.75" customHeight="1" x14ac:dyDescent="0.3">
      <c r="A293" s="26" t="s">
        <v>130</v>
      </c>
      <c r="B293" s="24"/>
      <c r="C293" s="24"/>
      <c r="D293" s="24"/>
      <c r="E293" s="24"/>
      <c r="F293" s="24"/>
      <c r="G293" s="27"/>
    </row>
    <row r="294" spans="1:7" ht="12.75" customHeight="1" x14ac:dyDescent="0.3">
      <c r="A294" s="28" t="s">
        <v>134</v>
      </c>
      <c r="B294" s="28" t="s">
        <v>6</v>
      </c>
      <c r="C294" s="28"/>
      <c r="D294" s="28" t="s">
        <v>7</v>
      </c>
      <c r="E294" s="28"/>
      <c r="F294" s="28" t="s">
        <v>8</v>
      </c>
      <c r="G294" s="29"/>
    </row>
    <row r="295" spans="1:7" ht="12.75" customHeight="1" x14ac:dyDescent="0.3">
      <c r="A295" s="28"/>
      <c r="B295" s="8" t="s">
        <v>9</v>
      </c>
      <c r="C295" s="8" t="s">
        <v>138</v>
      </c>
      <c r="D295" s="8" t="s">
        <v>12</v>
      </c>
      <c r="E295" s="8" t="s">
        <v>138</v>
      </c>
      <c r="F295" s="8" t="s">
        <v>13</v>
      </c>
      <c r="G295" s="9" t="s">
        <v>138</v>
      </c>
    </row>
    <row r="296" spans="1:7" ht="12.75" customHeight="1" x14ac:dyDescent="0.3">
      <c r="A296" s="10" t="s">
        <v>23</v>
      </c>
      <c r="B296" s="11" t="s">
        <v>15</v>
      </c>
      <c r="C296" s="11">
        <v>4</v>
      </c>
      <c r="D296" s="11" t="s">
        <v>15</v>
      </c>
      <c r="E296" s="11">
        <v>2</v>
      </c>
      <c r="F296" s="11" t="s">
        <v>15</v>
      </c>
      <c r="G296" s="11">
        <v>5</v>
      </c>
    </row>
    <row r="297" spans="1:7" ht="12.75" customHeight="1" x14ac:dyDescent="0.3">
      <c r="A297" s="14" t="s">
        <v>14</v>
      </c>
      <c r="B297" s="15" t="s">
        <v>17</v>
      </c>
      <c r="C297" s="15">
        <v>1</v>
      </c>
      <c r="D297" s="15" t="s">
        <v>17</v>
      </c>
      <c r="E297" s="15">
        <v>1</v>
      </c>
      <c r="F297" s="15" t="s">
        <v>17</v>
      </c>
      <c r="G297" s="15">
        <v>2</v>
      </c>
    </row>
    <row r="298" spans="1:7" ht="12.75" customHeight="1" x14ac:dyDescent="0.3">
      <c r="A298" s="18" t="s">
        <v>116</v>
      </c>
      <c r="B298" s="19"/>
      <c r="C298" s="19" t="s">
        <v>169</v>
      </c>
      <c r="D298" s="19"/>
      <c r="E298" s="19" t="s">
        <v>170</v>
      </c>
      <c r="F298" s="19"/>
      <c r="G298" s="19" t="s">
        <v>171</v>
      </c>
    </row>
    <row r="301" spans="1:7" ht="12.75" customHeight="1" x14ac:dyDescent="0.3">
      <c r="A301" s="26" t="s">
        <v>131</v>
      </c>
      <c r="B301" s="24"/>
      <c r="C301" s="24"/>
      <c r="D301" s="24"/>
      <c r="E301" s="24"/>
      <c r="F301" s="24"/>
      <c r="G301" s="27"/>
    </row>
    <row r="302" spans="1:7" ht="12.75" customHeight="1" x14ac:dyDescent="0.3">
      <c r="A302" s="28" t="s">
        <v>134</v>
      </c>
      <c r="B302" s="28" t="s">
        <v>6</v>
      </c>
      <c r="C302" s="28"/>
      <c r="D302" s="28" t="s">
        <v>7</v>
      </c>
      <c r="E302" s="28"/>
      <c r="F302" s="28" t="s">
        <v>8</v>
      </c>
      <c r="G302" s="29"/>
    </row>
    <row r="303" spans="1:7" ht="12.75" customHeight="1" x14ac:dyDescent="0.3">
      <c r="A303" s="28"/>
      <c r="B303" s="8" t="s">
        <v>9</v>
      </c>
      <c r="C303" s="8" t="s">
        <v>138</v>
      </c>
      <c r="D303" s="8" t="s">
        <v>12</v>
      </c>
      <c r="E303" s="8" t="s">
        <v>138</v>
      </c>
      <c r="F303" s="8" t="s">
        <v>13</v>
      </c>
      <c r="G303" s="9" t="s">
        <v>138</v>
      </c>
    </row>
    <row r="304" spans="1:7" ht="12.75" customHeight="1" x14ac:dyDescent="0.3">
      <c r="A304" s="10" t="s">
        <v>14</v>
      </c>
      <c r="B304" s="11" t="s">
        <v>15</v>
      </c>
      <c r="C304" s="11">
        <v>5</v>
      </c>
      <c r="D304" s="11" t="s">
        <v>17</v>
      </c>
      <c r="E304" s="11">
        <v>1</v>
      </c>
      <c r="F304" s="11" t="s">
        <v>15</v>
      </c>
      <c r="G304" s="11">
        <v>9</v>
      </c>
    </row>
    <row r="305" spans="1:7" ht="12.75" customHeight="1" x14ac:dyDescent="0.3">
      <c r="A305" s="14" t="s">
        <v>23</v>
      </c>
      <c r="B305" s="15" t="s">
        <v>17</v>
      </c>
      <c r="C305" s="15">
        <v>4</v>
      </c>
      <c r="D305" s="15" t="s">
        <v>15</v>
      </c>
      <c r="E305" s="15">
        <v>2</v>
      </c>
      <c r="F305" s="15" t="s">
        <v>19</v>
      </c>
      <c r="G305" s="15">
        <v>4</v>
      </c>
    </row>
    <row r="306" spans="1:7" ht="12.75" customHeight="1" x14ac:dyDescent="0.3">
      <c r="A306" s="10" t="s">
        <v>26</v>
      </c>
      <c r="B306" s="11" t="s">
        <v>19</v>
      </c>
      <c r="C306" s="11">
        <v>2</v>
      </c>
      <c r="D306" s="11" t="s">
        <v>17</v>
      </c>
      <c r="E306" s="11">
        <v>1</v>
      </c>
      <c r="F306" s="11" t="s">
        <v>17</v>
      </c>
      <c r="G306" s="11">
        <v>5</v>
      </c>
    </row>
    <row r="307" spans="1:7" ht="12.75" customHeight="1" x14ac:dyDescent="0.3">
      <c r="A307" s="14" t="s">
        <v>61</v>
      </c>
      <c r="B307" s="15" t="s">
        <v>21</v>
      </c>
      <c r="C307" s="15">
        <v>1</v>
      </c>
      <c r="D307" s="15" t="s">
        <v>17</v>
      </c>
      <c r="E307" s="15">
        <v>1</v>
      </c>
      <c r="F307" s="15" t="s">
        <v>21</v>
      </c>
      <c r="G307" s="15">
        <v>1</v>
      </c>
    </row>
    <row r="308" spans="1:7" ht="12.75" customHeight="1" x14ac:dyDescent="0.3">
      <c r="A308" s="10" t="s">
        <v>125</v>
      </c>
      <c r="B308" s="11" t="s">
        <v>21</v>
      </c>
      <c r="C308" s="11">
        <v>1</v>
      </c>
      <c r="D308" s="11"/>
      <c r="E308" s="11">
        <v>0</v>
      </c>
      <c r="F308" s="11" t="s">
        <v>21</v>
      </c>
      <c r="G308" s="11">
        <v>1</v>
      </c>
    </row>
    <row r="309" spans="1:7" ht="12.75" customHeight="1" x14ac:dyDescent="0.3">
      <c r="A309" s="14" t="s">
        <v>32</v>
      </c>
      <c r="B309" s="15"/>
      <c r="C309" s="15">
        <v>0</v>
      </c>
      <c r="D309" s="15"/>
      <c r="E309" s="15">
        <v>0</v>
      </c>
      <c r="F309" s="15" t="s">
        <v>21</v>
      </c>
      <c r="G309" s="15">
        <v>1</v>
      </c>
    </row>
    <row r="310" spans="1:7" ht="12.75" customHeight="1" x14ac:dyDescent="0.3">
      <c r="A310" s="18" t="s">
        <v>116</v>
      </c>
      <c r="B310" s="19"/>
      <c r="C310" s="19" t="s">
        <v>162</v>
      </c>
      <c r="D310" s="19"/>
      <c r="E310" s="19" t="s">
        <v>169</v>
      </c>
      <c r="F310" s="19"/>
      <c r="G310" s="19" t="s">
        <v>172</v>
      </c>
    </row>
    <row r="313" spans="1:7" ht="12.75" customHeight="1" x14ac:dyDescent="0.3">
      <c r="A313" s="26" t="s">
        <v>136</v>
      </c>
      <c r="B313" s="24"/>
      <c r="C313" s="24"/>
      <c r="D313" s="24"/>
      <c r="E313" s="24"/>
      <c r="F313" s="24"/>
      <c r="G313" s="27"/>
    </row>
    <row r="314" spans="1:7" ht="12.75" customHeight="1" x14ac:dyDescent="0.3">
      <c r="A314" s="28" t="s">
        <v>134</v>
      </c>
      <c r="B314" s="28" t="s">
        <v>6</v>
      </c>
      <c r="C314" s="28"/>
      <c r="D314" s="28" t="s">
        <v>7</v>
      </c>
      <c r="E314" s="28"/>
      <c r="F314" s="28" t="s">
        <v>8</v>
      </c>
      <c r="G314" s="29"/>
    </row>
    <row r="315" spans="1:7" ht="12.75" customHeight="1" x14ac:dyDescent="0.3">
      <c r="A315" s="28"/>
      <c r="B315" s="8" t="s">
        <v>9</v>
      </c>
      <c r="C315" s="8" t="s">
        <v>138</v>
      </c>
      <c r="D315" s="8" t="s">
        <v>12</v>
      </c>
      <c r="E315" s="8" t="s">
        <v>138</v>
      </c>
      <c r="F315" s="8" t="s">
        <v>13</v>
      </c>
      <c r="G315" s="9" t="s">
        <v>138</v>
      </c>
    </row>
    <row r="316" spans="1:7" ht="12.75" customHeight="1" x14ac:dyDescent="0.3">
      <c r="A316" s="10" t="s">
        <v>23</v>
      </c>
      <c r="B316" s="11" t="s">
        <v>15</v>
      </c>
      <c r="C316" s="11">
        <v>25</v>
      </c>
      <c r="D316" s="11" t="s">
        <v>15</v>
      </c>
      <c r="E316" s="11">
        <v>12</v>
      </c>
      <c r="F316" s="11" t="s">
        <v>15</v>
      </c>
      <c r="G316" s="11">
        <v>47</v>
      </c>
    </row>
    <row r="317" spans="1:7" ht="12.75" customHeight="1" x14ac:dyDescent="0.3">
      <c r="A317" s="14" t="s">
        <v>14</v>
      </c>
      <c r="B317" s="15" t="s">
        <v>17</v>
      </c>
      <c r="C317" s="15">
        <v>20</v>
      </c>
      <c r="D317" s="15" t="s">
        <v>17</v>
      </c>
      <c r="E317" s="15">
        <v>8</v>
      </c>
      <c r="F317" s="15" t="s">
        <v>17</v>
      </c>
      <c r="G317" s="15">
        <v>31</v>
      </c>
    </row>
    <row r="318" spans="1:7" ht="12.75" customHeight="1" x14ac:dyDescent="0.3">
      <c r="A318" s="10" t="s">
        <v>41</v>
      </c>
      <c r="B318" s="11" t="s">
        <v>19</v>
      </c>
      <c r="C318" s="11">
        <v>12</v>
      </c>
      <c r="D318" s="11" t="s">
        <v>17</v>
      </c>
      <c r="E318" s="11">
        <v>8</v>
      </c>
      <c r="F318" s="11" t="s">
        <v>19</v>
      </c>
      <c r="G318" s="11">
        <v>19</v>
      </c>
    </row>
    <row r="319" spans="1:7" ht="12.75" customHeight="1" x14ac:dyDescent="0.3">
      <c r="A319" s="14" t="s">
        <v>18</v>
      </c>
      <c r="B319" s="15" t="s">
        <v>19</v>
      </c>
      <c r="C319" s="15">
        <v>12</v>
      </c>
      <c r="D319" s="15" t="s">
        <v>21</v>
      </c>
      <c r="E319" s="15">
        <v>5</v>
      </c>
      <c r="F319" s="15" t="s">
        <v>21</v>
      </c>
      <c r="G319" s="15">
        <v>18</v>
      </c>
    </row>
    <row r="320" spans="1:7" ht="12.75" customHeight="1" x14ac:dyDescent="0.3">
      <c r="A320" s="10" t="s">
        <v>32</v>
      </c>
      <c r="B320" s="11" t="s">
        <v>22</v>
      </c>
      <c r="C320" s="11">
        <v>5</v>
      </c>
      <c r="D320" s="11" t="s">
        <v>24</v>
      </c>
      <c r="E320" s="11">
        <v>1</v>
      </c>
      <c r="F320" s="11" t="s">
        <v>24</v>
      </c>
      <c r="G320" s="11">
        <v>9</v>
      </c>
    </row>
    <row r="321" spans="1:7" ht="12.75" customHeight="1" x14ac:dyDescent="0.3">
      <c r="A321" s="14" t="s">
        <v>16</v>
      </c>
      <c r="B321" s="15" t="s">
        <v>24</v>
      </c>
      <c r="C321" s="15">
        <v>4</v>
      </c>
      <c r="D321" s="15" t="s">
        <v>22</v>
      </c>
      <c r="E321" s="15">
        <v>3</v>
      </c>
      <c r="F321" s="15" t="s">
        <v>22</v>
      </c>
      <c r="G321" s="15">
        <v>10</v>
      </c>
    </row>
    <row r="322" spans="1:7" ht="12.75" customHeight="1" x14ac:dyDescent="0.3">
      <c r="A322" s="10" t="s">
        <v>34</v>
      </c>
      <c r="B322" s="11" t="s">
        <v>27</v>
      </c>
      <c r="C322" s="11">
        <v>3</v>
      </c>
      <c r="D322" s="11" t="s">
        <v>24</v>
      </c>
      <c r="E322" s="11">
        <v>1</v>
      </c>
      <c r="F322" s="11" t="s">
        <v>31</v>
      </c>
      <c r="G322" s="11">
        <v>3</v>
      </c>
    </row>
    <row r="323" spans="1:7" ht="12.75" customHeight="1" x14ac:dyDescent="0.3">
      <c r="A323" s="14" t="s">
        <v>125</v>
      </c>
      <c r="B323" s="15" t="s">
        <v>27</v>
      </c>
      <c r="C323" s="15">
        <v>3</v>
      </c>
      <c r="D323" s="15" t="s">
        <v>24</v>
      </c>
      <c r="E323" s="15">
        <v>1</v>
      </c>
      <c r="F323" s="15" t="s">
        <v>31</v>
      </c>
      <c r="G323" s="15">
        <v>3</v>
      </c>
    </row>
    <row r="324" spans="1:7" ht="12.75" customHeight="1" x14ac:dyDescent="0.3">
      <c r="A324" s="10" t="s">
        <v>26</v>
      </c>
      <c r="B324" s="11" t="s">
        <v>31</v>
      </c>
      <c r="C324" s="11">
        <v>2</v>
      </c>
      <c r="D324" s="11" t="s">
        <v>24</v>
      </c>
      <c r="E324" s="11">
        <v>1</v>
      </c>
      <c r="F324" s="11" t="s">
        <v>29</v>
      </c>
      <c r="G324" s="11">
        <v>4</v>
      </c>
    </row>
    <row r="325" spans="1:7" ht="12.75" customHeight="1" x14ac:dyDescent="0.3">
      <c r="A325" s="14" t="s">
        <v>25</v>
      </c>
      <c r="B325" s="15" t="s">
        <v>30</v>
      </c>
      <c r="C325" s="15">
        <v>1</v>
      </c>
      <c r="D325" s="15" t="s">
        <v>24</v>
      </c>
      <c r="E325" s="15">
        <v>1</v>
      </c>
      <c r="F325" s="15" t="s">
        <v>31</v>
      </c>
      <c r="G325" s="15">
        <v>3</v>
      </c>
    </row>
    <row r="326" spans="1:7" ht="12.75" customHeight="1" x14ac:dyDescent="0.3">
      <c r="A326" s="10" t="s">
        <v>28</v>
      </c>
      <c r="B326" s="11" t="s">
        <v>30</v>
      </c>
      <c r="C326" s="11">
        <v>1</v>
      </c>
      <c r="D326" s="11" t="s">
        <v>24</v>
      </c>
      <c r="E326" s="11">
        <v>1</v>
      </c>
      <c r="F326" s="11" t="s">
        <v>40</v>
      </c>
      <c r="G326" s="11">
        <v>1</v>
      </c>
    </row>
    <row r="327" spans="1:7" ht="12.75" customHeight="1" x14ac:dyDescent="0.3">
      <c r="A327" s="14" t="s">
        <v>82</v>
      </c>
      <c r="B327" s="15" t="s">
        <v>30</v>
      </c>
      <c r="C327" s="15">
        <v>1</v>
      </c>
      <c r="D327" s="15" t="s">
        <v>24</v>
      </c>
      <c r="E327" s="15">
        <v>1</v>
      </c>
      <c r="F327" s="15" t="s">
        <v>40</v>
      </c>
      <c r="G327" s="15">
        <v>1</v>
      </c>
    </row>
    <row r="328" spans="1:7" ht="12.75" customHeight="1" x14ac:dyDescent="0.3">
      <c r="A328" s="10" t="s">
        <v>43</v>
      </c>
      <c r="B328" s="11" t="s">
        <v>30</v>
      </c>
      <c r="C328" s="11">
        <v>1</v>
      </c>
      <c r="D328" s="11" t="s">
        <v>24</v>
      </c>
      <c r="E328" s="11">
        <v>1</v>
      </c>
      <c r="F328" s="11" t="s">
        <v>40</v>
      </c>
      <c r="G328" s="11">
        <v>1</v>
      </c>
    </row>
    <row r="329" spans="1:7" ht="12.75" customHeight="1" x14ac:dyDescent="0.3">
      <c r="A329" s="14" t="s">
        <v>81</v>
      </c>
      <c r="B329" s="15" t="s">
        <v>30</v>
      </c>
      <c r="C329" s="15">
        <v>1</v>
      </c>
      <c r="D329" s="15"/>
      <c r="E329" s="15">
        <v>0</v>
      </c>
      <c r="F329" s="15" t="s">
        <v>27</v>
      </c>
      <c r="G329" s="15">
        <v>5</v>
      </c>
    </row>
    <row r="330" spans="1:7" ht="12.75" customHeight="1" x14ac:dyDescent="0.3">
      <c r="A330" s="10" t="s">
        <v>20</v>
      </c>
      <c r="B330" s="11" t="s">
        <v>30</v>
      </c>
      <c r="C330" s="11">
        <v>1</v>
      </c>
      <c r="D330" s="11"/>
      <c r="E330" s="11">
        <v>0</v>
      </c>
      <c r="F330" s="11" t="s">
        <v>37</v>
      </c>
      <c r="G330" s="11">
        <v>2</v>
      </c>
    </row>
    <row r="331" spans="1:7" ht="12.75" customHeight="1" x14ac:dyDescent="0.3">
      <c r="A331" s="14" t="s">
        <v>46</v>
      </c>
      <c r="B331" s="15"/>
      <c r="C331" s="15">
        <v>0</v>
      </c>
      <c r="D331" s="15"/>
      <c r="E331" s="15">
        <v>0</v>
      </c>
      <c r="F331" s="15" t="s">
        <v>37</v>
      </c>
      <c r="G331" s="15">
        <v>2</v>
      </c>
    </row>
    <row r="332" spans="1:7" ht="12.75" customHeight="1" x14ac:dyDescent="0.3">
      <c r="A332" s="10" t="s">
        <v>104</v>
      </c>
      <c r="B332" s="11"/>
      <c r="C332" s="11">
        <v>0</v>
      </c>
      <c r="D332" s="11"/>
      <c r="E332" s="11">
        <v>0</v>
      </c>
      <c r="F332" s="11" t="s">
        <v>40</v>
      </c>
      <c r="G332" s="11">
        <v>1</v>
      </c>
    </row>
    <row r="333" spans="1:7" ht="12.75" customHeight="1" x14ac:dyDescent="0.3">
      <c r="A333" s="18" t="s">
        <v>116</v>
      </c>
      <c r="B333" s="19"/>
      <c r="C333" s="19" t="s">
        <v>173</v>
      </c>
      <c r="D333" s="19"/>
      <c r="E333" s="19" t="s">
        <v>174</v>
      </c>
      <c r="F333" s="19"/>
      <c r="G333" s="19" t="s">
        <v>175</v>
      </c>
    </row>
  </sheetData>
  <mergeCells count="77">
    <mergeCell ref="A313:G313"/>
    <mergeCell ref="A314:A315"/>
    <mergeCell ref="B314:C314"/>
    <mergeCell ref="D314:E314"/>
    <mergeCell ref="F314:G314"/>
    <mergeCell ref="A301:G301"/>
    <mergeCell ref="A302:A303"/>
    <mergeCell ref="B302:C302"/>
    <mergeCell ref="D302:E302"/>
    <mergeCell ref="F302:G302"/>
    <mergeCell ref="A293:G293"/>
    <mergeCell ref="A294:A295"/>
    <mergeCell ref="B294:C294"/>
    <mergeCell ref="D294:E294"/>
    <mergeCell ref="F294:G294"/>
    <mergeCell ref="A286:G286"/>
    <mergeCell ref="A287:A288"/>
    <mergeCell ref="B287:C287"/>
    <mergeCell ref="D287:E287"/>
    <mergeCell ref="F287:G287"/>
    <mergeCell ref="A267:G267"/>
    <mergeCell ref="A268:A269"/>
    <mergeCell ref="B268:C268"/>
    <mergeCell ref="D268:E268"/>
    <mergeCell ref="F268:G268"/>
    <mergeCell ref="A259:G259"/>
    <mergeCell ref="A260:A261"/>
    <mergeCell ref="B260:C260"/>
    <mergeCell ref="D260:E260"/>
    <mergeCell ref="F260:G260"/>
    <mergeCell ref="A235:G235"/>
    <mergeCell ref="A236:A237"/>
    <mergeCell ref="B236:C236"/>
    <mergeCell ref="D236:E236"/>
    <mergeCell ref="F236:G236"/>
    <mergeCell ref="A224:G224"/>
    <mergeCell ref="A225:A226"/>
    <mergeCell ref="B225:C225"/>
    <mergeCell ref="D225:E225"/>
    <mergeCell ref="F225:G225"/>
    <mergeCell ref="A197:G197"/>
    <mergeCell ref="A198:A199"/>
    <mergeCell ref="B198:C198"/>
    <mergeCell ref="D198:E198"/>
    <mergeCell ref="F198:G198"/>
    <mergeCell ref="A168:G168"/>
    <mergeCell ref="A169:A170"/>
    <mergeCell ref="B169:C169"/>
    <mergeCell ref="D169:E169"/>
    <mergeCell ref="F169:G169"/>
    <mergeCell ref="A145:G145"/>
    <mergeCell ref="A146:A147"/>
    <mergeCell ref="B146:C146"/>
    <mergeCell ref="D146:E146"/>
    <mergeCell ref="F146:G146"/>
    <mergeCell ref="A105:G105"/>
    <mergeCell ref="A106:A107"/>
    <mergeCell ref="B106:C106"/>
    <mergeCell ref="D106:E106"/>
    <mergeCell ref="F106:G106"/>
    <mergeCell ref="A68:G68"/>
    <mergeCell ref="A69:A70"/>
    <mergeCell ref="B69:C69"/>
    <mergeCell ref="D69:E69"/>
    <mergeCell ref="F69:G69"/>
    <mergeCell ref="A54:G54"/>
    <mergeCell ref="A55:A56"/>
    <mergeCell ref="B55:C55"/>
    <mergeCell ref="D55:E55"/>
    <mergeCell ref="F55:G55"/>
    <mergeCell ref="A1:G1"/>
    <mergeCell ref="A2:G2"/>
    <mergeCell ref="A6:G6"/>
    <mergeCell ref="A7:A8"/>
    <mergeCell ref="B7:C7"/>
    <mergeCell ref="D7:E7"/>
    <mergeCell ref="F7:G7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8"/>
  <sheetViews>
    <sheetView showGridLines="0" showRowColHeaders="0" zoomScaleNormal="100" workbookViewId="0">
      <selection sqref="A1:J1"/>
    </sheetView>
  </sheetViews>
  <sheetFormatPr defaultRowHeight="12.75" customHeight="1" x14ac:dyDescent="0.3"/>
  <cols>
    <col min="1" max="1" width="42.81640625" style="2" bestFit="1" customWidth="1"/>
    <col min="2" max="2" width="20.1796875" style="2" bestFit="1" customWidth="1"/>
    <col min="3" max="3" width="22.54296875" style="2" bestFit="1" customWidth="1"/>
    <col min="4" max="4" width="10" style="2" bestFit="1" customWidth="1"/>
    <col min="5" max="5" width="23.81640625" style="2" bestFit="1" customWidth="1"/>
    <col min="6" max="6" width="22.54296875" style="2" bestFit="1" customWidth="1"/>
    <col min="7" max="7" width="10" style="2" bestFit="1" customWidth="1"/>
    <col min="8" max="8" width="25.1796875" style="2" bestFit="1" customWidth="1"/>
    <col min="9" max="9" width="22.54296875" style="2" bestFit="1" customWidth="1"/>
    <col min="10" max="10" width="10" style="2" bestFit="1" customWidth="1"/>
    <col min="11" max="11" width="12.453125" bestFit="1" customWidth="1"/>
    <col min="12" max="12" width="8.90625" bestFit="1" customWidth="1"/>
  </cols>
  <sheetData>
    <row r="1" spans="1:10" ht="21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25.5" customHeight="1" x14ac:dyDescent="0.3">
      <c r="A2" s="25" t="s">
        <v>1</v>
      </c>
      <c r="B2" s="24"/>
      <c r="C2" s="24"/>
      <c r="D2" s="24"/>
      <c r="E2" s="24"/>
      <c r="F2" s="24"/>
      <c r="G2" s="24"/>
      <c r="H2" s="25"/>
      <c r="I2" s="24"/>
      <c r="J2" s="24"/>
    </row>
    <row r="3" spans="1:10" ht="12" customHeight="1" x14ac:dyDescent="0.3">
      <c r="A3" s="6"/>
    </row>
    <row r="4" spans="1:10" s="2" customFormat="1" ht="21" customHeight="1" x14ac:dyDescent="0.3">
      <c r="A4" s="1" t="s">
        <v>2</v>
      </c>
      <c r="C4" s="7"/>
      <c r="J4" s="3" t="s">
        <v>3</v>
      </c>
    </row>
    <row r="5" spans="1:10" ht="11.25" customHeight="1" x14ac:dyDescent="0.3">
      <c r="A5" s="4"/>
      <c r="C5" s="32"/>
      <c r="F5" s="30"/>
      <c r="I5" s="30"/>
      <c r="J5" s="5"/>
    </row>
    <row r="6" spans="1:10" ht="12.75" customHeight="1" x14ac:dyDescent="0.3">
      <c r="A6" s="26" t="s">
        <v>4</v>
      </c>
      <c r="B6" s="24"/>
      <c r="C6" s="24"/>
      <c r="D6" s="24"/>
      <c r="E6" s="24"/>
      <c r="F6" s="24"/>
      <c r="G6" s="24"/>
      <c r="H6" s="24"/>
      <c r="I6" s="24"/>
      <c r="J6" s="27"/>
    </row>
    <row r="7" spans="1:10" ht="12.75" customHeight="1" x14ac:dyDescent="0.25">
      <c r="A7" s="28" t="s">
        <v>5</v>
      </c>
      <c r="B7" s="28" t="s">
        <v>6</v>
      </c>
      <c r="C7" s="28"/>
      <c r="D7" s="28"/>
      <c r="E7" s="28" t="s">
        <v>7</v>
      </c>
      <c r="F7" s="28"/>
      <c r="G7" s="28"/>
      <c r="H7" s="28" t="s">
        <v>8</v>
      </c>
      <c r="I7" s="28"/>
      <c r="J7" s="29"/>
    </row>
    <row r="8" spans="1:10" ht="12.75" customHeight="1" x14ac:dyDescent="0.25">
      <c r="A8" s="28"/>
      <c r="B8" s="8" t="s">
        <v>9</v>
      </c>
      <c r="C8" s="8" t="s">
        <v>10</v>
      </c>
      <c r="D8" s="8" t="s">
        <v>11</v>
      </c>
      <c r="E8" s="8" t="s">
        <v>12</v>
      </c>
      <c r="F8" s="8" t="s">
        <v>10</v>
      </c>
      <c r="G8" s="8" t="s">
        <v>11</v>
      </c>
      <c r="H8" s="8" t="s">
        <v>13</v>
      </c>
      <c r="I8" s="8" t="s">
        <v>10</v>
      </c>
      <c r="J8" s="9" t="s">
        <v>11</v>
      </c>
    </row>
    <row r="9" spans="1:10" ht="12.75" customHeight="1" x14ac:dyDescent="0.25">
      <c r="A9" s="10" t="s">
        <v>14</v>
      </c>
      <c r="B9" s="11" t="s">
        <v>15</v>
      </c>
      <c r="C9" s="12">
        <v>36746495.306009993</v>
      </c>
      <c r="D9" s="13">
        <v>0.29975270394798431</v>
      </c>
      <c r="E9" s="11" t="s">
        <v>15</v>
      </c>
      <c r="F9" s="12">
        <v>17452537.776420001</v>
      </c>
      <c r="G9" s="13">
        <v>0.36050218087846181</v>
      </c>
      <c r="H9" s="11" t="s">
        <v>15</v>
      </c>
      <c r="I9" s="12">
        <v>65924635.719190016</v>
      </c>
      <c r="J9" s="13">
        <v>0.27336215832381727</v>
      </c>
    </row>
    <row r="10" spans="1:10" ht="12.75" customHeight="1" x14ac:dyDescent="0.25">
      <c r="A10" s="14" t="s">
        <v>16</v>
      </c>
      <c r="B10" s="15" t="s">
        <v>17</v>
      </c>
      <c r="C10" s="16">
        <v>20281939.45528999</v>
      </c>
      <c r="D10" s="17">
        <v>0.16544615050780509</v>
      </c>
      <c r="E10" s="15" t="s">
        <v>17</v>
      </c>
      <c r="F10" s="16">
        <v>8113557.4612599993</v>
      </c>
      <c r="G10" s="17">
        <v>0.16759483330950481</v>
      </c>
      <c r="H10" s="15" t="s">
        <v>17</v>
      </c>
      <c r="I10" s="16">
        <v>39459041.121450037</v>
      </c>
      <c r="J10" s="17">
        <v>0.16362029958411989</v>
      </c>
    </row>
    <row r="11" spans="1:10" ht="12.75" customHeight="1" x14ac:dyDescent="0.25">
      <c r="A11" s="10" t="s">
        <v>18</v>
      </c>
      <c r="B11" s="11" t="s">
        <v>19</v>
      </c>
      <c r="C11" s="12">
        <v>18203193.499060001</v>
      </c>
      <c r="D11" s="13">
        <v>0.1484891668278141</v>
      </c>
      <c r="E11" s="11" t="s">
        <v>19</v>
      </c>
      <c r="F11" s="12">
        <v>4815794.6267000008</v>
      </c>
      <c r="G11" s="13">
        <v>9.9475760363846144E-2</v>
      </c>
      <c r="H11" s="11" t="s">
        <v>19</v>
      </c>
      <c r="I11" s="12">
        <v>37633487.72302001</v>
      </c>
      <c r="J11" s="13">
        <v>0.15605048578558955</v>
      </c>
    </row>
    <row r="12" spans="1:10" ht="12.75" customHeight="1" x14ac:dyDescent="0.25">
      <c r="A12" s="14" t="s">
        <v>20</v>
      </c>
      <c r="B12" s="15" t="s">
        <v>21</v>
      </c>
      <c r="C12" s="16">
        <v>8872134.0476099979</v>
      </c>
      <c r="D12" s="17">
        <v>7.237278408221727E-2</v>
      </c>
      <c r="E12" s="15" t="s">
        <v>22</v>
      </c>
      <c r="F12" s="16">
        <v>3571205.9166600001</v>
      </c>
      <c r="G12" s="17">
        <v>7.3767353368025979E-2</v>
      </c>
      <c r="H12" s="15" t="s">
        <v>22</v>
      </c>
      <c r="I12" s="16">
        <v>17647897.731509991</v>
      </c>
      <c r="J12" s="17">
        <v>7.3178522128098361E-2</v>
      </c>
    </row>
    <row r="13" spans="1:10" ht="12.75" customHeight="1" x14ac:dyDescent="0.25">
      <c r="A13" s="10" t="s">
        <v>23</v>
      </c>
      <c r="B13" s="11" t="s">
        <v>22</v>
      </c>
      <c r="C13" s="12">
        <v>8637212.5585299991</v>
      </c>
      <c r="D13" s="13">
        <v>7.0456455709108454E-2</v>
      </c>
      <c r="E13" s="11" t="s">
        <v>27</v>
      </c>
      <c r="F13" s="12">
        <v>2518637.182349999</v>
      </c>
      <c r="G13" s="13">
        <v>5.2025339163311611E-2</v>
      </c>
      <c r="H13" s="11" t="s">
        <v>21</v>
      </c>
      <c r="I13" s="12">
        <v>18759264.878710009</v>
      </c>
      <c r="J13" s="13">
        <v>7.7786901358934915E-2</v>
      </c>
    </row>
    <row r="14" spans="1:10" ht="12.75" customHeight="1" x14ac:dyDescent="0.25">
      <c r="A14" s="14" t="s">
        <v>25</v>
      </c>
      <c r="B14" s="15" t="s">
        <v>24</v>
      </c>
      <c r="C14" s="16">
        <v>7476771.7266999986</v>
      </c>
      <c r="D14" s="17">
        <v>6.0990375360058149E-2</v>
      </c>
      <c r="E14" s="15" t="s">
        <v>21</v>
      </c>
      <c r="F14" s="16">
        <v>3759074.65</v>
      </c>
      <c r="G14" s="17">
        <v>7.7647997487269749E-2</v>
      </c>
      <c r="H14" s="15" t="s">
        <v>24</v>
      </c>
      <c r="I14" s="16">
        <v>15768094.500429999</v>
      </c>
      <c r="J14" s="17">
        <v>6.5383756743865373E-2</v>
      </c>
    </row>
    <row r="15" spans="1:10" ht="12.75" customHeight="1" x14ac:dyDescent="0.25">
      <c r="A15" s="10" t="s">
        <v>26</v>
      </c>
      <c r="B15" s="11" t="s">
        <v>27</v>
      </c>
      <c r="C15" s="12">
        <v>4392819.0920000002</v>
      </c>
      <c r="D15" s="13">
        <v>3.5833605077596871E-2</v>
      </c>
      <c r="E15" s="11" t="s">
        <v>24</v>
      </c>
      <c r="F15" s="12">
        <v>2773936.4038399998</v>
      </c>
      <c r="G15" s="13">
        <v>5.7298837338921799E-2</v>
      </c>
      <c r="H15" s="11" t="s">
        <v>27</v>
      </c>
      <c r="I15" s="12">
        <v>9901898.7653099988</v>
      </c>
      <c r="J15" s="13">
        <v>4.1059072810335738E-2</v>
      </c>
    </row>
    <row r="16" spans="1:10" ht="12.75" customHeight="1" x14ac:dyDescent="0.25">
      <c r="A16" s="14" t="s">
        <v>28</v>
      </c>
      <c r="B16" s="15" t="s">
        <v>29</v>
      </c>
      <c r="C16" s="16">
        <v>3273025.3981300001</v>
      </c>
      <c r="D16" s="17">
        <v>2.6699096199779195E-2</v>
      </c>
      <c r="E16" s="15" t="s">
        <v>30</v>
      </c>
      <c r="F16" s="16">
        <v>970956.47993999999</v>
      </c>
      <c r="G16" s="17">
        <v>2.005621950461383E-2</v>
      </c>
      <c r="H16" s="15" t="s">
        <v>31</v>
      </c>
      <c r="I16" s="16">
        <v>4874306.2604400003</v>
      </c>
      <c r="J16" s="17">
        <v>2.0211729122946217E-2</v>
      </c>
    </row>
    <row r="17" spans="1:10" ht="12.75" customHeight="1" x14ac:dyDescent="0.25">
      <c r="A17" s="10" t="s">
        <v>32</v>
      </c>
      <c r="B17" s="11" t="s">
        <v>31</v>
      </c>
      <c r="C17" s="12">
        <v>3148750.3523300011</v>
      </c>
      <c r="D17" s="13">
        <v>2.5685345617537502E-2</v>
      </c>
      <c r="E17" s="11" t="s">
        <v>31</v>
      </c>
      <c r="F17" s="12">
        <v>1200683.98385</v>
      </c>
      <c r="G17" s="13">
        <v>2.4801504530108182E-2</v>
      </c>
      <c r="H17" s="11" t="s">
        <v>29</v>
      </c>
      <c r="I17" s="12">
        <v>8466600.6354999989</v>
      </c>
      <c r="J17" s="13">
        <v>3.5107485966924645E-2</v>
      </c>
    </row>
    <row r="18" spans="1:10" ht="12.75" customHeight="1" x14ac:dyDescent="0.25">
      <c r="A18" s="14" t="s">
        <v>33</v>
      </c>
      <c r="B18" s="15" t="s">
        <v>30</v>
      </c>
      <c r="C18" s="16">
        <v>2763795.25</v>
      </c>
      <c r="D18" s="17">
        <v>2.2545145936967739E-2</v>
      </c>
      <c r="E18" s="15" t="s">
        <v>29</v>
      </c>
      <c r="F18" s="16">
        <v>1311070.25</v>
      </c>
      <c r="G18" s="17">
        <v>2.708165943914791E-2</v>
      </c>
      <c r="H18" s="15" t="s">
        <v>30</v>
      </c>
      <c r="I18" s="16">
        <v>2942899.85</v>
      </c>
      <c r="J18" s="17">
        <v>1.2202986727959464E-2</v>
      </c>
    </row>
    <row r="19" spans="1:10" ht="12.75" customHeight="1" x14ac:dyDescent="0.25">
      <c r="A19" s="10" t="s">
        <v>34</v>
      </c>
      <c r="B19" s="11" t="s">
        <v>35</v>
      </c>
      <c r="C19" s="12">
        <v>1893565.8629600001</v>
      </c>
      <c r="D19" s="13">
        <v>1.544641149582027E-2</v>
      </c>
      <c r="E19" s="11" t="s">
        <v>36</v>
      </c>
      <c r="F19" s="12">
        <v>282007.12018999999</v>
      </c>
      <c r="G19" s="13">
        <v>5.8251804496368001E-3</v>
      </c>
      <c r="H19" s="11" t="s">
        <v>37</v>
      </c>
      <c r="I19" s="12">
        <v>2614200.6328099999</v>
      </c>
      <c r="J19" s="13">
        <v>1.0840007221585764E-2</v>
      </c>
    </row>
    <row r="20" spans="1:10" ht="12.75" customHeight="1" x14ac:dyDescent="0.25">
      <c r="A20" s="14" t="s">
        <v>38</v>
      </c>
      <c r="B20" s="15" t="s">
        <v>37</v>
      </c>
      <c r="C20" s="16">
        <v>1422056.1192699999</v>
      </c>
      <c r="D20" s="17">
        <v>1.1600158419658673E-2</v>
      </c>
      <c r="E20" s="15" t="s">
        <v>37</v>
      </c>
      <c r="F20" s="16">
        <v>391289.48177000001</v>
      </c>
      <c r="G20" s="17">
        <v>8.0825329439180044E-3</v>
      </c>
      <c r="H20" s="15" t="s">
        <v>35</v>
      </c>
      <c r="I20" s="16">
        <v>2900947.3451100001</v>
      </c>
      <c r="J20" s="17">
        <v>1.20290270669206E-2</v>
      </c>
    </row>
    <row r="21" spans="1:10" ht="12.75" customHeight="1" x14ac:dyDescent="0.25">
      <c r="A21" s="10" t="s">
        <v>39</v>
      </c>
      <c r="B21" s="11" t="s">
        <v>36</v>
      </c>
      <c r="C21" s="12">
        <v>1413200.9203900001</v>
      </c>
      <c r="D21" s="13">
        <v>1.1527923781057834E-2</v>
      </c>
      <c r="E21" s="11"/>
      <c r="F21" s="12">
        <v>0</v>
      </c>
      <c r="G21" s="13"/>
      <c r="H21" s="11" t="s">
        <v>40</v>
      </c>
      <c r="I21" s="12">
        <v>1698337.4003900001</v>
      </c>
      <c r="J21" s="13">
        <v>7.0423017475624763E-3</v>
      </c>
    </row>
    <row r="22" spans="1:10" ht="12.75" customHeight="1" x14ac:dyDescent="0.25">
      <c r="A22" s="14" t="s">
        <v>41</v>
      </c>
      <c r="B22" s="15" t="s">
        <v>40</v>
      </c>
      <c r="C22" s="16">
        <v>800251.07198000001</v>
      </c>
      <c r="D22" s="17">
        <v>6.5278993456566563E-3</v>
      </c>
      <c r="E22" s="15" t="s">
        <v>35</v>
      </c>
      <c r="F22" s="16">
        <v>572446</v>
      </c>
      <c r="G22" s="17">
        <v>1.1824528563059426E-2</v>
      </c>
      <c r="H22" s="15" t="s">
        <v>42</v>
      </c>
      <c r="I22" s="16">
        <v>1613513.0192799999</v>
      </c>
      <c r="J22" s="17">
        <v>6.6905701733831141E-3</v>
      </c>
    </row>
    <row r="23" spans="1:10" ht="12.75" customHeight="1" x14ac:dyDescent="0.25">
      <c r="A23" s="10" t="s">
        <v>43</v>
      </c>
      <c r="B23" s="11" t="s">
        <v>42</v>
      </c>
      <c r="C23" s="12">
        <v>769385.02800000005</v>
      </c>
      <c r="D23" s="13">
        <v>6.2761153301707177E-3</v>
      </c>
      <c r="E23" s="11" t="s">
        <v>44</v>
      </c>
      <c r="F23" s="12">
        <v>11941.341</v>
      </c>
      <c r="G23" s="13">
        <v>2.4666209168329001E-4</v>
      </c>
      <c r="H23" s="11" t="s">
        <v>45</v>
      </c>
      <c r="I23" s="12">
        <v>1176346.402</v>
      </c>
      <c r="J23" s="13">
        <v>4.8778212860654665E-3</v>
      </c>
    </row>
    <row r="24" spans="1:10" ht="12.75" customHeight="1" x14ac:dyDescent="0.25">
      <c r="A24" s="14" t="s">
        <v>46</v>
      </c>
      <c r="B24" s="15" t="s">
        <v>47</v>
      </c>
      <c r="C24" s="16">
        <v>574606.86456999998</v>
      </c>
      <c r="D24" s="17">
        <v>4.6872486730390418E-3</v>
      </c>
      <c r="E24" s="15" t="s">
        <v>45</v>
      </c>
      <c r="F24" s="16">
        <v>36861.895839999997</v>
      </c>
      <c r="G24" s="17">
        <v>7.614247287055922E-4</v>
      </c>
      <c r="H24" s="15" t="s">
        <v>47</v>
      </c>
      <c r="I24" s="16">
        <v>1385713.66261</v>
      </c>
      <c r="J24" s="17">
        <v>5.7459805958337074E-3</v>
      </c>
    </row>
    <row r="25" spans="1:10" ht="12.75" customHeight="1" x14ac:dyDescent="0.25">
      <c r="A25" s="10" t="s">
        <v>48</v>
      </c>
      <c r="B25" s="11" t="s">
        <v>49</v>
      </c>
      <c r="C25" s="12">
        <v>332630</v>
      </c>
      <c r="D25" s="13">
        <v>2.7133673860296197E-3</v>
      </c>
      <c r="E25" s="11" t="s">
        <v>40</v>
      </c>
      <c r="F25" s="12">
        <v>273630</v>
      </c>
      <c r="G25" s="13">
        <v>5.6521414259335396E-3</v>
      </c>
      <c r="H25" s="11" t="s">
        <v>50</v>
      </c>
      <c r="I25" s="12">
        <v>643011</v>
      </c>
      <c r="J25" s="13">
        <v>2.6663002816531261E-3</v>
      </c>
    </row>
    <row r="26" spans="1:10" ht="12.75" customHeight="1" x14ac:dyDescent="0.25">
      <c r="A26" s="14" t="s">
        <v>51</v>
      </c>
      <c r="B26" s="15" t="s">
        <v>45</v>
      </c>
      <c r="C26" s="16">
        <v>305265.50666000001</v>
      </c>
      <c r="D26" s="17">
        <v>2.4901466189190744E-3</v>
      </c>
      <c r="E26" s="15" t="s">
        <v>49</v>
      </c>
      <c r="F26" s="16">
        <v>85366.666660000003</v>
      </c>
      <c r="G26" s="17">
        <v>1.7633463911955764E-3</v>
      </c>
      <c r="H26" s="15" t="s">
        <v>44</v>
      </c>
      <c r="I26" s="16">
        <v>470222.50666000001</v>
      </c>
      <c r="J26" s="17">
        <v>1.9498179688173251E-3</v>
      </c>
    </row>
    <row r="27" spans="1:10" ht="12.75" customHeight="1" x14ac:dyDescent="0.25">
      <c r="A27" s="10" t="s">
        <v>52</v>
      </c>
      <c r="B27" s="11" t="s">
        <v>50</v>
      </c>
      <c r="C27" s="12">
        <v>204234</v>
      </c>
      <c r="D27" s="13">
        <v>1.6660008860246321E-3</v>
      </c>
      <c r="E27" s="11"/>
      <c r="F27" s="12">
        <v>0</v>
      </c>
      <c r="G27" s="13"/>
      <c r="H27" s="11" t="s">
        <v>53</v>
      </c>
      <c r="I27" s="12">
        <v>204234</v>
      </c>
      <c r="J27" s="13">
        <v>8.4687380421663789E-4</v>
      </c>
    </row>
    <row r="28" spans="1:10" ht="12.75" customHeight="1" x14ac:dyDescent="0.25">
      <c r="A28" s="14" t="s">
        <v>54</v>
      </c>
      <c r="B28" s="15" t="s">
        <v>55</v>
      </c>
      <c r="C28" s="16">
        <v>175298.47700000001</v>
      </c>
      <c r="D28" s="17">
        <v>1.4299647365314718E-3</v>
      </c>
      <c r="E28" s="15"/>
      <c r="F28" s="16">
        <v>0</v>
      </c>
      <c r="G28" s="17"/>
      <c r="H28" s="15" t="s">
        <v>56</v>
      </c>
      <c r="I28" s="16">
        <v>235298.47700000001</v>
      </c>
      <c r="J28" s="17">
        <v>9.7568532342005301E-4</v>
      </c>
    </row>
    <row r="29" spans="1:10" ht="12.75" customHeight="1" x14ac:dyDescent="0.25">
      <c r="A29" s="10" t="s">
        <v>57</v>
      </c>
      <c r="B29" s="11" t="s">
        <v>44</v>
      </c>
      <c r="C29" s="12">
        <v>130000</v>
      </c>
      <c r="D29" s="13">
        <v>1.0604508318066638E-3</v>
      </c>
      <c r="E29" s="11" t="s">
        <v>42</v>
      </c>
      <c r="F29" s="12">
        <v>130000</v>
      </c>
      <c r="G29" s="13">
        <v>2.6852990730963718E-3</v>
      </c>
      <c r="H29" s="11" t="s">
        <v>55</v>
      </c>
      <c r="I29" s="12">
        <v>605000</v>
      </c>
      <c r="J29" s="13">
        <v>2.5086844088205978E-3</v>
      </c>
    </row>
    <row r="30" spans="1:10" ht="12.75" customHeight="1" x14ac:dyDescent="0.25">
      <c r="A30" s="14" t="s">
        <v>58</v>
      </c>
      <c r="B30" s="15" t="s">
        <v>59</v>
      </c>
      <c r="C30" s="16">
        <v>100000</v>
      </c>
      <c r="D30" s="17">
        <v>8.1573140908204904E-4</v>
      </c>
      <c r="E30" s="15"/>
      <c r="F30" s="16">
        <v>0</v>
      </c>
      <c r="G30" s="17"/>
      <c r="H30" s="15" t="s">
        <v>60</v>
      </c>
      <c r="I30" s="16">
        <v>302088</v>
      </c>
      <c r="J30" s="17">
        <v>1.2526338110608211E-3</v>
      </c>
    </row>
    <row r="31" spans="1:10" ht="12.75" customHeight="1" x14ac:dyDescent="0.25">
      <c r="A31" s="10" t="s">
        <v>61</v>
      </c>
      <c r="B31" s="11" t="s">
        <v>59</v>
      </c>
      <c r="C31" s="12">
        <v>100000</v>
      </c>
      <c r="D31" s="13">
        <v>8.1573140908204904E-4</v>
      </c>
      <c r="E31" s="11"/>
      <c r="F31" s="12">
        <v>0</v>
      </c>
      <c r="G31" s="13"/>
      <c r="H31" s="11" t="s">
        <v>62</v>
      </c>
      <c r="I31" s="12">
        <v>192278</v>
      </c>
      <c r="J31" s="13">
        <v>7.9729722439538333E-4</v>
      </c>
    </row>
    <row r="32" spans="1:10" ht="12.75" customHeight="1" x14ac:dyDescent="0.25">
      <c r="A32" s="14" t="s">
        <v>63</v>
      </c>
      <c r="B32" s="15" t="s">
        <v>64</v>
      </c>
      <c r="C32" s="16">
        <v>89500</v>
      </c>
      <c r="D32" s="17">
        <v>7.300796111284339E-4</v>
      </c>
      <c r="E32" s="15" t="s">
        <v>47</v>
      </c>
      <c r="F32" s="16">
        <v>89500</v>
      </c>
      <c r="G32" s="17">
        <v>1.8487251310932713E-3</v>
      </c>
      <c r="H32" s="15" t="s">
        <v>65</v>
      </c>
      <c r="I32" s="16">
        <v>89500</v>
      </c>
      <c r="J32" s="17">
        <v>3.711194290734603E-4</v>
      </c>
    </row>
    <row r="33" spans="1:10" ht="12.75" customHeight="1" x14ac:dyDescent="0.25">
      <c r="A33" s="10" t="s">
        <v>66</v>
      </c>
      <c r="B33" s="11" t="s">
        <v>67</v>
      </c>
      <c r="C33" s="12">
        <v>84735.507400000002</v>
      </c>
      <c r="D33" s="13">
        <v>6.9121414850684397E-4</v>
      </c>
      <c r="E33" s="11" t="s">
        <v>55</v>
      </c>
      <c r="F33" s="12">
        <v>19735.507399999999</v>
      </c>
      <c r="G33" s="13">
        <v>4.0765953637158907E-4</v>
      </c>
      <c r="H33" s="11" t="s">
        <v>68</v>
      </c>
      <c r="I33" s="12">
        <v>84735.507400000002</v>
      </c>
      <c r="J33" s="13">
        <v>3.5136305171550806E-4</v>
      </c>
    </row>
    <row r="34" spans="1:10" ht="12.75" customHeight="1" x14ac:dyDescent="0.25">
      <c r="A34" s="14" t="s">
        <v>69</v>
      </c>
      <c r="B34" s="15" t="s">
        <v>70</v>
      </c>
      <c r="C34" s="16">
        <v>74698</v>
      </c>
      <c r="D34" s="17">
        <v>6.0933504795610894E-4</v>
      </c>
      <c r="E34" s="15"/>
      <c r="F34" s="16">
        <v>0</v>
      </c>
      <c r="G34" s="17"/>
      <c r="H34" s="15" t="s">
        <v>59</v>
      </c>
      <c r="I34" s="16">
        <v>363775</v>
      </c>
      <c r="J34" s="17">
        <v>1.5084242492871289E-3</v>
      </c>
    </row>
    <row r="35" spans="1:10" ht="12.75" customHeight="1" x14ac:dyDescent="0.25">
      <c r="A35" s="10" t="s">
        <v>71</v>
      </c>
      <c r="B35" s="11" t="s">
        <v>56</v>
      </c>
      <c r="C35" s="12">
        <v>59847.092499999999</v>
      </c>
      <c r="D35" s="13">
        <v>4.8819153094488725E-4</v>
      </c>
      <c r="E35" s="11"/>
      <c r="F35" s="12">
        <v>0</v>
      </c>
      <c r="G35" s="13"/>
      <c r="H35" s="11" t="s">
        <v>72</v>
      </c>
      <c r="I35" s="12">
        <v>60047.092499999999</v>
      </c>
      <c r="J35" s="13">
        <v>2.4899042107398057E-4</v>
      </c>
    </row>
    <row r="36" spans="1:10" ht="12.75" customHeight="1" x14ac:dyDescent="0.25">
      <c r="A36" s="14" t="s">
        <v>73</v>
      </c>
      <c r="B36" s="15" t="s">
        <v>74</v>
      </c>
      <c r="C36" s="16">
        <v>58087</v>
      </c>
      <c r="D36" s="17">
        <v>4.738339035934898E-4</v>
      </c>
      <c r="E36" s="15"/>
      <c r="F36" s="16">
        <v>0</v>
      </c>
      <c r="G36" s="17"/>
      <c r="H36" s="15" t="s">
        <v>75</v>
      </c>
      <c r="I36" s="16">
        <v>58087</v>
      </c>
      <c r="J36" s="17">
        <v>2.408627293473753E-4</v>
      </c>
    </row>
    <row r="37" spans="1:10" ht="12.75" customHeight="1" x14ac:dyDescent="0.25">
      <c r="A37" s="10" t="s">
        <v>76</v>
      </c>
      <c r="B37" s="11" t="s">
        <v>53</v>
      </c>
      <c r="C37" s="12">
        <v>50000</v>
      </c>
      <c r="D37" s="13">
        <v>4.0786570454102452E-4</v>
      </c>
      <c r="E37" s="11"/>
      <c r="F37" s="12">
        <v>0</v>
      </c>
      <c r="G37" s="13"/>
      <c r="H37" s="11" t="s">
        <v>77</v>
      </c>
      <c r="I37" s="12">
        <v>70000</v>
      </c>
      <c r="J37" s="13">
        <v>2.902610059792427E-4</v>
      </c>
    </row>
    <row r="38" spans="1:10" ht="12.75" customHeight="1" x14ac:dyDescent="0.25">
      <c r="A38" s="14" t="s">
        <v>78</v>
      </c>
      <c r="B38" s="15" t="s">
        <v>62</v>
      </c>
      <c r="C38" s="16">
        <v>37200</v>
      </c>
      <c r="D38" s="17">
        <v>3.0345208417852223E-4</v>
      </c>
      <c r="E38" s="15"/>
      <c r="F38" s="16">
        <v>0</v>
      </c>
      <c r="G38" s="17"/>
      <c r="H38" s="15" t="s">
        <v>49</v>
      </c>
      <c r="I38" s="16">
        <v>1325530.75</v>
      </c>
      <c r="J38" s="17">
        <v>5.4964269850202871E-3</v>
      </c>
    </row>
    <row r="39" spans="1:10" ht="12.75" customHeight="1" x14ac:dyDescent="0.25">
      <c r="A39" s="10" t="s">
        <v>79</v>
      </c>
      <c r="B39" s="11" t="s">
        <v>80</v>
      </c>
      <c r="C39" s="12">
        <v>29827.00001</v>
      </c>
      <c r="D39" s="13">
        <v>2.4330820746847591E-4</v>
      </c>
      <c r="E39" s="11"/>
      <c r="F39" s="12">
        <v>0</v>
      </c>
      <c r="G39" s="13"/>
      <c r="H39" s="11" t="s">
        <v>70</v>
      </c>
      <c r="I39" s="12">
        <v>274950.59437000001</v>
      </c>
      <c r="J39" s="13">
        <v>1.1401062302346702E-3</v>
      </c>
    </row>
    <row r="40" spans="1:10" ht="12.75" customHeight="1" x14ac:dyDescent="0.25">
      <c r="A40" s="14" t="s">
        <v>81</v>
      </c>
      <c r="B40" s="15" t="s">
        <v>65</v>
      </c>
      <c r="C40" s="16">
        <v>20787</v>
      </c>
      <c r="D40" s="17">
        <v>1.6956608800588552E-4</v>
      </c>
      <c r="E40" s="15"/>
      <c r="F40" s="16">
        <v>0</v>
      </c>
      <c r="G40" s="17"/>
      <c r="H40" s="15" t="s">
        <v>36</v>
      </c>
      <c r="I40" s="16">
        <v>2223956</v>
      </c>
      <c r="J40" s="17">
        <v>9.2218243687653238E-3</v>
      </c>
    </row>
    <row r="41" spans="1:10" ht="12.75" customHeight="1" x14ac:dyDescent="0.25">
      <c r="A41" s="10" t="s">
        <v>82</v>
      </c>
      <c r="B41" s="11" t="s">
        <v>83</v>
      </c>
      <c r="C41" s="12">
        <v>20000</v>
      </c>
      <c r="D41" s="13">
        <v>1.6314628181640981E-4</v>
      </c>
      <c r="E41" s="11" t="s">
        <v>50</v>
      </c>
      <c r="F41" s="12">
        <v>20000</v>
      </c>
      <c r="G41" s="13">
        <v>4.1312293432251869E-4</v>
      </c>
      <c r="H41" s="11" t="s">
        <v>84</v>
      </c>
      <c r="I41" s="12">
        <v>20000</v>
      </c>
      <c r="J41" s="13">
        <v>8.2931715994069341E-5</v>
      </c>
    </row>
    <row r="42" spans="1:10" ht="12.75" customHeight="1" x14ac:dyDescent="0.25">
      <c r="A42" s="14" t="s">
        <v>85</v>
      </c>
      <c r="B42" s="15" t="s">
        <v>68</v>
      </c>
      <c r="C42" s="16">
        <v>17354.38895</v>
      </c>
      <c r="D42" s="17">
        <v>1.4156520151941443E-4</v>
      </c>
      <c r="E42" s="15"/>
      <c r="F42" s="16">
        <v>0</v>
      </c>
      <c r="G42" s="17"/>
      <c r="H42" s="15" t="s">
        <v>80</v>
      </c>
      <c r="I42" s="16">
        <v>121924.38893</v>
      </c>
      <c r="J42" s="17">
        <v>5.0556993977466064E-4</v>
      </c>
    </row>
    <row r="43" spans="1:10" ht="12.75" customHeight="1" x14ac:dyDescent="0.25">
      <c r="A43" s="10" t="s">
        <v>86</v>
      </c>
      <c r="B43" s="11" t="s">
        <v>77</v>
      </c>
      <c r="C43" s="12">
        <v>13995.551649999999</v>
      </c>
      <c r="D43" s="13">
        <v>1.1416611068335096E-4</v>
      </c>
      <c r="E43" s="11" t="s">
        <v>59</v>
      </c>
      <c r="F43" s="12">
        <v>7653.0516799999996</v>
      </c>
      <c r="G43" s="13">
        <v>1.5808255832817407E-4</v>
      </c>
      <c r="H43" s="11" t="s">
        <v>87</v>
      </c>
      <c r="I43" s="12">
        <v>57858.202840000013</v>
      </c>
      <c r="J43" s="13">
        <v>2.3991400229270688E-4</v>
      </c>
    </row>
    <row r="44" spans="1:10" ht="12.75" customHeight="1" x14ac:dyDescent="0.25">
      <c r="A44" s="14" t="s">
        <v>88</v>
      </c>
      <c r="B44" s="15" t="s">
        <v>72</v>
      </c>
      <c r="C44" s="16">
        <v>6462.9360999999999</v>
      </c>
      <c r="D44" s="17">
        <v>5.2720199716602424E-5</v>
      </c>
      <c r="E44" s="15"/>
      <c r="F44" s="16">
        <v>0</v>
      </c>
      <c r="G44" s="17"/>
      <c r="H44" s="15" t="s">
        <v>89</v>
      </c>
      <c r="I44" s="16">
        <v>22864.35758</v>
      </c>
      <c r="J44" s="17">
        <v>9.4809020460570338E-5</v>
      </c>
    </row>
    <row r="45" spans="1:10" ht="12.75" customHeight="1" x14ac:dyDescent="0.25">
      <c r="A45" s="10" t="s">
        <v>90</v>
      </c>
      <c r="B45" s="11" t="s">
        <v>75</v>
      </c>
      <c r="C45" s="12">
        <v>4506.5</v>
      </c>
      <c r="D45" s="13">
        <v>3.6760935950282541E-5</v>
      </c>
      <c r="E45" s="11" t="s">
        <v>60</v>
      </c>
      <c r="F45" s="12">
        <v>2405.5</v>
      </c>
      <c r="G45" s="13">
        <v>4.9688360925640939E-5</v>
      </c>
      <c r="H45" s="11" t="s">
        <v>91</v>
      </c>
      <c r="I45" s="12">
        <v>12053</v>
      </c>
      <c r="J45" s="13">
        <v>4.9978798643825892E-5</v>
      </c>
    </row>
    <row r="46" spans="1:10" ht="12.75" customHeight="1" x14ac:dyDescent="0.25">
      <c r="A46" s="14" t="s">
        <v>92</v>
      </c>
      <c r="B46" s="15" t="s">
        <v>87</v>
      </c>
      <c r="C46" s="16">
        <v>3469.5</v>
      </c>
      <c r="D46" s="17">
        <v>2.830180123810169E-5</v>
      </c>
      <c r="E46" s="15"/>
      <c r="F46" s="16">
        <v>0</v>
      </c>
      <c r="G46" s="17"/>
      <c r="H46" s="15" t="s">
        <v>93</v>
      </c>
      <c r="I46" s="16">
        <v>10735</v>
      </c>
      <c r="J46" s="17">
        <v>4.4513598559816721E-5</v>
      </c>
    </row>
    <row r="47" spans="1:10" ht="12.75" customHeight="1" x14ac:dyDescent="0.25">
      <c r="A47" s="10" t="s">
        <v>94</v>
      </c>
      <c r="B47" s="11" t="s">
        <v>95</v>
      </c>
      <c r="C47" s="12">
        <v>1485</v>
      </c>
      <c r="D47" s="13">
        <v>1.2113611424868428E-5</v>
      </c>
      <c r="E47" s="11" t="s">
        <v>64</v>
      </c>
      <c r="F47" s="12">
        <v>1428.5</v>
      </c>
      <c r="G47" s="13">
        <v>2.9507305583985898E-5</v>
      </c>
      <c r="H47" s="11" t="s">
        <v>96</v>
      </c>
      <c r="I47" s="12">
        <v>2004.4990700000001</v>
      </c>
      <c r="J47" s="13">
        <v>8.3118273791808069E-6</v>
      </c>
    </row>
    <row r="48" spans="1:10" ht="12.75" customHeight="1" x14ac:dyDescent="0.25">
      <c r="A48" s="14" t="s">
        <v>97</v>
      </c>
      <c r="B48" s="15" t="s">
        <v>98</v>
      </c>
      <c r="C48" s="16">
        <v>703.49996999999996</v>
      </c>
      <c r="D48" s="17">
        <v>5.7386702181727921E-6</v>
      </c>
      <c r="E48" s="15"/>
      <c r="F48" s="16">
        <v>0</v>
      </c>
      <c r="G48" s="17"/>
      <c r="H48" s="15" t="s">
        <v>99</v>
      </c>
      <c r="I48" s="16">
        <v>703.99996999999996</v>
      </c>
      <c r="J48" s="17">
        <v>2.919196278593667E-6</v>
      </c>
    </row>
    <row r="49" spans="1:10" ht="12.75" customHeight="1" x14ac:dyDescent="0.25">
      <c r="A49" s="10" t="s">
        <v>100</v>
      </c>
      <c r="B49" s="11" t="s">
        <v>89</v>
      </c>
      <c r="C49" s="12">
        <v>69.999989999999997</v>
      </c>
      <c r="D49" s="13">
        <v>5.7101190478429343E-7</v>
      </c>
      <c r="E49" s="11" t="s">
        <v>67</v>
      </c>
      <c r="F49" s="12">
        <v>20</v>
      </c>
      <c r="G49" s="13">
        <v>4.1312293432251869E-7</v>
      </c>
      <c r="H49" s="11" t="s">
        <v>101</v>
      </c>
      <c r="I49" s="12">
        <v>2138.4999600000001</v>
      </c>
      <c r="J49" s="13">
        <v>8.8674735668024327E-6</v>
      </c>
    </row>
    <row r="50" spans="1:10" ht="12.75" customHeight="1" x14ac:dyDescent="0.25">
      <c r="A50" s="14" t="s">
        <v>102</v>
      </c>
      <c r="B50" s="15" t="s">
        <v>84</v>
      </c>
      <c r="C50" s="16">
        <v>11.06485</v>
      </c>
      <c r="D50" s="17">
        <v>9.0259456817815102E-8</v>
      </c>
      <c r="E50" s="15"/>
      <c r="F50" s="16">
        <v>0</v>
      </c>
      <c r="G50" s="17"/>
      <c r="H50" s="15" t="s">
        <v>103</v>
      </c>
      <c r="I50" s="16">
        <v>11.06485</v>
      </c>
      <c r="J50" s="17">
        <v>4.5881349885848908E-8</v>
      </c>
    </row>
    <row r="51" spans="1:10" ht="12.75" customHeight="1" x14ac:dyDescent="0.25">
      <c r="A51" s="10" t="s">
        <v>104</v>
      </c>
      <c r="B51" s="11"/>
      <c r="C51" s="12">
        <v>0</v>
      </c>
      <c r="D51" s="13"/>
      <c r="E51" s="11"/>
      <c r="F51" s="12">
        <v>0</v>
      </c>
      <c r="G51" s="13"/>
      <c r="H51" s="11" t="s">
        <v>64</v>
      </c>
      <c r="I51" s="12">
        <v>295895</v>
      </c>
      <c r="J51" s="13">
        <v>1.2269540052032575E-3</v>
      </c>
    </row>
    <row r="52" spans="1:10" ht="12.75" customHeight="1" x14ac:dyDescent="0.25">
      <c r="A52" s="14" t="s">
        <v>105</v>
      </c>
      <c r="B52" s="15"/>
      <c r="C52" s="16">
        <v>0</v>
      </c>
      <c r="D52" s="17"/>
      <c r="E52" s="15"/>
      <c r="F52" s="16">
        <v>0</v>
      </c>
      <c r="G52" s="17"/>
      <c r="H52" s="15" t="s">
        <v>67</v>
      </c>
      <c r="I52" s="16">
        <v>277500</v>
      </c>
      <c r="J52" s="17">
        <v>1.1506775594177121E-3</v>
      </c>
    </row>
    <row r="53" spans="1:10" ht="12.75" customHeight="1" x14ac:dyDescent="0.25">
      <c r="A53" s="10" t="s">
        <v>106</v>
      </c>
      <c r="B53" s="11"/>
      <c r="C53" s="12">
        <v>0</v>
      </c>
      <c r="D53" s="13"/>
      <c r="E53" s="11"/>
      <c r="F53" s="12">
        <v>0</v>
      </c>
      <c r="G53" s="13"/>
      <c r="H53" s="11" t="s">
        <v>74</v>
      </c>
      <c r="I53" s="12">
        <v>210870.75</v>
      </c>
      <c r="J53" s="13">
        <v>8.7439365752281994E-4</v>
      </c>
    </row>
    <row r="54" spans="1:10" ht="12.75" customHeight="1" x14ac:dyDescent="0.25">
      <c r="A54" s="14" t="s">
        <v>107</v>
      </c>
      <c r="B54" s="15"/>
      <c r="C54" s="16">
        <v>0</v>
      </c>
      <c r="D54" s="17"/>
      <c r="E54" s="15"/>
      <c r="F54" s="16">
        <v>0</v>
      </c>
      <c r="G54" s="17"/>
      <c r="H54" s="15" t="s">
        <v>83</v>
      </c>
      <c r="I54" s="16">
        <v>89114.5</v>
      </c>
      <c r="J54" s="17">
        <v>3.6952092024767464E-4</v>
      </c>
    </row>
    <row r="55" spans="1:10" ht="12.75" customHeight="1" x14ac:dyDescent="0.25">
      <c r="A55" s="10" t="s">
        <v>108</v>
      </c>
      <c r="B55" s="11"/>
      <c r="C55" s="12">
        <v>0</v>
      </c>
      <c r="D55" s="13"/>
      <c r="E55" s="11"/>
      <c r="F55" s="12">
        <v>0</v>
      </c>
      <c r="G55" s="13"/>
      <c r="H55" s="11" t="s">
        <v>95</v>
      </c>
      <c r="I55" s="12">
        <v>40000</v>
      </c>
      <c r="J55" s="13">
        <v>1.6586343198813868E-4</v>
      </c>
    </row>
    <row r="56" spans="1:10" ht="12.75" customHeight="1" x14ac:dyDescent="0.25">
      <c r="A56" s="14" t="s">
        <v>109</v>
      </c>
      <c r="B56" s="15"/>
      <c r="C56" s="16">
        <v>0</v>
      </c>
      <c r="D56" s="17"/>
      <c r="E56" s="15"/>
      <c r="F56" s="16">
        <v>0</v>
      </c>
      <c r="G56" s="17"/>
      <c r="H56" s="15" t="s">
        <v>98</v>
      </c>
      <c r="I56" s="16">
        <v>25000</v>
      </c>
      <c r="J56" s="17">
        <v>1.0366464499258669E-4</v>
      </c>
    </row>
    <row r="57" spans="1:10" ht="12.75" customHeight="1" x14ac:dyDescent="0.25">
      <c r="A57" s="10" t="s">
        <v>110</v>
      </c>
      <c r="B57" s="11"/>
      <c r="C57" s="12">
        <v>0</v>
      </c>
      <c r="D57" s="13"/>
      <c r="E57" s="11"/>
      <c r="F57" s="12">
        <v>0</v>
      </c>
      <c r="G57" s="13"/>
      <c r="H57" s="11" t="s">
        <v>111</v>
      </c>
      <c r="I57" s="12">
        <v>2250.5</v>
      </c>
      <c r="J57" s="13">
        <v>9.3318913422326525E-6</v>
      </c>
    </row>
    <row r="58" spans="1:10" ht="12.75" customHeight="1" x14ac:dyDescent="0.25">
      <c r="A58" s="14" t="s">
        <v>112</v>
      </c>
      <c r="B58" s="15"/>
      <c r="C58" s="16">
        <v>0</v>
      </c>
      <c r="D58" s="17"/>
      <c r="E58" s="15"/>
      <c r="F58" s="16">
        <v>0</v>
      </c>
      <c r="G58" s="17"/>
      <c r="H58" s="15" t="s">
        <v>113</v>
      </c>
      <c r="I58" s="16">
        <v>1428.5002300000001</v>
      </c>
      <c r="J58" s="17">
        <v>5.9233987685911372E-6</v>
      </c>
    </row>
    <row r="59" spans="1:10" ht="12.75" customHeight="1" x14ac:dyDescent="0.25">
      <c r="A59" s="10" t="s">
        <v>114</v>
      </c>
      <c r="B59" s="11"/>
      <c r="C59" s="12">
        <v>0</v>
      </c>
      <c r="D59" s="13"/>
      <c r="E59" s="11"/>
      <c r="F59" s="12">
        <v>0</v>
      </c>
      <c r="G59" s="13"/>
      <c r="H59" s="11" t="s">
        <v>115</v>
      </c>
      <c r="I59" s="12">
        <v>7.5</v>
      </c>
      <c r="J59" s="13">
        <v>3.1099393497776007E-8</v>
      </c>
    </row>
    <row r="60" spans="1:10" ht="12.75" customHeight="1" x14ac:dyDescent="0.25">
      <c r="A60" s="18" t="s">
        <v>116</v>
      </c>
      <c r="B60" s="19"/>
      <c r="C60" s="20">
        <f>SUM(C9:C59)</f>
        <v>122589370.57790999</v>
      </c>
      <c r="D60" s="21">
        <f>ROUND(SUM(D9:D59), 1)</f>
        <v>1</v>
      </c>
      <c r="E60" s="19"/>
      <c r="F60" s="20">
        <f>SUM(F9:F59)</f>
        <v>48411739.795560002</v>
      </c>
      <c r="G60" s="21">
        <f>ROUND(SUM(G9:G59), 1)</f>
        <v>1</v>
      </c>
      <c r="H60" s="19"/>
      <c r="I60" s="20">
        <f>SUM(I9:I59)</f>
        <v>241162259.33912003</v>
      </c>
      <c r="J60" s="21">
        <v>1</v>
      </c>
    </row>
    <row r="63" spans="1:10" ht="12.75" customHeight="1" x14ac:dyDescent="0.3">
      <c r="A63" s="26" t="s">
        <v>117</v>
      </c>
      <c r="B63" s="24"/>
      <c r="C63" s="24"/>
      <c r="D63" s="24"/>
      <c r="E63" s="24"/>
      <c r="F63" s="24"/>
      <c r="G63" s="24"/>
      <c r="H63" s="24"/>
      <c r="I63" s="24"/>
      <c r="J63" s="27"/>
    </row>
    <row r="64" spans="1:10" ht="12.75" customHeight="1" x14ac:dyDescent="0.25">
      <c r="A64" s="28" t="s">
        <v>5</v>
      </c>
      <c r="B64" s="28" t="s">
        <v>6</v>
      </c>
      <c r="C64" s="28"/>
      <c r="D64" s="28"/>
      <c r="E64" s="28" t="s">
        <v>7</v>
      </c>
      <c r="F64" s="28"/>
      <c r="G64" s="28"/>
      <c r="H64" s="28" t="s">
        <v>8</v>
      </c>
      <c r="I64" s="28"/>
      <c r="J64" s="29"/>
    </row>
    <row r="65" spans="1:10" ht="12.75" customHeight="1" x14ac:dyDescent="0.25">
      <c r="A65" s="28"/>
      <c r="B65" s="8" t="s">
        <v>9</v>
      </c>
      <c r="C65" s="8" t="s">
        <v>10</v>
      </c>
      <c r="D65" s="8" t="s">
        <v>11</v>
      </c>
      <c r="E65" s="8" t="s">
        <v>12</v>
      </c>
      <c r="F65" s="8" t="s">
        <v>10</v>
      </c>
      <c r="G65" s="8" t="s">
        <v>11</v>
      </c>
      <c r="H65" s="8" t="s">
        <v>13</v>
      </c>
      <c r="I65" s="8" t="s">
        <v>10</v>
      </c>
      <c r="J65" s="9" t="s">
        <v>11</v>
      </c>
    </row>
    <row r="66" spans="1:10" ht="12.75" customHeight="1" x14ac:dyDescent="0.25">
      <c r="A66" s="10" t="s">
        <v>16</v>
      </c>
      <c r="B66" s="11" t="s">
        <v>15</v>
      </c>
      <c r="C66" s="12">
        <v>925333</v>
      </c>
      <c r="D66" s="13">
        <v>0.68135677728999999</v>
      </c>
      <c r="E66" s="11" t="s">
        <v>19</v>
      </c>
      <c r="F66" s="12">
        <v>64500</v>
      </c>
      <c r="G66" s="13">
        <v>0.20278292903</v>
      </c>
      <c r="H66" s="11" t="s">
        <v>15</v>
      </c>
      <c r="I66" s="12">
        <v>4196333</v>
      </c>
      <c r="J66" s="13">
        <v>0.53916138274000003</v>
      </c>
    </row>
    <row r="67" spans="1:10" ht="12.75" customHeight="1" x14ac:dyDescent="0.25">
      <c r="A67" s="14" t="s">
        <v>25</v>
      </c>
      <c r="B67" s="15" t="s">
        <v>17</v>
      </c>
      <c r="C67" s="16">
        <v>150500</v>
      </c>
      <c r="D67" s="17">
        <v>0.11081869444</v>
      </c>
      <c r="E67" s="15" t="s">
        <v>15</v>
      </c>
      <c r="F67" s="16">
        <v>150500</v>
      </c>
      <c r="G67" s="17">
        <v>0.47316016775000003</v>
      </c>
      <c r="H67" s="15" t="s">
        <v>19</v>
      </c>
      <c r="I67" s="16">
        <v>618500</v>
      </c>
      <c r="J67" s="17">
        <v>7.9467314730000002E-2</v>
      </c>
    </row>
    <row r="68" spans="1:10" ht="12.75" customHeight="1" x14ac:dyDescent="0.25">
      <c r="A68" s="10" t="s">
        <v>18</v>
      </c>
      <c r="B68" s="11" t="s">
        <v>19</v>
      </c>
      <c r="C68" s="12">
        <v>119167</v>
      </c>
      <c r="D68" s="13">
        <v>8.7747052229999997E-2</v>
      </c>
      <c r="E68" s="11"/>
      <c r="F68" s="12">
        <v>0</v>
      </c>
      <c r="G68" s="13"/>
      <c r="H68" s="11" t="s">
        <v>21</v>
      </c>
      <c r="I68" s="12">
        <v>119167</v>
      </c>
      <c r="J68" s="13">
        <v>1.531104526E-2</v>
      </c>
    </row>
    <row r="69" spans="1:10" ht="12.75" customHeight="1" x14ac:dyDescent="0.25">
      <c r="A69" s="14" t="s">
        <v>14</v>
      </c>
      <c r="B69" s="15" t="s">
        <v>21</v>
      </c>
      <c r="C69" s="16">
        <v>103074.1116</v>
      </c>
      <c r="D69" s="17">
        <v>7.5897265630000002E-2</v>
      </c>
      <c r="E69" s="15" t="s">
        <v>17</v>
      </c>
      <c r="F69" s="16">
        <v>103074.1116</v>
      </c>
      <c r="G69" s="17">
        <v>0.32405690322000003</v>
      </c>
      <c r="H69" s="15" t="s">
        <v>17</v>
      </c>
      <c r="I69" s="16">
        <v>2789074.1115999999</v>
      </c>
      <c r="J69" s="17">
        <v>0.35835122107</v>
      </c>
    </row>
    <row r="70" spans="1:10" ht="12.75" customHeight="1" x14ac:dyDescent="0.25">
      <c r="A70" s="10" t="s">
        <v>33</v>
      </c>
      <c r="B70" s="11" t="s">
        <v>22</v>
      </c>
      <c r="C70" s="12">
        <v>60000</v>
      </c>
      <c r="D70" s="13">
        <v>4.4180210409999997E-2</v>
      </c>
      <c r="E70" s="11"/>
      <c r="F70" s="12">
        <v>0</v>
      </c>
      <c r="G70" s="13"/>
      <c r="H70" s="11" t="s">
        <v>22</v>
      </c>
      <c r="I70" s="12">
        <v>60000</v>
      </c>
      <c r="J70" s="13">
        <v>7.7090361899999999E-3</v>
      </c>
    </row>
    <row r="71" spans="1:10" ht="12.75" customHeight="1" x14ac:dyDescent="0.25">
      <c r="A71" s="18" t="s">
        <v>116</v>
      </c>
      <c r="B71" s="19"/>
      <c r="C71" s="20">
        <f>SUM(C66:C70)</f>
        <v>1358074.1115999999</v>
      </c>
      <c r="D71" s="21">
        <f>ROUND(SUM(D66:D70), 1)</f>
        <v>1</v>
      </c>
      <c r="E71" s="19"/>
      <c r="F71" s="20">
        <f>SUM(F66:F70)</f>
        <v>318074.1116</v>
      </c>
      <c r="G71" s="21">
        <f>ROUND(SUM(G66:G70), 1)</f>
        <v>1</v>
      </c>
      <c r="H71" s="19"/>
      <c r="I71" s="20">
        <f>SUM(I66:I70)</f>
        <v>7783074.1116000004</v>
      </c>
      <c r="J71" s="21">
        <f>ROUND(SUM(J66:J70), 1)</f>
        <v>1</v>
      </c>
    </row>
    <row r="74" spans="1:10" ht="12.75" customHeight="1" x14ac:dyDescent="0.3">
      <c r="A74" s="26" t="s">
        <v>118</v>
      </c>
      <c r="B74" s="24"/>
      <c r="C74" s="24"/>
      <c r="D74" s="24"/>
      <c r="E74" s="24"/>
      <c r="F74" s="24"/>
      <c r="G74" s="24"/>
      <c r="H74" s="24"/>
      <c r="I74" s="24"/>
      <c r="J74" s="27"/>
    </row>
    <row r="75" spans="1:10" ht="12.75" customHeight="1" x14ac:dyDescent="0.25">
      <c r="A75" s="28" t="s">
        <v>5</v>
      </c>
      <c r="B75" s="28" t="s">
        <v>6</v>
      </c>
      <c r="C75" s="28"/>
      <c r="D75" s="28"/>
      <c r="E75" s="28" t="s">
        <v>7</v>
      </c>
      <c r="F75" s="28"/>
      <c r="G75" s="28"/>
      <c r="H75" s="28" t="s">
        <v>8</v>
      </c>
      <c r="I75" s="28"/>
      <c r="J75" s="29"/>
    </row>
    <row r="76" spans="1:10" ht="12.75" customHeight="1" x14ac:dyDescent="0.25">
      <c r="A76" s="28"/>
      <c r="B76" s="8" t="s">
        <v>9</v>
      </c>
      <c r="C76" s="8" t="s">
        <v>10</v>
      </c>
      <c r="D76" s="8" t="s">
        <v>11</v>
      </c>
      <c r="E76" s="8" t="s">
        <v>12</v>
      </c>
      <c r="F76" s="8" t="s">
        <v>10</v>
      </c>
      <c r="G76" s="8" t="s">
        <v>11</v>
      </c>
      <c r="H76" s="8" t="s">
        <v>13</v>
      </c>
      <c r="I76" s="8" t="s">
        <v>10</v>
      </c>
      <c r="J76" s="9" t="s">
        <v>11</v>
      </c>
    </row>
    <row r="77" spans="1:10" ht="12.75" customHeight="1" x14ac:dyDescent="0.25">
      <c r="A77" s="10" t="s">
        <v>14</v>
      </c>
      <c r="B77" s="11" t="s">
        <v>15</v>
      </c>
      <c r="C77" s="12">
        <v>24926680.575770002</v>
      </c>
      <c r="D77" s="13">
        <v>0.29873816475999998</v>
      </c>
      <c r="E77" s="11" t="s">
        <v>15</v>
      </c>
      <c r="F77" s="12">
        <v>13823913.09292</v>
      </c>
      <c r="G77" s="13">
        <v>0.37862590451</v>
      </c>
      <c r="H77" s="11" t="s">
        <v>15</v>
      </c>
      <c r="I77" s="12">
        <v>45717002.315180011</v>
      </c>
      <c r="J77" s="13">
        <v>0.28134443980000001</v>
      </c>
    </row>
    <row r="78" spans="1:10" ht="12.75" customHeight="1" x14ac:dyDescent="0.25">
      <c r="A78" s="14" t="s">
        <v>18</v>
      </c>
      <c r="B78" s="15" t="s">
        <v>17</v>
      </c>
      <c r="C78" s="16">
        <v>14622230.148560001</v>
      </c>
      <c r="D78" s="17">
        <v>0.17524267566000001</v>
      </c>
      <c r="E78" s="15" t="s">
        <v>19</v>
      </c>
      <c r="F78" s="16">
        <v>4548083.0999999996</v>
      </c>
      <c r="G78" s="17">
        <v>0.12456835239</v>
      </c>
      <c r="H78" s="15" t="s">
        <v>17</v>
      </c>
      <c r="I78" s="16">
        <v>29825726.712030001</v>
      </c>
      <c r="J78" s="17">
        <v>0.18354883190999999</v>
      </c>
    </row>
    <row r="79" spans="1:10" ht="12.75" customHeight="1" x14ac:dyDescent="0.25">
      <c r="A79" s="10" t="s">
        <v>16</v>
      </c>
      <c r="B79" s="11" t="s">
        <v>19</v>
      </c>
      <c r="C79" s="12">
        <v>14331628.612020001</v>
      </c>
      <c r="D79" s="13">
        <v>0.17175991068999999</v>
      </c>
      <c r="E79" s="11" t="s">
        <v>17</v>
      </c>
      <c r="F79" s="12">
        <v>7862324.99615</v>
      </c>
      <c r="G79" s="13">
        <v>0.21534278270000001</v>
      </c>
      <c r="H79" s="11" t="s">
        <v>19</v>
      </c>
      <c r="I79" s="12">
        <v>26735966.86499</v>
      </c>
      <c r="J79" s="13">
        <v>0.16453431413</v>
      </c>
    </row>
    <row r="80" spans="1:10" ht="12.75" customHeight="1" x14ac:dyDescent="0.25">
      <c r="A80" s="14" t="s">
        <v>23</v>
      </c>
      <c r="B80" s="15" t="s">
        <v>21</v>
      </c>
      <c r="C80" s="16">
        <v>6446466.1716999989</v>
      </c>
      <c r="D80" s="17">
        <v>7.7258801769999996E-2</v>
      </c>
      <c r="E80" s="15" t="s">
        <v>22</v>
      </c>
      <c r="F80" s="16">
        <v>1978300.125</v>
      </c>
      <c r="G80" s="17">
        <v>5.4184055500000002E-2</v>
      </c>
      <c r="H80" s="15" t="s">
        <v>22</v>
      </c>
      <c r="I80" s="16">
        <v>11212080.986090001</v>
      </c>
      <c r="J80" s="17">
        <v>6.8999638739999994E-2</v>
      </c>
    </row>
    <row r="81" spans="1:10" ht="12.75" customHeight="1" x14ac:dyDescent="0.25">
      <c r="A81" s="10" t="s">
        <v>20</v>
      </c>
      <c r="B81" s="11" t="s">
        <v>22</v>
      </c>
      <c r="C81" s="12">
        <v>6163681.1537199989</v>
      </c>
      <c r="D81" s="13">
        <v>7.3869715239999995E-2</v>
      </c>
      <c r="E81" s="11" t="s">
        <v>24</v>
      </c>
      <c r="F81" s="12">
        <v>1319001.0416600001</v>
      </c>
      <c r="G81" s="13">
        <v>3.6126381809999997E-2</v>
      </c>
      <c r="H81" s="11" t="s">
        <v>21</v>
      </c>
      <c r="I81" s="12">
        <v>12884029.040549999</v>
      </c>
      <c r="J81" s="13">
        <v>7.9288880490000005E-2</v>
      </c>
    </row>
    <row r="82" spans="1:10" ht="12.75" customHeight="1" x14ac:dyDescent="0.25">
      <c r="A82" s="14" t="s">
        <v>25</v>
      </c>
      <c r="B82" s="15" t="s">
        <v>24</v>
      </c>
      <c r="C82" s="16">
        <v>4369356.3899900001</v>
      </c>
      <c r="D82" s="17">
        <v>5.2365316160000001E-2</v>
      </c>
      <c r="E82" s="15" t="s">
        <v>21</v>
      </c>
      <c r="F82" s="16">
        <v>3449952.65</v>
      </c>
      <c r="G82" s="17">
        <v>9.4491439129999993E-2</v>
      </c>
      <c r="H82" s="15" t="s">
        <v>24</v>
      </c>
      <c r="I82" s="16">
        <v>10689921.855389999</v>
      </c>
      <c r="J82" s="17">
        <v>6.5786248520000007E-2</v>
      </c>
    </row>
    <row r="83" spans="1:10" ht="12.75" customHeight="1" x14ac:dyDescent="0.25">
      <c r="A83" s="10" t="s">
        <v>33</v>
      </c>
      <c r="B83" s="11" t="s">
        <v>27</v>
      </c>
      <c r="C83" s="12">
        <v>2641620.25</v>
      </c>
      <c r="D83" s="13">
        <v>3.165896009E-2</v>
      </c>
      <c r="E83" s="11" t="s">
        <v>27</v>
      </c>
      <c r="F83" s="12">
        <v>1284070.25</v>
      </c>
      <c r="G83" s="13">
        <v>3.516965541E-2</v>
      </c>
      <c r="H83" s="11" t="s">
        <v>30</v>
      </c>
      <c r="I83" s="12">
        <v>2654095.85</v>
      </c>
      <c r="J83" s="13">
        <v>1.6333422409999999E-2</v>
      </c>
    </row>
    <row r="84" spans="1:10" ht="12.75" customHeight="1" x14ac:dyDescent="0.25">
      <c r="A84" s="14" t="s">
        <v>28</v>
      </c>
      <c r="B84" s="15" t="s">
        <v>29</v>
      </c>
      <c r="C84" s="16">
        <v>1948943.9181900001</v>
      </c>
      <c r="D84" s="17">
        <v>2.3357459390000002E-2</v>
      </c>
      <c r="E84" s="15" t="s">
        <v>31</v>
      </c>
      <c r="F84" s="16">
        <v>645000</v>
      </c>
      <c r="G84" s="17">
        <v>1.7666033250000001E-2</v>
      </c>
      <c r="H84" s="15" t="s">
        <v>31</v>
      </c>
      <c r="I84" s="16">
        <v>3364650.0848500002</v>
      </c>
      <c r="J84" s="17">
        <v>2.0706204369999998E-2</v>
      </c>
    </row>
    <row r="85" spans="1:10" ht="12.75" customHeight="1" x14ac:dyDescent="0.25">
      <c r="A85" s="10" t="s">
        <v>32</v>
      </c>
      <c r="B85" s="11" t="s">
        <v>31</v>
      </c>
      <c r="C85" s="12">
        <v>1847538.63145</v>
      </c>
      <c r="D85" s="13">
        <v>2.2142149989999999E-2</v>
      </c>
      <c r="E85" s="11" t="s">
        <v>29</v>
      </c>
      <c r="F85" s="12">
        <v>795833</v>
      </c>
      <c r="G85" s="13">
        <v>2.1797228280000001E-2</v>
      </c>
      <c r="H85" s="11" t="s">
        <v>29</v>
      </c>
      <c r="I85" s="12">
        <v>4143541.4231099999</v>
      </c>
      <c r="J85" s="13">
        <v>2.5499535869999999E-2</v>
      </c>
    </row>
    <row r="86" spans="1:10" ht="12.75" customHeight="1" x14ac:dyDescent="0.25">
      <c r="A86" s="14" t="s">
        <v>26</v>
      </c>
      <c r="B86" s="15" t="s">
        <v>30</v>
      </c>
      <c r="C86" s="16">
        <v>1835608.40384</v>
      </c>
      <c r="D86" s="17">
        <v>2.1999170089999999E-2</v>
      </c>
      <c r="E86" s="15" t="s">
        <v>30</v>
      </c>
      <c r="F86" s="16">
        <v>588916.40384000004</v>
      </c>
      <c r="G86" s="17">
        <v>1.612994849E-2</v>
      </c>
      <c r="H86" s="15" t="s">
        <v>27</v>
      </c>
      <c r="I86" s="16">
        <v>5056363.0771499993</v>
      </c>
      <c r="J86" s="17">
        <v>3.1117080410000001E-2</v>
      </c>
    </row>
    <row r="87" spans="1:10" ht="12.75" customHeight="1" x14ac:dyDescent="0.25">
      <c r="A87" s="10" t="s">
        <v>39</v>
      </c>
      <c r="B87" s="11" t="s">
        <v>35</v>
      </c>
      <c r="C87" s="12">
        <v>1413200.9203900001</v>
      </c>
      <c r="D87" s="13">
        <v>1.6936753700000001E-2</v>
      </c>
      <c r="E87" s="11"/>
      <c r="F87" s="12">
        <v>0</v>
      </c>
      <c r="G87" s="13"/>
      <c r="H87" s="11" t="s">
        <v>37</v>
      </c>
      <c r="I87" s="12">
        <v>1698337.4003900001</v>
      </c>
      <c r="J87" s="13">
        <v>1.045164294E-2</v>
      </c>
    </row>
    <row r="88" spans="1:10" ht="12.75" customHeight="1" x14ac:dyDescent="0.25">
      <c r="A88" s="14" t="s">
        <v>43</v>
      </c>
      <c r="B88" s="15" t="s">
        <v>37</v>
      </c>
      <c r="C88" s="16">
        <v>748385.02800000005</v>
      </c>
      <c r="D88" s="17">
        <v>8.9691513099999995E-3</v>
      </c>
      <c r="E88" s="15" t="s">
        <v>40</v>
      </c>
      <c r="F88" s="16">
        <v>11941.341</v>
      </c>
      <c r="G88" s="17">
        <v>3.2706375999999999E-4</v>
      </c>
      <c r="H88" s="15" t="s">
        <v>40</v>
      </c>
      <c r="I88" s="16">
        <v>1098385.0279999999</v>
      </c>
      <c r="J88" s="17">
        <v>6.7595097000000002E-3</v>
      </c>
    </row>
    <row r="89" spans="1:10" ht="12.75" customHeight="1" x14ac:dyDescent="0.25">
      <c r="A89" s="10" t="s">
        <v>34</v>
      </c>
      <c r="B89" s="11" t="s">
        <v>36</v>
      </c>
      <c r="C89" s="12">
        <v>594117</v>
      </c>
      <c r="D89" s="13">
        <v>7.1202991400000004E-3</v>
      </c>
      <c r="E89" s="11"/>
      <c r="F89" s="12">
        <v>0</v>
      </c>
      <c r="G89" s="13"/>
      <c r="H89" s="11" t="s">
        <v>47</v>
      </c>
      <c r="I89" s="12">
        <v>651760</v>
      </c>
      <c r="J89" s="13">
        <v>4.0109596599999997E-3</v>
      </c>
    </row>
    <row r="90" spans="1:10" ht="12.75" customHeight="1" x14ac:dyDescent="0.25">
      <c r="A90" s="14" t="s">
        <v>46</v>
      </c>
      <c r="B90" s="15" t="s">
        <v>40</v>
      </c>
      <c r="C90" s="16">
        <v>455092.5</v>
      </c>
      <c r="D90" s="17">
        <v>5.4541356900000004E-3</v>
      </c>
      <c r="E90" s="15"/>
      <c r="F90" s="16">
        <v>0</v>
      </c>
      <c r="G90" s="17"/>
      <c r="H90" s="15" t="s">
        <v>42</v>
      </c>
      <c r="I90" s="16">
        <v>900157</v>
      </c>
      <c r="J90" s="17">
        <v>5.5396057100000002E-3</v>
      </c>
    </row>
    <row r="91" spans="1:10" ht="12.75" customHeight="1" x14ac:dyDescent="0.25">
      <c r="A91" s="10" t="s">
        <v>38</v>
      </c>
      <c r="B91" s="11" t="s">
        <v>42</v>
      </c>
      <c r="C91" s="12">
        <v>377602.2</v>
      </c>
      <c r="D91" s="13">
        <v>4.5254396300000001E-3</v>
      </c>
      <c r="E91" s="11"/>
      <c r="F91" s="12">
        <v>0</v>
      </c>
      <c r="G91" s="13"/>
      <c r="H91" s="11" t="s">
        <v>50</v>
      </c>
      <c r="I91" s="12">
        <v>379536.2</v>
      </c>
      <c r="J91" s="13">
        <v>2.3356824399999999E-3</v>
      </c>
    </row>
    <row r="92" spans="1:10" ht="12.75" customHeight="1" x14ac:dyDescent="0.25">
      <c r="A92" s="14" t="s">
        <v>51</v>
      </c>
      <c r="B92" s="15" t="s">
        <v>47</v>
      </c>
      <c r="C92" s="16">
        <v>242898.84</v>
      </c>
      <c r="D92" s="17">
        <v>2.9110636500000002E-3</v>
      </c>
      <c r="E92" s="15" t="s">
        <v>36</v>
      </c>
      <c r="F92" s="16">
        <v>23000</v>
      </c>
      <c r="G92" s="17">
        <v>6.2995157000000001E-4</v>
      </c>
      <c r="H92" s="15" t="s">
        <v>45</v>
      </c>
      <c r="I92" s="16">
        <v>406898.84</v>
      </c>
      <c r="J92" s="17">
        <v>2.5040733299999999E-3</v>
      </c>
    </row>
    <row r="93" spans="1:10" ht="12.75" customHeight="1" x14ac:dyDescent="0.25">
      <c r="A93" s="10" t="s">
        <v>57</v>
      </c>
      <c r="B93" s="11" t="s">
        <v>49</v>
      </c>
      <c r="C93" s="12">
        <v>130000</v>
      </c>
      <c r="D93" s="13">
        <v>1.55800775E-3</v>
      </c>
      <c r="E93" s="11" t="s">
        <v>35</v>
      </c>
      <c r="F93" s="12">
        <v>130000</v>
      </c>
      <c r="G93" s="13">
        <v>3.5605958499999998E-3</v>
      </c>
      <c r="H93" s="11" t="s">
        <v>49</v>
      </c>
      <c r="I93" s="12">
        <v>605000</v>
      </c>
      <c r="J93" s="13">
        <v>3.7231965700000001E-3</v>
      </c>
    </row>
    <row r="94" spans="1:10" ht="12.75" customHeight="1" x14ac:dyDescent="0.25">
      <c r="A94" s="14" t="s">
        <v>58</v>
      </c>
      <c r="B94" s="15" t="s">
        <v>45</v>
      </c>
      <c r="C94" s="16">
        <v>100000</v>
      </c>
      <c r="D94" s="17">
        <v>1.1984675000000001E-3</v>
      </c>
      <c r="E94" s="15"/>
      <c r="F94" s="16">
        <v>0</v>
      </c>
      <c r="G94" s="17"/>
      <c r="H94" s="15" t="s">
        <v>60</v>
      </c>
      <c r="I94" s="16">
        <v>182088</v>
      </c>
      <c r="J94" s="17">
        <v>1.12057755E-3</v>
      </c>
    </row>
    <row r="95" spans="1:10" ht="12.75" customHeight="1" x14ac:dyDescent="0.25">
      <c r="A95" s="10" t="s">
        <v>61</v>
      </c>
      <c r="B95" s="11" t="s">
        <v>45</v>
      </c>
      <c r="C95" s="12">
        <v>100000</v>
      </c>
      <c r="D95" s="13">
        <v>1.1984675000000001E-3</v>
      </c>
      <c r="E95" s="11"/>
      <c r="F95" s="12">
        <v>0</v>
      </c>
      <c r="G95" s="13"/>
      <c r="H95" s="11" t="s">
        <v>64</v>
      </c>
      <c r="I95" s="12">
        <v>100000</v>
      </c>
      <c r="J95" s="13">
        <v>6.1540439000000002E-4</v>
      </c>
    </row>
    <row r="96" spans="1:10" ht="12.75" customHeight="1" x14ac:dyDescent="0.25">
      <c r="A96" s="14" t="s">
        <v>41</v>
      </c>
      <c r="B96" s="15" t="s">
        <v>55</v>
      </c>
      <c r="C96" s="16">
        <v>50000</v>
      </c>
      <c r="D96" s="17">
        <v>5.9923375000000005E-4</v>
      </c>
      <c r="E96" s="15" t="s">
        <v>37</v>
      </c>
      <c r="F96" s="16">
        <v>50000</v>
      </c>
      <c r="G96" s="17">
        <v>1.3694599400000001E-3</v>
      </c>
      <c r="H96" s="15" t="s">
        <v>44</v>
      </c>
      <c r="I96" s="16">
        <v>266289.5</v>
      </c>
      <c r="J96" s="17">
        <v>1.63875728E-3</v>
      </c>
    </row>
    <row r="97" spans="1:10" ht="12.75" customHeight="1" x14ac:dyDescent="0.25">
      <c r="A97" s="10" t="s">
        <v>76</v>
      </c>
      <c r="B97" s="11" t="s">
        <v>55</v>
      </c>
      <c r="C97" s="12">
        <v>50000</v>
      </c>
      <c r="D97" s="13">
        <v>5.9923375000000005E-4</v>
      </c>
      <c r="E97" s="11"/>
      <c r="F97" s="12">
        <v>0</v>
      </c>
      <c r="G97" s="13"/>
      <c r="H97" s="11" t="s">
        <v>74</v>
      </c>
      <c r="I97" s="12">
        <v>50000</v>
      </c>
      <c r="J97" s="13">
        <v>3.0770219999999999E-4</v>
      </c>
    </row>
    <row r="98" spans="1:10" ht="12.75" customHeight="1" x14ac:dyDescent="0.25">
      <c r="A98" s="14" t="s">
        <v>78</v>
      </c>
      <c r="B98" s="15" t="s">
        <v>59</v>
      </c>
      <c r="C98" s="16">
        <v>37200</v>
      </c>
      <c r="D98" s="17">
        <v>4.4582991000000001E-4</v>
      </c>
      <c r="E98" s="15"/>
      <c r="F98" s="16">
        <v>0</v>
      </c>
      <c r="G98" s="17"/>
      <c r="H98" s="15" t="s">
        <v>36</v>
      </c>
      <c r="I98" s="16">
        <v>1325530.75</v>
      </c>
      <c r="J98" s="17">
        <v>8.1573744400000002E-3</v>
      </c>
    </row>
    <row r="99" spans="1:10" ht="12.75" customHeight="1" x14ac:dyDescent="0.25">
      <c r="A99" s="10" t="s">
        <v>88</v>
      </c>
      <c r="B99" s="11" t="s">
        <v>60</v>
      </c>
      <c r="C99" s="12">
        <v>6462.9360999999999</v>
      </c>
      <c r="D99" s="13">
        <v>7.7456189999999998E-5</v>
      </c>
      <c r="E99" s="11"/>
      <c r="F99" s="12">
        <v>0</v>
      </c>
      <c r="G99" s="13"/>
      <c r="H99" s="11" t="s">
        <v>80</v>
      </c>
      <c r="I99" s="12">
        <v>22864.35758</v>
      </c>
      <c r="J99" s="13">
        <v>1.4070826000000001E-4</v>
      </c>
    </row>
    <row r="100" spans="1:10" ht="12.75" customHeight="1" x14ac:dyDescent="0.25">
      <c r="A100" s="14" t="s">
        <v>94</v>
      </c>
      <c r="B100" s="15" t="s">
        <v>64</v>
      </c>
      <c r="C100" s="16">
        <v>407</v>
      </c>
      <c r="D100" s="17">
        <v>4.8777599999999999E-6</v>
      </c>
      <c r="E100" s="15" t="s">
        <v>42</v>
      </c>
      <c r="F100" s="16">
        <v>407</v>
      </c>
      <c r="G100" s="17">
        <v>1.1147399999999999E-5</v>
      </c>
      <c r="H100" s="15" t="s">
        <v>72</v>
      </c>
      <c r="I100" s="16">
        <v>407</v>
      </c>
      <c r="J100" s="17">
        <v>2.5046999999999999E-6</v>
      </c>
    </row>
    <row r="101" spans="1:10" ht="12.75" customHeight="1" x14ac:dyDescent="0.25">
      <c r="A101" s="10" t="s">
        <v>92</v>
      </c>
      <c r="B101" s="11" t="s">
        <v>67</v>
      </c>
      <c r="C101" s="12">
        <v>398</v>
      </c>
      <c r="D101" s="13">
        <v>4.7698999999999999E-6</v>
      </c>
      <c r="E101" s="11"/>
      <c r="F101" s="12">
        <v>0</v>
      </c>
      <c r="G101" s="13"/>
      <c r="H101" s="11" t="s">
        <v>68</v>
      </c>
      <c r="I101" s="12">
        <v>5145.5</v>
      </c>
      <c r="J101" s="13">
        <v>3.1665629999999999E-5</v>
      </c>
    </row>
    <row r="102" spans="1:10" ht="12.75" customHeight="1" x14ac:dyDescent="0.25">
      <c r="A102" s="14" t="s">
        <v>90</v>
      </c>
      <c r="B102" s="15" t="s">
        <v>70</v>
      </c>
      <c r="C102" s="16">
        <v>363.5</v>
      </c>
      <c r="D102" s="17">
        <v>4.3564299999999999E-6</v>
      </c>
      <c r="E102" s="15"/>
      <c r="F102" s="16">
        <v>0</v>
      </c>
      <c r="G102" s="17"/>
      <c r="H102" s="15" t="s">
        <v>77</v>
      </c>
      <c r="I102" s="16">
        <v>1856</v>
      </c>
      <c r="J102" s="17">
        <v>1.1421910000000001E-5</v>
      </c>
    </row>
    <row r="103" spans="1:10" ht="12.75" customHeight="1" x14ac:dyDescent="0.25">
      <c r="A103" s="10" t="s">
        <v>102</v>
      </c>
      <c r="B103" s="11" t="s">
        <v>56</v>
      </c>
      <c r="C103" s="12">
        <v>11.06485</v>
      </c>
      <c r="D103" s="13">
        <v>1.3260999999999999E-7</v>
      </c>
      <c r="E103" s="11"/>
      <c r="F103" s="12">
        <v>0</v>
      </c>
      <c r="G103" s="13"/>
      <c r="H103" s="11" t="s">
        <v>75</v>
      </c>
      <c r="I103" s="12">
        <v>11.06485</v>
      </c>
      <c r="J103" s="13">
        <v>6.8089999999999996E-8</v>
      </c>
    </row>
    <row r="104" spans="1:10" ht="12.75" customHeight="1" x14ac:dyDescent="0.25">
      <c r="A104" s="14" t="s">
        <v>81</v>
      </c>
      <c r="B104" s="15"/>
      <c r="C104" s="16">
        <v>0</v>
      </c>
      <c r="D104" s="17"/>
      <c r="E104" s="15"/>
      <c r="F104" s="16">
        <v>0</v>
      </c>
      <c r="G104" s="17"/>
      <c r="H104" s="15" t="s">
        <v>35</v>
      </c>
      <c r="I104" s="16">
        <v>1727443</v>
      </c>
      <c r="J104" s="17">
        <v>1.0630760079999999E-2</v>
      </c>
    </row>
    <row r="105" spans="1:10" ht="12.75" customHeight="1" x14ac:dyDescent="0.25">
      <c r="A105" s="10" t="s">
        <v>105</v>
      </c>
      <c r="B105" s="11"/>
      <c r="C105" s="12">
        <v>0</v>
      </c>
      <c r="D105" s="13"/>
      <c r="E105" s="11"/>
      <c r="F105" s="12">
        <v>0</v>
      </c>
      <c r="G105" s="13"/>
      <c r="H105" s="11" t="s">
        <v>55</v>
      </c>
      <c r="I105" s="12">
        <v>277500</v>
      </c>
      <c r="J105" s="13">
        <v>1.70774719E-3</v>
      </c>
    </row>
    <row r="106" spans="1:10" ht="12.75" customHeight="1" x14ac:dyDescent="0.25">
      <c r="A106" s="14" t="s">
        <v>106</v>
      </c>
      <c r="B106" s="15"/>
      <c r="C106" s="16">
        <v>0</v>
      </c>
      <c r="D106" s="17"/>
      <c r="E106" s="15"/>
      <c r="F106" s="16">
        <v>0</v>
      </c>
      <c r="G106" s="17"/>
      <c r="H106" s="15" t="s">
        <v>59</v>
      </c>
      <c r="I106" s="16">
        <v>210870.75</v>
      </c>
      <c r="J106" s="17">
        <v>1.29770786E-3</v>
      </c>
    </row>
    <row r="107" spans="1:10" ht="12.75" customHeight="1" x14ac:dyDescent="0.25">
      <c r="A107" s="10" t="s">
        <v>107</v>
      </c>
      <c r="B107" s="11"/>
      <c r="C107" s="12">
        <v>0</v>
      </c>
      <c r="D107" s="13"/>
      <c r="E107" s="11"/>
      <c r="F107" s="12">
        <v>0</v>
      </c>
      <c r="G107" s="13"/>
      <c r="H107" s="11" t="s">
        <v>67</v>
      </c>
      <c r="I107" s="12">
        <v>89114.5</v>
      </c>
      <c r="J107" s="13">
        <v>5.4841454999999997E-4</v>
      </c>
    </row>
    <row r="108" spans="1:10" ht="12.75" customHeight="1" x14ac:dyDescent="0.25">
      <c r="A108" s="14" t="s">
        <v>79</v>
      </c>
      <c r="B108" s="15"/>
      <c r="C108" s="16">
        <v>0</v>
      </c>
      <c r="D108" s="17"/>
      <c r="E108" s="15"/>
      <c r="F108" s="16">
        <v>0</v>
      </c>
      <c r="G108" s="17"/>
      <c r="H108" s="15" t="s">
        <v>70</v>
      </c>
      <c r="I108" s="16">
        <v>80000</v>
      </c>
      <c r="J108" s="17">
        <v>4.9232351000000004E-4</v>
      </c>
    </row>
    <row r="109" spans="1:10" ht="12.75" customHeight="1" x14ac:dyDescent="0.25">
      <c r="A109" s="10" t="s">
        <v>54</v>
      </c>
      <c r="B109" s="11"/>
      <c r="C109" s="12">
        <v>0</v>
      </c>
      <c r="D109" s="13"/>
      <c r="E109" s="11"/>
      <c r="F109" s="12">
        <v>0</v>
      </c>
      <c r="G109" s="13"/>
      <c r="H109" s="11" t="s">
        <v>56</v>
      </c>
      <c r="I109" s="12">
        <v>60000</v>
      </c>
      <c r="J109" s="13">
        <v>3.6924263000000002E-4</v>
      </c>
    </row>
    <row r="110" spans="1:10" ht="12.75" customHeight="1" x14ac:dyDescent="0.25">
      <c r="A110" s="14" t="s">
        <v>104</v>
      </c>
      <c r="B110" s="15"/>
      <c r="C110" s="16">
        <v>0</v>
      </c>
      <c r="D110" s="17"/>
      <c r="E110" s="15"/>
      <c r="F110" s="16">
        <v>0</v>
      </c>
      <c r="G110" s="17"/>
      <c r="H110" s="15" t="s">
        <v>53</v>
      </c>
      <c r="I110" s="16">
        <v>25000</v>
      </c>
      <c r="J110" s="17">
        <v>1.5385109999999999E-4</v>
      </c>
    </row>
    <row r="111" spans="1:10" ht="12.75" customHeight="1" x14ac:dyDescent="0.25">
      <c r="A111" s="10" t="s">
        <v>109</v>
      </c>
      <c r="B111" s="11"/>
      <c r="C111" s="12">
        <v>0</v>
      </c>
      <c r="D111" s="13"/>
      <c r="E111" s="11"/>
      <c r="F111" s="12">
        <v>0</v>
      </c>
      <c r="G111" s="13"/>
      <c r="H111" s="11" t="s">
        <v>53</v>
      </c>
      <c r="I111" s="12">
        <v>25000</v>
      </c>
      <c r="J111" s="13">
        <v>1.5385109999999999E-4</v>
      </c>
    </row>
    <row r="112" spans="1:10" ht="12.75" customHeight="1" x14ac:dyDescent="0.25">
      <c r="A112" s="14" t="s">
        <v>86</v>
      </c>
      <c r="B112" s="15"/>
      <c r="C112" s="16">
        <v>0</v>
      </c>
      <c r="D112" s="17"/>
      <c r="E112" s="15"/>
      <c r="F112" s="16">
        <v>0</v>
      </c>
      <c r="G112" s="17"/>
      <c r="H112" s="15" t="s">
        <v>65</v>
      </c>
      <c r="I112" s="16">
        <v>16205</v>
      </c>
      <c r="J112" s="17">
        <v>9.9726280000000006E-5</v>
      </c>
    </row>
    <row r="113" spans="1:10" ht="12.75" customHeight="1" x14ac:dyDescent="0.25">
      <c r="A113" s="10" t="s">
        <v>85</v>
      </c>
      <c r="B113" s="11"/>
      <c r="C113" s="12">
        <v>0</v>
      </c>
      <c r="D113" s="13"/>
      <c r="E113" s="11"/>
      <c r="F113" s="12">
        <v>0</v>
      </c>
      <c r="G113" s="13"/>
      <c r="H113" s="11" t="s">
        <v>83</v>
      </c>
      <c r="I113" s="12">
        <v>6000</v>
      </c>
      <c r="J113" s="13">
        <v>3.6924259999999999E-5</v>
      </c>
    </row>
    <row r="114" spans="1:10" ht="12.75" customHeight="1" x14ac:dyDescent="0.25">
      <c r="A114" s="18" t="s">
        <v>116</v>
      </c>
      <c r="B114" s="19"/>
      <c r="C114" s="20">
        <f>SUM(C77:C113)</f>
        <v>83439893.244580016</v>
      </c>
      <c r="D114" s="21">
        <f>ROUND(SUM(D77:D113), 1)</f>
        <v>1</v>
      </c>
      <c r="E114" s="19"/>
      <c r="F114" s="20">
        <f>SUM(F77:F113)</f>
        <v>36510743.000569999</v>
      </c>
      <c r="G114" s="21">
        <f>ROUND(SUM(G77:G113), 1)</f>
        <v>1</v>
      </c>
      <c r="H114" s="19"/>
      <c r="I114" s="20">
        <f>SUM(I77:I113)</f>
        <v>162494778.10016</v>
      </c>
      <c r="J114" s="21">
        <f>ROUND(SUM(J77:J113), 1)</f>
        <v>1</v>
      </c>
    </row>
    <row r="116" spans="1:10" ht="12.75" customHeight="1" x14ac:dyDescent="0.3">
      <c r="C116" s="30"/>
      <c r="I116" s="30"/>
    </row>
    <row r="117" spans="1:10" ht="12.75" customHeight="1" x14ac:dyDescent="0.3">
      <c r="A117" s="26" t="s">
        <v>119</v>
      </c>
      <c r="B117" s="24"/>
      <c r="C117" s="24"/>
      <c r="D117" s="24"/>
      <c r="E117" s="24"/>
      <c r="F117" s="24"/>
      <c r="G117" s="24"/>
      <c r="H117" s="24"/>
      <c r="I117" s="24"/>
      <c r="J117" s="27"/>
    </row>
    <row r="118" spans="1:10" ht="12.75" customHeight="1" x14ac:dyDescent="0.25">
      <c r="A118" s="28" t="s">
        <v>5</v>
      </c>
      <c r="B118" s="28" t="s">
        <v>6</v>
      </c>
      <c r="C118" s="28"/>
      <c r="D118" s="28"/>
      <c r="E118" s="28" t="s">
        <v>7</v>
      </c>
      <c r="F118" s="28"/>
      <c r="G118" s="28"/>
      <c r="H118" s="28" t="s">
        <v>8</v>
      </c>
      <c r="I118" s="28"/>
      <c r="J118" s="29"/>
    </row>
    <row r="119" spans="1:10" ht="12.75" customHeight="1" x14ac:dyDescent="0.25">
      <c r="A119" s="28"/>
      <c r="B119" s="8" t="s">
        <v>9</v>
      </c>
      <c r="C119" s="8" t="s">
        <v>10</v>
      </c>
      <c r="D119" s="8" t="s">
        <v>11</v>
      </c>
      <c r="E119" s="8" t="s">
        <v>12</v>
      </c>
      <c r="F119" s="8" t="s">
        <v>10</v>
      </c>
      <c r="G119" s="8" t="s">
        <v>11</v>
      </c>
      <c r="H119" s="8" t="s">
        <v>13</v>
      </c>
      <c r="I119" s="8" t="s">
        <v>10</v>
      </c>
      <c r="J119" s="9" t="s">
        <v>11</v>
      </c>
    </row>
    <row r="120" spans="1:10" ht="12.75" customHeight="1" x14ac:dyDescent="0.25">
      <c r="A120" s="10" t="s">
        <v>14</v>
      </c>
      <c r="B120" s="11" t="s">
        <v>15</v>
      </c>
      <c r="C120" s="12">
        <v>11716740.61864</v>
      </c>
      <c r="D120" s="13">
        <v>0.31003719417073389</v>
      </c>
      <c r="E120" s="11" t="s">
        <v>15</v>
      </c>
      <c r="F120" s="12">
        <v>3525550.5718999999</v>
      </c>
      <c r="G120" s="13">
        <v>0.30769597799175147</v>
      </c>
      <c r="H120" s="11" t="s">
        <v>15</v>
      </c>
      <c r="I120" s="12">
        <v>17418559.292410001</v>
      </c>
      <c r="J120" s="13">
        <v>0.24573188940007065</v>
      </c>
    </row>
    <row r="121" spans="1:10" ht="12.75" customHeight="1" x14ac:dyDescent="0.25">
      <c r="A121" s="14" t="s">
        <v>16</v>
      </c>
      <c r="B121" s="15" t="s">
        <v>17</v>
      </c>
      <c r="C121" s="16">
        <v>5024977.8432700001</v>
      </c>
      <c r="D121" s="17">
        <v>0.13296616200746539</v>
      </c>
      <c r="E121" s="15" t="s">
        <v>37</v>
      </c>
      <c r="F121" s="16">
        <v>186732.46510999999</v>
      </c>
      <c r="G121" s="17">
        <v>1.62972640167993E-2</v>
      </c>
      <c r="H121" s="15" t="s">
        <v>17</v>
      </c>
      <c r="I121" s="16">
        <v>8526741.256459998</v>
      </c>
      <c r="J121" s="17">
        <v>0.12029078893387324</v>
      </c>
    </row>
    <row r="122" spans="1:10" ht="12.75" customHeight="1" x14ac:dyDescent="0.25">
      <c r="A122" s="10" t="s">
        <v>18</v>
      </c>
      <c r="B122" s="11" t="s">
        <v>19</v>
      </c>
      <c r="C122" s="12">
        <v>3461796.3505000002</v>
      </c>
      <c r="D122" s="13">
        <v>9.1602747063635706E-2</v>
      </c>
      <c r="E122" s="11" t="s">
        <v>35</v>
      </c>
      <c r="F122" s="12">
        <v>267711.52669999999</v>
      </c>
      <c r="G122" s="13">
        <v>2.3364793199726612E-2</v>
      </c>
      <c r="H122" s="11" t="s">
        <v>19</v>
      </c>
      <c r="I122" s="12">
        <v>7688594.0109899994</v>
      </c>
      <c r="J122" s="13">
        <v>0.10846664763910192</v>
      </c>
    </row>
    <row r="123" spans="1:10" ht="12.75" customHeight="1" x14ac:dyDescent="0.25">
      <c r="A123" s="14" t="s">
        <v>25</v>
      </c>
      <c r="B123" s="15" t="s">
        <v>21</v>
      </c>
      <c r="C123" s="16">
        <v>2956915.3367099999</v>
      </c>
      <c r="D123" s="17">
        <v>7.8243068122164319E-2</v>
      </c>
      <c r="E123" s="15" t="s">
        <v>36</v>
      </c>
      <c r="F123" s="16">
        <v>158622</v>
      </c>
      <c r="G123" s="17">
        <v>1.3843894854330286E-2</v>
      </c>
      <c r="H123" s="15" t="s">
        <v>27</v>
      </c>
      <c r="I123" s="16">
        <v>4459672.6450399999</v>
      </c>
      <c r="J123" s="17">
        <v>6.2914720257548074E-2</v>
      </c>
    </row>
    <row r="124" spans="1:10" ht="12.75" customHeight="1" x14ac:dyDescent="0.25">
      <c r="A124" s="10" t="s">
        <v>20</v>
      </c>
      <c r="B124" s="11" t="s">
        <v>22</v>
      </c>
      <c r="C124" s="12">
        <v>2708452.8938899999</v>
      </c>
      <c r="D124" s="13">
        <v>7.1668492381691831E-2</v>
      </c>
      <c r="E124" s="11" t="s">
        <v>17</v>
      </c>
      <c r="F124" s="12">
        <v>2252204.875</v>
      </c>
      <c r="G124" s="13">
        <v>0.19656344945789414</v>
      </c>
      <c r="H124" s="11" t="s">
        <v>22</v>
      </c>
      <c r="I124" s="12">
        <v>4763868.6909599993</v>
      </c>
      <c r="J124" s="13">
        <v>6.7206158364287713E-2</v>
      </c>
    </row>
    <row r="125" spans="1:10" ht="12.75" customHeight="1" x14ac:dyDescent="0.25">
      <c r="A125" s="14" t="s">
        <v>26</v>
      </c>
      <c r="B125" s="15" t="s">
        <v>24</v>
      </c>
      <c r="C125" s="16">
        <v>2557210.6881599999</v>
      </c>
      <c r="D125" s="17">
        <v>6.7666465655067495E-2</v>
      </c>
      <c r="E125" s="15" t="s">
        <v>19</v>
      </c>
      <c r="F125" s="16">
        <v>2060000</v>
      </c>
      <c r="G125" s="17">
        <v>0.17978857535474516</v>
      </c>
      <c r="H125" s="15" t="s">
        <v>24</v>
      </c>
      <c r="I125" s="16">
        <v>4845535.6881599994</v>
      </c>
      <c r="J125" s="17">
        <v>6.8358273483953833E-2</v>
      </c>
    </row>
    <row r="126" spans="1:10" ht="12.75" customHeight="1" x14ac:dyDescent="0.25">
      <c r="A126" s="10" t="s">
        <v>23</v>
      </c>
      <c r="B126" s="11" t="s">
        <v>27</v>
      </c>
      <c r="C126" s="12">
        <v>2190746.3868299988</v>
      </c>
      <c r="D126" s="13">
        <v>5.7969437492872013E-2</v>
      </c>
      <c r="E126" s="11" t="s">
        <v>21</v>
      </c>
      <c r="F126" s="12">
        <v>540337.05735000002</v>
      </c>
      <c r="G126" s="13">
        <v>4.7158461044821229E-2</v>
      </c>
      <c r="H126" s="11" t="s">
        <v>21</v>
      </c>
      <c r="I126" s="12">
        <v>7547183.8926199935</v>
      </c>
      <c r="J126" s="13">
        <v>0.10647170793232086</v>
      </c>
    </row>
    <row r="127" spans="1:10" ht="12.75" customHeight="1" x14ac:dyDescent="0.25">
      <c r="A127" s="14" t="s">
        <v>32</v>
      </c>
      <c r="B127" s="15" t="s">
        <v>29</v>
      </c>
      <c r="C127" s="16">
        <v>1301211.7208799999</v>
      </c>
      <c r="D127" s="17">
        <v>3.4431421168606022E-2</v>
      </c>
      <c r="E127" s="15" t="s">
        <v>24</v>
      </c>
      <c r="F127" s="16">
        <v>404850.98385000002</v>
      </c>
      <c r="G127" s="17">
        <v>3.5333777484154588E-2</v>
      </c>
      <c r="H127" s="15" t="s">
        <v>29</v>
      </c>
      <c r="I127" s="16">
        <v>4323059.2123899991</v>
      </c>
      <c r="J127" s="17">
        <v>6.0987449674547452E-2</v>
      </c>
    </row>
    <row r="128" spans="1:10" ht="12.75" customHeight="1" x14ac:dyDescent="0.25">
      <c r="A128" s="10" t="s">
        <v>34</v>
      </c>
      <c r="B128" s="11" t="s">
        <v>31</v>
      </c>
      <c r="C128" s="12">
        <v>1299448.8629600001</v>
      </c>
      <c r="D128" s="13">
        <v>3.4384774106848169E-2</v>
      </c>
      <c r="E128" s="11" t="s">
        <v>31</v>
      </c>
      <c r="F128" s="12">
        <v>282007.12018999999</v>
      </c>
      <c r="G128" s="13">
        <v>2.4612455523715771E-2</v>
      </c>
      <c r="H128" s="11" t="s">
        <v>30</v>
      </c>
      <c r="I128" s="12">
        <v>1962440.6328100001</v>
      </c>
      <c r="J128" s="13">
        <v>2.7685082126510965E-2</v>
      </c>
    </row>
    <row r="129" spans="1:12" ht="12.75" customHeight="1" x14ac:dyDescent="0.25">
      <c r="A129" s="14" t="s">
        <v>28</v>
      </c>
      <c r="B129" s="15" t="s">
        <v>30</v>
      </c>
      <c r="C129" s="16">
        <v>1324081.47994</v>
      </c>
      <c r="D129" s="17">
        <v>3.5036578879364164E-2</v>
      </c>
      <c r="E129" s="15" t="s">
        <v>29</v>
      </c>
      <c r="F129" s="16">
        <v>325956.47993999999</v>
      </c>
      <c r="G129" s="17">
        <v>2.8448180172844742E-2</v>
      </c>
      <c r="H129" s="15" t="s">
        <v>35</v>
      </c>
      <c r="I129" s="16">
        <v>1509656.1755900001</v>
      </c>
      <c r="J129" s="17">
        <v>2.1297436725083406E-2</v>
      </c>
      <c r="K129" s="36"/>
      <c r="L129" s="36"/>
    </row>
    <row r="130" spans="1:12" ht="12.75" customHeight="1" x14ac:dyDescent="0.25">
      <c r="A130" s="10" t="s">
        <v>38</v>
      </c>
      <c r="B130" s="11" t="s">
        <v>35</v>
      </c>
      <c r="C130" s="12">
        <v>1044453.91927</v>
      </c>
      <c r="D130" s="13">
        <v>2.7637341570567582E-2</v>
      </c>
      <c r="E130" s="11" t="s">
        <v>27</v>
      </c>
      <c r="F130" s="12">
        <v>391289.48177000001</v>
      </c>
      <c r="G130" s="13">
        <v>3.4150183727536323E-2</v>
      </c>
      <c r="H130" s="11" t="s">
        <v>31</v>
      </c>
      <c r="I130" s="12">
        <v>2521411.145109999</v>
      </c>
      <c r="J130" s="13">
        <v>3.557074464317251E-2</v>
      </c>
    </row>
    <row r="131" spans="1:12" ht="12.75" customHeight="1" x14ac:dyDescent="0.25">
      <c r="A131" s="14" t="s">
        <v>41</v>
      </c>
      <c r="B131" s="15" t="s">
        <v>37</v>
      </c>
      <c r="C131" s="16">
        <v>750251.07198000001</v>
      </c>
      <c r="D131" s="17">
        <v>1.9852426954832067E-2</v>
      </c>
      <c r="E131" s="15" t="s">
        <v>22</v>
      </c>
      <c r="F131" s="16">
        <v>522446</v>
      </c>
      <c r="G131" s="17">
        <v>4.5597000990186987E-2</v>
      </c>
      <c r="H131" s="15" t="s">
        <v>37</v>
      </c>
      <c r="I131" s="16">
        <v>1347223.5192799999</v>
      </c>
      <c r="J131" s="17">
        <v>1.9005922090304096E-2</v>
      </c>
    </row>
    <row r="132" spans="1:12" ht="12.75" customHeight="1" x14ac:dyDescent="0.25">
      <c r="A132" s="10" t="s">
        <v>48</v>
      </c>
      <c r="B132" s="11" t="s">
        <v>36</v>
      </c>
      <c r="C132" s="12">
        <v>332630</v>
      </c>
      <c r="D132" s="13">
        <v>8.8017372111956482E-3</v>
      </c>
      <c r="E132" s="11" t="s">
        <v>30</v>
      </c>
      <c r="F132" s="12">
        <v>273630</v>
      </c>
      <c r="G132" s="13">
        <v>2.3881333919572291E-2</v>
      </c>
      <c r="H132" s="11" t="s">
        <v>36</v>
      </c>
      <c r="I132" s="12">
        <v>643011</v>
      </c>
      <c r="J132" s="13">
        <v>9.0712615941709769E-3</v>
      </c>
    </row>
    <row r="133" spans="1:12" ht="12.75" customHeight="1" x14ac:dyDescent="0.25">
      <c r="A133" s="14" t="s">
        <v>52</v>
      </c>
      <c r="B133" s="15" t="s">
        <v>40</v>
      </c>
      <c r="C133" s="16">
        <v>204234</v>
      </c>
      <c r="D133" s="17">
        <v>5.4042449496176899E-3</v>
      </c>
      <c r="E133" s="15"/>
      <c r="F133" s="16">
        <v>0</v>
      </c>
      <c r="G133" s="17"/>
      <c r="H133" s="15" t="s">
        <v>50</v>
      </c>
      <c r="I133" s="16">
        <v>204234</v>
      </c>
      <c r="J133" s="17">
        <v>2.8812260450037639E-3</v>
      </c>
    </row>
    <row r="134" spans="1:12" ht="12.75" customHeight="1" x14ac:dyDescent="0.25">
      <c r="A134" s="10" t="s">
        <v>54</v>
      </c>
      <c r="B134" s="11" t="s">
        <v>42</v>
      </c>
      <c r="C134" s="12">
        <v>175298.47700000001</v>
      </c>
      <c r="D134" s="13">
        <v>4.638580789696734E-3</v>
      </c>
      <c r="E134" s="11"/>
      <c r="F134" s="12">
        <v>0</v>
      </c>
      <c r="G134" s="13"/>
      <c r="H134" s="11" t="s">
        <v>44</v>
      </c>
      <c r="I134" s="12">
        <v>175298.47700000001</v>
      </c>
      <c r="J134" s="13">
        <v>2.4730188782567707E-3</v>
      </c>
    </row>
    <row r="135" spans="1:12" ht="12.75" customHeight="1" x14ac:dyDescent="0.25">
      <c r="A135" s="14" t="s">
        <v>46</v>
      </c>
      <c r="B135" s="15" t="s">
        <v>47</v>
      </c>
      <c r="C135" s="16">
        <v>119514.36457000001</v>
      </c>
      <c r="D135" s="17">
        <v>3.1624749117883889E-3</v>
      </c>
      <c r="E135" s="15" t="s">
        <v>47</v>
      </c>
      <c r="F135" s="16">
        <v>36861.895839999997</v>
      </c>
      <c r="G135" s="17">
        <v>3.2171590960915568E-3</v>
      </c>
      <c r="H135" s="15" t="s">
        <v>42</v>
      </c>
      <c r="I135" s="16">
        <v>485556.66261000012</v>
      </c>
      <c r="J135" s="17">
        <v>6.8499784689965322E-3</v>
      </c>
    </row>
    <row r="136" spans="1:12" ht="12.75" customHeight="1" x14ac:dyDescent="0.25">
      <c r="A136" s="10" t="s">
        <v>63</v>
      </c>
      <c r="B136" s="11" t="s">
        <v>49</v>
      </c>
      <c r="C136" s="12">
        <v>89500</v>
      </c>
      <c r="D136" s="13">
        <v>2.3682634771428029E-3</v>
      </c>
      <c r="E136" s="11" t="s">
        <v>40</v>
      </c>
      <c r="F136" s="12">
        <v>89500</v>
      </c>
      <c r="G136" s="13">
        <v>7.8112026671115012E-3</v>
      </c>
      <c r="H136" s="11" t="s">
        <v>67</v>
      </c>
      <c r="I136" s="12">
        <v>89500</v>
      </c>
      <c r="J136" s="13">
        <v>1.2626190106830248E-3</v>
      </c>
    </row>
    <row r="137" spans="1:12" ht="12.75" customHeight="1" x14ac:dyDescent="0.25">
      <c r="A137" s="14" t="s">
        <v>66</v>
      </c>
      <c r="B137" s="15" t="s">
        <v>45</v>
      </c>
      <c r="C137" s="16">
        <v>84735.507400000002</v>
      </c>
      <c r="D137" s="17">
        <v>2.242190026732779E-3</v>
      </c>
      <c r="E137" s="15" t="s">
        <v>50</v>
      </c>
      <c r="F137" s="16">
        <v>19735.507399999999</v>
      </c>
      <c r="G137" s="17">
        <v>1.7224362909461313E-3</v>
      </c>
      <c r="H137" s="15" t="s">
        <v>70</v>
      </c>
      <c r="I137" s="16">
        <v>84735.507400000002</v>
      </c>
      <c r="J137" s="17">
        <v>1.1954040505375656E-3</v>
      </c>
    </row>
    <row r="138" spans="1:12" ht="12.75" customHeight="1" x14ac:dyDescent="0.25">
      <c r="A138" s="10" t="s">
        <v>69</v>
      </c>
      <c r="B138" s="11" t="s">
        <v>50</v>
      </c>
      <c r="C138" s="12">
        <v>74698</v>
      </c>
      <c r="D138" s="13">
        <v>1.9765870973811519E-3</v>
      </c>
      <c r="E138" s="11"/>
      <c r="F138" s="12">
        <v>0</v>
      </c>
      <c r="G138" s="13"/>
      <c r="H138" s="11" t="s">
        <v>47</v>
      </c>
      <c r="I138" s="12">
        <v>363775</v>
      </c>
      <c r="J138" s="13">
        <v>5.1319467107398585E-3</v>
      </c>
    </row>
    <row r="139" spans="1:12" ht="12.75" customHeight="1" x14ac:dyDescent="0.25">
      <c r="A139" s="14" t="s">
        <v>51</v>
      </c>
      <c r="B139" s="15" t="s">
        <v>55</v>
      </c>
      <c r="C139" s="16">
        <v>62366.666660000003</v>
      </c>
      <c r="D139" s="17">
        <v>1.6502871378996395E-3</v>
      </c>
      <c r="E139" s="15" t="s">
        <v>42</v>
      </c>
      <c r="F139" s="16">
        <v>62366.666660000003</v>
      </c>
      <c r="G139" s="17">
        <v>5.4431136642843127E-3</v>
      </c>
      <c r="H139" s="15" t="s">
        <v>74</v>
      </c>
      <c r="I139" s="16">
        <v>63323.666660000003</v>
      </c>
      <c r="J139" s="17">
        <v>8.9333704302872448E-4</v>
      </c>
    </row>
    <row r="140" spans="1:12" ht="12.75" customHeight="1" x14ac:dyDescent="0.25">
      <c r="A140" s="10" t="s">
        <v>33</v>
      </c>
      <c r="B140" s="11" t="s">
        <v>44</v>
      </c>
      <c r="C140" s="12">
        <v>62175</v>
      </c>
      <c r="D140" s="13">
        <v>1.645215437892221E-3</v>
      </c>
      <c r="E140" s="11" t="s">
        <v>49</v>
      </c>
      <c r="F140" s="12">
        <v>27000</v>
      </c>
      <c r="G140" s="13">
        <v>2.3564522012515144E-3</v>
      </c>
      <c r="H140" s="11" t="s">
        <v>45</v>
      </c>
      <c r="I140" s="12">
        <v>228804</v>
      </c>
      <c r="J140" s="13">
        <v>3.227846705254959E-3</v>
      </c>
    </row>
    <row r="141" spans="1:12" ht="12.75" customHeight="1" x14ac:dyDescent="0.25">
      <c r="A141" s="14" t="s">
        <v>71</v>
      </c>
      <c r="B141" s="15" t="s">
        <v>59</v>
      </c>
      <c r="C141" s="16">
        <v>59847.092499999999</v>
      </c>
      <c r="D141" s="17">
        <v>1.583616574088681E-3</v>
      </c>
      <c r="E141" s="15"/>
      <c r="F141" s="16">
        <v>0</v>
      </c>
      <c r="G141" s="17"/>
      <c r="H141" s="15" t="s">
        <v>53</v>
      </c>
      <c r="I141" s="16">
        <v>60047.092499999999</v>
      </c>
      <c r="J141" s="17">
        <v>8.4711285504739749E-4</v>
      </c>
    </row>
    <row r="142" spans="1:12" ht="12.75" customHeight="1" x14ac:dyDescent="0.25">
      <c r="A142" s="10" t="s">
        <v>73</v>
      </c>
      <c r="B142" s="11" t="s">
        <v>60</v>
      </c>
      <c r="C142" s="12">
        <v>58087</v>
      </c>
      <c r="D142" s="13">
        <v>1.537042688232335E-3</v>
      </c>
      <c r="E142" s="11"/>
      <c r="F142" s="12">
        <v>0</v>
      </c>
      <c r="G142" s="13"/>
      <c r="H142" s="11" t="s">
        <v>62</v>
      </c>
      <c r="I142" s="12">
        <v>58087</v>
      </c>
      <c r="J142" s="13">
        <v>8.1946089914575269E-4</v>
      </c>
    </row>
    <row r="143" spans="1:12" ht="12.75" customHeight="1" x14ac:dyDescent="0.25">
      <c r="A143" s="14" t="s">
        <v>79</v>
      </c>
      <c r="B143" s="15" t="s">
        <v>64</v>
      </c>
      <c r="C143" s="16">
        <v>29827.00001</v>
      </c>
      <c r="D143" s="17">
        <v>7.8925357269744151E-4</v>
      </c>
      <c r="E143" s="15"/>
      <c r="F143" s="16">
        <v>0</v>
      </c>
      <c r="G143" s="17"/>
      <c r="H143" s="15" t="s">
        <v>55</v>
      </c>
      <c r="I143" s="16">
        <v>194950.59437000001</v>
      </c>
      <c r="J143" s="17">
        <v>2.7502606323521459E-3</v>
      </c>
    </row>
    <row r="144" spans="1:12" ht="12.75" customHeight="1" x14ac:dyDescent="0.25">
      <c r="A144" s="10" t="s">
        <v>43</v>
      </c>
      <c r="B144" s="11" t="s">
        <v>67</v>
      </c>
      <c r="C144" s="12">
        <v>21000</v>
      </c>
      <c r="D144" s="13">
        <v>5.5568193318434483E-4</v>
      </c>
      <c r="E144" s="11"/>
      <c r="F144" s="12">
        <v>0</v>
      </c>
      <c r="G144" s="13"/>
      <c r="H144" s="11" t="s">
        <v>56</v>
      </c>
      <c r="I144" s="12">
        <v>77961.373999999996</v>
      </c>
      <c r="J144" s="13">
        <v>1.0998381330879249E-3</v>
      </c>
    </row>
    <row r="145" spans="1:10" ht="12.75" customHeight="1" x14ac:dyDescent="0.25">
      <c r="A145" s="14" t="s">
        <v>81</v>
      </c>
      <c r="B145" s="15" t="s">
        <v>70</v>
      </c>
      <c r="C145" s="16">
        <v>20787</v>
      </c>
      <c r="D145" s="17">
        <v>5.5004573071918935E-4</v>
      </c>
      <c r="E145" s="15"/>
      <c r="F145" s="16">
        <v>0</v>
      </c>
      <c r="G145" s="17"/>
      <c r="H145" s="15" t="s">
        <v>40</v>
      </c>
      <c r="I145" s="16">
        <v>496513</v>
      </c>
      <c r="J145" s="17">
        <v>7.004544724595092E-3</v>
      </c>
    </row>
    <row r="146" spans="1:10" ht="12.75" customHeight="1" x14ac:dyDescent="0.25">
      <c r="A146" s="10" t="s">
        <v>82</v>
      </c>
      <c r="B146" s="11" t="s">
        <v>56</v>
      </c>
      <c r="C146" s="12">
        <v>20000</v>
      </c>
      <c r="D146" s="13">
        <v>5.2922088874699511E-4</v>
      </c>
      <c r="E146" s="11" t="s">
        <v>45</v>
      </c>
      <c r="F146" s="12">
        <v>20000</v>
      </c>
      <c r="G146" s="13">
        <v>1.7455201490751957E-3</v>
      </c>
      <c r="H146" s="11" t="s">
        <v>83</v>
      </c>
      <c r="I146" s="12">
        <v>20000</v>
      </c>
      <c r="J146" s="13">
        <v>2.8214949959397203E-4</v>
      </c>
    </row>
    <row r="147" spans="1:10" ht="12.75" customHeight="1" x14ac:dyDescent="0.25">
      <c r="A147" s="14" t="s">
        <v>85</v>
      </c>
      <c r="B147" s="15" t="s">
        <v>74</v>
      </c>
      <c r="C147" s="16">
        <v>17354.38895</v>
      </c>
      <c r="D147" s="17">
        <v>4.5921525718900155E-4</v>
      </c>
      <c r="E147" s="15"/>
      <c r="F147" s="16">
        <v>0</v>
      </c>
      <c r="G147" s="17"/>
      <c r="H147" s="15" t="s">
        <v>60</v>
      </c>
      <c r="I147" s="16">
        <v>115924.38893</v>
      </c>
      <c r="J147" s="17">
        <v>1.6354004163668244E-3</v>
      </c>
    </row>
    <row r="148" spans="1:10" ht="12.75" customHeight="1" x14ac:dyDescent="0.25">
      <c r="A148" s="10" t="s">
        <v>86</v>
      </c>
      <c r="B148" s="11" t="s">
        <v>53</v>
      </c>
      <c r="C148" s="12">
        <v>13995.551649999999</v>
      </c>
      <c r="D148" s="13">
        <v>3.7033691413587363E-4</v>
      </c>
      <c r="E148" s="11" t="s">
        <v>55</v>
      </c>
      <c r="F148" s="12">
        <v>7653.0516799999996</v>
      </c>
      <c r="G148" s="13">
        <v>6.6792779546768881E-4</v>
      </c>
      <c r="H148" s="11" t="s">
        <v>80</v>
      </c>
      <c r="I148" s="12">
        <v>41653.202839999998</v>
      </c>
      <c r="J148" s="13">
        <v>5.8762151688961073E-4</v>
      </c>
    </row>
    <row r="149" spans="1:10" ht="12.75" customHeight="1" x14ac:dyDescent="0.25">
      <c r="A149" s="14" t="s">
        <v>90</v>
      </c>
      <c r="B149" s="15" t="s">
        <v>62</v>
      </c>
      <c r="C149" s="16">
        <v>4143</v>
      </c>
      <c r="D149" s="17">
        <v>1.0962810710394003E-4</v>
      </c>
      <c r="E149" s="15" t="s">
        <v>44</v>
      </c>
      <c r="F149" s="16">
        <v>2405.5</v>
      </c>
      <c r="G149" s="17">
        <v>2.0994243593001918E-4</v>
      </c>
      <c r="H149" s="15" t="s">
        <v>77</v>
      </c>
      <c r="I149" s="16">
        <v>10197</v>
      </c>
      <c r="J149" s="17">
        <v>1.4385392236798664E-4</v>
      </c>
    </row>
    <row r="150" spans="1:10" ht="12.75" customHeight="1" x14ac:dyDescent="0.25">
      <c r="A150" s="10" t="s">
        <v>92</v>
      </c>
      <c r="B150" s="11" t="s">
        <v>80</v>
      </c>
      <c r="C150" s="12">
        <v>3071.5</v>
      </c>
      <c r="D150" s="13">
        <v>8.1275097989319767E-5</v>
      </c>
      <c r="E150" s="11"/>
      <c r="F150" s="12">
        <v>0</v>
      </c>
      <c r="G150" s="13"/>
      <c r="H150" s="11" t="s">
        <v>72</v>
      </c>
      <c r="I150" s="12">
        <v>5589.5</v>
      </c>
      <c r="J150" s="13">
        <v>7.8853731399025327E-5</v>
      </c>
    </row>
    <row r="151" spans="1:10" ht="12.75" customHeight="1" x14ac:dyDescent="0.25">
      <c r="A151" s="14" t="s">
        <v>94</v>
      </c>
      <c r="B151" s="15" t="s">
        <v>65</v>
      </c>
      <c r="C151" s="16">
        <v>1078</v>
      </c>
      <c r="D151" s="17">
        <v>2.8525005903463034E-5</v>
      </c>
      <c r="E151" s="15" t="s">
        <v>59</v>
      </c>
      <c r="F151" s="16">
        <v>1021.5</v>
      </c>
      <c r="G151" s="17">
        <v>8.9152441614015623E-5</v>
      </c>
      <c r="H151" s="15" t="s">
        <v>95</v>
      </c>
      <c r="I151" s="16">
        <v>1597.4990700000001</v>
      </c>
      <c r="J151" s="17">
        <v>2.2536678160116786E-5</v>
      </c>
    </row>
    <row r="152" spans="1:10" ht="12.75" customHeight="1" x14ac:dyDescent="0.25">
      <c r="A152" s="10" t="s">
        <v>97</v>
      </c>
      <c r="B152" s="11" t="s">
        <v>83</v>
      </c>
      <c r="C152" s="12">
        <v>703.49996999999996</v>
      </c>
      <c r="D152" s="13">
        <v>1.8615343967844218E-5</v>
      </c>
      <c r="E152" s="11"/>
      <c r="F152" s="12">
        <v>0</v>
      </c>
      <c r="G152" s="13"/>
      <c r="H152" s="11" t="s">
        <v>89</v>
      </c>
      <c r="I152" s="12">
        <v>703.99996999999996</v>
      </c>
      <c r="J152" s="13">
        <v>9.9316619624835652E-6</v>
      </c>
    </row>
    <row r="153" spans="1:10" ht="12.75" customHeight="1" x14ac:dyDescent="0.25">
      <c r="A153" s="14" t="s">
        <v>100</v>
      </c>
      <c r="B153" s="15" t="s">
        <v>68</v>
      </c>
      <c r="C153" s="16">
        <v>69.999989999999997</v>
      </c>
      <c r="D153" s="17">
        <v>1.8522728460040382E-6</v>
      </c>
      <c r="E153" s="15" t="s">
        <v>60</v>
      </c>
      <c r="F153" s="16">
        <v>20</v>
      </c>
      <c r="G153" s="17">
        <v>1.7455201490751958E-6</v>
      </c>
      <c r="H153" s="15" t="s">
        <v>87</v>
      </c>
      <c r="I153" s="16">
        <v>2138.4999600000001</v>
      </c>
      <c r="J153" s="17">
        <v>3.0168834679786462E-5</v>
      </c>
    </row>
    <row r="154" spans="1:10" ht="12.75" customHeight="1" x14ac:dyDescent="0.25">
      <c r="A154" s="10" t="s">
        <v>104</v>
      </c>
      <c r="B154" s="11"/>
      <c r="C154" s="12">
        <v>0</v>
      </c>
      <c r="D154" s="13"/>
      <c r="E154" s="11"/>
      <c r="F154" s="12">
        <v>0</v>
      </c>
      <c r="G154" s="13"/>
      <c r="H154" s="11" t="s">
        <v>49</v>
      </c>
      <c r="I154" s="12">
        <v>270895</v>
      </c>
      <c r="J154" s="13">
        <v>3.8216444346254527E-3</v>
      </c>
    </row>
    <row r="155" spans="1:10" ht="12.75" customHeight="1" x14ac:dyDescent="0.25">
      <c r="A155" s="14" t="s">
        <v>58</v>
      </c>
      <c r="B155" s="15"/>
      <c r="C155" s="16">
        <v>0</v>
      </c>
      <c r="D155" s="17"/>
      <c r="E155" s="15"/>
      <c r="F155" s="16">
        <v>0</v>
      </c>
      <c r="G155" s="17"/>
      <c r="H155" s="15" t="s">
        <v>59</v>
      </c>
      <c r="I155" s="16">
        <v>120000</v>
      </c>
      <c r="J155" s="17">
        <v>1.6928969975638323E-3</v>
      </c>
    </row>
    <row r="156" spans="1:10" ht="12.75" customHeight="1" x14ac:dyDescent="0.25">
      <c r="A156" s="10" t="s">
        <v>61</v>
      </c>
      <c r="B156" s="11"/>
      <c r="C156" s="12">
        <v>0</v>
      </c>
      <c r="D156" s="13"/>
      <c r="E156" s="11"/>
      <c r="F156" s="12">
        <v>0</v>
      </c>
      <c r="G156" s="13"/>
      <c r="H156" s="11" t="s">
        <v>64</v>
      </c>
      <c r="I156" s="12">
        <v>92278</v>
      </c>
      <c r="J156" s="13">
        <v>1.3018095761766276E-3</v>
      </c>
    </row>
    <row r="157" spans="1:10" ht="12.75" customHeight="1" x14ac:dyDescent="0.25">
      <c r="A157" s="14" t="s">
        <v>108</v>
      </c>
      <c r="B157" s="15"/>
      <c r="C157" s="16">
        <v>0</v>
      </c>
      <c r="D157" s="17"/>
      <c r="E157" s="15"/>
      <c r="F157" s="16">
        <v>0</v>
      </c>
      <c r="G157" s="17"/>
      <c r="H157" s="15" t="s">
        <v>65</v>
      </c>
      <c r="I157" s="16">
        <v>40000</v>
      </c>
      <c r="J157" s="17">
        <v>5.6429899918794405E-4</v>
      </c>
    </row>
    <row r="158" spans="1:10" ht="12.75" customHeight="1" x14ac:dyDescent="0.25">
      <c r="A158" s="10" t="s">
        <v>76</v>
      </c>
      <c r="B158" s="11"/>
      <c r="C158" s="12">
        <v>0</v>
      </c>
      <c r="D158" s="13"/>
      <c r="E158" s="11"/>
      <c r="F158" s="12">
        <v>0</v>
      </c>
      <c r="G158" s="13"/>
      <c r="H158" s="11" t="s">
        <v>83</v>
      </c>
      <c r="I158" s="12">
        <v>20000</v>
      </c>
      <c r="J158" s="13">
        <v>2.8214949959397203E-4</v>
      </c>
    </row>
    <row r="159" spans="1:10" ht="12.75" customHeight="1" x14ac:dyDescent="0.25">
      <c r="A159" s="14" t="s">
        <v>110</v>
      </c>
      <c r="B159" s="15"/>
      <c r="C159" s="16">
        <v>0</v>
      </c>
      <c r="D159" s="17"/>
      <c r="E159" s="15"/>
      <c r="F159" s="16">
        <v>0</v>
      </c>
      <c r="G159" s="17"/>
      <c r="H159" s="15" t="s">
        <v>75</v>
      </c>
      <c r="I159" s="16">
        <v>2250.5</v>
      </c>
      <c r="J159" s="17">
        <v>3.1748872441811701E-5</v>
      </c>
    </row>
    <row r="160" spans="1:10" ht="12.75" customHeight="1" x14ac:dyDescent="0.25">
      <c r="A160" s="10" t="s">
        <v>112</v>
      </c>
      <c r="B160" s="11"/>
      <c r="C160" s="12">
        <v>0</v>
      </c>
      <c r="D160" s="13"/>
      <c r="E160" s="11"/>
      <c r="F160" s="12">
        <v>0</v>
      </c>
      <c r="G160" s="13"/>
      <c r="H160" s="11" t="s">
        <v>98</v>
      </c>
      <c r="I160" s="12">
        <v>1428.5002300000001</v>
      </c>
      <c r="J160" s="13">
        <v>2.0152531253218699E-5</v>
      </c>
    </row>
    <row r="161" spans="1:11" ht="12.75" customHeight="1" x14ac:dyDescent="0.25">
      <c r="A161" s="14" t="s">
        <v>114</v>
      </c>
      <c r="B161" s="15"/>
      <c r="C161" s="16">
        <v>0</v>
      </c>
      <c r="D161" s="17"/>
      <c r="E161" s="15"/>
      <c r="F161" s="16">
        <v>0</v>
      </c>
      <c r="G161" s="17"/>
      <c r="H161" s="15" t="s">
        <v>84</v>
      </c>
      <c r="I161" s="16">
        <v>7.5</v>
      </c>
      <c r="J161" s="17">
        <v>1.058060623477395E-7</v>
      </c>
    </row>
    <row r="162" spans="1:11" ht="12.75" customHeight="1" x14ac:dyDescent="0.25">
      <c r="A162" s="18" t="s">
        <v>116</v>
      </c>
      <c r="B162" s="19"/>
      <c r="C162" s="20">
        <f>SUM(C120:C161)</f>
        <v>37791403.221729994</v>
      </c>
      <c r="D162" s="21">
        <f>ROUND(SUM(D120:D161), 1)</f>
        <v>1</v>
      </c>
      <c r="E162" s="19"/>
      <c r="F162" s="20">
        <f>SUM(F120:F161)</f>
        <v>11457902.683390001</v>
      </c>
      <c r="G162" s="21">
        <f>ROUND(SUM(G120:G161), 1)</f>
        <v>1</v>
      </c>
      <c r="H162" s="19"/>
      <c r="I162" s="20">
        <f>SUM(I120:I161)</f>
        <v>70884407.127359971</v>
      </c>
      <c r="J162" s="21">
        <f>ROUND(SUM(J120:J161), 1)</f>
        <v>1</v>
      </c>
    </row>
    <row r="164" spans="1:11" ht="12.75" customHeight="1" x14ac:dyDescent="0.3">
      <c r="C164" s="30"/>
      <c r="F164" s="30"/>
    </row>
    <row r="165" spans="1:11" ht="12.75" customHeight="1" x14ac:dyDescent="0.3">
      <c r="A165" s="26" t="s">
        <v>120</v>
      </c>
      <c r="B165" s="24"/>
      <c r="C165" s="24"/>
      <c r="D165" s="24"/>
      <c r="E165" s="24"/>
      <c r="F165" s="24"/>
      <c r="G165" s="24"/>
      <c r="H165" s="24"/>
      <c r="I165" s="24"/>
      <c r="J165" s="27"/>
    </row>
    <row r="166" spans="1:11" ht="12.75" customHeight="1" x14ac:dyDescent="0.25">
      <c r="A166" s="28" t="s">
        <v>5</v>
      </c>
      <c r="B166" s="28" t="s">
        <v>6</v>
      </c>
      <c r="C166" s="28"/>
      <c r="D166" s="28"/>
      <c r="E166" s="28" t="s">
        <v>7</v>
      </c>
      <c r="F166" s="28"/>
      <c r="G166" s="28"/>
      <c r="H166" s="28" t="s">
        <v>8</v>
      </c>
      <c r="I166" s="28"/>
      <c r="J166" s="29"/>
    </row>
    <row r="167" spans="1:11" ht="12.75" customHeight="1" x14ac:dyDescent="0.25">
      <c r="A167" s="28"/>
      <c r="B167" s="8" t="s">
        <v>9</v>
      </c>
      <c r="C167" s="8" t="s">
        <v>10</v>
      </c>
      <c r="D167" s="8" t="s">
        <v>11</v>
      </c>
      <c r="E167" s="8" t="s">
        <v>12</v>
      </c>
      <c r="F167" s="8" t="s">
        <v>10</v>
      </c>
      <c r="G167" s="8" t="s">
        <v>11</v>
      </c>
      <c r="H167" s="8" t="s">
        <v>13</v>
      </c>
      <c r="I167" s="8" t="s">
        <v>10</v>
      </c>
      <c r="J167" s="9" t="s">
        <v>11</v>
      </c>
    </row>
    <row r="168" spans="1:11" ht="12.75" customHeight="1" x14ac:dyDescent="0.25">
      <c r="A168" s="10" t="s">
        <v>14</v>
      </c>
      <c r="B168" s="11" t="s">
        <v>15</v>
      </c>
      <c r="C168" s="12">
        <v>10545290.19726</v>
      </c>
      <c r="D168" s="13">
        <v>0.38829231531071451</v>
      </c>
      <c r="E168" s="11" t="s">
        <v>15</v>
      </c>
      <c r="F168" s="12">
        <v>3151902.747</v>
      </c>
      <c r="G168" s="13">
        <v>0.39072255884320983</v>
      </c>
      <c r="H168" s="11" t="s">
        <v>15</v>
      </c>
      <c r="I168" s="12">
        <v>13388234.971820001</v>
      </c>
      <c r="J168" s="13">
        <v>0.32989294077123044</v>
      </c>
      <c r="K168" s="36"/>
    </row>
    <row r="169" spans="1:11" ht="12.75" customHeight="1" x14ac:dyDescent="0.25">
      <c r="A169" s="14" t="s">
        <v>16</v>
      </c>
      <c r="B169" s="15" t="s">
        <v>17</v>
      </c>
      <c r="C169" s="16">
        <v>3835549.2439199998</v>
      </c>
      <c r="D169" s="17">
        <v>0.14123028086955144</v>
      </c>
      <c r="E169" s="15"/>
      <c r="F169" s="16">
        <v>0</v>
      </c>
      <c r="G169" s="17"/>
      <c r="H169" s="15" t="s">
        <v>17</v>
      </c>
      <c r="I169" s="16">
        <v>5635589.0008900007</v>
      </c>
      <c r="J169" s="17">
        <v>0.13886378842280436</v>
      </c>
    </row>
    <row r="170" spans="1:11" ht="12.75" customHeight="1" x14ac:dyDescent="0.25">
      <c r="A170" s="10" t="s">
        <v>25</v>
      </c>
      <c r="B170" s="11" t="s">
        <v>19</v>
      </c>
      <c r="C170" s="12">
        <v>2890022.4617099999</v>
      </c>
      <c r="D170" s="13">
        <v>0.10641466398420432</v>
      </c>
      <c r="E170" s="11" t="s">
        <v>24</v>
      </c>
      <c r="F170" s="12">
        <v>124000</v>
      </c>
      <c r="G170" s="13">
        <v>1.5371539411446828E-2</v>
      </c>
      <c r="H170" s="11" t="s">
        <v>21</v>
      </c>
      <c r="I170" s="12">
        <v>4039832.4617099999</v>
      </c>
      <c r="J170" s="13">
        <v>9.9543533096164497E-2</v>
      </c>
    </row>
    <row r="171" spans="1:11" ht="12.75" customHeight="1" x14ac:dyDescent="0.25">
      <c r="A171" s="14" t="s">
        <v>26</v>
      </c>
      <c r="B171" s="15" t="s">
        <v>21</v>
      </c>
      <c r="C171" s="16">
        <v>2494210.6881599999</v>
      </c>
      <c r="D171" s="17">
        <v>9.1840321590203305E-2</v>
      </c>
      <c r="E171" s="15" t="s">
        <v>19</v>
      </c>
      <c r="F171" s="16">
        <v>2185020</v>
      </c>
      <c r="G171" s="17">
        <v>0.27086387939354473</v>
      </c>
      <c r="H171" s="15" t="s">
        <v>19</v>
      </c>
      <c r="I171" s="16">
        <v>4600830.6881599994</v>
      </c>
      <c r="J171" s="17">
        <v>0.11336681563345004</v>
      </c>
      <c r="K171" s="36"/>
    </row>
    <row r="172" spans="1:11" ht="12.75" customHeight="1" x14ac:dyDescent="0.25">
      <c r="A172" s="10" t="s">
        <v>20</v>
      </c>
      <c r="B172" s="11" t="s">
        <v>22</v>
      </c>
      <c r="C172" s="12">
        <v>2018875</v>
      </c>
      <c r="D172" s="13">
        <v>7.4337797576837131E-2</v>
      </c>
      <c r="E172" s="11" t="s">
        <v>17</v>
      </c>
      <c r="F172" s="12">
        <v>2018875</v>
      </c>
      <c r="G172" s="13">
        <v>0.25026787604261869</v>
      </c>
      <c r="H172" s="11" t="s">
        <v>22</v>
      </c>
      <c r="I172" s="12">
        <v>3518864.75697</v>
      </c>
      <c r="J172" s="13">
        <v>8.6706623038545941E-2</v>
      </c>
    </row>
    <row r="173" spans="1:11" ht="12.75" customHeight="1" x14ac:dyDescent="0.25">
      <c r="A173" s="14" t="s">
        <v>18</v>
      </c>
      <c r="B173" s="15" t="s">
        <v>24</v>
      </c>
      <c r="C173" s="16">
        <v>1636146.9334</v>
      </c>
      <c r="D173" s="17">
        <v>6.0245215548784356E-2</v>
      </c>
      <c r="E173" s="15"/>
      <c r="F173" s="16">
        <v>0</v>
      </c>
      <c r="G173" s="17"/>
      <c r="H173" s="15" t="s">
        <v>27</v>
      </c>
      <c r="I173" s="16">
        <v>2236167.8118799999</v>
      </c>
      <c r="J173" s="17">
        <v>5.5100315842363662E-2</v>
      </c>
    </row>
    <row r="174" spans="1:11" ht="12.75" customHeight="1" x14ac:dyDescent="0.25">
      <c r="A174" s="10" t="s">
        <v>23</v>
      </c>
      <c r="B174" s="11" t="s">
        <v>27</v>
      </c>
      <c r="C174" s="12">
        <v>1259400.88121</v>
      </c>
      <c r="D174" s="13">
        <v>4.6372899647318076E-2</v>
      </c>
      <c r="E174" s="11" t="s">
        <v>21</v>
      </c>
      <c r="F174" s="12">
        <v>300599.7</v>
      </c>
      <c r="G174" s="13">
        <v>3.7263549480799137E-2</v>
      </c>
      <c r="H174" s="11" t="s">
        <v>24</v>
      </c>
      <c r="I174" s="12">
        <v>2860604.7812100002</v>
      </c>
      <c r="J174" s="13">
        <v>7.0486761372498027E-2</v>
      </c>
    </row>
    <row r="175" spans="1:11" ht="12.75" customHeight="1" x14ac:dyDescent="0.25">
      <c r="A175" s="14" t="s">
        <v>28</v>
      </c>
      <c r="B175" s="15" t="s">
        <v>29</v>
      </c>
      <c r="C175" s="16">
        <v>1135019</v>
      </c>
      <c r="D175" s="17">
        <v>4.1792985037639327E-2</v>
      </c>
      <c r="E175" s="15" t="s">
        <v>22</v>
      </c>
      <c r="F175" s="16">
        <v>136894</v>
      </c>
      <c r="G175" s="17">
        <v>1.6969931582182275E-2</v>
      </c>
      <c r="H175" s="15" t="s">
        <v>31</v>
      </c>
      <c r="I175" s="16">
        <v>1149819</v>
      </c>
      <c r="J175" s="17">
        <v>2.8332126830985172E-2</v>
      </c>
      <c r="K175" s="36"/>
    </row>
    <row r="176" spans="1:11" ht="12.75" customHeight="1" x14ac:dyDescent="0.25">
      <c r="A176" s="10" t="s">
        <v>32</v>
      </c>
      <c r="B176" s="11" t="s">
        <v>31</v>
      </c>
      <c r="C176" s="12">
        <v>810963.03703000001</v>
      </c>
      <c r="D176" s="13">
        <v>2.9860791821699321E-2</v>
      </c>
      <c r="E176" s="11"/>
      <c r="F176" s="12">
        <v>0</v>
      </c>
      <c r="G176" s="13"/>
      <c r="H176" s="11" t="s">
        <v>29</v>
      </c>
      <c r="I176" s="12">
        <v>1410963.03703</v>
      </c>
      <c r="J176" s="13">
        <v>3.4766849146662199E-2</v>
      </c>
    </row>
    <row r="177" spans="1:10" ht="12.75" customHeight="1" x14ac:dyDescent="0.25">
      <c r="A177" s="14" t="s">
        <v>34</v>
      </c>
      <c r="B177" s="15" t="s">
        <v>30</v>
      </c>
      <c r="C177" s="16">
        <v>326856.87540000002</v>
      </c>
      <c r="D177" s="17">
        <v>1.2035326724082807E-2</v>
      </c>
      <c r="E177" s="15" t="s">
        <v>27</v>
      </c>
      <c r="F177" s="16">
        <v>108697.8754</v>
      </c>
      <c r="G177" s="17">
        <v>1.3474626416545458E-2</v>
      </c>
      <c r="H177" s="15" t="s">
        <v>30</v>
      </c>
      <c r="I177" s="16">
        <v>708754.09487000003</v>
      </c>
      <c r="J177" s="17">
        <v>1.7464062524481624E-2</v>
      </c>
    </row>
    <row r="178" spans="1:10" ht="12.75" customHeight="1" x14ac:dyDescent="0.25">
      <c r="A178" s="10" t="s">
        <v>46</v>
      </c>
      <c r="B178" s="11" t="s">
        <v>35</v>
      </c>
      <c r="C178" s="12">
        <v>85141.5</v>
      </c>
      <c r="D178" s="13">
        <v>3.1350289603805479E-3</v>
      </c>
      <c r="E178" s="11" t="s">
        <v>29</v>
      </c>
      <c r="F178" s="12">
        <v>21131.5</v>
      </c>
      <c r="G178" s="13">
        <v>2.6195458473628115E-3</v>
      </c>
      <c r="H178" s="11" t="s">
        <v>35</v>
      </c>
      <c r="I178" s="12">
        <v>344971.5</v>
      </c>
      <c r="J178" s="13">
        <v>8.5002737744594593E-3</v>
      </c>
    </row>
    <row r="179" spans="1:10" ht="12.75" customHeight="1" x14ac:dyDescent="0.25">
      <c r="A179" s="14" t="s">
        <v>66</v>
      </c>
      <c r="B179" s="15" t="s">
        <v>37</v>
      </c>
      <c r="C179" s="16">
        <v>84735.507400000002</v>
      </c>
      <c r="D179" s="17">
        <v>3.1200797457355137E-3</v>
      </c>
      <c r="E179" s="15" t="s">
        <v>31</v>
      </c>
      <c r="F179" s="16">
        <v>19735.507399999999</v>
      </c>
      <c r="G179" s="17">
        <v>2.4464929822903265E-3</v>
      </c>
      <c r="H179" s="15" t="s">
        <v>42</v>
      </c>
      <c r="I179" s="16">
        <v>84735.507400000002</v>
      </c>
      <c r="J179" s="17">
        <v>2.0879261368482193E-3</v>
      </c>
    </row>
    <row r="180" spans="1:10" ht="12.75" customHeight="1" x14ac:dyDescent="0.25">
      <c r="A180" s="10" t="s">
        <v>79</v>
      </c>
      <c r="B180" s="11" t="s">
        <v>36</v>
      </c>
      <c r="C180" s="12">
        <v>29827.00001</v>
      </c>
      <c r="D180" s="13">
        <v>1.0982718043800132E-3</v>
      </c>
      <c r="E180" s="11"/>
      <c r="F180" s="12">
        <v>0</v>
      </c>
      <c r="G180" s="13"/>
      <c r="H180" s="11" t="s">
        <v>36</v>
      </c>
      <c r="I180" s="12">
        <v>194950.59437000001</v>
      </c>
      <c r="J180" s="13">
        <v>4.8036821147213462E-3</v>
      </c>
    </row>
    <row r="181" spans="1:10" ht="12.75" customHeight="1" x14ac:dyDescent="0.25">
      <c r="A181" s="14" t="s">
        <v>81</v>
      </c>
      <c r="B181" s="15" t="s">
        <v>40</v>
      </c>
      <c r="C181" s="16">
        <v>6084</v>
      </c>
      <c r="D181" s="17">
        <v>2.2402137846943329E-4</v>
      </c>
      <c r="E181" s="15"/>
      <c r="F181" s="16">
        <v>0</v>
      </c>
      <c r="G181" s="17"/>
      <c r="H181" s="15" t="s">
        <v>47</v>
      </c>
      <c r="I181" s="16">
        <v>46084</v>
      </c>
      <c r="J181" s="17">
        <v>1.1355332733926997E-3</v>
      </c>
    </row>
    <row r="182" spans="1:10" ht="12.75" customHeight="1" x14ac:dyDescent="0.25">
      <c r="A182" s="10" t="s">
        <v>104</v>
      </c>
      <c r="B182" s="11"/>
      <c r="C182" s="12">
        <v>0</v>
      </c>
      <c r="D182" s="13"/>
      <c r="E182" s="11"/>
      <c r="F182" s="12">
        <v>0</v>
      </c>
      <c r="G182" s="13"/>
      <c r="H182" s="11" t="s">
        <v>37</v>
      </c>
      <c r="I182" s="12">
        <v>270895</v>
      </c>
      <c r="J182" s="13">
        <v>6.6749910184818028E-3</v>
      </c>
    </row>
    <row r="183" spans="1:10" ht="12.75" customHeight="1" x14ac:dyDescent="0.25">
      <c r="A183" s="14" t="s">
        <v>61</v>
      </c>
      <c r="B183" s="15"/>
      <c r="C183" s="16">
        <v>0</v>
      </c>
      <c r="D183" s="17"/>
      <c r="E183" s="15"/>
      <c r="F183" s="16">
        <v>0</v>
      </c>
      <c r="G183" s="17"/>
      <c r="H183" s="15" t="s">
        <v>40</v>
      </c>
      <c r="I183" s="16">
        <v>92278</v>
      </c>
      <c r="J183" s="17">
        <v>2.2737770029105883E-3</v>
      </c>
    </row>
    <row r="184" spans="1:10" ht="12.75" customHeight="1" x14ac:dyDescent="0.25">
      <c r="A184" s="18" t="s">
        <v>116</v>
      </c>
      <c r="B184" s="19"/>
      <c r="C184" s="20">
        <f>SUM(C168:C183)</f>
        <v>27158122.325499997</v>
      </c>
      <c r="D184" s="21">
        <f>ROUND(SUM(D168:D183), 1)</f>
        <v>1</v>
      </c>
      <c r="E184" s="19"/>
      <c r="F184" s="20">
        <f>SUM(F168:F183)</f>
        <v>8066856.3297999995</v>
      </c>
      <c r="G184" s="21">
        <f>ROUND(SUM(G168:G183), 1)</f>
        <v>1</v>
      </c>
      <c r="H184" s="19"/>
      <c r="I184" s="20">
        <f>SUM(I168:I183)</f>
        <v>40583575.206309997</v>
      </c>
      <c r="J184" s="21">
        <f>ROUND(SUM(J168:J183), 1)</f>
        <v>1</v>
      </c>
    </row>
    <row r="187" spans="1:10" ht="12.75" customHeight="1" x14ac:dyDescent="0.3">
      <c r="A187" s="26" t="s">
        <v>121</v>
      </c>
      <c r="B187" s="24"/>
      <c r="C187" s="24"/>
      <c r="D187" s="24"/>
      <c r="E187" s="24"/>
      <c r="F187" s="24"/>
      <c r="G187" s="24"/>
      <c r="H187" s="24"/>
      <c r="I187" s="24"/>
      <c r="J187" s="27"/>
    </row>
    <row r="188" spans="1:10" ht="12.75" customHeight="1" x14ac:dyDescent="0.25">
      <c r="A188" s="28" t="s">
        <v>5</v>
      </c>
      <c r="B188" s="28" t="s">
        <v>6</v>
      </c>
      <c r="C188" s="28"/>
      <c r="D188" s="28"/>
      <c r="E188" s="28" t="s">
        <v>7</v>
      </c>
      <c r="F188" s="28"/>
      <c r="G188" s="28"/>
      <c r="H188" s="28" t="s">
        <v>8</v>
      </c>
      <c r="I188" s="28"/>
      <c r="J188" s="29"/>
    </row>
    <row r="189" spans="1:10" ht="12.75" customHeight="1" x14ac:dyDescent="0.25">
      <c r="A189" s="28"/>
      <c r="B189" s="8" t="s">
        <v>9</v>
      </c>
      <c r="C189" s="8" t="s">
        <v>10</v>
      </c>
      <c r="D189" s="8" t="s">
        <v>11</v>
      </c>
      <c r="E189" s="8" t="s">
        <v>12</v>
      </c>
      <c r="F189" s="8" t="s">
        <v>10</v>
      </c>
      <c r="G189" s="8" t="s">
        <v>11</v>
      </c>
      <c r="H189" s="8" t="s">
        <v>13</v>
      </c>
      <c r="I189" s="8" t="s">
        <v>10</v>
      </c>
      <c r="J189" s="9" t="s">
        <v>11</v>
      </c>
    </row>
    <row r="190" spans="1:10" ht="12.75" customHeight="1" x14ac:dyDescent="0.25">
      <c r="A190" s="10" t="s">
        <v>18</v>
      </c>
      <c r="B190" s="11" t="s">
        <v>15</v>
      </c>
      <c r="C190" s="12">
        <v>1421248.4194400001</v>
      </c>
      <c r="D190" s="13">
        <v>0.19950446195999999</v>
      </c>
      <c r="E190" s="11" t="s">
        <v>21</v>
      </c>
      <c r="F190" s="12">
        <v>247283.87899999999</v>
      </c>
      <c r="G190" s="13">
        <v>9.4657110840000003E-2</v>
      </c>
      <c r="H190" s="11" t="s">
        <v>15</v>
      </c>
      <c r="I190" s="12">
        <v>3713680.4800100001</v>
      </c>
      <c r="J190" s="13">
        <v>0.21504632504999999</v>
      </c>
    </row>
    <row r="191" spans="1:10" ht="12.75" customHeight="1" x14ac:dyDescent="0.25">
      <c r="A191" s="14" t="s">
        <v>14</v>
      </c>
      <c r="B191" s="15" t="s">
        <v>17</v>
      </c>
      <c r="C191" s="16">
        <v>993178.43903000001</v>
      </c>
      <c r="D191" s="17">
        <v>0.13941512785999999</v>
      </c>
      <c r="E191" s="15" t="s">
        <v>17</v>
      </c>
      <c r="F191" s="16">
        <v>325615.125</v>
      </c>
      <c r="G191" s="17">
        <v>0.12464131144</v>
      </c>
      <c r="H191" s="15" t="s">
        <v>19</v>
      </c>
      <c r="I191" s="16">
        <v>2266773.5442599999</v>
      </c>
      <c r="J191" s="17">
        <v>0.13126097494</v>
      </c>
    </row>
    <row r="192" spans="1:10" ht="12.75" customHeight="1" x14ac:dyDescent="0.25">
      <c r="A192" s="10" t="s">
        <v>34</v>
      </c>
      <c r="B192" s="11" t="s">
        <v>19</v>
      </c>
      <c r="C192" s="12">
        <v>972591.98755999992</v>
      </c>
      <c r="D192" s="13">
        <v>0.13652535230999999</v>
      </c>
      <c r="E192" s="11" t="s">
        <v>29</v>
      </c>
      <c r="F192" s="12">
        <v>173309.24479</v>
      </c>
      <c r="G192" s="13">
        <v>6.6340565579999997E-2</v>
      </c>
      <c r="H192" s="11" t="s">
        <v>24</v>
      </c>
      <c r="I192" s="12">
        <v>1203686.53794</v>
      </c>
      <c r="J192" s="13">
        <v>6.9701302490000006E-2</v>
      </c>
    </row>
    <row r="193" spans="1:10" ht="12.75" customHeight="1" x14ac:dyDescent="0.25">
      <c r="A193" s="14" t="s">
        <v>41</v>
      </c>
      <c r="B193" s="15" t="s">
        <v>21</v>
      </c>
      <c r="C193" s="16">
        <v>726628.10327999992</v>
      </c>
      <c r="D193" s="17">
        <v>0.10199874054999999</v>
      </c>
      <c r="E193" s="15" t="s">
        <v>15</v>
      </c>
      <c r="F193" s="16">
        <v>520475.5</v>
      </c>
      <c r="G193" s="17">
        <v>0.19923137444</v>
      </c>
      <c r="H193" s="15" t="s">
        <v>22</v>
      </c>
      <c r="I193" s="16">
        <v>1265763.1032799999</v>
      </c>
      <c r="J193" s="17">
        <v>7.3295940559999995E-2</v>
      </c>
    </row>
    <row r="194" spans="1:10" ht="12.75" customHeight="1" x14ac:dyDescent="0.25">
      <c r="A194" s="10" t="s">
        <v>23</v>
      </c>
      <c r="B194" s="11" t="s">
        <v>22</v>
      </c>
      <c r="C194" s="12">
        <v>663702.62327999994</v>
      </c>
      <c r="D194" s="13">
        <v>9.3165721729999998E-2</v>
      </c>
      <c r="E194" s="11" t="s">
        <v>27</v>
      </c>
      <c r="F194" s="12">
        <v>177028</v>
      </c>
      <c r="G194" s="13">
        <v>6.7764057589999996E-2</v>
      </c>
      <c r="H194" s="11" t="s">
        <v>17</v>
      </c>
      <c r="I194" s="12">
        <v>2646633.8376500001</v>
      </c>
      <c r="J194" s="13">
        <v>0.15325736384999999</v>
      </c>
    </row>
    <row r="195" spans="1:10" ht="12.75" customHeight="1" x14ac:dyDescent="0.25">
      <c r="A195" s="14" t="s">
        <v>20</v>
      </c>
      <c r="B195" s="15" t="s">
        <v>24</v>
      </c>
      <c r="C195" s="16">
        <v>488007.98139999999</v>
      </c>
      <c r="D195" s="17">
        <v>6.8502992459999995E-2</v>
      </c>
      <c r="E195" s="15" t="s">
        <v>22</v>
      </c>
      <c r="F195" s="16">
        <v>210629.875</v>
      </c>
      <c r="G195" s="17">
        <v>8.0626426210000005E-2</v>
      </c>
      <c r="H195" s="15" t="s">
        <v>29</v>
      </c>
      <c r="I195" s="16">
        <v>510607.98139999999</v>
      </c>
      <c r="J195" s="17">
        <v>2.9567532939999999E-2</v>
      </c>
    </row>
    <row r="196" spans="1:10" ht="12.75" customHeight="1" x14ac:dyDescent="0.25">
      <c r="A196" s="10" t="s">
        <v>32</v>
      </c>
      <c r="B196" s="11" t="s">
        <v>27</v>
      </c>
      <c r="C196" s="12">
        <v>321936.875</v>
      </c>
      <c r="D196" s="13">
        <v>4.5191144740000001E-2</v>
      </c>
      <c r="E196" s="11" t="s">
        <v>19</v>
      </c>
      <c r="F196" s="12">
        <v>313119.375</v>
      </c>
      <c r="G196" s="13">
        <v>0.11985809792</v>
      </c>
      <c r="H196" s="11" t="s">
        <v>21</v>
      </c>
      <c r="I196" s="12">
        <v>1800438.1833299999</v>
      </c>
      <c r="J196" s="13">
        <v>0.10425711552</v>
      </c>
    </row>
    <row r="197" spans="1:10" ht="12.75" customHeight="1" x14ac:dyDescent="0.25">
      <c r="A197" s="14" t="s">
        <v>16</v>
      </c>
      <c r="B197" s="15" t="s">
        <v>29</v>
      </c>
      <c r="C197" s="16">
        <v>277641.12180000002</v>
      </c>
      <c r="D197" s="17">
        <v>3.8973230759999998E-2</v>
      </c>
      <c r="E197" s="15" t="s">
        <v>37</v>
      </c>
      <c r="F197" s="16">
        <v>63830.875</v>
      </c>
      <c r="G197" s="17">
        <v>2.4433643769999999E-2</v>
      </c>
      <c r="H197" s="15" t="s">
        <v>27</v>
      </c>
      <c r="I197" s="16">
        <v>861480.72359000007</v>
      </c>
      <c r="J197" s="17">
        <v>4.9885353549999997E-2</v>
      </c>
    </row>
    <row r="198" spans="1:10" ht="12.75" customHeight="1" x14ac:dyDescent="0.25">
      <c r="A198" s="10" t="s">
        <v>38</v>
      </c>
      <c r="B198" s="11" t="s">
        <v>31</v>
      </c>
      <c r="C198" s="12">
        <v>266283</v>
      </c>
      <c r="D198" s="13">
        <v>3.737886067E-2</v>
      </c>
      <c r="E198" s="11" t="s">
        <v>30</v>
      </c>
      <c r="F198" s="12">
        <v>103180</v>
      </c>
      <c r="G198" s="13">
        <v>3.9495986300000001E-2</v>
      </c>
      <c r="H198" s="11" t="s">
        <v>37</v>
      </c>
      <c r="I198" s="12">
        <v>331036.5</v>
      </c>
      <c r="J198" s="13">
        <v>1.916917278E-2</v>
      </c>
    </row>
    <row r="199" spans="1:10" ht="12.75" customHeight="1" x14ac:dyDescent="0.25">
      <c r="A199" s="14" t="s">
        <v>52</v>
      </c>
      <c r="B199" s="15" t="s">
        <v>30</v>
      </c>
      <c r="C199" s="16">
        <v>204234</v>
      </c>
      <c r="D199" s="17">
        <v>2.866887571E-2</v>
      </c>
      <c r="E199" s="15"/>
      <c r="F199" s="16">
        <v>0</v>
      </c>
      <c r="G199" s="17"/>
      <c r="H199" s="15" t="s">
        <v>42</v>
      </c>
      <c r="I199" s="16">
        <v>204234</v>
      </c>
      <c r="J199" s="17">
        <v>1.1826480869999999E-2</v>
      </c>
    </row>
    <row r="200" spans="1:10" ht="12.75" customHeight="1" x14ac:dyDescent="0.25">
      <c r="A200" s="10" t="s">
        <v>28</v>
      </c>
      <c r="B200" s="11" t="s">
        <v>35</v>
      </c>
      <c r="C200" s="12">
        <v>189062.47993999999</v>
      </c>
      <c r="D200" s="13">
        <v>2.6539208639999999E-2</v>
      </c>
      <c r="E200" s="11" t="s">
        <v>24</v>
      </c>
      <c r="F200" s="12">
        <v>189062.47993999999</v>
      </c>
      <c r="G200" s="13">
        <v>7.2370702819999994E-2</v>
      </c>
      <c r="H200" s="11" t="s">
        <v>35</v>
      </c>
      <c r="I200" s="12">
        <v>359837.17559</v>
      </c>
      <c r="J200" s="13">
        <v>2.083691977E-2</v>
      </c>
    </row>
    <row r="201" spans="1:10" ht="12.75" customHeight="1" x14ac:dyDescent="0.25">
      <c r="A201" s="14" t="s">
        <v>48</v>
      </c>
      <c r="B201" s="15" t="s">
        <v>37</v>
      </c>
      <c r="C201" s="16">
        <v>138630</v>
      </c>
      <c r="D201" s="17">
        <v>1.945986584E-2</v>
      </c>
      <c r="E201" s="15" t="s">
        <v>31</v>
      </c>
      <c r="F201" s="16">
        <v>113630</v>
      </c>
      <c r="G201" s="17">
        <v>4.3496112839999997E-2</v>
      </c>
      <c r="H201" s="15" t="s">
        <v>30</v>
      </c>
      <c r="I201" s="16">
        <v>429011</v>
      </c>
      <c r="J201" s="17">
        <v>2.4842535440000001E-2</v>
      </c>
    </row>
    <row r="202" spans="1:10" ht="12.75" customHeight="1" x14ac:dyDescent="0.25">
      <c r="A202" s="10" t="s">
        <v>63</v>
      </c>
      <c r="B202" s="11" t="s">
        <v>36</v>
      </c>
      <c r="C202" s="12">
        <v>89500</v>
      </c>
      <c r="D202" s="13">
        <v>1.2563355639999999E-2</v>
      </c>
      <c r="E202" s="11" t="s">
        <v>35</v>
      </c>
      <c r="F202" s="12">
        <v>89500</v>
      </c>
      <c r="G202" s="13">
        <v>3.4259457E-2</v>
      </c>
      <c r="H202" s="11" t="s">
        <v>50</v>
      </c>
      <c r="I202" s="12">
        <v>89500</v>
      </c>
      <c r="J202" s="13">
        <v>5.18263383E-3</v>
      </c>
    </row>
    <row r="203" spans="1:10" ht="12.75" customHeight="1" x14ac:dyDescent="0.25">
      <c r="A203" s="14" t="s">
        <v>69</v>
      </c>
      <c r="B203" s="15" t="s">
        <v>40</v>
      </c>
      <c r="C203" s="16">
        <v>74698</v>
      </c>
      <c r="D203" s="17">
        <v>1.04855591E-2</v>
      </c>
      <c r="E203" s="15"/>
      <c r="F203" s="16">
        <v>0</v>
      </c>
      <c r="G203" s="17"/>
      <c r="H203" s="15" t="s">
        <v>36</v>
      </c>
      <c r="I203" s="16">
        <v>261275</v>
      </c>
      <c r="J203" s="17">
        <v>1.5129526860000001E-2</v>
      </c>
    </row>
    <row r="204" spans="1:10" ht="12.75" customHeight="1" x14ac:dyDescent="0.25">
      <c r="A204" s="10" t="s">
        <v>26</v>
      </c>
      <c r="B204" s="11" t="s">
        <v>42</v>
      </c>
      <c r="C204" s="12">
        <v>63000</v>
      </c>
      <c r="D204" s="13">
        <v>8.8434793900000006E-3</v>
      </c>
      <c r="E204" s="11"/>
      <c r="F204" s="12">
        <v>0</v>
      </c>
      <c r="G204" s="13"/>
      <c r="H204" s="11" t="s">
        <v>40</v>
      </c>
      <c r="I204" s="12">
        <v>244705</v>
      </c>
      <c r="J204" s="13">
        <v>1.4170015770000001E-2</v>
      </c>
    </row>
    <row r="205" spans="1:10" ht="12.75" customHeight="1" x14ac:dyDescent="0.25">
      <c r="A205" s="14" t="s">
        <v>73</v>
      </c>
      <c r="B205" s="15" t="s">
        <v>47</v>
      </c>
      <c r="C205" s="16">
        <v>58087</v>
      </c>
      <c r="D205" s="17">
        <v>8.1538283699999995E-3</v>
      </c>
      <c r="E205" s="15"/>
      <c r="F205" s="16">
        <v>0</v>
      </c>
      <c r="G205" s="17"/>
      <c r="H205" s="15" t="s">
        <v>44</v>
      </c>
      <c r="I205" s="16">
        <v>58087</v>
      </c>
      <c r="J205" s="17">
        <v>3.3636162199999998E-3</v>
      </c>
    </row>
    <row r="206" spans="1:10" ht="12.75" customHeight="1" x14ac:dyDescent="0.25">
      <c r="A206" s="10" t="s">
        <v>33</v>
      </c>
      <c r="B206" s="11" t="s">
        <v>49</v>
      </c>
      <c r="C206" s="12">
        <v>47000</v>
      </c>
      <c r="D206" s="13">
        <v>6.5975163699999997E-3</v>
      </c>
      <c r="E206" s="11" t="s">
        <v>40</v>
      </c>
      <c r="F206" s="12">
        <v>27000</v>
      </c>
      <c r="G206" s="13">
        <v>1.0335255180000001E-2</v>
      </c>
      <c r="H206" s="11" t="s">
        <v>47</v>
      </c>
      <c r="I206" s="12">
        <v>144507</v>
      </c>
      <c r="J206" s="13">
        <v>8.3678979499999997E-3</v>
      </c>
    </row>
    <row r="207" spans="1:10" ht="12.75" customHeight="1" x14ac:dyDescent="0.25">
      <c r="A207" s="14" t="s">
        <v>54</v>
      </c>
      <c r="B207" s="15" t="s">
        <v>45</v>
      </c>
      <c r="C207" s="16">
        <v>42798.476999999999</v>
      </c>
      <c r="D207" s="17">
        <v>6.0077372899999997E-3</v>
      </c>
      <c r="E207" s="15"/>
      <c r="F207" s="16">
        <v>0</v>
      </c>
      <c r="G207" s="17"/>
      <c r="H207" s="15" t="s">
        <v>60</v>
      </c>
      <c r="I207" s="16">
        <v>42798.476999999999</v>
      </c>
      <c r="J207" s="17">
        <v>2.478311E-3</v>
      </c>
    </row>
    <row r="208" spans="1:10" ht="12.75" customHeight="1" x14ac:dyDescent="0.25">
      <c r="A208" s="10" t="s">
        <v>25</v>
      </c>
      <c r="B208" s="11" t="s">
        <v>50</v>
      </c>
      <c r="C208" s="12">
        <v>37872</v>
      </c>
      <c r="D208" s="13">
        <v>5.3161944699999996E-3</v>
      </c>
      <c r="E208" s="11" t="s">
        <v>36</v>
      </c>
      <c r="F208" s="12">
        <v>34622</v>
      </c>
      <c r="G208" s="13">
        <v>1.325285944E-2</v>
      </c>
      <c r="H208" s="11" t="s">
        <v>45</v>
      </c>
      <c r="I208" s="12">
        <v>93134.30833</v>
      </c>
      <c r="J208" s="13">
        <v>5.3930839900000003E-3</v>
      </c>
    </row>
    <row r="209" spans="1:10" ht="12.75" customHeight="1" x14ac:dyDescent="0.25">
      <c r="A209" s="14" t="s">
        <v>82</v>
      </c>
      <c r="B209" s="15" t="s">
        <v>55</v>
      </c>
      <c r="C209" s="16">
        <v>20000</v>
      </c>
      <c r="D209" s="17">
        <v>2.8074537700000001E-3</v>
      </c>
      <c r="E209" s="15" t="s">
        <v>42</v>
      </c>
      <c r="F209" s="16">
        <v>20000</v>
      </c>
      <c r="G209" s="17">
        <v>7.6557445800000002E-3</v>
      </c>
      <c r="H209" s="15" t="s">
        <v>64</v>
      </c>
      <c r="I209" s="16">
        <v>20000</v>
      </c>
      <c r="J209" s="17">
        <v>1.15813046E-3</v>
      </c>
    </row>
    <row r="210" spans="1:10" ht="12.75" customHeight="1" x14ac:dyDescent="0.25">
      <c r="A210" s="10" t="s">
        <v>81</v>
      </c>
      <c r="B210" s="11" t="s">
        <v>44</v>
      </c>
      <c r="C210" s="12">
        <v>14703</v>
      </c>
      <c r="D210" s="13">
        <v>2.0638996400000002E-3</v>
      </c>
      <c r="E210" s="11"/>
      <c r="F210" s="12">
        <v>0</v>
      </c>
      <c r="G210" s="13"/>
      <c r="H210" s="11" t="s">
        <v>31</v>
      </c>
      <c r="I210" s="12">
        <v>450429</v>
      </c>
      <c r="J210" s="13">
        <v>2.608277736E-2</v>
      </c>
    </row>
    <row r="211" spans="1:10" ht="12.75" customHeight="1" x14ac:dyDescent="0.25">
      <c r="A211" s="14" t="s">
        <v>90</v>
      </c>
      <c r="B211" s="15" t="s">
        <v>59</v>
      </c>
      <c r="C211" s="16">
        <v>4143</v>
      </c>
      <c r="D211" s="17">
        <v>5.8156405000000003E-4</v>
      </c>
      <c r="E211" s="15" t="s">
        <v>47</v>
      </c>
      <c r="F211" s="16">
        <v>2405.5</v>
      </c>
      <c r="G211" s="17">
        <v>9.2079467999999995E-4</v>
      </c>
      <c r="H211" s="15" t="s">
        <v>56</v>
      </c>
      <c r="I211" s="16">
        <v>4497.5</v>
      </c>
      <c r="J211" s="17">
        <v>2.6043459000000001E-4</v>
      </c>
    </row>
    <row r="212" spans="1:10" ht="12.75" customHeight="1" x14ac:dyDescent="0.25">
      <c r="A212" s="10" t="s">
        <v>85</v>
      </c>
      <c r="B212" s="11" t="s">
        <v>60</v>
      </c>
      <c r="C212" s="12">
        <v>3124.3889800000002</v>
      </c>
      <c r="D212" s="13">
        <v>4.3857888000000002E-4</v>
      </c>
      <c r="E212" s="11"/>
      <c r="F212" s="12">
        <v>0</v>
      </c>
      <c r="G212" s="13"/>
      <c r="H212" s="11" t="s">
        <v>55</v>
      </c>
      <c r="I212" s="12">
        <v>69467.388980000003</v>
      </c>
      <c r="J212" s="13">
        <v>4.0226149700000003E-3</v>
      </c>
    </row>
    <row r="213" spans="1:10" ht="12.75" customHeight="1" x14ac:dyDescent="0.25">
      <c r="A213" s="14" t="s">
        <v>92</v>
      </c>
      <c r="B213" s="15" t="s">
        <v>64</v>
      </c>
      <c r="C213" s="16">
        <v>3071.5</v>
      </c>
      <c r="D213" s="17">
        <v>4.3115470999999998E-4</v>
      </c>
      <c r="E213" s="15"/>
      <c r="F213" s="16">
        <v>0</v>
      </c>
      <c r="G213" s="17"/>
      <c r="H213" s="15" t="s">
        <v>74</v>
      </c>
      <c r="I213" s="16">
        <v>3071.5</v>
      </c>
      <c r="J213" s="17">
        <v>1.7785988999999999E-4</v>
      </c>
    </row>
    <row r="214" spans="1:10" ht="12.75" customHeight="1" x14ac:dyDescent="0.25">
      <c r="A214" s="10" t="s">
        <v>46</v>
      </c>
      <c r="B214" s="11" t="s">
        <v>67</v>
      </c>
      <c r="C214" s="12">
        <v>2554.5</v>
      </c>
      <c r="D214" s="13">
        <v>3.5858203000000002E-4</v>
      </c>
      <c r="E214" s="11" t="s">
        <v>49</v>
      </c>
      <c r="F214" s="12">
        <v>1554.5</v>
      </c>
      <c r="G214" s="13">
        <v>5.9504274999999998E-4</v>
      </c>
      <c r="H214" s="11" t="s">
        <v>59</v>
      </c>
      <c r="I214" s="12">
        <v>48164.80833</v>
      </c>
      <c r="J214" s="13">
        <v>2.7890565900000001E-3</v>
      </c>
    </row>
    <row r="215" spans="1:10" ht="12.75" customHeight="1" x14ac:dyDescent="0.25">
      <c r="A215" s="14" t="s">
        <v>86</v>
      </c>
      <c r="B215" s="15" t="s">
        <v>70</v>
      </c>
      <c r="C215" s="16">
        <v>171</v>
      </c>
      <c r="D215" s="17">
        <v>2.4003730000000001E-5</v>
      </c>
      <c r="E215" s="15" t="s">
        <v>45</v>
      </c>
      <c r="F215" s="16">
        <v>171</v>
      </c>
      <c r="G215" s="17">
        <v>6.5456619999999994E-5</v>
      </c>
      <c r="H215" s="15" t="s">
        <v>70</v>
      </c>
      <c r="I215" s="16">
        <v>5670.5</v>
      </c>
      <c r="J215" s="17">
        <v>3.2835893999999999E-4</v>
      </c>
    </row>
    <row r="216" spans="1:10" ht="12.75" customHeight="1" x14ac:dyDescent="0.25">
      <c r="A216" s="10" t="s">
        <v>100</v>
      </c>
      <c r="B216" s="11" t="s">
        <v>56</v>
      </c>
      <c r="C216" s="12">
        <v>25</v>
      </c>
      <c r="D216" s="13">
        <v>3.5093200000000001E-6</v>
      </c>
      <c r="E216" s="11"/>
      <c r="F216" s="12">
        <v>0</v>
      </c>
      <c r="G216" s="13"/>
      <c r="H216" s="11" t="s">
        <v>80</v>
      </c>
      <c r="I216" s="12">
        <v>60</v>
      </c>
      <c r="J216" s="13">
        <v>3.4743899999999999E-6</v>
      </c>
    </row>
    <row r="217" spans="1:10" ht="12.75" customHeight="1" x14ac:dyDescent="0.25">
      <c r="A217" s="14" t="s">
        <v>58</v>
      </c>
      <c r="B217" s="15"/>
      <c r="C217" s="16">
        <v>0</v>
      </c>
      <c r="D217" s="17"/>
      <c r="E217" s="15"/>
      <c r="F217" s="16">
        <v>0</v>
      </c>
      <c r="G217" s="17"/>
      <c r="H217" s="15" t="s">
        <v>49</v>
      </c>
      <c r="I217" s="16">
        <v>120000</v>
      </c>
      <c r="J217" s="17">
        <v>6.94878279E-3</v>
      </c>
    </row>
    <row r="218" spans="1:10" ht="12.75" customHeight="1" x14ac:dyDescent="0.25">
      <c r="A218" s="10" t="s">
        <v>76</v>
      </c>
      <c r="B218" s="11"/>
      <c r="C218" s="12">
        <v>0</v>
      </c>
      <c r="D218" s="13"/>
      <c r="E218" s="11"/>
      <c r="F218" s="12">
        <v>0</v>
      </c>
      <c r="G218" s="13"/>
      <c r="H218" s="11" t="s">
        <v>64</v>
      </c>
      <c r="I218" s="12">
        <v>20000</v>
      </c>
      <c r="J218" s="13">
        <v>1.15813046E-3</v>
      </c>
    </row>
    <row r="219" spans="1:10" ht="12.75" customHeight="1" x14ac:dyDescent="0.25">
      <c r="A219" s="14" t="s">
        <v>94</v>
      </c>
      <c r="B219" s="15"/>
      <c r="C219" s="16">
        <v>0</v>
      </c>
      <c r="D219" s="17"/>
      <c r="E219" s="15"/>
      <c r="F219" s="16">
        <v>0</v>
      </c>
      <c r="G219" s="17"/>
      <c r="H219" s="15" t="s">
        <v>53</v>
      </c>
      <c r="I219" s="16">
        <v>519.49906999999996</v>
      </c>
      <c r="J219" s="17">
        <v>3.008238E-5</v>
      </c>
    </row>
    <row r="220" spans="1:10" ht="12.75" customHeight="1" x14ac:dyDescent="0.25">
      <c r="A220" s="10" t="s">
        <v>112</v>
      </c>
      <c r="B220" s="11"/>
      <c r="C220" s="12">
        <v>0</v>
      </c>
      <c r="D220" s="13"/>
      <c r="E220" s="11"/>
      <c r="F220" s="12">
        <v>0</v>
      </c>
      <c r="G220" s="13"/>
      <c r="H220" s="11" t="s">
        <v>62</v>
      </c>
      <c r="I220" s="12">
        <v>136.5</v>
      </c>
      <c r="J220" s="13">
        <v>7.9042400000000007E-6</v>
      </c>
    </row>
    <row r="221" spans="1:10" ht="12.75" customHeight="1" x14ac:dyDescent="0.25">
      <c r="A221" s="14" t="s">
        <v>114</v>
      </c>
      <c r="B221" s="15"/>
      <c r="C221" s="16">
        <v>0</v>
      </c>
      <c r="D221" s="17"/>
      <c r="E221" s="15"/>
      <c r="F221" s="16">
        <v>0</v>
      </c>
      <c r="G221" s="17"/>
      <c r="H221" s="15" t="s">
        <v>65</v>
      </c>
      <c r="I221" s="16">
        <v>5</v>
      </c>
      <c r="J221" s="17">
        <v>2.8953000000000003E-7</v>
      </c>
    </row>
    <row r="222" spans="1:10" ht="12.75" customHeight="1" x14ac:dyDescent="0.25">
      <c r="A222" s="18" t="s">
        <v>116</v>
      </c>
      <c r="B222" s="19"/>
      <c r="C222" s="20">
        <f>SUM(C190:C221)</f>
        <v>7123892.89671</v>
      </c>
      <c r="D222" s="21">
        <f>ROUND(SUM(D190:D221), 1)</f>
        <v>1</v>
      </c>
      <c r="E222" s="19"/>
      <c r="F222" s="20">
        <f>SUM(F190:F221)</f>
        <v>2612417.3537300001</v>
      </c>
      <c r="G222" s="21">
        <f>ROUND(SUM(G190:G221), 1)</f>
        <v>1</v>
      </c>
      <c r="H222" s="19"/>
      <c r="I222" s="20">
        <f>SUM(I190:I221)</f>
        <v>17269211.548759997</v>
      </c>
      <c r="J222" s="21">
        <f>ROUND(SUM(J190:J221), 1)</f>
        <v>1</v>
      </c>
    </row>
    <row r="225" spans="1:10" ht="12.75" customHeight="1" x14ac:dyDescent="0.3">
      <c r="A225" s="26" t="s">
        <v>122</v>
      </c>
      <c r="B225" s="24"/>
      <c r="C225" s="24"/>
      <c r="D225" s="24"/>
      <c r="E225" s="24"/>
      <c r="F225" s="24"/>
      <c r="G225" s="24"/>
      <c r="H225" s="24"/>
      <c r="I225" s="24"/>
      <c r="J225" s="27"/>
    </row>
    <row r="226" spans="1:10" ht="12.75" customHeight="1" x14ac:dyDescent="0.25">
      <c r="A226" s="28" t="s">
        <v>5</v>
      </c>
      <c r="B226" s="28" t="s">
        <v>6</v>
      </c>
      <c r="C226" s="28"/>
      <c r="D226" s="28"/>
      <c r="E226" s="28" t="s">
        <v>7</v>
      </c>
      <c r="F226" s="28"/>
      <c r="G226" s="28"/>
      <c r="H226" s="28" t="s">
        <v>8</v>
      </c>
      <c r="I226" s="28"/>
      <c r="J226" s="29"/>
    </row>
    <row r="227" spans="1:10" ht="12.75" customHeight="1" x14ac:dyDescent="0.25">
      <c r="A227" s="28"/>
      <c r="B227" s="8" t="s">
        <v>9</v>
      </c>
      <c r="C227" s="8" t="s">
        <v>10</v>
      </c>
      <c r="D227" s="8" t="s">
        <v>11</v>
      </c>
      <c r="E227" s="8" t="s">
        <v>12</v>
      </c>
      <c r="F227" s="8" t="s">
        <v>10</v>
      </c>
      <c r="G227" s="8" t="s">
        <v>11</v>
      </c>
      <c r="H227" s="8" t="s">
        <v>13</v>
      </c>
      <c r="I227" s="8" t="s">
        <v>10</v>
      </c>
      <c r="J227" s="9" t="s">
        <v>11</v>
      </c>
    </row>
    <row r="228" spans="1:10" ht="12.75" customHeight="1" x14ac:dyDescent="0.25">
      <c r="A228" s="10" t="s">
        <v>38</v>
      </c>
      <c r="B228" s="11" t="s">
        <v>15</v>
      </c>
      <c r="C228" s="12">
        <v>778170.91926999984</v>
      </c>
      <c r="D228" s="13">
        <v>0.23567453511</v>
      </c>
      <c r="E228" s="11" t="s">
        <v>15</v>
      </c>
      <c r="F228" s="12">
        <v>288109.48177000001</v>
      </c>
      <c r="G228" s="13">
        <v>0.32697021935999998</v>
      </c>
      <c r="H228" s="11" t="s">
        <v>15</v>
      </c>
      <c r="I228" s="12">
        <v>2190374.645109999</v>
      </c>
      <c r="J228" s="13">
        <v>0.17346535712</v>
      </c>
    </row>
    <row r="229" spans="1:10" ht="12.75" customHeight="1" x14ac:dyDescent="0.25">
      <c r="A229" s="14" t="s">
        <v>16</v>
      </c>
      <c r="B229" s="15" t="s">
        <v>17</v>
      </c>
      <c r="C229" s="16">
        <v>726787.47755000007</v>
      </c>
      <c r="D229" s="17">
        <v>0.22011269845000001</v>
      </c>
      <c r="E229" s="15" t="s">
        <v>19</v>
      </c>
      <c r="F229" s="16">
        <v>122901.59011</v>
      </c>
      <c r="G229" s="17">
        <v>0.13947878295999999</v>
      </c>
      <c r="H229" s="15" t="s">
        <v>19</v>
      </c>
      <c r="I229" s="16">
        <v>1844671.53198</v>
      </c>
      <c r="J229" s="17">
        <v>0.14608761417999999</v>
      </c>
    </row>
    <row r="230" spans="1:10" ht="12.75" customHeight="1" x14ac:dyDescent="0.25">
      <c r="A230" s="10" t="s">
        <v>18</v>
      </c>
      <c r="B230" s="11" t="s">
        <v>19</v>
      </c>
      <c r="C230" s="12">
        <v>404400.99766000011</v>
      </c>
      <c r="D230" s="13">
        <v>0.12247568595</v>
      </c>
      <c r="E230" s="11" t="s">
        <v>29</v>
      </c>
      <c r="F230" s="12">
        <v>20427.647700000001</v>
      </c>
      <c r="G230" s="13">
        <v>2.3182966449999998E-2</v>
      </c>
      <c r="H230" s="11" t="s">
        <v>21</v>
      </c>
      <c r="I230" s="12">
        <v>1738745.7191000001</v>
      </c>
      <c r="J230" s="13">
        <v>0.13769888533999999</v>
      </c>
    </row>
    <row r="231" spans="1:10" ht="12.75" customHeight="1" x14ac:dyDescent="0.25">
      <c r="A231" s="14" t="s">
        <v>23</v>
      </c>
      <c r="B231" s="15" t="s">
        <v>21</v>
      </c>
      <c r="C231" s="16">
        <v>267642.88234000001</v>
      </c>
      <c r="D231" s="17">
        <v>8.1057529020000005E-2</v>
      </c>
      <c r="E231" s="15" t="s">
        <v>22</v>
      </c>
      <c r="F231" s="16">
        <v>62709.357349999977</v>
      </c>
      <c r="G231" s="17">
        <v>7.1167710980000007E-2</v>
      </c>
      <c r="H231" s="15" t="s">
        <v>17</v>
      </c>
      <c r="I231" s="16">
        <v>2039945.27376</v>
      </c>
      <c r="J231" s="17">
        <v>0.16155219666000001</v>
      </c>
    </row>
    <row r="232" spans="1:10" ht="12.75" customHeight="1" x14ac:dyDescent="0.25">
      <c r="A232" s="10" t="s">
        <v>48</v>
      </c>
      <c r="B232" s="11" t="s">
        <v>22</v>
      </c>
      <c r="C232" s="12">
        <v>194000</v>
      </c>
      <c r="D232" s="13">
        <v>5.875426424E-2</v>
      </c>
      <c r="E232" s="11" t="s">
        <v>17</v>
      </c>
      <c r="F232" s="12">
        <v>160000</v>
      </c>
      <c r="G232" s="13">
        <v>0.18158109471</v>
      </c>
      <c r="H232" s="11" t="s">
        <v>31</v>
      </c>
      <c r="I232" s="12">
        <v>214000</v>
      </c>
      <c r="J232" s="13">
        <v>1.6947596839999999E-2</v>
      </c>
    </row>
    <row r="233" spans="1:10" ht="12.75" customHeight="1" x14ac:dyDescent="0.25">
      <c r="A233" s="14" t="s">
        <v>20</v>
      </c>
      <c r="B233" s="15" t="s">
        <v>24</v>
      </c>
      <c r="C233" s="16">
        <v>179069.91248999999</v>
      </c>
      <c r="D233" s="17">
        <v>5.423258224E-2</v>
      </c>
      <c r="E233" s="15" t="s">
        <v>36</v>
      </c>
      <c r="F233" s="16">
        <v>200</v>
      </c>
      <c r="G233" s="17">
        <v>2.2697637E-4</v>
      </c>
      <c r="H233" s="15" t="s">
        <v>27</v>
      </c>
      <c r="I233" s="16">
        <v>711895.95258999988</v>
      </c>
      <c r="J233" s="17">
        <v>5.6378157009999999E-2</v>
      </c>
    </row>
    <row r="234" spans="1:10" ht="12.75" customHeight="1" x14ac:dyDescent="0.25">
      <c r="A234" s="10" t="s">
        <v>14</v>
      </c>
      <c r="B234" s="11" t="s">
        <v>27</v>
      </c>
      <c r="C234" s="12">
        <v>178271.98235000001</v>
      </c>
      <c r="D234" s="13">
        <v>5.3990923490000002E-2</v>
      </c>
      <c r="E234" s="11" t="s">
        <v>27</v>
      </c>
      <c r="F234" s="12">
        <v>48032.6999</v>
      </c>
      <c r="G234" s="13">
        <v>5.4511438939999997E-2</v>
      </c>
      <c r="H234" s="11" t="s">
        <v>22</v>
      </c>
      <c r="I234" s="12">
        <v>1623550.77633</v>
      </c>
      <c r="J234" s="13">
        <v>0.12857609352999999</v>
      </c>
    </row>
    <row r="235" spans="1:10" ht="12.75" customHeight="1" x14ac:dyDescent="0.25">
      <c r="A235" s="14" t="s">
        <v>32</v>
      </c>
      <c r="B235" s="15" t="s">
        <v>29</v>
      </c>
      <c r="C235" s="16">
        <v>168311.80885</v>
      </c>
      <c r="D235" s="17">
        <v>5.0974414900000001E-2</v>
      </c>
      <c r="E235" s="15" t="s">
        <v>21</v>
      </c>
      <c r="F235" s="16">
        <v>91731.60884999999</v>
      </c>
      <c r="G235" s="17">
        <v>0.10410453722</v>
      </c>
      <c r="H235" s="15" t="s">
        <v>24</v>
      </c>
      <c r="I235" s="16">
        <v>1111657.9920300001</v>
      </c>
      <c r="J235" s="17">
        <v>8.8037062979999997E-2</v>
      </c>
    </row>
    <row r="236" spans="1:10" ht="12.75" customHeight="1" x14ac:dyDescent="0.25">
      <c r="A236" s="10" t="s">
        <v>54</v>
      </c>
      <c r="B236" s="11" t="s">
        <v>31</v>
      </c>
      <c r="C236" s="12">
        <v>132500</v>
      </c>
      <c r="D236" s="13">
        <v>4.0128556760000003E-2</v>
      </c>
      <c r="E236" s="11"/>
      <c r="F236" s="12">
        <v>0</v>
      </c>
      <c r="G236" s="13"/>
      <c r="H236" s="11" t="s">
        <v>30</v>
      </c>
      <c r="I236" s="12">
        <v>132500</v>
      </c>
      <c r="J236" s="13">
        <v>1.049325506E-2</v>
      </c>
    </row>
    <row r="237" spans="1:10" ht="12.75" customHeight="1" x14ac:dyDescent="0.25">
      <c r="A237" s="14" t="s">
        <v>51</v>
      </c>
      <c r="B237" s="15" t="s">
        <v>30</v>
      </c>
      <c r="C237" s="16">
        <v>62366.666660000003</v>
      </c>
      <c r="D237" s="17">
        <v>1.8888183570000001E-2</v>
      </c>
      <c r="E237" s="15" t="s">
        <v>24</v>
      </c>
      <c r="F237" s="16">
        <v>62366.666660000003</v>
      </c>
      <c r="G237" s="17">
        <v>7.0778797539999994E-2</v>
      </c>
      <c r="H237" s="15" t="s">
        <v>42</v>
      </c>
      <c r="I237" s="16">
        <v>63323.666660000003</v>
      </c>
      <c r="J237" s="17">
        <v>5.0148783799999997E-3</v>
      </c>
    </row>
    <row r="238" spans="1:10" ht="12.75" customHeight="1" x14ac:dyDescent="0.25">
      <c r="A238" s="10" t="s">
        <v>71</v>
      </c>
      <c r="B238" s="11" t="s">
        <v>35</v>
      </c>
      <c r="C238" s="12">
        <v>59847.092499999999</v>
      </c>
      <c r="D238" s="13">
        <v>1.8125112820000001E-2</v>
      </c>
      <c r="E238" s="11"/>
      <c r="F238" s="12">
        <v>0</v>
      </c>
      <c r="G238" s="13"/>
      <c r="H238" s="11" t="s">
        <v>47</v>
      </c>
      <c r="I238" s="12">
        <v>60047.092499999999</v>
      </c>
      <c r="J238" s="13">
        <v>4.7553921300000001E-3</v>
      </c>
    </row>
    <row r="239" spans="1:10" ht="12.75" customHeight="1" x14ac:dyDescent="0.25">
      <c r="A239" s="14" t="s">
        <v>46</v>
      </c>
      <c r="B239" s="15" t="s">
        <v>37</v>
      </c>
      <c r="C239" s="16">
        <v>31818.364570000002</v>
      </c>
      <c r="D239" s="17">
        <v>9.6364154600000005E-3</v>
      </c>
      <c r="E239" s="15" t="s">
        <v>31</v>
      </c>
      <c r="F239" s="16">
        <v>14175.895839999999</v>
      </c>
      <c r="G239" s="17">
        <v>1.6087966780000001E-2</v>
      </c>
      <c r="H239" s="15" t="s">
        <v>37</v>
      </c>
      <c r="I239" s="16">
        <v>92420.35428</v>
      </c>
      <c r="J239" s="17">
        <v>7.3191724499999996E-3</v>
      </c>
    </row>
    <row r="240" spans="1:10" ht="12.75" customHeight="1" x14ac:dyDescent="0.25">
      <c r="A240" s="10" t="s">
        <v>25</v>
      </c>
      <c r="B240" s="11" t="s">
        <v>36</v>
      </c>
      <c r="C240" s="12">
        <v>29020.875</v>
      </c>
      <c r="D240" s="13">
        <v>8.7891760699999998E-3</v>
      </c>
      <c r="E240" s="11"/>
      <c r="F240" s="12">
        <v>0</v>
      </c>
      <c r="G240" s="13"/>
      <c r="H240" s="11" t="s">
        <v>29</v>
      </c>
      <c r="I240" s="12">
        <v>326705.875</v>
      </c>
      <c r="J240" s="13">
        <v>2.587326849E-2</v>
      </c>
    </row>
    <row r="241" spans="1:10" ht="12.75" customHeight="1" x14ac:dyDescent="0.25">
      <c r="A241" s="14" t="s">
        <v>41</v>
      </c>
      <c r="B241" s="15" t="s">
        <v>40</v>
      </c>
      <c r="C241" s="16">
        <v>23622.96869999999</v>
      </c>
      <c r="D241" s="17">
        <v>7.15438219E-3</v>
      </c>
      <c r="E241" s="15" t="s">
        <v>35</v>
      </c>
      <c r="F241" s="16">
        <v>1970.5</v>
      </c>
      <c r="G241" s="17">
        <v>2.2362846700000002E-3</v>
      </c>
      <c r="H241" s="15" t="s">
        <v>40</v>
      </c>
      <c r="I241" s="16">
        <v>81460.415999999968</v>
      </c>
      <c r="J241" s="17">
        <v>6.4512069599999998E-3</v>
      </c>
    </row>
    <row r="242" spans="1:10" ht="12.75" customHeight="1" x14ac:dyDescent="0.25">
      <c r="A242" s="10" t="s">
        <v>43</v>
      </c>
      <c r="B242" s="11" t="s">
        <v>42</v>
      </c>
      <c r="C242" s="12">
        <v>21000</v>
      </c>
      <c r="D242" s="13">
        <v>6.35999767E-3</v>
      </c>
      <c r="E242" s="11"/>
      <c r="F242" s="12">
        <v>0</v>
      </c>
      <c r="G242" s="13"/>
      <c r="H242" s="11" t="s">
        <v>44</v>
      </c>
      <c r="I242" s="12">
        <v>21000</v>
      </c>
      <c r="J242" s="13">
        <v>1.66308193E-3</v>
      </c>
    </row>
    <row r="243" spans="1:10" ht="12.75" customHeight="1" x14ac:dyDescent="0.25">
      <c r="A243" s="14" t="s">
        <v>33</v>
      </c>
      <c r="B243" s="15" t="s">
        <v>47</v>
      </c>
      <c r="C243" s="16">
        <v>15175</v>
      </c>
      <c r="D243" s="17">
        <v>4.5958554600000001E-3</v>
      </c>
      <c r="E243" s="15"/>
      <c r="F243" s="16">
        <v>0</v>
      </c>
      <c r="G243" s="17"/>
      <c r="H243" s="15" t="s">
        <v>36</v>
      </c>
      <c r="I243" s="16">
        <v>84297</v>
      </c>
      <c r="J243" s="17">
        <v>6.6758484599999997E-3</v>
      </c>
    </row>
    <row r="244" spans="1:10" ht="12.75" customHeight="1" x14ac:dyDescent="0.25">
      <c r="A244" s="10" t="s">
        <v>85</v>
      </c>
      <c r="B244" s="11" t="s">
        <v>49</v>
      </c>
      <c r="C244" s="12">
        <v>14229.999970000001</v>
      </c>
      <c r="D244" s="13">
        <v>4.3096555600000003E-3</v>
      </c>
      <c r="E244" s="11"/>
      <c r="F244" s="12">
        <v>0</v>
      </c>
      <c r="G244" s="13"/>
      <c r="H244" s="11" t="s">
        <v>45</v>
      </c>
      <c r="I244" s="12">
        <v>46456.999949999998</v>
      </c>
      <c r="J244" s="13">
        <v>3.6791331999999999E-3</v>
      </c>
    </row>
    <row r="245" spans="1:10" ht="12.75" customHeight="1" x14ac:dyDescent="0.25">
      <c r="A245" s="14" t="s">
        <v>86</v>
      </c>
      <c r="B245" s="15" t="s">
        <v>45</v>
      </c>
      <c r="C245" s="16">
        <v>13824.551649999999</v>
      </c>
      <c r="D245" s="17">
        <v>4.1868626800000003E-3</v>
      </c>
      <c r="E245" s="15" t="s">
        <v>30</v>
      </c>
      <c r="F245" s="16">
        <v>7482.0516799999996</v>
      </c>
      <c r="G245" s="17">
        <v>8.4912445900000005E-3</v>
      </c>
      <c r="H245" s="15" t="s">
        <v>55</v>
      </c>
      <c r="I245" s="16">
        <v>35982.702839999998</v>
      </c>
      <c r="J245" s="17">
        <v>2.84962776E-3</v>
      </c>
    </row>
    <row r="246" spans="1:10" ht="12.75" customHeight="1" x14ac:dyDescent="0.25">
      <c r="A246" s="10" t="s">
        <v>94</v>
      </c>
      <c r="B246" s="11" t="s">
        <v>50</v>
      </c>
      <c r="C246" s="12">
        <v>1078</v>
      </c>
      <c r="D246" s="13">
        <v>3.2647988000000002E-4</v>
      </c>
      <c r="E246" s="11" t="s">
        <v>37</v>
      </c>
      <c r="F246" s="12">
        <v>1021.5</v>
      </c>
      <c r="G246" s="13">
        <v>1.1592817999999999E-3</v>
      </c>
      <c r="H246" s="11" t="s">
        <v>56</v>
      </c>
      <c r="I246" s="12">
        <v>1078</v>
      </c>
      <c r="J246" s="13">
        <v>8.5371540000000004E-5</v>
      </c>
    </row>
    <row r="247" spans="1:10" ht="12.75" customHeight="1" x14ac:dyDescent="0.25">
      <c r="A247" s="14" t="s">
        <v>97</v>
      </c>
      <c r="B247" s="15" t="s">
        <v>55</v>
      </c>
      <c r="C247" s="16">
        <v>703.49996999999996</v>
      </c>
      <c r="D247" s="17">
        <v>2.1305991E-4</v>
      </c>
      <c r="E247" s="15"/>
      <c r="F247" s="16">
        <v>0</v>
      </c>
      <c r="G247" s="17"/>
      <c r="H247" s="15" t="s">
        <v>74</v>
      </c>
      <c r="I247" s="16">
        <v>703.99996999999996</v>
      </c>
      <c r="J247" s="17">
        <v>5.5752840000000002E-5</v>
      </c>
    </row>
    <row r="248" spans="1:10" ht="12.75" customHeight="1" x14ac:dyDescent="0.25">
      <c r="A248" s="10" t="s">
        <v>100</v>
      </c>
      <c r="B248" s="11" t="s">
        <v>44</v>
      </c>
      <c r="C248" s="12">
        <v>44.999989999999997</v>
      </c>
      <c r="D248" s="13">
        <v>1.3628559999999999E-5</v>
      </c>
      <c r="E248" s="11" t="s">
        <v>40</v>
      </c>
      <c r="F248" s="12">
        <v>20</v>
      </c>
      <c r="G248" s="13">
        <v>2.269764E-5</v>
      </c>
      <c r="H248" s="11" t="s">
        <v>67</v>
      </c>
      <c r="I248" s="12">
        <v>2078.4999600000001</v>
      </c>
      <c r="J248" s="13">
        <v>1.6460551000000001E-4</v>
      </c>
    </row>
    <row r="249" spans="1:10" ht="12.75" customHeight="1" x14ac:dyDescent="0.25">
      <c r="A249" s="14" t="s">
        <v>69</v>
      </c>
      <c r="B249" s="15"/>
      <c r="C249" s="16">
        <v>0</v>
      </c>
      <c r="D249" s="17"/>
      <c r="E249" s="15"/>
      <c r="F249" s="16">
        <v>0</v>
      </c>
      <c r="G249" s="17"/>
      <c r="H249" s="15" t="s">
        <v>35</v>
      </c>
      <c r="I249" s="16">
        <v>102500</v>
      </c>
      <c r="J249" s="17">
        <v>8.1174237199999992E-3</v>
      </c>
    </row>
    <row r="250" spans="1:10" ht="12.75" customHeight="1" x14ac:dyDescent="0.25">
      <c r="A250" s="10" t="s">
        <v>34</v>
      </c>
      <c r="B250" s="11"/>
      <c r="C250" s="12">
        <v>0</v>
      </c>
      <c r="D250" s="13"/>
      <c r="E250" s="11"/>
      <c r="F250" s="12">
        <v>0</v>
      </c>
      <c r="G250" s="13"/>
      <c r="H250" s="11" t="s">
        <v>49</v>
      </c>
      <c r="I250" s="12">
        <v>50000</v>
      </c>
      <c r="J250" s="13">
        <v>3.95971889E-3</v>
      </c>
    </row>
    <row r="251" spans="1:10" ht="12.75" customHeight="1" x14ac:dyDescent="0.25">
      <c r="A251" s="14" t="s">
        <v>108</v>
      </c>
      <c r="B251" s="15"/>
      <c r="C251" s="16">
        <v>0</v>
      </c>
      <c r="D251" s="17"/>
      <c r="E251" s="15"/>
      <c r="F251" s="16">
        <v>0</v>
      </c>
      <c r="G251" s="17"/>
      <c r="H251" s="15" t="s">
        <v>50</v>
      </c>
      <c r="I251" s="16">
        <v>40000</v>
      </c>
      <c r="J251" s="17">
        <v>3.1677751099999998E-3</v>
      </c>
    </row>
    <row r="252" spans="1:10" ht="12.75" customHeight="1" x14ac:dyDescent="0.25">
      <c r="A252" s="10" t="s">
        <v>90</v>
      </c>
      <c r="B252" s="11"/>
      <c r="C252" s="12">
        <v>0</v>
      </c>
      <c r="D252" s="13"/>
      <c r="E252" s="11"/>
      <c r="F252" s="12">
        <v>0</v>
      </c>
      <c r="G252" s="13"/>
      <c r="H252" s="11" t="s">
        <v>59</v>
      </c>
      <c r="I252" s="12">
        <v>5699.5</v>
      </c>
      <c r="J252" s="13">
        <v>4.5136835999999998E-4</v>
      </c>
    </row>
    <row r="253" spans="1:10" ht="12.75" customHeight="1" x14ac:dyDescent="0.25">
      <c r="A253" s="14" t="s">
        <v>92</v>
      </c>
      <c r="B253" s="15"/>
      <c r="C253" s="16">
        <v>0</v>
      </c>
      <c r="D253" s="17"/>
      <c r="E253" s="15"/>
      <c r="F253" s="16">
        <v>0</v>
      </c>
      <c r="G253" s="17"/>
      <c r="H253" s="15" t="s">
        <v>60</v>
      </c>
      <c r="I253" s="16">
        <v>2518</v>
      </c>
      <c r="J253" s="17">
        <v>1.9941144000000001E-4</v>
      </c>
    </row>
    <row r="254" spans="1:10" ht="12.75" customHeight="1" x14ac:dyDescent="0.25">
      <c r="A254" s="10" t="s">
        <v>110</v>
      </c>
      <c r="B254" s="11"/>
      <c r="C254" s="12">
        <v>0</v>
      </c>
      <c r="D254" s="13"/>
      <c r="E254" s="11"/>
      <c r="F254" s="12">
        <v>0</v>
      </c>
      <c r="G254" s="13"/>
      <c r="H254" s="11" t="s">
        <v>64</v>
      </c>
      <c r="I254" s="12">
        <v>2250.5</v>
      </c>
      <c r="J254" s="13">
        <v>1.7822695E-4</v>
      </c>
    </row>
    <row r="255" spans="1:10" ht="12.75" customHeight="1" x14ac:dyDescent="0.25">
      <c r="A255" s="14" t="s">
        <v>112</v>
      </c>
      <c r="B255" s="15"/>
      <c r="C255" s="16">
        <v>0</v>
      </c>
      <c r="D255" s="17"/>
      <c r="E255" s="15"/>
      <c r="F255" s="16">
        <v>0</v>
      </c>
      <c r="G255" s="17"/>
      <c r="H255" s="15" t="s">
        <v>70</v>
      </c>
      <c r="I255" s="16">
        <v>1292.0002300000001</v>
      </c>
      <c r="J255" s="17">
        <v>1.0231915E-4</v>
      </c>
    </row>
    <row r="256" spans="1:10" ht="12.75" customHeight="1" x14ac:dyDescent="0.25">
      <c r="A256" s="10" t="s">
        <v>114</v>
      </c>
      <c r="B256" s="11"/>
      <c r="C256" s="12">
        <v>0</v>
      </c>
      <c r="D256" s="13"/>
      <c r="E256" s="11"/>
      <c r="F256" s="12">
        <v>0</v>
      </c>
      <c r="G256" s="13"/>
      <c r="H256" s="11" t="s">
        <v>53</v>
      </c>
      <c r="I256" s="12">
        <v>2.5</v>
      </c>
      <c r="J256" s="13">
        <v>1.9798999999999999E-7</v>
      </c>
    </row>
    <row r="257" spans="1:10" ht="12.75" customHeight="1" x14ac:dyDescent="0.25">
      <c r="A257" s="18" t="s">
        <v>116</v>
      </c>
      <c r="B257" s="19"/>
      <c r="C257" s="20">
        <f>SUM(C228:C256)</f>
        <v>3301887.9995200001</v>
      </c>
      <c r="D257" s="21">
        <f>ROUND(SUM(D228:D256), 1)</f>
        <v>1</v>
      </c>
      <c r="E257" s="19"/>
      <c r="F257" s="20">
        <f>SUM(F228:F256)</f>
        <v>881148.99985999998</v>
      </c>
      <c r="G257" s="21">
        <f>ROUND(SUM(G228:G256), 1)</f>
        <v>1</v>
      </c>
      <c r="H257" s="19"/>
      <c r="I257" s="20">
        <f>SUM(I228:I256)</f>
        <v>12627158.998289997</v>
      </c>
      <c r="J257" s="21">
        <f>ROUND(SUM(J228:J256), 1)</f>
        <v>1</v>
      </c>
    </row>
    <row r="260" spans="1:10" ht="12.75" customHeight="1" x14ac:dyDescent="0.3">
      <c r="A260" s="26" t="s">
        <v>123</v>
      </c>
      <c r="B260" s="24"/>
      <c r="C260" s="24"/>
      <c r="D260" s="24"/>
      <c r="E260" s="24"/>
      <c r="F260" s="24"/>
      <c r="G260" s="24"/>
      <c r="H260" s="24"/>
      <c r="I260" s="24"/>
      <c r="J260" s="27"/>
    </row>
    <row r="261" spans="1:10" ht="12.75" customHeight="1" x14ac:dyDescent="0.25">
      <c r="A261" s="28" t="s">
        <v>5</v>
      </c>
      <c r="B261" s="28" t="s">
        <v>6</v>
      </c>
      <c r="C261" s="28"/>
      <c r="D261" s="28"/>
      <c r="E261" s="28" t="s">
        <v>7</v>
      </c>
      <c r="F261" s="28"/>
      <c r="G261" s="28"/>
      <c r="H261" s="28" t="s">
        <v>8</v>
      </c>
      <c r="I261" s="28"/>
      <c r="J261" s="29"/>
    </row>
    <row r="262" spans="1:10" ht="12.75" customHeight="1" x14ac:dyDescent="0.25">
      <c r="A262" s="28"/>
      <c r="B262" s="8" t="s">
        <v>9</v>
      </c>
      <c r="C262" s="8" t="s">
        <v>10</v>
      </c>
      <c r="D262" s="8" t="s">
        <v>11</v>
      </c>
      <c r="E262" s="8" t="s">
        <v>12</v>
      </c>
      <c r="F262" s="8" t="s">
        <v>10</v>
      </c>
      <c r="G262" s="8" t="s">
        <v>11</v>
      </c>
      <c r="H262" s="8" t="s">
        <v>13</v>
      </c>
      <c r="I262" s="8" t="s">
        <v>10</v>
      </c>
      <c r="J262" s="9" t="s">
        <v>11</v>
      </c>
    </row>
    <row r="263" spans="1:10" ht="12.75" customHeight="1" x14ac:dyDescent="0.25">
      <c r="A263" s="10" t="s">
        <v>16</v>
      </c>
      <c r="B263" s="11" t="s">
        <v>15</v>
      </c>
      <c r="C263" s="12">
        <v>185000</v>
      </c>
      <c r="D263" s="13">
        <v>0.89156626506000003</v>
      </c>
      <c r="E263" s="11"/>
      <c r="F263" s="12">
        <v>0</v>
      </c>
      <c r="G263" s="13"/>
      <c r="H263" s="11" t="s">
        <v>15</v>
      </c>
      <c r="I263" s="12">
        <v>185000</v>
      </c>
      <c r="J263" s="13">
        <v>0.45739843626999999</v>
      </c>
    </row>
    <row r="264" spans="1:10" ht="12.75" customHeight="1" x14ac:dyDescent="0.25">
      <c r="A264" s="14" t="s">
        <v>20</v>
      </c>
      <c r="B264" s="15" t="s">
        <v>17</v>
      </c>
      <c r="C264" s="16">
        <v>22500</v>
      </c>
      <c r="D264" s="17">
        <v>0.10843373494</v>
      </c>
      <c r="E264" s="15" t="s">
        <v>15</v>
      </c>
      <c r="F264" s="16">
        <v>22500</v>
      </c>
      <c r="G264" s="17">
        <v>1</v>
      </c>
      <c r="H264" s="15" t="s">
        <v>21</v>
      </c>
      <c r="I264" s="16">
        <v>22500</v>
      </c>
      <c r="J264" s="17">
        <v>5.5629539550000003E-2</v>
      </c>
    </row>
    <row r="265" spans="1:10" ht="12.75" customHeight="1" x14ac:dyDescent="0.25">
      <c r="A265" s="10" t="s">
        <v>14</v>
      </c>
      <c r="B265" s="11"/>
      <c r="C265" s="12">
        <v>0</v>
      </c>
      <c r="D265" s="13"/>
      <c r="E265" s="11"/>
      <c r="F265" s="12">
        <v>0</v>
      </c>
      <c r="G265" s="13"/>
      <c r="H265" s="11" t="s">
        <v>17</v>
      </c>
      <c r="I265" s="12">
        <v>140000</v>
      </c>
      <c r="J265" s="13">
        <v>0.34613935718</v>
      </c>
    </row>
    <row r="266" spans="1:10" ht="12.75" customHeight="1" x14ac:dyDescent="0.25">
      <c r="A266" s="14" t="s">
        <v>43</v>
      </c>
      <c r="B266" s="15"/>
      <c r="C266" s="16">
        <v>0</v>
      </c>
      <c r="D266" s="17"/>
      <c r="E266" s="15"/>
      <c r="F266" s="16">
        <v>0</v>
      </c>
      <c r="G266" s="17"/>
      <c r="H266" s="15" t="s">
        <v>19</v>
      </c>
      <c r="I266" s="16">
        <v>56961.374000000003</v>
      </c>
      <c r="J266" s="17">
        <v>0.14083266699999999</v>
      </c>
    </row>
    <row r="267" spans="1:10" ht="12.75" customHeight="1" x14ac:dyDescent="0.25">
      <c r="A267" s="18" t="s">
        <v>116</v>
      </c>
      <c r="B267" s="19"/>
      <c r="C267" s="20">
        <f>SUM(C263:C266)</f>
        <v>207500</v>
      </c>
      <c r="D267" s="21">
        <f>ROUND(SUM(D263:D266), 1)</f>
        <v>1</v>
      </c>
      <c r="E267" s="19"/>
      <c r="F267" s="20">
        <f>SUM(F263:F266)</f>
        <v>22500</v>
      </c>
      <c r="G267" s="21">
        <f>ROUND(SUM(G263:G266), 1)</f>
        <v>1</v>
      </c>
      <c r="H267" s="19"/>
      <c r="I267" s="20">
        <f>SUM(I263:I266)</f>
        <v>404461.37400000001</v>
      </c>
      <c r="J267" s="21">
        <f>ROUND(SUM(J263:J266), 1)</f>
        <v>1</v>
      </c>
    </row>
    <row r="270" spans="1:10" ht="12.75" customHeight="1" x14ac:dyDescent="0.3">
      <c r="A270" s="26" t="s">
        <v>124</v>
      </c>
      <c r="B270" s="24"/>
      <c r="C270" s="24"/>
      <c r="D270" s="24"/>
      <c r="E270" s="24"/>
      <c r="F270" s="24"/>
      <c r="G270" s="24"/>
      <c r="H270" s="24"/>
      <c r="I270" s="24"/>
      <c r="J270" s="27"/>
    </row>
    <row r="271" spans="1:10" ht="12.75" customHeight="1" x14ac:dyDescent="0.25">
      <c r="A271" s="28" t="s">
        <v>5</v>
      </c>
      <c r="B271" s="28" t="s">
        <v>6</v>
      </c>
      <c r="C271" s="28"/>
      <c r="D271" s="28"/>
      <c r="E271" s="28" t="s">
        <v>7</v>
      </c>
      <c r="F271" s="28"/>
      <c r="G271" s="28"/>
      <c r="H271" s="28" t="s">
        <v>8</v>
      </c>
      <c r="I271" s="28"/>
      <c r="J271" s="29"/>
    </row>
    <row r="272" spans="1:10" ht="12.75" customHeight="1" x14ac:dyDescent="0.25">
      <c r="A272" s="28"/>
      <c r="B272" s="8" t="s">
        <v>9</v>
      </c>
      <c r="C272" s="8" t="s">
        <v>10</v>
      </c>
      <c r="D272" s="8" t="s">
        <v>11</v>
      </c>
      <c r="E272" s="8" t="s">
        <v>12</v>
      </c>
      <c r="F272" s="8" t="s">
        <v>10</v>
      </c>
      <c r="G272" s="8" t="s">
        <v>11</v>
      </c>
      <c r="H272" s="8" t="s">
        <v>13</v>
      </c>
      <c r="I272" s="8" t="s">
        <v>10</v>
      </c>
      <c r="J272" s="9" t="s">
        <v>11</v>
      </c>
    </row>
    <row r="273" spans="1:10" ht="12.75" customHeight="1" x14ac:dyDescent="0.25">
      <c r="A273" s="10" t="s">
        <v>14</v>
      </c>
      <c r="B273" s="11" t="s">
        <v>15</v>
      </c>
      <c r="C273" s="12">
        <v>14165635.9771</v>
      </c>
      <c r="D273" s="13">
        <v>0.43890721597999999</v>
      </c>
      <c r="E273" s="11" t="s">
        <v>15</v>
      </c>
      <c r="F273" s="12">
        <v>6271442.8060299996</v>
      </c>
      <c r="G273" s="13">
        <v>0.44059101282000002</v>
      </c>
      <c r="H273" s="11" t="s">
        <v>17</v>
      </c>
      <c r="I273" s="12">
        <v>16560192.448820001</v>
      </c>
      <c r="J273" s="13">
        <v>0.34166229002999998</v>
      </c>
    </row>
    <row r="274" spans="1:10" ht="12.75" customHeight="1" x14ac:dyDescent="0.25">
      <c r="A274" s="14" t="s">
        <v>23</v>
      </c>
      <c r="B274" s="15" t="s">
        <v>17</v>
      </c>
      <c r="C274" s="16">
        <v>12514457.0306</v>
      </c>
      <c r="D274" s="17">
        <v>0.38774718648000001</v>
      </c>
      <c r="E274" s="15" t="s">
        <v>17</v>
      </c>
      <c r="F274" s="16">
        <v>5814832.5702999998</v>
      </c>
      <c r="G274" s="17">
        <v>0.40851253064999998</v>
      </c>
      <c r="H274" s="15" t="s">
        <v>15</v>
      </c>
      <c r="I274" s="16">
        <v>20503587.38789</v>
      </c>
      <c r="J274" s="17">
        <v>0.42302060453000001</v>
      </c>
    </row>
    <row r="275" spans="1:10" ht="12.75" customHeight="1" x14ac:dyDescent="0.25">
      <c r="A275" s="10" t="s">
        <v>32</v>
      </c>
      <c r="B275" s="11" t="s">
        <v>19</v>
      </c>
      <c r="C275" s="12">
        <v>2096082.8585399999</v>
      </c>
      <c r="D275" s="13">
        <v>6.4944905639999995E-2</v>
      </c>
      <c r="E275" s="11" t="s">
        <v>19</v>
      </c>
      <c r="F275" s="12">
        <v>636310.28113999998</v>
      </c>
      <c r="G275" s="13">
        <v>4.4703045199999999E-2</v>
      </c>
      <c r="H275" s="11" t="s">
        <v>19</v>
      </c>
      <c r="I275" s="12">
        <v>3428583.20854</v>
      </c>
      <c r="J275" s="13">
        <v>7.0736955150000003E-2</v>
      </c>
    </row>
    <row r="276" spans="1:10" ht="12.75" customHeight="1" x14ac:dyDescent="0.25">
      <c r="A276" s="14" t="s">
        <v>18</v>
      </c>
      <c r="B276" s="15" t="s">
        <v>21</v>
      </c>
      <c r="C276" s="16">
        <v>1247693.3838</v>
      </c>
      <c r="D276" s="17">
        <v>3.8658457010000001E-2</v>
      </c>
      <c r="E276" s="15" t="s">
        <v>21</v>
      </c>
      <c r="F276" s="16">
        <v>597361.62788000016</v>
      </c>
      <c r="G276" s="17">
        <v>4.196676471E-2</v>
      </c>
      <c r="H276" s="15" t="s">
        <v>22</v>
      </c>
      <c r="I276" s="16">
        <v>1783722.5508900001</v>
      </c>
      <c r="J276" s="17">
        <v>3.6800945000000002E-2</v>
      </c>
    </row>
    <row r="277" spans="1:10" ht="12.75" customHeight="1" x14ac:dyDescent="0.25">
      <c r="A277" s="10" t="s">
        <v>34</v>
      </c>
      <c r="B277" s="11" t="s">
        <v>22</v>
      </c>
      <c r="C277" s="12">
        <v>1196611.8218799999</v>
      </c>
      <c r="D277" s="13">
        <v>3.7075748960000002E-2</v>
      </c>
      <c r="E277" s="11" t="s">
        <v>31</v>
      </c>
      <c r="F277" s="12">
        <v>90000</v>
      </c>
      <c r="G277" s="13">
        <v>6.3228179500000002E-3</v>
      </c>
      <c r="H277" s="11" t="s">
        <v>21</v>
      </c>
      <c r="I277" s="12">
        <v>2749346.5825800011</v>
      </c>
      <c r="J277" s="13">
        <v>5.6723256829999999E-2</v>
      </c>
    </row>
    <row r="278" spans="1:10" ht="12.75" customHeight="1" x14ac:dyDescent="0.25">
      <c r="A278" s="14" t="s">
        <v>58</v>
      </c>
      <c r="B278" s="15" t="s">
        <v>24</v>
      </c>
      <c r="C278" s="16">
        <v>247326.89490000001</v>
      </c>
      <c r="D278" s="17">
        <v>7.6631616899999998E-3</v>
      </c>
      <c r="E278" s="15" t="s">
        <v>22</v>
      </c>
      <c r="F278" s="16">
        <v>247326.89490000001</v>
      </c>
      <c r="G278" s="17">
        <v>1.737558812E-2</v>
      </c>
      <c r="H278" s="15" t="s">
        <v>29</v>
      </c>
      <c r="I278" s="16">
        <v>372246.64889999997</v>
      </c>
      <c r="J278" s="17">
        <v>7.6800220099999999E-3</v>
      </c>
    </row>
    <row r="279" spans="1:10" ht="12.75" customHeight="1" x14ac:dyDescent="0.25">
      <c r="A279" s="10" t="s">
        <v>16</v>
      </c>
      <c r="B279" s="11" t="s">
        <v>27</v>
      </c>
      <c r="C279" s="12">
        <v>242532.26306999999</v>
      </c>
      <c r="D279" s="13">
        <v>7.5146051000000002E-3</v>
      </c>
      <c r="E279" s="11" t="s">
        <v>24</v>
      </c>
      <c r="F279" s="12">
        <v>241024.81916000001</v>
      </c>
      <c r="G279" s="13">
        <v>1.6932845039999998E-2</v>
      </c>
      <c r="H279" s="11" t="s">
        <v>24</v>
      </c>
      <c r="I279" s="12">
        <v>1532135.4973200001</v>
      </c>
      <c r="J279" s="13">
        <v>3.1610316380000003E-2</v>
      </c>
    </row>
    <row r="280" spans="1:10" ht="12.75" customHeight="1" x14ac:dyDescent="0.25">
      <c r="A280" s="14" t="s">
        <v>43</v>
      </c>
      <c r="B280" s="15" t="s">
        <v>29</v>
      </c>
      <c r="C280" s="16">
        <v>105000</v>
      </c>
      <c r="D280" s="17">
        <v>3.2533137100000001E-3</v>
      </c>
      <c r="E280" s="15" t="s">
        <v>27</v>
      </c>
      <c r="F280" s="16">
        <v>105000</v>
      </c>
      <c r="G280" s="17">
        <v>7.3766209400000001E-3</v>
      </c>
      <c r="H280" s="15" t="s">
        <v>30</v>
      </c>
      <c r="I280" s="16">
        <v>105000</v>
      </c>
      <c r="J280" s="17">
        <v>2.16631181E-3</v>
      </c>
    </row>
    <row r="281" spans="1:10" ht="12.75" customHeight="1" x14ac:dyDescent="0.25">
      <c r="A281" s="10" t="s">
        <v>61</v>
      </c>
      <c r="B281" s="11" t="s">
        <v>31</v>
      </c>
      <c r="C281" s="12">
        <v>93660.213180000006</v>
      </c>
      <c r="D281" s="13">
        <v>2.9019624300000001E-3</v>
      </c>
      <c r="E281" s="11" t="s">
        <v>29</v>
      </c>
      <c r="F281" s="12">
        <v>93660.213180000006</v>
      </c>
      <c r="G281" s="13">
        <v>6.5799608600000002E-3</v>
      </c>
      <c r="H281" s="11" t="s">
        <v>37</v>
      </c>
      <c r="I281" s="12">
        <v>93660.213180000006</v>
      </c>
      <c r="J281" s="13">
        <v>1.9323545299999999E-3</v>
      </c>
    </row>
    <row r="282" spans="1:10" ht="12.75" customHeight="1" x14ac:dyDescent="0.25">
      <c r="A282" s="14" t="s">
        <v>71</v>
      </c>
      <c r="B282" s="15" t="s">
        <v>30</v>
      </c>
      <c r="C282" s="16">
        <v>82645.80128</v>
      </c>
      <c r="D282" s="17">
        <v>2.5606925499999998E-3</v>
      </c>
      <c r="E282" s="15" t="s">
        <v>30</v>
      </c>
      <c r="F282" s="16">
        <v>82500</v>
      </c>
      <c r="G282" s="17">
        <v>5.7959164599999998E-3</v>
      </c>
      <c r="H282" s="15" t="s">
        <v>36</v>
      </c>
      <c r="I282" s="16">
        <v>82645.80128</v>
      </c>
      <c r="J282" s="17">
        <v>1.70511024E-3</v>
      </c>
    </row>
    <row r="283" spans="1:10" ht="12.75" customHeight="1" x14ac:dyDescent="0.25">
      <c r="A283" s="10" t="s">
        <v>125</v>
      </c>
      <c r="B283" s="11" t="s">
        <v>35</v>
      </c>
      <c r="C283" s="12">
        <v>81934.162240000005</v>
      </c>
      <c r="D283" s="13">
        <v>2.5386431699999999E-3</v>
      </c>
      <c r="E283" s="11" t="s">
        <v>36</v>
      </c>
      <c r="F283" s="12">
        <v>7492</v>
      </c>
      <c r="G283" s="13">
        <v>5.2633946999999998E-4</v>
      </c>
      <c r="H283" s="11" t="s">
        <v>40</v>
      </c>
      <c r="I283" s="12">
        <v>81934.162240000005</v>
      </c>
      <c r="J283" s="13">
        <v>1.69042803E-3</v>
      </c>
    </row>
    <row r="284" spans="1:10" ht="12.75" customHeight="1" x14ac:dyDescent="0.25">
      <c r="A284" s="14" t="s">
        <v>28</v>
      </c>
      <c r="B284" s="15" t="s">
        <v>37</v>
      </c>
      <c r="C284" s="16">
        <v>75000</v>
      </c>
      <c r="D284" s="17">
        <v>2.3237955000000002E-3</v>
      </c>
      <c r="E284" s="15"/>
      <c r="F284" s="16">
        <v>0</v>
      </c>
      <c r="G284" s="17"/>
      <c r="H284" s="15" t="s">
        <v>42</v>
      </c>
      <c r="I284" s="16">
        <v>75000</v>
      </c>
      <c r="J284" s="17">
        <v>1.54736558E-3</v>
      </c>
    </row>
    <row r="285" spans="1:10" ht="12.75" customHeight="1" x14ac:dyDescent="0.25">
      <c r="A285" s="10" t="s">
        <v>20</v>
      </c>
      <c r="B285" s="11" t="s">
        <v>36</v>
      </c>
      <c r="C285" s="12">
        <v>39090.791010000001</v>
      </c>
      <c r="D285" s="13">
        <v>1.2111867300000001E-3</v>
      </c>
      <c r="E285" s="11" t="s">
        <v>45</v>
      </c>
      <c r="F285" s="12">
        <v>19.606480000000001</v>
      </c>
      <c r="G285" s="13">
        <v>1.3774200000000001E-6</v>
      </c>
      <c r="H285" s="11" t="s">
        <v>45</v>
      </c>
      <c r="I285" s="12">
        <v>39090.791010000001</v>
      </c>
      <c r="J285" s="13">
        <v>8.0650326000000002E-4</v>
      </c>
    </row>
    <row r="286" spans="1:10" ht="12.75" customHeight="1" x14ac:dyDescent="0.25">
      <c r="A286" s="14" t="s">
        <v>82</v>
      </c>
      <c r="B286" s="15" t="s">
        <v>40</v>
      </c>
      <c r="C286" s="16">
        <v>26504.1</v>
      </c>
      <c r="D286" s="17">
        <v>8.2120144999999996E-4</v>
      </c>
      <c r="E286" s="15" t="s">
        <v>35</v>
      </c>
      <c r="F286" s="16">
        <v>26504.1</v>
      </c>
      <c r="G286" s="17">
        <v>1.86200666E-3</v>
      </c>
      <c r="H286" s="15" t="s">
        <v>55</v>
      </c>
      <c r="I286" s="16">
        <v>26504.1</v>
      </c>
      <c r="J286" s="17">
        <v>5.4682042999999996E-4</v>
      </c>
    </row>
    <row r="287" spans="1:10" ht="12.75" customHeight="1" x14ac:dyDescent="0.25">
      <c r="A287" s="10" t="s">
        <v>41</v>
      </c>
      <c r="B287" s="11" t="s">
        <v>42</v>
      </c>
      <c r="C287" s="12">
        <v>20080.167819999999</v>
      </c>
      <c r="D287" s="13">
        <v>6.2216272000000005E-4</v>
      </c>
      <c r="E287" s="11" t="s">
        <v>37</v>
      </c>
      <c r="F287" s="12">
        <v>15374.3004</v>
      </c>
      <c r="G287" s="13">
        <v>1.08009892E-3</v>
      </c>
      <c r="H287" s="11" t="s">
        <v>49</v>
      </c>
      <c r="I287" s="12">
        <v>69367.136379999996</v>
      </c>
      <c r="J287" s="13">
        <v>1.43115092E-3</v>
      </c>
    </row>
    <row r="288" spans="1:10" ht="12.75" customHeight="1" x14ac:dyDescent="0.25">
      <c r="A288" s="14" t="s">
        <v>26</v>
      </c>
      <c r="B288" s="15" t="s">
        <v>47</v>
      </c>
      <c r="C288" s="16">
        <v>9900</v>
      </c>
      <c r="D288" s="17">
        <v>3.0674100999999998E-4</v>
      </c>
      <c r="E288" s="15"/>
      <c r="F288" s="16">
        <v>0</v>
      </c>
      <c r="G288" s="17"/>
      <c r="H288" s="15" t="s">
        <v>47</v>
      </c>
      <c r="I288" s="16">
        <v>71900</v>
      </c>
      <c r="J288" s="17">
        <v>1.4834078E-3</v>
      </c>
    </row>
    <row r="289" spans="1:10" ht="12.75" customHeight="1" x14ac:dyDescent="0.25">
      <c r="A289" s="10" t="s">
        <v>38</v>
      </c>
      <c r="B289" s="11" t="s">
        <v>49</v>
      </c>
      <c r="C289" s="12">
        <v>9353.9506400000009</v>
      </c>
      <c r="D289" s="13">
        <v>2.8982224999999999E-4</v>
      </c>
      <c r="E289" s="11" t="s">
        <v>40</v>
      </c>
      <c r="F289" s="12">
        <v>4840.0608400000001</v>
      </c>
      <c r="G289" s="13">
        <v>3.4003137000000001E-4</v>
      </c>
      <c r="H289" s="11" t="s">
        <v>31</v>
      </c>
      <c r="I289" s="12">
        <v>251750.98994999999</v>
      </c>
      <c r="J289" s="13">
        <v>5.1940108799999997E-3</v>
      </c>
    </row>
    <row r="290" spans="1:10" ht="12.75" customHeight="1" x14ac:dyDescent="0.25">
      <c r="A290" s="14" t="s">
        <v>126</v>
      </c>
      <c r="B290" s="15" t="s">
        <v>45</v>
      </c>
      <c r="C290" s="16">
        <v>8071.5334699999994</v>
      </c>
      <c r="D290" s="17">
        <v>2.5008791000000002E-4</v>
      </c>
      <c r="E290" s="15"/>
      <c r="F290" s="16">
        <v>0</v>
      </c>
      <c r="G290" s="17"/>
      <c r="H290" s="15" t="s">
        <v>60</v>
      </c>
      <c r="I290" s="16">
        <v>8071.5334699999994</v>
      </c>
      <c r="J290" s="17">
        <v>1.6652816999999999E-4</v>
      </c>
    </row>
    <row r="291" spans="1:10" ht="12.75" customHeight="1" x14ac:dyDescent="0.25">
      <c r="A291" s="10" t="s">
        <v>90</v>
      </c>
      <c r="B291" s="11" t="s">
        <v>50</v>
      </c>
      <c r="C291" s="12">
        <v>5838.7642599999999</v>
      </c>
      <c r="D291" s="13">
        <v>1.8090791999999999E-4</v>
      </c>
      <c r="E291" s="11"/>
      <c r="F291" s="12">
        <v>0</v>
      </c>
      <c r="G291" s="13"/>
      <c r="H291" s="11" t="s">
        <v>59</v>
      </c>
      <c r="I291" s="12">
        <v>8112.5153</v>
      </c>
      <c r="J291" s="13">
        <v>1.6737368999999999E-4</v>
      </c>
    </row>
    <row r="292" spans="1:10" ht="12.75" customHeight="1" x14ac:dyDescent="0.25">
      <c r="A292" s="14" t="s">
        <v>85</v>
      </c>
      <c r="B292" s="15" t="s">
        <v>55</v>
      </c>
      <c r="C292" s="16">
        <v>4458.5595599999997</v>
      </c>
      <c r="D292" s="17">
        <v>1.3814373999999999E-4</v>
      </c>
      <c r="E292" s="15"/>
      <c r="F292" s="16">
        <v>0</v>
      </c>
      <c r="G292" s="17"/>
      <c r="H292" s="15" t="s">
        <v>64</v>
      </c>
      <c r="I292" s="16">
        <v>4458.5595599999997</v>
      </c>
      <c r="J292" s="17">
        <v>9.1986949999999995E-5</v>
      </c>
    </row>
    <row r="293" spans="1:10" ht="12.75" customHeight="1" x14ac:dyDescent="0.25">
      <c r="A293" s="10" t="s">
        <v>112</v>
      </c>
      <c r="B293" s="11" t="s">
        <v>44</v>
      </c>
      <c r="C293" s="12">
        <v>1115.0975800000001</v>
      </c>
      <c r="D293" s="13">
        <v>3.4550120000000001E-5</v>
      </c>
      <c r="E293" s="11"/>
      <c r="F293" s="12">
        <v>0</v>
      </c>
      <c r="G293" s="13"/>
      <c r="H293" s="11" t="s">
        <v>67</v>
      </c>
      <c r="I293" s="12">
        <v>1115.0975800000001</v>
      </c>
      <c r="J293" s="13">
        <v>2.3006179999999999E-5</v>
      </c>
    </row>
    <row r="294" spans="1:10" ht="12.75" customHeight="1" x14ac:dyDescent="0.25">
      <c r="A294" s="14" t="s">
        <v>86</v>
      </c>
      <c r="B294" s="15" t="s">
        <v>59</v>
      </c>
      <c r="C294" s="16">
        <v>998.88287000000003</v>
      </c>
      <c r="D294" s="17">
        <v>3.0949330000000001E-5</v>
      </c>
      <c r="E294" s="15" t="s">
        <v>49</v>
      </c>
      <c r="F294" s="16">
        <v>79.983879999999999</v>
      </c>
      <c r="G294" s="17">
        <v>5.6191500000000002E-6</v>
      </c>
      <c r="H294" s="15" t="s">
        <v>70</v>
      </c>
      <c r="I294" s="16">
        <v>1007.51238</v>
      </c>
      <c r="J294" s="17">
        <v>2.078653E-5</v>
      </c>
    </row>
    <row r="295" spans="1:10" ht="12.75" customHeight="1" x14ac:dyDescent="0.25">
      <c r="A295" s="10" t="s">
        <v>114</v>
      </c>
      <c r="B295" s="11" t="s">
        <v>60</v>
      </c>
      <c r="C295" s="12">
        <v>519.97549000000004</v>
      </c>
      <c r="D295" s="13">
        <v>1.6110890000000001E-5</v>
      </c>
      <c r="E295" s="11" t="s">
        <v>47</v>
      </c>
      <c r="F295" s="12">
        <v>117.71244</v>
      </c>
      <c r="G295" s="13">
        <v>8.2697100000000005E-6</v>
      </c>
      <c r="H295" s="11" t="s">
        <v>56</v>
      </c>
      <c r="I295" s="12">
        <v>731.92849000000001</v>
      </c>
      <c r="J295" s="13">
        <v>1.510081E-5</v>
      </c>
    </row>
    <row r="296" spans="1:10" ht="12.75" customHeight="1" x14ac:dyDescent="0.25">
      <c r="A296" s="14" t="s">
        <v>100</v>
      </c>
      <c r="B296" s="15" t="s">
        <v>64</v>
      </c>
      <c r="C296" s="16">
        <v>260.85840000000002</v>
      </c>
      <c r="D296" s="17">
        <v>8.0824200000000005E-6</v>
      </c>
      <c r="E296" s="15" t="s">
        <v>42</v>
      </c>
      <c r="F296" s="16">
        <v>260.85840000000002</v>
      </c>
      <c r="G296" s="17">
        <v>1.8326219999999999E-5</v>
      </c>
      <c r="H296" s="15" t="s">
        <v>74</v>
      </c>
      <c r="I296" s="16">
        <v>260.85840000000002</v>
      </c>
      <c r="J296" s="17">
        <v>5.3819099999999999E-6</v>
      </c>
    </row>
    <row r="297" spans="1:10" ht="12.75" customHeight="1" x14ac:dyDescent="0.25">
      <c r="A297" s="10" t="s">
        <v>97</v>
      </c>
      <c r="B297" s="11" t="s">
        <v>67</v>
      </c>
      <c r="C297" s="12">
        <v>10.2425</v>
      </c>
      <c r="D297" s="13">
        <v>3.1735000000000002E-7</v>
      </c>
      <c r="E297" s="11" t="s">
        <v>50</v>
      </c>
      <c r="F297" s="12">
        <v>10.2425</v>
      </c>
      <c r="G297" s="13">
        <v>7.1956999999999998E-7</v>
      </c>
      <c r="H297" s="11" t="s">
        <v>53</v>
      </c>
      <c r="I297" s="12">
        <v>10.2425</v>
      </c>
      <c r="J297" s="13">
        <v>2.1131999999999999E-7</v>
      </c>
    </row>
    <row r="298" spans="1:10" ht="12.75" customHeight="1" x14ac:dyDescent="0.25">
      <c r="A298" s="14" t="s">
        <v>92</v>
      </c>
      <c r="B298" s="15" t="s">
        <v>70</v>
      </c>
      <c r="C298" s="16">
        <v>1.5478799999999999</v>
      </c>
      <c r="D298" s="17">
        <v>4.7960000000000001E-8</v>
      </c>
      <c r="E298" s="15" t="s">
        <v>55</v>
      </c>
      <c r="F298" s="16">
        <v>1.5478799999999999</v>
      </c>
      <c r="G298" s="17">
        <v>1.0874000000000001E-7</v>
      </c>
      <c r="H298" s="15" t="s">
        <v>62</v>
      </c>
      <c r="I298" s="16">
        <v>1.5478799999999999</v>
      </c>
      <c r="J298" s="17">
        <v>3.194E-8</v>
      </c>
    </row>
    <row r="299" spans="1:10" ht="12.75" customHeight="1" x14ac:dyDescent="0.25">
      <c r="A299" s="10" t="s">
        <v>25</v>
      </c>
      <c r="B299" s="11"/>
      <c r="C299" s="12">
        <v>0</v>
      </c>
      <c r="D299" s="13"/>
      <c r="E299" s="11"/>
      <c r="F299" s="12">
        <v>0</v>
      </c>
      <c r="G299" s="13"/>
      <c r="H299" s="11" t="s">
        <v>27</v>
      </c>
      <c r="I299" s="12">
        <v>467978.11447999987</v>
      </c>
      <c r="J299" s="13">
        <v>9.6551096700000002E-3</v>
      </c>
    </row>
    <row r="300" spans="1:10" ht="12.75" customHeight="1" x14ac:dyDescent="0.25">
      <c r="A300" s="14" t="s">
        <v>81</v>
      </c>
      <c r="B300" s="15"/>
      <c r="C300" s="16">
        <v>0</v>
      </c>
      <c r="D300" s="17"/>
      <c r="E300" s="15"/>
      <c r="F300" s="16">
        <v>0</v>
      </c>
      <c r="G300" s="17"/>
      <c r="H300" s="15" t="s">
        <v>35</v>
      </c>
      <c r="I300" s="16">
        <v>100616.3</v>
      </c>
      <c r="J300" s="17">
        <v>2.0758693200000002E-3</v>
      </c>
    </row>
    <row r="301" spans="1:10" ht="12.75" customHeight="1" x14ac:dyDescent="0.25">
      <c r="A301" s="10" t="s">
        <v>46</v>
      </c>
      <c r="B301" s="11"/>
      <c r="C301" s="12">
        <v>0</v>
      </c>
      <c r="D301" s="13"/>
      <c r="E301" s="11"/>
      <c r="F301" s="12">
        <v>0</v>
      </c>
      <c r="G301" s="13"/>
      <c r="H301" s="11" t="s">
        <v>50</v>
      </c>
      <c r="I301" s="12">
        <v>28899.730159999999</v>
      </c>
      <c r="J301" s="13">
        <v>5.9624597000000005E-4</v>
      </c>
    </row>
    <row r="302" spans="1:10" ht="12.75" customHeight="1" x14ac:dyDescent="0.25">
      <c r="A302" s="14" t="s">
        <v>104</v>
      </c>
      <c r="B302" s="15"/>
      <c r="C302" s="16">
        <v>0</v>
      </c>
      <c r="D302" s="17"/>
      <c r="E302" s="15"/>
      <c r="F302" s="16">
        <v>0</v>
      </c>
      <c r="G302" s="17"/>
      <c r="H302" s="15" t="s">
        <v>44</v>
      </c>
      <c r="I302" s="16">
        <v>21545.36666</v>
      </c>
      <c r="J302" s="17">
        <v>4.4451411999999997E-4</v>
      </c>
    </row>
    <row r="303" spans="1:10" ht="12.75" customHeight="1" x14ac:dyDescent="0.25">
      <c r="A303" s="18" t="s">
        <v>116</v>
      </c>
      <c r="B303" s="19"/>
      <c r="C303" s="20">
        <f>SUM(C273:C302)</f>
        <v>32274784.878070004</v>
      </c>
      <c r="D303" s="21">
        <f>ROUND(SUM(D273:D302), 1)</f>
        <v>1</v>
      </c>
      <c r="E303" s="19"/>
      <c r="F303" s="20">
        <f>SUM(F273:F302)</f>
        <v>14234159.625409998</v>
      </c>
      <c r="G303" s="21">
        <f>ROUND(SUM(G273:G302), 1)</f>
        <v>1</v>
      </c>
      <c r="H303" s="19"/>
      <c r="I303" s="20">
        <f>SUM(I273:I302)</f>
        <v>48469476.825839981</v>
      </c>
      <c r="J303" s="21">
        <f>ROUND(SUM(J273:J302), 1)</f>
        <v>1</v>
      </c>
    </row>
    <row r="306" spans="1:10" ht="12.75" customHeight="1" x14ac:dyDescent="0.3">
      <c r="A306" s="26" t="s">
        <v>127</v>
      </c>
      <c r="B306" s="24"/>
      <c r="C306" s="24"/>
      <c r="D306" s="24"/>
      <c r="E306" s="24"/>
      <c r="F306" s="24"/>
      <c r="G306" s="24"/>
      <c r="H306" s="24"/>
      <c r="I306" s="24"/>
      <c r="J306" s="27"/>
    </row>
    <row r="307" spans="1:10" ht="12.75" customHeight="1" x14ac:dyDescent="0.25">
      <c r="A307" s="28" t="s">
        <v>5</v>
      </c>
      <c r="B307" s="28" t="s">
        <v>6</v>
      </c>
      <c r="C307" s="28"/>
      <c r="D307" s="28"/>
      <c r="E307" s="28" t="s">
        <v>7</v>
      </c>
      <c r="F307" s="28"/>
      <c r="G307" s="28"/>
      <c r="H307" s="28" t="s">
        <v>8</v>
      </c>
      <c r="I307" s="28"/>
      <c r="J307" s="29"/>
    </row>
    <row r="308" spans="1:10" ht="12.75" customHeight="1" x14ac:dyDescent="0.25">
      <c r="A308" s="28"/>
      <c r="B308" s="8" t="s">
        <v>9</v>
      </c>
      <c r="C308" s="8" t="s">
        <v>10</v>
      </c>
      <c r="D308" s="8" t="s">
        <v>11</v>
      </c>
      <c r="E308" s="8" t="s">
        <v>12</v>
      </c>
      <c r="F308" s="8" t="s">
        <v>10</v>
      </c>
      <c r="G308" s="8" t="s">
        <v>11</v>
      </c>
      <c r="H308" s="8" t="s">
        <v>13</v>
      </c>
      <c r="I308" s="8" t="s">
        <v>10</v>
      </c>
      <c r="J308" s="9" t="s">
        <v>11</v>
      </c>
    </row>
    <row r="309" spans="1:10" ht="12.75" customHeight="1" x14ac:dyDescent="0.25">
      <c r="A309" s="10" t="s">
        <v>16</v>
      </c>
      <c r="B309" s="11"/>
      <c r="C309" s="12">
        <v>0</v>
      </c>
      <c r="D309" s="13"/>
      <c r="E309" s="11"/>
      <c r="F309" s="12">
        <v>0</v>
      </c>
      <c r="G309" s="13"/>
      <c r="H309" s="11" t="s">
        <v>15</v>
      </c>
      <c r="I309" s="12">
        <v>467978.11447999987</v>
      </c>
      <c r="J309" s="13">
        <v>0.5</v>
      </c>
    </row>
    <row r="310" spans="1:10" ht="12.75" customHeight="1" x14ac:dyDescent="0.25">
      <c r="A310" s="14" t="s">
        <v>25</v>
      </c>
      <c r="B310" s="15"/>
      <c r="C310" s="16">
        <v>0</v>
      </c>
      <c r="D310" s="17"/>
      <c r="E310" s="15"/>
      <c r="F310" s="16">
        <v>0</v>
      </c>
      <c r="G310" s="17"/>
      <c r="H310" s="15" t="s">
        <v>15</v>
      </c>
      <c r="I310" s="16">
        <v>467978.11447999987</v>
      </c>
      <c r="J310" s="17">
        <v>0.5</v>
      </c>
    </row>
    <row r="311" spans="1:10" ht="12.75" customHeight="1" x14ac:dyDescent="0.25">
      <c r="A311" s="18" t="s">
        <v>116</v>
      </c>
      <c r="B311" s="19"/>
      <c r="C311" s="20">
        <f>SUM(C309:C310)</f>
        <v>0</v>
      </c>
      <c r="D311" s="21">
        <f>ROUND(SUM(D309:D310), 1)</f>
        <v>0</v>
      </c>
      <c r="E311" s="19"/>
      <c r="F311" s="20">
        <f>SUM(F309:F310)</f>
        <v>0</v>
      </c>
      <c r="G311" s="21">
        <f>ROUND(SUM(G309:G310), 1)</f>
        <v>0</v>
      </c>
      <c r="H311" s="19"/>
      <c r="I311" s="20">
        <f>SUM(I309:I310)</f>
        <v>935956.22895999975</v>
      </c>
      <c r="J311" s="21">
        <f>ROUND(SUM(J309:J310), 1)</f>
        <v>1</v>
      </c>
    </row>
    <row r="314" spans="1:10" ht="12.75" customHeight="1" x14ac:dyDescent="0.3">
      <c r="A314" s="26" t="s">
        <v>128</v>
      </c>
      <c r="B314" s="24"/>
      <c r="C314" s="24"/>
      <c r="D314" s="24"/>
      <c r="E314" s="24"/>
      <c r="F314" s="24"/>
      <c r="G314" s="24"/>
      <c r="H314" s="24"/>
      <c r="I314" s="24"/>
      <c r="J314" s="27"/>
    </row>
    <row r="315" spans="1:10" ht="12.75" customHeight="1" x14ac:dyDescent="0.25">
      <c r="A315" s="28" t="s">
        <v>5</v>
      </c>
      <c r="B315" s="28" t="s">
        <v>6</v>
      </c>
      <c r="C315" s="28"/>
      <c r="D315" s="28"/>
      <c r="E315" s="28" t="s">
        <v>7</v>
      </c>
      <c r="F315" s="28"/>
      <c r="G315" s="28"/>
      <c r="H315" s="28" t="s">
        <v>8</v>
      </c>
      <c r="I315" s="28"/>
      <c r="J315" s="29"/>
    </row>
    <row r="316" spans="1:10" ht="12.75" customHeight="1" x14ac:dyDescent="0.25">
      <c r="A316" s="28"/>
      <c r="B316" s="8" t="s">
        <v>9</v>
      </c>
      <c r="C316" s="8" t="s">
        <v>10</v>
      </c>
      <c r="D316" s="8" t="s">
        <v>11</v>
      </c>
      <c r="E316" s="8" t="s">
        <v>12</v>
      </c>
      <c r="F316" s="8" t="s">
        <v>10</v>
      </c>
      <c r="G316" s="8" t="s">
        <v>11</v>
      </c>
      <c r="H316" s="8" t="s">
        <v>13</v>
      </c>
      <c r="I316" s="8" t="s">
        <v>10</v>
      </c>
      <c r="J316" s="9" t="s">
        <v>11</v>
      </c>
    </row>
    <row r="317" spans="1:10" ht="12.75" customHeight="1" x14ac:dyDescent="0.25">
      <c r="A317" s="10" t="s">
        <v>23</v>
      </c>
      <c r="B317" s="11" t="s">
        <v>15</v>
      </c>
      <c r="C317" s="12">
        <v>10353820.006929999</v>
      </c>
      <c r="D317" s="13">
        <v>0.52483883612000004</v>
      </c>
      <c r="E317" s="11" t="s">
        <v>15</v>
      </c>
      <c r="F317" s="12">
        <v>5268915.2395000001</v>
      </c>
      <c r="G317" s="13">
        <v>0.66465961864000001</v>
      </c>
      <c r="H317" s="11" t="s">
        <v>15</v>
      </c>
      <c r="I317" s="12">
        <v>17694364.06422</v>
      </c>
      <c r="J317" s="13">
        <v>0.52941769868999999</v>
      </c>
    </row>
    <row r="318" spans="1:10" ht="12.75" customHeight="1" x14ac:dyDescent="0.25">
      <c r="A318" s="14" t="s">
        <v>14</v>
      </c>
      <c r="B318" s="15" t="s">
        <v>17</v>
      </c>
      <c r="C318" s="16">
        <v>5032505.9771000007</v>
      </c>
      <c r="D318" s="17">
        <v>0.25509952636</v>
      </c>
      <c r="E318" s="15" t="s">
        <v>17</v>
      </c>
      <c r="F318" s="16">
        <v>911723.80602999998</v>
      </c>
      <c r="G318" s="17">
        <v>0.11501152888000001</v>
      </c>
      <c r="H318" s="15" t="s">
        <v>17</v>
      </c>
      <c r="I318" s="16">
        <v>7229062.4488200014</v>
      </c>
      <c r="J318" s="17">
        <v>0.21629449871</v>
      </c>
    </row>
    <row r="319" spans="1:10" ht="12.75" customHeight="1" x14ac:dyDescent="0.25">
      <c r="A319" s="10" t="s">
        <v>32</v>
      </c>
      <c r="B319" s="11" t="s">
        <v>19</v>
      </c>
      <c r="C319" s="12">
        <v>1575232.8585399999</v>
      </c>
      <c r="D319" s="13">
        <v>7.9849116509999998E-2</v>
      </c>
      <c r="E319" s="11" t="s">
        <v>19</v>
      </c>
      <c r="F319" s="12">
        <v>636310.28113999998</v>
      </c>
      <c r="G319" s="13">
        <v>8.0268846539999994E-2</v>
      </c>
      <c r="H319" s="11" t="s">
        <v>19</v>
      </c>
      <c r="I319" s="12">
        <v>2907733.20854</v>
      </c>
      <c r="J319" s="13">
        <v>8.6999759809999994E-2</v>
      </c>
    </row>
    <row r="320" spans="1:10" ht="12.75" customHeight="1" x14ac:dyDescent="0.25">
      <c r="A320" s="14" t="s">
        <v>34</v>
      </c>
      <c r="B320" s="15" t="s">
        <v>21</v>
      </c>
      <c r="C320" s="16">
        <v>1196611.8218799999</v>
      </c>
      <c r="D320" s="17">
        <v>6.0656680859999999E-2</v>
      </c>
      <c r="E320" s="15" t="s">
        <v>29</v>
      </c>
      <c r="F320" s="16">
        <v>90000</v>
      </c>
      <c r="G320" s="17">
        <v>1.13532602E-2</v>
      </c>
      <c r="H320" s="15" t="s">
        <v>21</v>
      </c>
      <c r="I320" s="16">
        <v>2749346.5825800011</v>
      </c>
      <c r="J320" s="17">
        <v>8.2260811150000002E-2</v>
      </c>
    </row>
    <row r="321" spans="1:10" ht="12.75" customHeight="1" x14ac:dyDescent="0.25">
      <c r="A321" s="10" t="s">
        <v>18</v>
      </c>
      <c r="B321" s="11" t="s">
        <v>22</v>
      </c>
      <c r="C321" s="12">
        <v>707345.48380000005</v>
      </c>
      <c r="D321" s="13">
        <v>3.5855595349999998E-2</v>
      </c>
      <c r="E321" s="11" t="s">
        <v>21</v>
      </c>
      <c r="F321" s="12">
        <v>303936.62787999999</v>
      </c>
      <c r="G321" s="13">
        <v>3.8340795779999999E-2</v>
      </c>
      <c r="H321" s="11" t="s">
        <v>24</v>
      </c>
      <c r="I321" s="12">
        <v>830317.45088999998</v>
      </c>
      <c r="J321" s="13">
        <v>2.4843207270000001E-2</v>
      </c>
    </row>
    <row r="322" spans="1:10" ht="12.75" customHeight="1" x14ac:dyDescent="0.25">
      <c r="A322" s="14" t="s">
        <v>58</v>
      </c>
      <c r="B322" s="15" t="s">
        <v>24</v>
      </c>
      <c r="C322" s="16">
        <v>247326.89490000001</v>
      </c>
      <c r="D322" s="17">
        <v>1.253708869E-2</v>
      </c>
      <c r="E322" s="15" t="s">
        <v>22</v>
      </c>
      <c r="F322" s="16">
        <v>247326.89490000001</v>
      </c>
      <c r="G322" s="17">
        <v>3.11996288E-2</v>
      </c>
      <c r="H322" s="15" t="s">
        <v>27</v>
      </c>
      <c r="I322" s="16">
        <v>372246.64889999997</v>
      </c>
      <c r="J322" s="17">
        <v>1.113766867E-2</v>
      </c>
    </row>
    <row r="323" spans="1:10" ht="12.75" customHeight="1" x14ac:dyDescent="0.25">
      <c r="A323" s="10" t="s">
        <v>16</v>
      </c>
      <c r="B323" s="11" t="s">
        <v>27</v>
      </c>
      <c r="C323" s="12">
        <v>242532.26306999999</v>
      </c>
      <c r="D323" s="13">
        <v>1.229404708E-2</v>
      </c>
      <c r="E323" s="11" t="s">
        <v>24</v>
      </c>
      <c r="F323" s="12">
        <v>241024.81916000001</v>
      </c>
      <c r="G323" s="13">
        <v>3.040463874E-2</v>
      </c>
      <c r="H323" s="11" t="s">
        <v>22</v>
      </c>
      <c r="I323" s="12">
        <v>1064157.3828400001</v>
      </c>
      <c r="J323" s="13">
        <v>3.183972878E-2</v>
      </c>
    </row>
    <row r="324" spans="1:10" ht="12.75" customHeight="1" x14ac:dyDescent="0.25">
      <c r="A324" s="14" t="s">
        <v>43</v>
      </c>
      <c r="B324" s="15" t="s">
        <v>29</v>
      </c>
      <c r="C324" s="16">
        <v>105000</v>
      </c>
      <c r="D324" s="17">
        <v>5.3224875200000004E-3</v>
      </c>
      <c r="E324" s="15" t="s">
        <v>27</v>
      </c>
      <c r="F324" s="16">
        <v>105000</v>
      </c>
      <c r="G324" s="17">
        <v>1.324547023E-2</v>
      </c>
      <c r="H324" s="15" t="s">
        <v>29</v>
      </c>
      <c r="I324" s="16">
        <v>105000</v>
      </c>
      <c r="J324" s="17">
        <v>3.1416138E-3</v>
      </c>
    </row>
    <row r="325" spans="1:10" ht="12.75" customHeight="1" x14ac:dyDescent="0.25">
      <c r="A325" s="10" t="s">
        <v>71</v>
      </c>
      <c r="B325" s="11" t="s">
        <v>31</v>
      </c>
      <c r="C325" s="12">
        <v>82645.80128</v>
      </c>
      <c r="D325" s="13">
        <v>4.1893451999999998E-3</v>
      </c>
      <c r="E325" s="11" t="s">
        <v>31</v>
      </c>
      <c r="F325" s="12">
        <v>82500</v>
      </c>
      <c r="G325" s="13">
        <v>1.0407155180000001E-2</v>
      </c>
      <c r="H325" s="11" t="s">
        <v>30</v>
      </c>
      <c r="I325" s="12">
        <v>82645.80128</v>
      </c>
      <c r="J325" s="13">
        <v>2.4727732400000001E-3</v>
      </c>
    </row>
    <row r="326" spans="1:10" ht="12.75" customHeight="1" x14ac:dyDescent="0.25">
      <c r="A326" s="14" t="s">
        <v>28</v>
      </c>
      <c r="B326" s="15" t="s">
        <v>30</v>
      </c>
      <c r="C326" s="16">
        <v>75000</v>
      </c>
      <c r="D326" s="17">
        <v>3.8017768E-3</v>
      </c>
      <c r="E326" s="15"/>
      <c r="F326" s="16">
        <v>0</v>
      </c>
      <c r="G326" s="17"/>
      <c r="H326" s="15" t="s">
        <v>35</v>
      </c>
      <c r="I326" s="16">
        <v>75000</v>
      </c>
      <c r="J326" s="17">
        <v>2.24400986E-3</v>
      </c>
    </row>
    <row r="327" spans="1:10" ht="12.75" customHeight="1" x14ac:dyDescent="0.25">
      <c r="A327" s="10" t="s">
        <v>20</v>
      </c>
      <c r="B327" s="11" t="s">
        <v>35</v>
      </c>
      <c r="C327" s="12">
        <v>39090.791010000001</v>
      </c>
      <c r="D327" s="13">
        <v>1.9815261700000001E-3</v>
      </c>
      <c r="E327" s="11" t="s">
        <v>49</v>
      </c>
      <c r="F327" s="12">
        <v>19.606480000000001</v>
      </c>
      <c r="G327" s="13">
        <v>2.47331E-6</v>
      </c>
      <c r="H327" s="11" t="s">
        <v>36</v>
      </c>
      <c r="I327" s="12">
        <v>39090.791010000001</v>
      </c>
      <c r="J327" s="13">
        <v>1.1696016100000001E-3</v>
      </c>
    </row>
    <row r="328" spans="1:10" ht="12.75" customHeight="1" x14ac:dyDescent="0.25">
      <c r="A328" s="14" t="s">
        <v>41</v>
      </c>
      <c r="B328" s="15" t="s">
        <v>37</v>
      </c>
      <c r="C328" s="16">
        <v>15446.767819999999</v>
      </c>
      <c r="D328" s="17">
        <v>7.8300218000000002E-4</v>
      </c>
      <c r="E328" s="15" t="s">
        <v>35</v>
      </c>
      <c r="F328" s="16">
        <v>10740.9004</v>
      </c>
      <c r="G328" s="17">
        <v>1.3549359700000001E-3</v>
      </c>
      <c r="H328" s="15" t="s">
        <v>37</v>
      </c>
      <c r="I328" s="16">
        <v>64733.736379999988</v>
      </c>
      <c r="J328" s="17">
        <v>1.9368419E-3</v>
      </c>
    </row>
    <row r="329" spans="1:10" ht="12.75" customHeight="1" x14ac:dyDescent="0.25">
      <c r="A329" s="10" t="s">
        <v>61</v>
      </c>
      <c r="B329" s="11" t="s">
        <v>36</v>
      </c>
      <c r="C329" s="12">
        <v>14330</v>
      </c>
      <c r="D329" s="13">
        <v>7.2639282000000005E-4</v>
      </c>
      <c r="E329" s="11" t="s">
        <v>30</v>
      </c>
      <c r="F329" s="12">
        <v>14330</v>
      </c>
      <c r="G329" s="13">
        <v>1.80769132E-3</v>
      </c>
      <c r="H329" s="11" t="s">
        <v>47</v>
      </c>
      <c r="I329" s="12">
        <v>14330</v>
      </c>
      <c r="J329" s="13">
        <v>4.2875547999999999E-4</v>
      </c>
    </row>
    <row r="330" spans="1:10" ht="12.75" customHeight="1" x14ac:dyDescent="0.25">
      <c r="A330" s="14" t="s">
        <v>82</v>
      </c>
      <c r="B330" s="15" t="s">
        <v>40</v>
      </c>
      <c r="C330" s="16">
        <v>10099.799999999999</v>
      </c>
      <c r="D330" s="17">
        <v>5.1196246999999999E-4</v>
      </c>
      <c r="E330" s="15" t="s">
        <v>37</v>
      </c>
      <c r="F330" s="16">
        <v>10099.799999999999</v>
      </c>
      <c r="G330" s="17">
        <v>1.2740628600000001E-3</v>
      </c>
      <c r="H330" s="15" t="s">
        <v>49</v>
      </c>
      <c r="I330" s="16">
        <v>10099.799999999999</v>
      </c>
      <c r="J330" s="17">
        <v>3.0218733999999998E-4</v>
      </c>
    </row>
    <row r="331" spans="1:10" ht="12.75" customHeight="1" x14ac:dyDescent="0.25">
      <c r="A331" s="10" t="s">
        <v>38</v>
      </c>
      <c r="B331" s="11" t="s">
        <v>42</v>
      </c>
      <c r="C331" s="12">
        <v>9353.9506400000009</v>
      </c>
      <c r="D331" s="13">
        <v>4.7415510000000001E-4</v>
      </c>
      <c r="E331" s="11" t="s">
        <v>36</v>
      </c>
      <c r="F331" s="12">
        <v>4840.0608400000001</v>
      </c>
      <c r="G331" s="13">
        <v>6.1056078000000004E-4</v>
      </c>
      <c r="H331" s="11" t="s">
        <v>45</v>
      </c>
      <c r="I331" s="12">
        <v>9353.9506400000009</v>
      </c>
      <c r="J331" s="13">
        <v>2.7987143000000002E-4</v>
      </c>
    </row>
    <row r="332" spans="1:10" ht="12.75" customHeight="1" x14ac:dyDescent="0.25">
      <c r="A332" s="14" t="s">
        <v>126</v>
      </c>
      <c r="B332" s="15" t="s">
        <v>47</v>
      </c>
      <c r="C332" s="16">
        <v>8071.5334699999994</v>
      </c>
      <c r="D332" s="17">
        <v>4.0914891999999998E-4</v>
      </c>
      <c r="E332" s="15"/>
      <c r="F332" s="16">
        <v>0</v>
      </c>
      <c r="G332" s="17"/>
      <c r="H332" s="15" t="s">
        <v>55</v>
      </c>
      <c r="I332" s="16">
        <v>8071.5334699999994</v>
      </c>
      <c r="J332" s="17">
        <v>2.4150134E-4</v>
      </c>
    </row>
    <row r="333" spans="1:10" ht="12.75" customHeight="1" x14ac:dyDescent="0.25">
      <c r="A333" s="10" t="s">
        <v>90</v>
      </c>
      <c r="B333" s="11" t="s">
        <v>49</v>
      </c>
      <c r="C333" s="12">
        <v>5838.7642599999999</v>
      </c>
      <c r="D333" s="13">
        <v>2.9596905E-4</v>
      </c>
      <c r="E333" s="11"/>
      <c r="F333" s="12">
        <v>0</v>
      </c>
      <c r="G333" s="13"/>
      <c r="H333" s="11" t="s">
        <v>50</v>
      </c>
      <c r="I333" s="12">
        <v>8112.5153</v>
      </c>
      <c r="J333" s="13">
        <v>2.4272751999999999E-4</v>
      </c>
    </row>
    <row r="334" spans="1:10" ht="12.75" customHeight="1" x14ac:dyDescent="0.25">
      <c r="A334" s="14" t="s">
        <v>85</v>
      </c>
      <c r="B334" s="15" t="s">
        <v>45</v>
      </c>
      <c r="C334" s="16">
        <v>4458.5595599999997</v>
      </c>
      <c r="D334" s="17">
        <v>2.2600598E-4</v>
      </c>
      <c r="E334" s="15"/>
      <c r="F334" s="16">
        <v>0</v>
      </c>
      <c r="G334" s="17"/>
      <c r="H334" s="15" t="s">
        <v>44</v>
      </c>
      <c r="I334" s="16">
        <v>4458.5595599999997</v>
      </c>
      <c r="J334" s="17">
        <v>1.3340069E-4</v>
      </c>
    </row>
    <row r="335" spans="1:10" ht="12.75" customHeight="1" x14ac:dyDescent="0.25">
      <c r="A335" s="10" t="s">
        <v>112</v>
      </c>
      <c r="B335" s="11" t="s">
        <v>50</v>
      </c>
      <c r="C335" s="12">
        <v>1115.0975800000001</v>
      </c>
      <c r="D335" s="13">
        <v>5.6524689999999997E-5</v>
      </c>
      <c r="E335" s="11"/>
      <c r="F335" s="12">
        <v>0</v>
      </c>
      <c r="G335" s="13"/>
      <c r="H335" s="11" t="s">
        <v>59</v>
      </c>
      <c r="I335" s="12">
        <v>1115.0975800000001</v>
      </c>
      <c r="J335" s="13">
        <v>3.3363869999999999E-5</v>
      </c>
    </row>
    <row r="336" spans="1:10" ht="12.75" customHeight="1" x14ac:dyDescent="0.25">
      <c r="A336" s="14" t="s">
        <v>86</v>
      </c>
      <c r="B336" s="15" t="s">
        <v>55</v>
      </c>
      <c r="C336" s="16">
        <v>998.88287000000003</v>
      </c>
      <c r="D336" s="17">
        <v>5.0633729999999998E-5</v>
      </c>
      <c r="E336" s="15" t="s">
        <v>47</v>
      </c>
      <c r="F336" s="16">
        <v>79.983879999999999</v>
      </c>
      <c r="G336" s="17">
        <v>1.0089749999999999E-5</v>
      </c>
      <c r="H336" s="15" t="s">
        <v>60</v>
      </c>
      <c r="I336" s="16">
        <v>1007.51238</v>
      </c>
      <c r="J336" s="17">
        <v>3.01449E-5</v>
      </c>
    </row>
    <row r="337" spans="1:10" ht="12.75" customHeight="1" x14ac:dyDescent="0.25">
      <c r="A337" s="10" t="s">
        <v>114</v>
      </c>
      <c r="B337" s="11" t="s">
        <v>44</v>
      </c>
      <c r="C337" s="12">
        <v>519.97549000000004</v>
      </c>
      <c r="D337" s="13">
        <v>2.6357739999999999E-5</v>
      </c>
      <c r="E337" s="11" t="s">
        <v>42</v>
      </c>
      <c r="F337" s="12">
        <v>117.71244</v>
      </c>
      <c r="G337" s="13">
        <v>1.4849110000000001E-5</v>
      </c>
      <c r="H337" s="11" t="s">
        <v>64</v>
      </c>
      <c r="I337" s="12">
        <v>731.92849000000001</v>
      </c>
      <c r="J337" s="13">
        <v>2.1899399999999999E-5</v>
      </c>
    </row>
    <row r="338" spans="1:10" ht="12.75" customHeight="1" x14ac:dyDescent="0.25">
      <c r="A338" s="14" t="s">
        <v>100</v>
      </c>
      <c r="B338" s="15" t="s">
        <v>59</v>
      </c>
      <c r="C338" s="16">
        <v>260.85840000000002</v>
      </c>
      <c r="D338" s="17">
        <v>1.3223009999999999E-5</v>
      </c>
      <c r="E338" s="15" t="s">
        <v>40</v>
      </c>
      <c r="F338" s="16">
        <v>260.85840000000002</v>
      </c>
      <c r="G338" s="17">
        <v>3.290659E-5</v>
      </c>
      <c r="H338" s="15" t="s">
        <v>67</v>
      </c>
      <c r="I338" s="16">
        <v>260.85840000000002</v>
      </c>
      <c r="J338" s="17">
        <v>7.8049200000000001E-6</v>
      </c>
    </row>
    <row r="339" spans="1:10" ht="12.75" customHeight="1" x14ac:dyDescent="0.25">
      <c r="A339" s="10" t="s">
        <v>97</v>
      </c>
      <c r="B339" s="11" t="s">
        <v>60</v>
      </c>
      <c r="C339" s="12">
        <v>10.2425</v>
      </c>
      <c r="D339" s="13">
        <v>5.1920000000000004E-7</v>
      </c>
      <c r="E339" s="11" t="s">
        <v>45</v>
      </c>
      <c r="F339" s="12">
        <v>10.2425</v>
      </c>
      <c r="G339" s="13">
        <v>1.29206E-6</v>
      </c>
      <c r="H339" s="11" t="s">
        <v>70</v>
      </c>
      <c r="I339" s="12">
        <v>10.2425</v>
      </c>
      <c r="J339" s="13">
        <v>3.0646000000000001E-7</v>
      </c>
    </row>
    <row r="340" spans="1:10" ht="12.75" customHeight="1" x14ac:dyDescent="0.25">
      <c r="A340" s="14" t="s">
        <v>92</v>
      </c>
      <c r="B340" s="15" t="s">
        <v>64</v>
      </c>
      <c r="C340" s="16">
        <v>1.5478799999999999</v>
      </c>
      <c r="D340" s="17">
        <v>7.8460000000000002E-8</v>
      </c>
      <c r="E340" s="15" t="s">
        <v>50</v>
      </c>
      <c r="F340" s="16">
        <v>1.5478799999999999</v>
      </c>
      <c r="G340" s="17">
        <v>1.9525999999999999E-7</v>
      </c>
      <c r="H340" s="15" t="s">
        <v>56</v>
      </c>
      <c r="I340" s="16">
        <v>1.5478799999999999</v>
      </c>
      <c r="J340" s="17">
        <v>4.6310000000000002E-8</v>
      </c>
    </row>
    <row r="341" spans="1:10" ht="12.75" customHeight="1" x14ac:dyDescent="0.25">
      <c r="A341" s="10" t="s">
        <v>81</v>
      </c>
      <c r="B341" s="11"/>
      <c r="C341" s="12">
        <v>0</v>
      </c>
      <c r="D341" s="13"/>
      <c r="E341" s="11"/>
      <c r="F341" s="12">
        <v>0</v>
      </c>
      <c r="G341" s="13"/>
      <c r="H341" s="11" t="s">
        <v>31</v>
      </c>
      <c r="I341" s="12">
        <v>100616.3</v>
      </c>
      <c r="J341" s="13">
        <v>3.0104529200000001E-3</v>
      </c>
    </row>
    <row r="342" spans="1:10" ht="12.75" customHeight="1" x14ac:dyDescent="0.25">
      <c r="A342" s="14" t="s">
        <v>46</v>
      </c>
      <c r="B342" s="15"/>
      <c r="C342" s="16">
        <v>0</v>
      </c>
      <c r="D342" s="17"/>
      <c r="E342" s="15"/>
      <c r="F342" s="16">
        <v>0</v>
      </c>
      <c r="G342" s="17"/>
      <c r="H342" s="15" t="s">
        <v>40</v>
      </c>
      <c r="I342" s="16">
        <v>28899.730159999999</v>
      </c>
      <c r="J342" s="17">
        <v>8.6468373E-4</v>
      </c>
    </row>
    <row r="343" spans="1:10" ht="12.75" customHeight="1" x14ac:dyDescent="0.25">
      <c r="A343" s="10" t="s">
        <v>104</v>
      </c>
      <c r="B343" s="11"/>
      <c r="C343" s="12">
        <v>0</v>
      </c>
      <c r="D343" s="13"/>
      <c r="E343" s="11"/>
      <c r="F343" s="12">
        <v>0</v>
      </c>
      <c r="G343" s="13"/>
      <c r="H343" s="11" t="s">
        <v>42</v>
      </c>
      <c r="I343" s="12">
        <v>21545.36666</v>
      </c>
      <c r="J343" s="13">
        <v>6.4464019999999999E-4</v>
      </c>
    </row>
    <row r="344" spans="1:10" ht="12.75" customHeight="1" x14ac:dyDescent="0.25">
      <c r="A344" s="18" t="s">
        <v>116</v>
      </c>
      <c r="B344" s="19"/>
      <c r="C344" s="20">
        <f>SUM(C317:C343)</f>
        <v>19727617.878980007</v>
      </c>
      <c r="D344" s="21">
        <f>ROUND(SUM(D317:D343), 1)</f>
        <v>1</v>
      </c>
      <c r="E344" s="19"/>
      <c r="F344" s="20">
        <f>SUM(F317:F343)</f>
        <v>7927238.3814299991</v>
      </c>
      <c r="G344" s="21">
        <f>ROUND(SUM(G317:G343), 1)</f>
        <v>1</v>
      </c>
      <c r="H344" s="19"/>
      <c r="I344" s="20">
        <f>SUM(I317:I343)</f>
        <v>33422313.058480006</v>
      </c>
      <c r="J344" s="21">
        <f>ROUND(SUM(J317:J343), 1)</f>
        <v>1</v>
      </c>
    </row>
    <row r="347" spans="1:10" ht="12.75" customHeight="1" x14ac:dyDescent="0.3">
      <c r="A347" s="26" t="s">
        <v>129</v>
      </c>
      <c r="B347" s="24"/>
      <c r="C347" s="24"/>
      <c r="D347" s="24"/>
      <c r="E347" s="24"/>
      <c r="F347" s="24"/>
      <c r="G347" s="24"/>
      <c r="H347" s="24"/>
      <c r="I347" s="24"/>
      <c r="J347" s="27"/>
    </row>
    <row r="348" spans="1:10" ht="12.75" customHeight="1" x14ac:dyDescent="0.25">
      <c r="A348" s="28" t="s">
        <v>5</v>
      </c>
      <c r="B348" s="28" t="s">
        <v>6</v>
      </c>
      <c r="C348" s="28"/>
      <c r="D348" s="28"/>
      <c r="E348" s="28" t="s">
        <v>7</v>
      </c>
      <c r="F348" s="28"/>
      <c r="G348" s="28"/>
      <c r="H348" s="28" t="s">
        <v>8</v>
      </c>
      <c r="I348" s="28"/>
      <c r="J348" s="29"/>
    </row>
    <row r="349" spans="1:10" ht="12.75" customHeight="1" x14ac:dyDescent="0.25">
      <c r="A349" s="28"/>
      <c r="B349" s="8" t="s">
        <v>9</v>
      </c>
      <c r="C349" s="8" t="s">
        <v>10</v>
      </c>
      <c r="D349" s="8" t="s">
        <v>11</v>
      </c>
      <c r="E349" s="8" t="s">
        <v>12</v>
      </c>
      <c r="F349" s="8" t="s">
        <v>10</v>
      </c>
      <c r="G349" s="8" t="s">
        <v>11</v>
      </c>
      <c r="H349" s="8" t="s">
        <v>13</v>
      </c>
      <c r="I349" s="8" t="s">
        <v>10</v>
      </c>
      <c r="J349" s="9" t="s">
        <v>11</v>
      </c>
    </row>
    <row r="350" spans="1:10" ht="12.75" customHeight="1" x14ac:dyDescent="0.25">
      <c r="A350" s="10" t="s">
        <v>38</v>
      </c>
      <c r="B350" s="11"/>
      <c r="C350" s="12">
        <v>0</v>
      </c>
      <c r="D350" s="13"/>
      <c r="E350" s="11"/>
      <c r="F350" s="12">
        <v>0</v>
      </c>
      <c r="G350" s="13"/>
      <c r="H350" s="11" t="s">
        <v>15</v>
      </c>
      <c r="I350" s="12">
        <v>242397.03930999999</v>
      </c>
      <c r="J350" s="13">
        <v>1</v>
      </c>
    </row>
    <row r="351" spans="1:10" ht="12.75" customHeight="1" x14ac:dyDescent="0.25">
      <c r="A351" s="18" t="s">
        <v>116</v>
      </c>
      <c r="B351" s="19"/>
      <c r="C351" s="20">
        <f>SUM(C350:C350)</f>
        <v>0</v>
      </c>
      <c r="D351" s="21">
        <f>ROUND(SUM(D350:D350), 1)</f>
        <v>0</v>
      </c>
      <c r="E351" s="19"/>
      <c r="F351" s="20">
        <f>SUM(F350:F350)</f>
        <v>0</v>
      </c>
      <c r="G351" s="21">
        <f>ROUND(SUM(G350:G350), 1)</f>
        <v>0</v>
      </c>
      <c r="H351" s="19"/>
      <c r="I351" s="20">
        <f>SUM(I350:I350)</f>
        <v>242397.03930999999</v>
      </c>
      <c r="J351" s="21">
        <f>ROUND(SUM(J350:J350), 1)</f>
        <v>1</v>
      </c>
    </row>
    <row r="354" spans="1:10" ht="12.75" customHeight="1" x14ac:dyDescent="0.3">
      <c r="A354" s="26" t="s">
        <v>130</v>
      </c>
      <c r="B354" s="24"/>
      <c r="C354" s="24"/>
      <c r="D354" s="24"/>
      <c r="E354" s="24"/>
      <c r="F354" s="24"/>
      <c r="G354" s="24"/>
      <c r="H354" s="24"/>
      <c r="I354" s="24"/>
      <c r="J354" s="27"/>
    </row>
    <row r="355" spans="1:10" ht="12.75" customHeight="1" x14ac:dyDescent="0.25">
      <c r="A355" s="28" t="s">
        <v>5</v>
      </c>
      <c r="B355" s="28" t="s">
        <v>6</v>
      </c>
      <c r="C355" s="28"/>
      <c r="D355" s="28"/>
      <c r="E355" s="28" t="s">
        <v>7</v>
      </c>
      <c r="F355" s="28"/>
      <c r="G355" s="28"/>
      <c r="H355" s="28" t="s">
        <v>8</v>
      </c>
      <c r="I355" s="28"/>
      <c r="J355" s="29"/>
    </row>
    <row r="356" spans="1:10" ht="12.75" customHeight="1" x14ac:dyDescent="0.25">
      <c r="A356" s="28"/>
      <c r="B356" s="8" t="s">
        <v>9</v>
      </c>
      <c r="C356" s="8" t="s">
        <v>10</v>
      </c>
      <c r="D356" s="8" t="s">
        <v>11</v>
      </c>
      <c r="E356" s="8" t="s">
        <v>12</v>
      </c>
      <c r="F356" s="8" t="s">
        <v>10</v>
      </c>
      <c r="G356" s="8" t="s">
        <v>11</v>
      </c>
      <c r="H356" s="8" t="s">
        <v>13</v>
      </c>
      <c r="I356" s="8" t="s">
        <v>10</v>
      </c>
      <c r="J356" s="9" t="s">
        <v>11</v>
      </c>
    </row>
    <row r="357" spans="1:10" ht="12.75" customHeight="1" x14ac:dyDescent="0.25">
      <c r="A357" s="10" t="s">
        <v>14</v>
      </c>
      <c r="B357" s="11" t="s">
        <v>15</v>
      </c>
      <c r="C357" s="12">
        <v>8665330</v>
      </c>
      <c r="D357" s="13">
        <v>0.83256625084000002</v>
      </c>
      <c r="E357" s="11" t="s">
        <v>15</v>
      </c>
      <c r="F357" s="12">
        <v>4891919</v>
      </c>
      <c r="G357" s="13">
        <v>0.92784866518999998</v>
      </c>
      <c r="H357" s="11" t="s">
        <v>15</v>
      </c>
      <c r="I357" s="12">
        <v>8863330</v>
      </c>
      <c r="J357" s="13">
        <v>0.79587600674000003</v>
      </c>
    </row>
    <row r="358" spans="1:10" ht="12.75" customHeight="1" x14ac:dyDescent="0.25">
      <c r="A358" s="14" t="s">
        <v>23</v>
      </c>
      <c r="B358" s="15" t="s">
        <v>17</v>
      </c>
      <c r="C358" s="16">
        <v>1491090.23196</v>
      </c>
      <c r="D358" s="17">
        <v>0.14326418083</v>
      </c>
      <c r="E358" s="15" t="s">
        <v>17</v>
      </c>
      <c r="F358" s="16">
        <v>375771.8308</v>
      </c>
      <c r="G358" s="17">
        <v>7.1272519359999995E-2</v>
      </c>
      <c r="H358" s="15" t="s">
        <v>17</v>
      </c>
      <c r="I358" s="16">
        <v>1608627.93196</v>
      </c>
      <c r="J358" s="17">
        <v>0.14444552722000001</v>
      </c>
    </row>
    <row r="359" spans="1:10" ht="12.75" customHeight="1" x14ac:dyDescent="0.25">
      <c r="A359" s="10" t="s">
        <v>18</v>
      </c>
      <c r="B359" s="11" t="s">
        <v>19</v>
      </c>
      <c r="C359" s="12">
        <v>246922.9</v>
      </c>
      <c r="D359" s="13">
        <v>2.3724390540000001E-2</v>
      </c>
      <c r="E359" s="11"/>
      <c r="F359" s="12">
        <v>0</v>
      </c>
      <c r="G359" s="13"/>
      <c r="H359" s="11" t="s">
        <v>19</v>
      </c>
      <c r="I359" s="12">
        <v>659980.1</v>
      </c>
      <c r="J359" s="13">
        <v>5.9262413389999997E-2</v>
      </c>
    </row>
    <row r="360" spans="1:10" ht="12.75" customHeight="1" x14ac:dyDescent="0.25">
      <c r="A360" s="14" t="s">
        <v>41</v>
      </c>
      <c r="B360" s="15" t="s">
        <v>21</v>
      </c>
      <c r="C360" s="16">
        <v>4633.3999999999996</v>
      </c>
      <c r="D360" s="17">
        <v>4.4517778999999998E-4</v>
      </c>
      <c r="E360" s="15" t="s">
        <v>19</v>
      </c>
      <c r="F360" s="16">
        <v>4633.3999999999996</v>
      </c>
      <c r="G360" s="17">
        <v>8.7881544999999996E-4</v>
      </c>
      <c r="H360" s="15" t="s">
        <v>21</v>
      </c>
      <c r="I360" s="16">
        <v>4633.3999999999996</v>
      </c>
      <c r="J360" s="17">
        <v>4.1605264000000002E-4</v>
      </c>
    </row>
    <row r="361" spans="1:10" ht="12.75" customHeight="1" x14ac:dyDescent="0.25">
      <c r="A361" s="18" t="s">
        <v>116</v>
      </c>
      <c r="B361" s="19"/>
      <c r="C361" s="20">
        <f>SUM(C357:C360)</f>
        <v>10407976.531960001</v>
      </c>
      <c r="D361" s="21">
        <f>ROUND(SUM(D357:D360), 1)</f>
        <v>1</v>
      </c>
      <c r="E361" s="19"/>
      <c r="F361" s="20">
        <f>SUM(F357:F360)</f>
        <v>5272324.2308</v>
      </c>
      <c r="G361" s="21">
        <f>ROUND(SUM(G357:G360), 1)</f>
        <v>1</v>
      </c>
      <c r="H361" s="19"/>
      <c r="I361" s="20">
        <f>SUM(I357:I360)</f>
        <v>11136571.43196</v>
      </c>
      <c r="J361" s="21">
        <f>ROUND(SUM(J357:J360), 1)</f>
        <v>1</v>
      </c>
    </row>
    <row r="364" spans="1:10" ht="12.75" customHeight="1" x14ac:dyDescent="0.3">
      <c r="A364" s="26" t="s">
        <v>131</v>
      </c>
      <c r="B364" s="24"/>
      <c r="C364" s="24"/>
      <c r="D364" s="24"/>
      <c r="E364" s="24"/>
      <c r="F364" s="24"/>
      <c r="G364" s="24"/>
      <c r="H364" s="24"/>
      <c r="I364" s="24"/>
      <c r="J364" s="27"/>
    </row>
    <row r="365" spans="1:10" ht="12.75" customHeight="1" x14ac:dyDescent="0.25">
      <c r="A365" s="28" t="s">
        <v>5</v>
      </c>
      <c r="B365" s="28" t="s">
        <v>6</v>
      </c>
      <c r="C365" s="28"/>
      <c r="D365" s="28"/>
      <c r="E365" s="28" t="s">
        <v>7</v>
      </c>
      <c r="F365" s="28"/>
      <c r="G365" s="28"/>
      <c r="H365" s="28" t="s">
        <v>8</v>
      </c>
      <c r="I365" s="28"/>
      <c r="J365" s="29"/>
    </row>
    <row r="366" spans="1:10" ht="12.75" customHeight="1" x14ac:dyDescent="0.25">
      <c r="A366" s="28"/>
      <c r="B366" s="8" t="s">
        <v>9</v>
      </c>
      <c r="C366" s="8" t="s">
        <v>10</v>
      </c>
      <c r="D366" s="8" t="s">
        <v>11</v>
      </c>
      <c r="E366" s="8" t="s">
        <v>12</v>
      </c>
      <c r="F366" s="8" t="s">
        <v>10</v>
      </c>
      <c r="G366" s="8" t="s">
        <v>11</v>
      </c>
      <c r="H366" s="8" t="s">
        <v>13</v>
      </c>
      <c r="I366" s="8" t="s">
        <v>10</v>
      </c>
      <c r="J366" s="9" t="s">
        <v>11</v>
      </c>
    </row>
    <row r="367" spans="1:10" ht="12.75" customHeight="1" x14ac:dyDescent="0.25">
      <c r="A367" s="10" t="s">
        <v>23</v>
      </c>
      <c r="B367" s="11" t="s">
        <v>15</v>
      </c>
      <c r="C367" s="12">
        <v>669546.79171000002</v>
      </c>
      <c r="D367" s="13">
        <v>0.31299073271</v>
      </c>
      <c r="E367" s="11" t="s">
        <v>19</v>
      </c>
      <c r="F367" s="12">
        <v>170145.5</v>
      </c>
      <c r="G367" s="13">
        <v>0.16445581982999999</v>
      </c>
      <c r="H367" s="11" t="s">
        <v>15</v>
      </c>
      <c r="I367" s="12">
        <v>1200595.3917100001</v>
      </c>
      <c r="J367" s="13">
        <v>0.43941813369999999</v>
      </c>
    </row>
    <row r="368" spans="1:10" ht="12.75" customHeight="1" x14ac:dyDescent="0.25">
      <c r="A368" s="14" t="s">
        <v>32</v>
      </c>
      <c r="B368" s="15" t="s">
        <v>17</v>
      </c>
      <c r="C368" s="16">
        <v>520850</v>
      </c>
      <c r="D368" s="17">
        <v>0.24347995561999999</v>
      </c>
      <c r="E368" s="15"/>
      <c r="F368" s="16">
        <v>0</v>
      </c>
      <c r="G368" s="17"/>
      <c r="H368" s="15" t="s">
        <v>17</v>
      </c>
      <c r="I368" s="16">
        <v>520850</v>
      </c>
      <c r="J368" s="17">
        <v>0.19063119559</v>
      </c>
    </row>
    <row r="369" spans="1:10" ht="12.75" customHeight="1" x14ac:dyDescent="0.25">
      <c r="A369" s="10" t="s">
        <v>14</v>
      </c>
      <c r="B369" s="11" t="s">
        <v>19</v>
      </c>
      <c r="C369" s="12">
        <v>467800</v>
      </c>
      <c r="D369" s="13">
        <v>0.21868085482999999</v>
      </c>
      <c r="E369" s="11" t="s">
        <v>15</v>
      </c>
      <c r="F369" s="12">
        <v>467800</v>
      </c>
      <c r="G369" s="13">
        <v>0.45215672772999999</v>
      </c>
      <c r="H369" s="11" t="s">
        <v>19</v>
      </c>
      <c r="I369" s="12">
        <v>467800</v>
      </c>
      <c r="J369" s="13">
        <v>0.17121488585</v>
      </c>
    </row>
    <row r="370" spans="1:10" ht="12.75" customHeight="1" x14ac:dyDescent="0.25">
      <c r="A370" s="14" t="s">
        <v>18</v>
      </c>
      <c r="B370" s="15" t="s">
        <v>21</v>
      </c>
      <c r="C370" s="16">
        <v>293425</v>
      </c>
      <c r="D370" s="17">
        <v>0.13716637414999999</v>
      </c>
      <c r="E370" s="15" t="s">
        <v>17</v>
      </c>
      <c r="F370" s="16">
        <v>293425</v>
      </c>
      <c r="G370" s="17">
        <v>0.28361284273999998</v>
      </c>
      <c r="H370" s="15" t="s">
        <v>21</v>
      </c>
      <c r="I370" s="16">
        <v>293425</v>
      </c>
      <c r="J370" s="17">
        <v>0.10739360385000001</v>
      </c>
    </row>
    <row r="371" spans="1:10" ht="12.75" customHeight="1" x14ac:dyDescent="0.25">
      <c r="A371" s="10" t="s">
        <v>125</v>
      </c>
      <c r="B371" s="11" t="s">
        <v>22</v>
      </c>
      <c r="C371" s="12">
        <v>81934.162240000005</v>
      </c>
      <c r="D371" s="13">
        <v>3.8301480630000002E-2</v>
      </c>
      <c r="E371" s="11" t="s">
        <v>24</v>
      </c>
      <c r="F371" s="12">
        <v>7492</v>
      </c>
      <c r="G371" s="13">
        <v>7.2414668800000002E-3</v>
      </c>
      <c r="H371" s="11" t="s">
        <v>22</v>
      </c>
      <c r="I371" s="12">
        <v>81934.162240000005</v>
      </c>
      <c r="J371" s="13">
        <v>2.9987918419999999E-2</v>
      </c>
    </row>
    <row r="372" spans="1:10" ht="12.75" customHeight="1" x14ac:dyDescent="0.25">
      <c r="A372" s="14" t="s">
        <v>61</v>
      </c>
      <c r="B372" s="15" t="s">
        <v>24</v>
      </c>
      <c r="C372" s="16">
        <v>79330.213180000006</v>
      </c>
      <c r="D372" s="17">
        <v>3.7084221530000003E-2</v>
      </c>
      <c r="E372" s="15" t="s">
        <v>21</v>
      </c>
      <c r="F372" s="16">
        <v>79330.213180000006</v>
      </c>
      <c r="G372" s="17">
        <v>7.6677404020000006E-2</v>
      </c>
      <c r="H372" s="15" t="s">
        <v>24</v>
      </c>
      <c r="I372" s="16">
        <v>79330.213180000006</v>
      </c>
      <c r="J372" s="17">
        <v>2.9034872579999999E-2</v>
      </c>
    </row>
    <row r="373" spans="1:10" ht="12.75" customHeight="1" x14ac:dyDescent="0.25">
      <c r="A373" s="10" t="s">
        <v>82</v>
      </c>
      <c r="B373" s="11" t="s">
        <v>27</v>
      </c>
      <c r="C373" s="12">
        <v>16404.3</v>
      </c>
      <c r="D373" s="13">
        <v>7.6684616199999998E-3</v>
      </c>
      <c r="E373" s="11" t="s">
        <v>22</v>
      </c>
      <c r="F373" s="12">
        <v>16404.3</v>
      </c>
      <c r="G373" s="13">
        <v>1.5855738800000001E-2</v>
      </c>
      <c r="H373" s="11" t="s">
        <v>29</v>
      </c>
      <c r="I373" s="12">
        <v>16404.3</v>
      </c>
      <c r="J373" s="13">
        <v>6.0039768099999996E-3</v>
      </c>
    </row>
    <row r="374" spans="1:10" ht="12.75" customHeight="1" x14ac:dyDescent="0.25">
      <c r="A374" s="14" t="s">
        <v>26</v>
      </c>
      <c r="B374" s="15" t="s">
        <v>29</v>
      </c>
      <c r="C374" s="16">
        <v>9900</v>
      </c>
      <c r="D374" s="17">
        <v>4.6279188999999998E-3</v>
      </c>
      <c r="E374" s="15"/>
      <c r="F374" s="16">
        <v>0</v>
      </c>
      <c r="G374" s="17"/>
      <c r="H374" s="15" t="s">
        <v>27</v>
      </c>
      <c r="I374" s="16">
        <v>71900</v>
      </c>
      <c r="J374" s="17">
        <v>2.6315413199999999E-2</v>
      </c>
    </row>
    <row r="375" spans="1:10" ht="12.75" customHeight="1" x14ac:dyDescent="0.25">
      <c r="A375" s="18" t="s">
        <v>116</v>
      </c>
      <c r="B375" s="19"/>
      <c r="C375" s="20">
        <f>SUM(C367:C374)</f>
        <v>2139190.4671299998</v>
      </c>
      <c r="D375" s="21">
        <f>ROUND(SUM(D367:D374), 1)</f>
        <v>1</v>
      </c>
      <c r="E375" s="19"/>
      <c r="F375" s="20">
        <f>SUM(F367:F374)</f>
        <v>1034597.01318</v>
      </c>
      <c r="G375" s="21">
        <f>ROUND(SUM(G367:G374), 1)</f>
        <v>1</v>
      </c>
      <c r="H375" s="19"/>
      <c r="I375" s="20">
        <f>SUM(I367:I374)</f>
        <v>2732239.0671299999</v>
      </c>
      <c r="J375" s="21">
        <f>ROUND(SUM(J367:J374), 1)</f>
        <v>1</v>
      </c>
    </row>
    <row r="378" spans="1:10" ht="12.75" customHeight="1" x14ac:dyDescent="0.3">
      <c r="A378" s="22" t="s">
        <v>132</v>
      </c>
    </row>
  </sheetData>
  <mergeCells count="73">
    <mergeCell ref="A364:J364"/>
    <mergeCell ref="A365:A366"/>
    <mergeCell ref="B365:D365"/>
    <mergeCell ref="E365:G365"/>
    <mergeCell ref="H365:J365"/>
    <mergeCell ref="A354:J354"/>
    <mergeCell ref="A355:A356"/>
    <mergeCell ref="B355:D355"/>
    <mergeCell ref="E355:G355"/>
    <mergeCell ref="H355:J355"/>
    <mergeCell ref="A347:J347"/>
    <mergeCell ref="A348:A349"/>
    <mergeCell ref="B348:D348"/>
    <mergeCell ref="E348:G348"/>
    <mergeCell ref="H348:J348"/>
    <mergeCell ref="A314:J314"/>
    <mergeCell ref="A315:A316"/>
    <mergeCell ref="B315:D315"/>
    <mergeCell ref="E315:G315"/>
    <mergeCell ref="H315:J315"/>
    <mergeCell ref="A306:J306"/>
    <mergeCell ref="A307:A308"/>
    <mergeCell ref="B307:D307"/>
    <mergeCell ref="E307:G307"/>
    <mergeCell ref="H307:J307"/>
    <mergeCell ref="A270:J270"/>
    <mergeCell ref="A271:A272"/>
    <mergeCell ref="B271:D271"/>
    <mergeCell ref="E271:G271"/>
    <mergeCell ref="H271:J271"/>
    <mergeCell ref="A260:J260"/>
    <mergeCell ref="A261:A262"/>
    <mergeCell ref="B261:D261"/>
    <mergeCell ref="E261:G261"/>
    <mergeCell ref="H261:J261"/>
    <mergeCell ref="A225:J225"/>
    <mergeCell ref="A226:A227"/>
    <mergeCell ref="B226:D226"/>
    <mergeCell ref="E226:G226"/>
    <mergeCell ref="H226:J226"/>
    <mergeCell ref="A187:J187"/>
    <mergeCell ref="A188:A189"/>
    <mergeCell ref="B188:D188"/>
    <mergeCell ref="E188:G188"/>
    <mergeCell ref="H188:J188"/>
    <mergeCell ref="A165:J165"/>
    <mergeCell ref="A166:A167"/>
    <mergeCell ref="B166:D166"/>
    <mergeCell ref="E166:G166"/>
    <mergeCell ref="H166:J166"/>
    <mergeCell ref="A117:J117"/>
    <mergeCell ref="A118:A119"/>
    <mergeCell ref="B118:D118"/>
    <mergeCell ref="E118:G118"/>
    <mergeCell ref="H118:J118"/>
    <mergeCell ref="A74:J74"/>
    <mergeCell ref="A75:A76"/>
    <mergeCell ref="B75:D75"/>
    <mergeCell ref="E75:G75"/>
    <mergeCell ref="H75:J75"/>
    <mergeCell ref="A63:J63"/>
    <mergeCell ref="A64:A65"/>
    <mergeCell ref="B64:D64"/>
    <mergeCell ref="E64:G64"/>
    <mergeCell ref="H64:J64"/>
    <mergeCell ref="A1:J1"/>
    <mergeCell ref="A2:G2"/>
    <mergeCell ref="H2:J2"/>
    <mergeCell ref="A6:J6"/>
    <mergeCell ref="A7:A8"/>
    <mergeCell ref="B7:D7"/>
    <mergeCell ref="E7:G7"/>
    <mergeCell ref="H7:J7"/>
  </mergeCell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Originação - Valor</vt:lpstr>
      <vt:lpstr>Nº de Operações</vt:lpstr>
      <vt:lpstr>Distribuição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Cristina Wisbeck dos Santos</dc:creator>
  <cp:lastModifiedBy>Lucas Kallil Souza dos Reis</cp:lastModifiedBy>
  <dcterms:created xsi:type="dcterms:W3CDTF">2021-12-15T19:24:14Z</dcterms:created>
  <dcterms:modified xsi:type="dcterms:W3CDTF">2026-10-06T00:35:05Z</dcterms:modified>
</cp:coreProperties>
</file>