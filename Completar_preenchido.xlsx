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 yWindow="660" windowWidth="29400" windowHeight="17280" tabRatio="600" firstSheet="0" activeTab="1" autoFilterDateGrouping="1"/>
  </bookViews>
  <sheets>
    <sheet name="Leia-me" sheetId="1" state="visible" r:id="rId1"/>
    <sheet name="Top 100 FIDCs" sheetId="2" state="visible" r:id="rId2"/>
    <sheet name="Top Originadores 2026 · foto" sheetId="3" state="visible" r:id="rId3"/>
    <sheet name="Preços das séries" sheetId="4" state="visible" r:id="rId4"/>
    <sheet name="Auditoria da foto" sheetId="5" state="visible" r:id="rId5"/>
  </sheets>
  <definedNames>
    <definedName name="_xlnm._FilterDatabase" localSheetId="1" hidden="1">'Top 100 FIDCs'!$A$4:$AN$106</definedName>
    <definedName name="_xlnm._FilterDatabase" localSheetId="2" hidden="1">'Top Originadores 2026 · foto'!$A$4:$AD$30</definedName>
    <definedName name="_xlnm._FilterDatabase" localSheetId="3" hidden="1">'Preços das séries'!$A$4:$K$30</definedName>
    <definedName name="_xlnm._FilterDatabase" localSheetId="4" hidden="1">'Auditoria da foto'!$A$4:$F$29</definedName>
  </definedNames>
  <calcPr calcId="0" fullCalcOnLoad="1"/>
</workbook>
</file>

<file path=xl/styles.xml><?xml version="1.0" encoding="utf-8"?>
<styleSheet xmlns="http://schemas.openxmlformats.org/spreadsheetml/2006/main">
  <numFmts count="3">
    <numFmt numFmtId="164" formatCode="00000000000000"/>
    <numFmt numFmtId="165" formatCode="\R\$\ #,##0.00"/>
    <numFmt numFmtId="166" formatCode="#,##0;[Red](#,##0);-"/>
  </numFmts>
  <fonts count="17">
    <font>
      <name val="Carlito"/>
      <sz val="11"/>
    </font>
    <font>
      <name val="Arial"/>
      <family val="2"/>
      <b val="1"/>
      <color rgb="FFFFFFFF"/>
      <sz val="18"/>
    </font>
    <font>
      <name val="Arial"/>
      <family val="2"/>
      <color rgb="FF73787D"/>
      <sz val="10"/>
    </font>
    <font>
      <name val="Arial"/>
      <family val="2"/>
      <b val="1"/>
      <color rgb="FF30353A"/>
      <sz val="10"/>
    </font>
    <font>
      <name val="Arial"/>
      <family val="2"/>
      <color rgb="FF30353A"/>
      <sz val="10"/>
    </font>
    <font>
      <name val="Arial"/>
      <family val="2"/>
      <b val="1"/>
      <color rgb="FFFFFFFF"/>
      <sz val="16"/>
    </font>
    <font>
      <name val="Arial"/>
      <family val="2"/>
      <b val="1"/>
      <color rgb="FFFFFFFF"/>
      <sz val="10"/>
    </font>
    <font>
      <name val="Arial"/>
      <family val="2"/>
      <color rgb="FF30353A"/>
      <sz val="9"/>
    </font>
    <font>
      <name val="Arial"/>
      <b val="1"/>
      <color rgb="FFFFFFFF"/>
      <sz val="10"/>
    </font>
    <font>
      <name val="Arial"/>
      <sz val="9"/>
    </font>
    <font>
      <name val="Arial"/>
      <b val="1"/>
      <sz val="14"/>
    </font>
    <font>
      <name val="Arial"/>
      <i val="1"/>
      <sz val="9"/>
    </font>
    <font>
      <name val="Arial"/>
      <b val="1"/>
      <color rgb="FFC0392B"/>
      <sz val="10"/>
    </font>
    <font>
      <name val="Arial"/>
      <b val="1"/>
      <sz val="9"/>
    </font>
    <font>
      <name val="Arial"/>
      <b val="1"/>
      <sz val="12"/>
    </font>
    <font>
      <name val="Arial"/>
      <b val="1"/>
      <sz val="10"/>
    </font>
    <font>
      <name val="Arial"/>
      <sz val="10"/>
    </font>
  </fonts>
  <fills count="11">
    <fill>
      <patternFill/>
    </fill>
    <fill>
      <patternFill patternType="gray125"/>
    </fill>
    <fill>
      <patternFill patternType="solid">
        <fgColor rgb="FF151515"/>
      </patternFill>
    </fill>
    <fill>
      <patternFill patternType="solid">
        <fgColor rgb="FFFFFFFF"/>
      </patternFill>
    </fill>
    <fill>
      <patternFill patternType="solid">
        <fgColor rgb="FFF5F6F7"/>
      </patternFill>
    </fill>
    <fill>
      <patternFill patternType="solid">
        <fgColor rgb="FFFFF3CD"/>
      </patternFill>
    </fill>
    <fill>
      <patternFill patternType="solid">
        <fgColor rgb="FFC0392B"/>
      </patternFill>
    </fill>
    <fill>
      <patternFill patternType="solid">
        <fgColor rgb="FFF2F2F2"/>
      </patternFill>
    </fill>
    <fill>
      <patternFill patternType="solid">
        <fgColor rgb="FFD1ECF1"/>
      </patternFill>
    </fill>
    <fill>
      <patternFill patternType="solid">
        <fgColor rgb="FFF8D7DA"/>
      </patternFill>
    </fill>
    <fill>
      <patternFill patternType="solid">
        <fgColor rgb="FFD4EDDA"/>
      </patternFill>
    </fill>
  </fills>
  <borders count="5">
    <border>
      <left/>
      <right/>
      <top/>
      <bottom/>
      <diagonal/>
    </border>
    <border>
      <left/>
      <right/>
      <top/>
      <bottom style="thin">
        <color rgb="FF151515"/>
      </bottom>
      <diagonal/>
    </border>
    <border>
      <left/>
      <right/>
      <top/>
      <bottom style="thin">
        <color rgb="FFD7DADD"/>
      </bottom>
      <diagonal/>
    </border>
    <border>
      <left/>
      <right/>
      <top style="thin">
        <color rgb="FFD7DADD"/>
      </top>
      <bottom style="thin">
        <color rgb="FFD7DADD"/>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53">
    <xf numFmtId="0" fontId="0" fillId="0" borderId="0" pivotButton="0" quotePrefix="0" xfId="0"/>
    <xf numFmtId="0" fontId="3" fillId="0" borderId="0" applyAlignment="1" pivotButton="0" quotePrefix="0" xfId="0">
      <alignment wrapText="1"/>
    </xf>
    <xf numFmtId="0" fontId="4" fillId="0" borderId="0" applyAlignment="1" pivotButton="0" quotePrefix="0" xfId="0">
      <alignment wrapText="1"/>
    </xf>
    <xf numFmtId="0" fontId="5" fillId="2" borderId="0" applyAlignment="1" pivotButton="0" quotePrefix="0" xfId="0">
      <alignment vertical="center"/>
    </xf>
    <xf numFmtId="0" fontId="2" fillId="3" borderId="0" applyAlignment="1" pivotButton="0" quotePrefix="0" xfId="0">
      <alignment vertical="center"/>
    </xf>
    <xf numFmtId="0" fontId="6" fillId="2" borderId="1" applyAlignment="1" pivotButton="0" quotePrefix="0" xfId="0">
      <alignment vertical="center" wrapText="1"/>
    </xf>
    <xf numFmtId="0" fontId="7" fillId="0" borderId="2" applyAlignment="1" pivotButton="0" quotePrefix="0" xfId="0">
      <alignment vertical="center" wrapText="1"/>
    </xf>
    <xf numFmtId="0" fontId="7" fillId="0" borderId="3" applyAlignment="1" pivotButton="0" quotePrefix="0" xfId="0">
      <alignment vertical="center" wrapText="1"/>
    </xf>
    <xf numFmtId="0" fontId="7" fillId="4" borderId="3" applyAlignment="1" pivotButton="0" quotePrefix="0" xfId="0">
      <alignment vertical="center" wrapText="1"/>
    </xf>
    <xf numFmtId="0" fontId="7" fillId="0" borderId="2" applyAlignment="1" pivotButton="0" quotePrefix="0" xfId="0">
      <alignment vertical="center" wrapText="1"/>
    </xf>
    <xf numFmtId="0" fontId="7" fillId="4" borderId="3" applyAlignment="1" pivotButton="0" quotePrefix="0" xfId="0">
      <alignment vertical="center" wrapText="1"/>
    </xf>
    <xf numFmtId="0" fontId="7" fillId="0" borderId="3" applyAlignment="1" pivotButton="0" quotePrefix="0" xfId="0">
      <alignment vertical="center" wrapText="1"/>
    </xf>
    <xf numFmtId="3" fontId="7" fillId="0" borderId="2" applyAlignment="1" pivotButton="0" quotePrefix="0" xfId="0">
      <alignment horizontal="right" vertical="center" wrapText="1"/>
    </xf>
    <xf numFmtId="3" fontId="7" fillId="4" borderId="3" applyAlignment="1" pivotButton="0" quotePrefix="0" xfId="0">
      <alignment horizontal="right" vertical="center" wrapText="1"/>
    </xf>
    <xf numFmtId="3" fontId="7" fillId="0" borderId="3" applyAlignment="1" pivotButton="0" quotePrefix="0" xfId="0">
      <alignment horizontal="right" vertical="center" wrapText="1"/>
    </xf>
    <xf numFmtId="164" fontId="7" fillId="0" borderId="2" applyAlignment="1" pivotButton="0" quotePrefix="0" xfId="0">
      <alignment horizontal="right" vertical="center" wrapText="1"/>
    </xf>
    <xf numFmtId="164" fontId="7" fillId="4" borderId="3" applyAlignment="1" pivotButton="0" quotePrefix="0" xfId="0">
      <alignment horizontal="right" vertical="center" wrapText="1"/>
    </xf>
    <xf numFmtId="164" fontId="7" fillId="0" borderId="3" applyAlignment="1" pivotButton="0" quotePrefix="0" xfId="0">
      <alignment horizontal="right" vertical="center" wrapText="1"/>
    </xf>
    <xf numFmtId="165" fontId="7" fillId="0" borderId="2" applyAlignment="1" pivotButton="0" quotePrefix="0" xfId="0">
      <alignment horizontal="right" vertical="center" wrapText="1"/>
    </xf>
    <xf numFmtId="165" fontId="7" fillId="4" borderId="3" applyAlignment="1" pivotButton="0" quotePrefix="0" xfId="0">
      <alignment horizontal="right" vertical="center" wrapText="1"/>
    </xf>
    <xf numFmtId="165" fontId="7" fillId="0" borderId="3" applyAlignment="1" pivotButton="0" quotePrefix="0" xfId="0">
      <alignment horizontal="right" vertical="center" wrapText="1"/>
    </xf>
    <xf numFmtId="10" fontId="7" fillId="0" borderId="2" applyAlignment="1" pivotButton="0" quotePrefix="0" xfId="0">
      <alignment horizontal="right" vertical="center" wrapText="1"/>
    </xf>
    <xf numFmtId="10" fontId="7" fillId="4" borderId="3" applyAlignment="1" pivotButton="0" quotePrefix="0" xfId="0">
      <alignment horizontal="right" vertical="center" wrapText="1"/>
    </xf>
    <xf numFmtId="10" fontId="7" fillId="0" borderId="3" applyAlignment="1" pivotButton="0" quotePrefix="0" xfId="0">
      <alignment horizontal="right" vertical="center" wrapText="1"/>
    </xf>
    <xf numFmtId="0" fontId="1" fillId="2" borderId="0" pivotButton="0" quotePrefix="0" xfId="0"/>
    <xf numFmtId="0" fontId="2" fillId="0" borderId="0" applyAlignment="1" pivotButton="0" quotePrefix="0" xfId="0">
      <alignment wrapText="1"/>
    </xf>
    <xf numFmtId="0" fontId="8" fillId="2" borderId="0" applyAlignment="1" pivotButton="0" quotePrefix="0" xfId="0">
      <alignment vertical="center" wrapText="1"/>
    </xf>
    <xf numFmtId="0" fontId="9" fillId="0" borderId="0" applyAlignment="1" pivotButton="0" quotePrefix="0" xfId="0">
      <alignment vertical="center" wrapText="1"/>
    </xf>
    <xf numFmtId="0" fontId="9" fillId="5" borderId="3" applyAlignment="1" pivotButton="0" quotePrefix="0" xfId="0">
      <alignment vertical="center" wrapText="1"/>
    </xf>
    <xf numFmtId="0" fontId="9" fillId="5" borderId="0" applyAlignment="1" pivotButton="0" quotePrefix="0" xfId="0">
      <alignment vertical="center" wrapText="1"/>
    </xf>
    <xf numFmtId="0" fontId="10" fillId="0" borderId="0" pivotButton="0" quotePrefix="0" xfId="0"/>
    <xf numFmtId="0" fontId="11" fillId="0" borderId="0" applyAlignment="1" pivotButton="0" quotePrefix="0" xfId="0">
      <alignment vertical="top" wrapText="1"/>
    </xf>
    <xf numFmtId="0" fontId="12" fillId="0" borderId="0" pivotButton="0" quotePrefix="0" xfId="0"/>
    <xf numFmtId="0" fontId="8" fillId="2" borderId="0" applyAlignment="1" pivotButton="0" quotePrefix="0" xfId="0">
      <alignment horizontal="center" vertical="center" wrapText="1"/>
    </xf>
    <xf numFmtId="0" fontId="8" fillId="6" borderId="0" applyAlignment="1" pivotButton="0" quotePrefix="0" xfId="0">
      <alignment horizontal="center" vertical="center" wrapText="1"/>
    </xf>
    <xf numFmtId="0" fontId="9" fillId="0" borderId="4" applyAlignment="1" pivotButton="0" quotePrefix="0" xfId="0">
      <alignment vertical="center" wrapText="1"/>
    </xf>
    <xf numFmtId="2" fontId="9" fillId="0" borderId="4" applyAlignment="1" pivotButton="0" quotePrefix="0" xfId="0">
      <alignment vertical="center" wrapText="1"/>
    </xf>
    <xf numFmtId="3" fontId="9" fillId="0" borderId="4" applyAlignment="1" pivotButton="0" quotePrefix="0" xfId="0">
      <alignment vertical="center" wrapText="1"/>
    </xf>
    <xf numFmtId="166" fontId="9" fillId="0" borderId="4" applyAlignment="1" pivotButton="0" quotePrefix="0" xfId="0">
      <alignment vertical="center" wrapText="1"/>
    </xf>
    <xf numFmtId="10" fontId="9" fillId="0" borderId="4" applyAlignment="1" pivotButton="0" quotePrefix="0" xfId="0">
      <alignment vertical="center" wrapText="1"/>
    </xf>
    <xf numFmtId="0" fontId="0" fillId="7" borderId="0" pivotButton="0" quotePrefix="0" xfId="0"/>
    <xf numFmtId="0" fontId="13" fillId="7" borderId="0" pivotButton="0" quotePrefix="0" xfId="0"/>
    <xf numFmtId="3" fontId="13" fillId="7" borderId="0" pivotButton="0" quotePrefix="0" xfId="0"/>
    <xf numFmtId="0" fontId="9" fillId="7" borderId="0" pivotButton="0" quotePrefix="0" xfId="0"/>
    <xf numFmtId="0" fontId="13" fillId="0" borderId="0" pivotButton="0" quotePrefix="0" xfId="0"/>
    <xf numFmtId="0" fontId="13" fillId="8" borderId="4" applyAlignment="1" pivotButton="0" quotePrefix="0" xfId="0">
      <alignment vertical="center" wrapText="1"/>
    </xf>
    <xf numFmtId="0" fontId="13" fillId="9" borderId="4" applyAlignment="1" pivotButton="0" quotePrefix="0" xfId="0">
      <alignment vertical="center" wrapText="1"/>
    </xf>
    <xf numFmtId="0" fontId="13" fillId="5" borderId="4" applyAlignment="1" pivotButton="0" quotePrefix="0" xfId="0">
      <alignment vertical="center" wrapText="1"/>
    </xf>
    <xf numFmtId="0" fontId="13" fillId="7" borderId="4" applyAlignment="1" pivotButton="0" quotePrefix="0" xfId="0">
      <alignment vertical="center" wrapText="1"/>
    </xf>
    <xf numFmtId="0" fontId="13" fillId="10" borderId="4" applyAlignment="1" pivotButton="0" quotePrefix="0" xfId="0">
      <alignment vertical="center" wrapText="1"/>
    </xf>
    <xf numFmtId="0" fontId="14" fillId="0" borderId="0" pivotButton="0" quotePrefix="0" xfId="0"/>
    <xf numFmtId="0" fontId="15" fillId="0" borderId="0" applyAlignment="1" pivotButton="0" quotePrefix="0" xfId="0">
      <alignment vertical="top" wrapText="1"/>
    </xf>
    <xf numFmtId="0" fontId="16"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showGridLines="0" workbookViewId="0">
      <selection activeCell="A1" sqref="A1:H1"/>
    </sheetView>
  </sheetViews>
  <sheetFormatPr baseColWidth="10" defaultColWidth="8.83203125" defaultRowHeight="14"/>
  <cols>
    <col width="34" customWidth="1" min="1" max="1"/>
    <col width="118" customWidth="1" min="2" max="2"/>
    <col width="10" customWidth="1" min="3" max="8"/>
  </cols>
  <sheetData>
    <row r="1" ht="23" customHeight="1">
      <c r="A1" s="24" t="inlineStr">
        <is>
          <t>Top 100 + 2 FIDCs · crédito corporativo e Middle Market</t>
        </is>
      </c>
    </row>
    <row r="2" ht="31.5" customHeight="1">
      <c r="A2" s="25" t="inlineStr">
        <is>
          <t>Competência 2026-06. Ranking global por PL ex-FIC, uma linha por CNPJ. O Top 100 recebe duas inclusões documentais de ofertas encerradas em 2026: Citi-Bayer Farmtech e Lavoro Farmtech.</t>
        </is>
      </c>
    </row>
    <row r="4" ht="36" customHeight="1">
      <c r="A4" s="1" t="inlineStr">
        <is>
          <t>Universo</t>
        </is>
      </c>
      <c r="B4" s="2" t="inlineStr">
        <is>
          <t>100 maiores FIDCs ex-FIC por PL, mais Citi-Bayer Farmtech e Lavoro Farmtech por critério explícito de emissão encerrada em 2026.</t>
        </is>
      </c>
    </row>
    <row r="5" ht="36" customHeight="1">
      <c r="A5" s="1" t="inlineStr">
        <is>
          <t>PL do Top 100</t>
        </is>
      </c>
      <c r="B5" s="2" t="inlineStr">
        <is>
          <t>R$ 401,8 bi</t>
        </is>
      </c>
    </row>
    <row r="6" ht="36" customHeight="1">
      <c r="A6" s="1" t="inlineStr">
        <is>
          <t>Participação no PL ex-FIC</t>
        </is>
      </c>
      <c r="B6" s="2" t="inlineStr">
        <is>
          <t>48,9%</t>
        </is>
      </c>
    </row>
    <row r="7" ht="36" customHeight="1">
      <c r="A7" s="1" t="inlineStr">
        <is>
          <t>PL do Top 100 + 2</t>
        </is>
      </c>
      <c r="B7" s="2" t="inlineStr">
        <is>
          <t>R$ 402,8 bi</t>
        </is>
      </c>
    </row>
    <row r="8" ht="36" customHeight="1">
      <c r="A8" s="1" t="inlineStr">
        <is>
          <t>Participação do Top 100 + 2</t>
        </is>
      </c>
      <c r="B8" s="2" t="inlineStr">
        <is>
          <t>49,0%</t>
        </is>
      </c>
    </row>
    <row r="9" ht="36" customHeight="1">
      <c r="A9" s="1" t="inlineStr">
        <is>
          <t>Middle Market</t>
        </is>
      </c>
      <c r="B9" s="2" t="inlineStr">
        <is>
          <t>O status confirmado exige porte documentado. Menção PME/Middle Market aparece como rótulo documental com porte N/D.</t>
        </is>
      </c>
    </row>
    <row r="10" ht="36" customHeight="1">
      <c r="A10" s="1" t="inlineStr">
        <is>
          <t>Indício corporativo</t>
        </is>
      </c>
      <c r="B10" s="2" t="inlineStr">
        <is>
          <t>CCB, capital de giro, nota comercial, recebível comercial, risco sacado ou fornecedor; porte do tomador permanece N/D.</t>
        </is>
      </c>
    </row>
    <row r="11" ht="36" customHeight="1">
      <c r="A11" s="1" t="inlineStr">
        <is>
          <t>Hipótese de substituição bancária</t>
        </is>
      </c>
      <c r="B11" s="2" t="inlineStr">
        <is>
          <t>A base mostra diversificação de canais. A substituição de crédito bancário exige série casada por devedor e não é concluída neste arquivo.</t>
        </is>
      </c>
    </row>
    <row r="13">
      <c r="A13" s="50" t="inlineStr">
        <is>
          <t>Rodada de complementação documental</t>
        </is>
      </c>
    </row>
    <row r="14" ht="56" customHeight="1">
      <c r="A14" s="51" t="inlineStr">
        <is>
          <t>Coluna M (Originador)</t>
        </is>
      </c>
      <c r="B14" s="52" t="inlineStr">
        <is>
          <t>40 fundos estavam com "??". Todos foram resolvidos pela leitura do regulamento arquivado no FundosNET. 10 receberam nome próprio de originador/cedente; 30 receberam "não localizado" com o motivo, porque o regulamento define apenas cedente genérico (pessoa física ou jurídica) e não nomeia a parte. Nenhum nome foi inferido.</t>
        </is>
      </c>
    </row>
    <row r="15" ht="42" customHeight="1">
      <c r="A15" s="51" t="inlineStr">
        <is>
          <t>Rastreabilidade</t>
        </is>
      </c>
      <c r="B15" s="52" t="inlineStr">
        <is>
          <t>Colunas novas AI a AN: a definição citada do regulamento, o id do documento no FundosNET, se o regulamento traz métrica de porte, o veredito de Middle Market e a origem do preenchimento (linhas não revisadas nesta rodada estão marcadas).</t>
        </is>
      </c>
    </row>
    <row r="16" ht="84" customHeight="1">
      <c r="A16" s="51" t="inlineStr">
        <is>
          <t>Middle Market — resultado</t>
        </is>
      </c>
      <c r="B16" s="52" t="inlineStr">
        <is>
          <t>Nenhum dos 39 regulamentos lidos traz faixa de faturamento, receita bruta ou classificação de porte do devedor. Portanto nenhum fundo desta rodada foi classificado como Middle Market confirmado: 31 ficaram "indeterminado" e 9 "fora da faixa" (devedor pessoa física, precatório ou câmara setorial). As três ocorrências da palavra "faturamento" nos regulamentos estão em cláusula de risco operacional; a única menção a "Empresa de Pequeno Porte" está na razão social da cedente Crefaz, que é o tipo de licença do BACEN e não o porte do devedor.</t>
        </is>
      </c>
    </row>
    <row r="17" ht="56" customHeight="1">
      <c r="A17" s="51" t="inlineStr">
        <is>
          <t>Indícios mais fortes</t>
        </is>
      </c>
      <c r="B17" s="52" t="inlineStr">
        <is>
          <t>Os candidatos documentais mais próximos da faixa são: Comerciais Médici I (cedentes são fornecedores de BRF e Marfrig), Vita Auto (sacados são concessionárias FCA) e Agro Flex (devedores são revendas de insumos, cooperativas e agroindústrias). Em nenhum deles o regulamento fixa faturamento, então o status permanece indeterminado.</t>
        </is>
      </c>
    </row>
    <row r="18" ht="42" customHeight="1">
      <c r="A18" s="51" t="inlineStr">
        <is>
          <t>Abas novas</t>
        </is>
      </c>
      <c r="B18" s="52" t="inlineStr">
        <is>
          <t>"Top Originadores 2026 · foto" traz a transcrição da imagem reconciliada contra a CVM e com os preços; "Preços das séries" traz uma linha por remuneração documentada, com o trecho-fonte verbatim; "Auditoria da foto" traz 25 achados classificados por severidade.</t>
        </is>
      </c>
    </row>
    <row r="19" ht="42" customHeight="1">
      <c r="A19" s="51" t="inlineStr">
        <is>
          <t>Cobertura de preços</t>
        </is>
      </c>
      <c r="B19" s="52" t="inlineStr">
        <is>
          <t>5 dos 15 fundos da foto têm remuneração de cota declarada nos documentos consultados. Nos outros 10 os documentos disponíveis no FundosNET não trazem a remuneração (ela costuma ficar em suplemento ou adendo não arquivado publicamente). Esses ficaram como "não localizado".</t>
        </is>
      </c>
    </row>
    <row r="20" ht="42" customHeight="1">
      <c r="A20" s="51" t="inlineStr">
        <is>
          <t>Fontes</t>
        </is>
      </c>
      <c r="B20" s="52" t="inlineStr">
        <is>
          <t>CVM Dados Abertos: oferta_resolucao_160 (ofertas), registro_fundo e registro_classe (cadastro, extração de 03/08/2026), inf_mensal_fidc 202605 e 202606 (informes). FundosNET/B3: regulamentos, anexos descritivos, atos de deliberação e anúncios de oferta.</t>
        </is>
      </c>
    </row>
    <row r="21" ht="30" customHeight="1">
      <c r="A21" s="51" t="inlineStr">
        <is>
          <t>Regra aplicada</t>
        </is>
      </c>
      <c r="B21" s="52" t="inlineStr">
        <is>
          <t>Célula vazia ou "não localizado" significa ausência na fonte oficial consultada. Nenhum valor foi estimado, interpolado ou presumido.</t>
        </is>
      </c>
    </row>
  </sheetData>
  <mergeCells count="2">
    <mergeCell ref="A2:H2"/>
    <mergeCell ref="A1:H1"/>
  </mergeCells>
  <pageMargins left="0.7" right="0.7" top="0.75" bottom="0.75" header="0.3" footer="0.3"/>
</worksheet>
</file>

<file path=xl/worksheets/sheet2.xml><?xml version="1.0" encoding="utf-8"?>
<worksheet xmlns="http://schemas.openxmlformats.org/spreadsheetml/2006/main">
  <sheetPr filterMode="1">
    <outlinePr summaryBelow="1" summaryRight="1"/>
    <pageSetUpPr/>
  </sheetPr>
  <dimension ref="A1:AN106"/>
  <sheetViews>
    <sheetView tabSelected="1" topLeftCell="B4" workbookViewId="0">
      <pane xSplit="6" ySplit="4" topLeftCell="G5" activePane="bottomRight" state="frozen"/>
      <selection pane="topRight" activeCell="A1" sqref="A1"/>
      <selection pane="bottomLeft" activeCell="A1" sqref="A1"/>
      <selection pane="bottomRight" activeCell="M4" sqref="M4"/>
    </sheetView>
  </sheetViews>
  <sheetFormatPr baseColWidth="10" defaultColWidth="8.83203125" defaultRowHeight="14"/>
  <cols>
    <col width="11.1640625" customWidth="1" min="1" max="1"/>
    <col width="11.83203125" customWidth="1" min="2" max="2"/>
    <col width="26.1640625" customWidth="1" min="3" max="3"/>
    <col width="15.6640625" customWidth="1" min="4" max="4"/>
    <col width="16.83203125" customWidth="1" min="5" max="5"/>
    <col width="48.6640625" customWidth="1" min="6" max="6"/>
    <col hidden="1" width="16.83203125" customWidth="1" min="7" max="7"/>
    <col hidden="1" width="13.6640625" customWidth="1" min="8" max="8"/>
    <col hidden="1" width="15" customWidth="1" min="9" max="9"/>
    <col hidden="1" width="15.6640625" customWidth="1" min="10" max="11"/>
    <col hidden="1" width="38.6640625" customWidth="1" min="12" max="12"/>
    <col width="38.6640625" customWidth="1" min="13" max="14"/>
    <col width="32.5" customWidth="1" min="15" max="15"/>
    <col width="31.1640625" customWidth="1" min="16" max="16"/>
    <col width="40" customWidth="1" min="17" max="17"/>
    <col width="22.5" customWidth="1" min="18" max="18"/>
    <col width="25" customWidth="1" min="19" max="19"/>
    <col width="22.5" customWidth="1" min="20" max="20"/>
    <col width="26.1640625" customWidth="1" min="21" max="22"/>
    <col width="30" customWidth="1" min="23" max="23"/>
    <col width="13.6640625" customWidth="1" min="24" max="24"/>
    <col width="35" customWidth="1" min="25" max="25"/>
    <col width="53.6640625" customWidth="1" min="26" max="26"/>
    <col width="62.5" customWidth="1" min="27" max="27"/>
    <col width="55" customWidth="1" min="28" max="28"/>
    <col width="21.1640625" customWidth="1" min="29" max="30"/>
    <col width="18.6640625" customWidth="1" min="31" max="31"/>
    <col width="53.6640625" customWidth="1" min="32" max="33"/>
    <col width="28.6640625" customWidth="1" min="34" max="34"/>
    <col width="62" customWidth="1" min="35" max="35"/>
    <col width="18" customWidth="1" min="36" max="36"/>
    <col width="20" customWidth="1" min="37" max="37"/>
    <col width="22" customWidth="1" min="38" max="38"/>
    <col width="62" customWidth="1" min="39" max="39"/>
    <col width="26" customWidth="1" min="40" max="40"/>
  </cols>
  <sheetData>
    <row r="1" ht="34" customHeight="1">
      <c r="A1" s="3" t="inlineStr">
        <is>
          <t>Top 100 + 2 FIDCs · partes, lastro, estrutura e taxonomias</t>
        </is>
      </c>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row>
    <row r="2" ht="30" customHeight="1">
      <c r="A2" s="4" t="inlineStr">
        <is>
          <t>Ranking por PL ex-FIC em jun/26, com duas inclusões 2026 explicitamente identificadas. Lacunas permanecem N/D; perfis de devedor não são convertidos em nomes de sacados.</t>
        </is>
      </c>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c r="AA2" s="4" t="n"/>
      <c r="AB2" s="4" t="n"/>
      <c r="AC2" s="4" t="n"/>
      <c r="AD2" s="4" t="n"/>
      <c r="AE2" s="4" t="n"/>
      <c r="AF2" s="4" t="n"/>
      <c r="AG2" s="4" t="n"/>
      <c r="AH2" s="4" t="n"/>
    </row>
    <row r="4" ht="34" customHeight="1">
      <c r="A4" s="5" t="inlineStr">
        <is>
          <t>Ordem do export</t>
        </is>
      </c>
      <c r="B4" s="5" t="inlineStr">
        <is>
          <t>Rank geral por PL</t>
        </is>
      </c>
      <c r="C4" s="5" t="inlineStr">
        <is>
          <t>Critério de inclusão</t>
        </is>
      </c>
      <c r="D4" s="5" t="inlineStr">
        <is>
          <t>CNPJ</t>
        </is>
      </c>
      <c r="E4" s="5" t="inlineStr">
        <is>
          <t>CNPJ formatado</t>
        </is>
      </c>
      <c r="F4" s="5" t="inlineStr">
        <is>
          <t>Nome completo do fundo (CVM)</t>
        </is>
      </c>
      <c r="G4" s="5" t="inlineStr">
        <is>
          <t>PL</t>
        </is>
      </c>
      <c r="H4" s="5" t="inlineStr">
        <is>
          <t>% do PL ex-FIC</t>
        </is>
      </c>
      <c r="I4" s="5" t="inlineStr">
        <is>
          <t>Sub / PL atual</t>
        </is>
      </c>
      <c r="J4" s="5" t="inlineStr">
        <is>
          <t>Mínimo de Sub Jr</t>
        </is>
      </c>
      <c r="K4" s="5" t="inlineStr">
        <is>
          <t>Mínimo estrutural</t>
        </is>
      </c>
      <c r="L4" s="5" t="inlineStr">
        <is>
          <t>Natureza do mínimo</t>
        </is>
      </c>
      <c r="M4" s="5" t="inlineStr">
        <is>
          <t>Originador</t>
        </is>
      </c>
      <c r="N4" s="5" t="n"/>
      <c r="O4" s="5" t="inlineStr">
        <is>
          <t>Cedente / originador</t>
        </is>
      </c>
      <c r="P4" s="5" t="inlineStr">
        <is>
          <t>Sacado / devedor</t>
        </is>
      </c>
      <c r="Q4" s="5" t="inlineStr">
        <is>
          <t>Tipo de recebível</t>
        </is>
      </c>
      <c r="R4" s="5" t="inlineStr">
        <is>
          <t>Tipo ANBIMA oficial</t>
        </is>
      </c>
      <c r="S4" s="5" t="inlineStr">
        <is>
          <t>Foco ANBIMA oficial</t>
        </is>
      </c>
      <c r="T4" s="5" t="inlineStr">
        <is>
          <t>Tipo analítico</t>
        </is>
      </c>
      <c r="U4" s="5" t="inlineStr">
        <is>
          <t>Foco analítico</t>
        </is>
      </c>
      <c r="V4" s="5" t="inlineStr">
        <is>
          <t>Taxonomia funcional N1</t>
        </is>
      </c>
      <c r="W4" s="5" t="inlineStr">
        <is>
          <t>Taxonomia funcional N2</t>
        </is>
      </c>
      <c r="X4" s="5" t="inlineStr">
        <is>
          <t>Middle Market?</t>
        </is>
      </c>
      <c r="Y4" s="5" t="inlineStr">
        <is>
          <t>Middle Market · status</t>
        </is>
      </c>
      <c r="Z4" s="5" t="inlineStr">
        <is>
          <t>Middle Market · justificativa</t>
        </is>
      </c>
      <c r="AA4" s="5" t="inlineStr">
        <is>
          <t>Evidência</t>
        </is>
      </c>
      <c r="AB4" s="5" t="inlineStr">
        <is>
          <t>Fonte</t>
        </is>
      </c>
      <c r="AC4" s="5" t="inlineStr">
        <is>
          <t>Documento</t>
        </is>
      </c>
      <c r="AD4" s="5" t="inlineStr">
        <is>
          <t>Documento da emissão</t>
        </is>
      </c>
      <c r="AE4" s="5" t="inlineStr">
        <is>
          <t>Página / cláusula</t>
        </is>
      </c>
      <c r="AF4" s="5" t="inlineStr">
        <is>
          <t>Fonte do regulamento</t>
        </is>
      </c>
      <c r="AG4" s="5" t="inlineStr">
        <is>
          <t>Fonte da emissão</t>
        </is>
      </c>
      <c r="AH4" s="5" t="inlineStr">
        <is>
          <t>Status da cobertura</t>
        </is>
      </c>
      <c r="AI4" s="26" t="inlineStr">
        <is>
          <t>M · evidência documental (definição citada)</t>
        </is>
      </c>
      <c r="AJ4" s="26" t="inlineStr">
        <is>
          <t>M · documento FundosNET (id)</t>
        </is>
      </c>
      <c r="AK4" s="26" t="inlineStr">
        <is>
          <t>Regulamento traz métrica de porte?</t>
        </is>
      </c>
      <c r="AL4" s="26" t="inlineStr">
        <is>
          <t>Middle Market · veredito documental</t>
        </is>
      </c>
      <c r="AM4" s="26" t="inlineStr">
        <is>
          <t>Middle Market · base da decisão</t>
        </is>
      </c>
      <c r="AN4" s="26" t="inlineStr">
        <is>
          <t>Origem do preenchimento</t>
        </is>
      </c>
    </row>
    <row r="5" hidden="1" ht="48" customHeight="1">
      <c r="A5" s="12" t="n">
        <v>1</v>
      </c>
      <c r="B5" s="12" t="n">
        <v>1</v>
      </c>
      <c r="C5" s="9" t="inlineStr">
        <is>
          <t>Top 100 por PL ex-FIC</t>
        </is>
      </c>
      <c r="D5" s="15" t="n">
        <v>9195235000150</v>
      </c>
      <c r="E5" s="9" t="inlineStr">
        <is>
          <t>09.195.235/0001-50</t>
        </is>
      </c>
      <c r="F5" s="9" t="inlineStr">
        <is>
          <t>FIDC DO SISTEMA PETROBRAS</t>
        </is>
      </c>
      <c r="G5" s="18" t="n">
        <v>61254971563.01</v>
      </c>
      <c r="H5" s="21" t="n">
        <v>0.07457735374951541</v>
      </c>
      <c r="I5" s="21" t="n">
        <v>0.0015158049175739</v>
      </c>
      <c r="J5" s="21" t="inlineStr">
        <is>
          <t>N/D</t>
        </is>
      </c>
      <c r="K5" s="21" t="inlineStr">
        <is>
          <t>N/D</t>
        </is>
      </c>
      <c r="L5" s="9" t="inlineStr">
        <is>
          <t>N/D</t>
        </is>
      </c>
      <c r="M5" s="9" t="inlineStr">
        <is>
          <t>Petrobras</t>
        </is>
      </c>
      <c r="N5" s="9" t="n"/>
      <c r="O5" s="9" t="inlineStr">
        <is>
          <t>Empresas integrantes do Sistema Petrobras que cedam direitos ao fundo; o regulamento não traz lista fechada de cedentes.</t>
        </is>
      </c>
      <c r="P5" s="9" t="inlineStr">
        <is>
          <t>Pessoas jurídicas às quais as cedentes prestam serviços ou alienam bens.</t>
        </is>
      </c>
      <c r="Q5" s="9" t="inlineStr">
        <is>
          <t>Direitos originados em operações industriais, comerciais e de prestação de serviços das empresas do Sistema Petrobras.</t>
        </is>
      </c>
      <c r="R5" s="9" t="inlineStr">
        <is>
          <t>Agro, Indústria e Comércio</t>
        </is>
      </c>
      <c r="S5" s="9" t="inlineStr">
        <is>
          <t>Recebíveis Comerciais</t>
        </is>
      </c>
      <c r="T5" s="9" t="inlineStr">
        <is>
          <t>Agro, Indústria e Comércio</t>
        </is>
      </c>
      <c r="U5" s="9" t="inlineStr">
        <is>
          <t>Recebíveis Comerciais</t>
        </is>
      </c>
      <c r="V5" s="9" t="inlineStr">
        <is>
          <t>Multissetorial / Outros</t>
        </is>
      </c>
      <c r="W5" s="9" t="inlineStr">
        <is>
          <t>Multicarteira outros</t>
        </is>
      </c>
      <c r="X5" s="9" t="b">
        <v>0</v>
      </c>
      <c r="Y5" s="9" t="inlineStr">
        <is>
          <t>Sem indício documental de Middle Market</t>
        </is>
      </c>
      <c r="Z5" s="9" t="inlineStr">
        <is>
          <t>A evidência disponível aponta outro tipo de risco ou não traz crédito corporativo.</t>
        </is>
      </c>
      <c r="AA5" s="9" t="inlineStr">
        <is>
          <t>A leitura documental é compatível com o Tipo/Foco oficial ANBIMA.</t>
        </is>
      </c>
      <c r="AB5" s="9" t="inlineStr">
        <is>
          <t>https://fnet.bmfbovespa.com.br/fnet/publico/abrirGerenciadorDocumentosCVM?cnpjFundo=09195235000150</t>
        </is>
      </c>
      <c r="AC5" s="9" t="inlineStr">
        <is>
          <t>792797</t>
        </is>
      </c>
      <c r="AD5" s="9" t="inlineStr">
        <is>
          <t>N/D</t>
        </is>
      </c>
      <c r="AE5" s="9" t="inlineStr">
        <is>
          <t>p. 3</t>
        </is>
      </c>
      <c r="AF5" s="9" t="inlineStr">
        <is>
          <t>N/D</t>
        </is>
      </c>
      <c r="AG5" s="9" t="inlineStr">
        <is>
          <t>N/D</t>
        </is>
      </c>
      <c r="AH5" s="9" t="inlineStr">
        <is>
          <t>documentado — parte ou lastro identificado</t>
        </is>
      </c>
      <c r="AN5" s="27" t="inlineStr">
        <is>
          <t>curadoria anterior — não revisada nesta rodada</t>
        </is>
      </c>
    </row>
    <row r="6" hidden="1" ht="48" customHeight="1">
      <c r="A6" s="13" t="n">
        <v>2</v>
      </c>
      <c r="B6" s="13" t="n">
        <v>2</v>
      </c>
      <c r="C6" s="10" t="inlineStr">
        <is>
          <t>Top 100 por PL ex-FIC</t>
        </is>
      </c>
      <c r="D6" s="16" t="n">
        <v>26287464000114</v>
      </c>
      <c r="E6" s="10" t="inlineStr">
        <is>
          <t>26.287.464/0001-14</t>
        </is>
      </c>
      <c r="F6" s="10" t="inlineStr">
        <is>
          <t>TAPSO FUNDO DE INVESTIMENTO EM DIREITOS CREDITÓRIOS RESPONSABILIDADE LIMITADA</t>
        </is>
      </c>
      <c r="G6" s="19" t="n">
        <v>41496046291.59</v>
      </c>
      <c r="H6" s="22" t="n">
        <v>0.05052104742732339</v>
      </c>
      <c r="I6" s="22" t="n">
        <v>1</v>
      </c>
      <c r="J6" s="22" t="inlineStr">
        <is>
          <t>N/D</t>
        </is>
      </c>
      <c r="K6" s="22" t="inlineStr">
        <is>
          <t>N/D</t>
        </is>
      </c>
      <c r="L6" s="10" t="inlineStr">
        <is>
          <t>N/D</t>
        </is>
      </c>
      <c r="M6" s="10" t="inlineStr">
        <is>
          <t>Stone Pagamentos</t>
        </is>
      </c>
      <c r="N6" s="10" t="n"/>
      <c r="O6" s="10" t="inlineStr">
        <is>
          <t>Estabelecimentos credenciados, representados por Stone/Pagar.me ou adquirente autorizada, e instituições financeiras parceiras; o regulamento cita a Stone Sociedade de Crédito Direto no fluxo de sub-rogação.</t>
        </is>
      </c>
      <c r="P6" s="10" t="inlineStr">
        <is>
          <t>Stone, Pagar.me e demais adquirentes/subadquirentes autorizadas nos contratos da operação.</t>
        </is>
      </c>
      <c r="Q6" s="10" t="inlineStr">
        <is>
          <t>Unidades/recebíveis de transações de pagamento e créditos sub-rogados de instituições financeiras parceiras.</t>
        </is>
      </c>
      <c r="R6" s="10" t="inlineStr">
        <is>
          <t>Financeiro</t>
        </is>
      </c>
      <c r="S6" s="10" t="inlineStr">
        <is>
          <t>Crédito Pessoal</t>
        </is>
      </c>
      <c r="T6" s="10" t="inlineStr">
        <is>
          <t>Financeiro</t>
        </is>
      </c>
      <c r="U6" s="10" t="inlineStr">
        <is>
          <t>Adquirência</t>
        </is>
      </c>
      <c r="V6" s="10" t="inlineStr">
        <is>
          <t>Meios de Pagamento e Cartões</t>
        </is>
      </c>
      <c r="W6" s="10" t="inlineStr">
        <is>
          <t>Arranjos de pagamento/adquirência</t>
        </is>
      </c>
      <c r="X6" s="10" t="b">
        <v>0</v>
      </c>
      <c r="Y6" s="10" t="inlineStr">
        <is>
          <t>Sem indício documental de Middle Market</t>
        </is>
      </c>
      <c r="Z6" s="10" t="inlineStr">
        <is>
          <t>A evidência disponível aponta outro tipo de risco ou não traz crédito corporativo.</t>
        </is>
      </c>
      <c r="AA6" s="10" t="inlineStr">
        <is>
          <t>O cadastro ANBIMA traz Financeiro/Crédito Pessoal; o regulamento consultado descreve predominantemente recebíveis de meios de pagamento. Manter as duas leituras separadas.</t>
        </is>
      </c>
      <c r="AB6" s="10" t="inlineStr">
        <is>
          <t>https://fnet.bmfbovespa.com.br/fnet/publico/abrirGerenciadorDocumentosCVM?cnpjFundo=26287464000114</t>
        </is>
      </c>
      <c r="AC6" s="10" t="inlineStr">
        <is>
          <t>1066031</t>
        </is>
      </c>
      <c r="AD6" s="10" t="inlineStr">
        <is>
          <t>N/D</t>
        </is>
      </c>
      <c r="AE6" s="10" t="inlineStr">
        <is>
          <t>Lista de fundos da tarefa</t>
        </is>
      </c>
      <c r="AF6" s="10" t="inlineStr">
        <is>
          <t>N/D</t>
        </is>
      </c>
      <c r="AG6" s="10" t="inlineStr">
        <is>
          <t>N/D</t>
        </is>
      </c>
      <c r="AH6" s="10" t="inlineStr">
        <is>
          <t>documentado — parte ou lastro identificado</t>
        </is>
      </c>
      <c r="AN6" s="27" t="inlineStr">
        <is>
          <t>curadoria anterior — não revisada nesta rodada</t>
        </is>
      </c>
    </row>
    <row r="7" hidden="1" ht="48" customHeight="1">
      <c r="A7" s="14" t="n">
        <v>3</v>
      </c>
      <c r="B7" s="14" t="n">
        <v>3</v>
      </c>
      <c r="C7" s="11" t="inlineStr">
        <is>
          <t>Top 100 por PL ex-FIC</t>
        </is>
      </c>
      <c r="D7" s="17" t="n">
        <v>65473848000183</v>
      </c>
      <c r="E7" s="11" t="inlineStr">
        <is>
          <t>65.473.848/0001-83</t>
        </is>
      </c>
      <c r="F7" s="11" t="inlineStr">
        <is>
          <t>PAN AUTO FUNDO DE INVESTIMENTO EM DIREITOS CREDITÓRIOS RESPONSABILIDADE LIMITADA</t>
        </is>
      </c>
      <c r="G7" s="20" t="n">
        <v>17971763062.82</v>
      </c>
      <c r="H7" s="23" t="n">
        <v>0.02188045308387278</v>
      </c>
      <c r="I7" s="23" t="n">
        <v>0</v>
      </c>
      <c r="J7" s="23" t="inlineStr">
        <is>
          <t>N/D</t>
        </is>
      </c>
      <c r="K7" s="23" t="inlineStr">
        <is>
          <t>N/D</t>
        </is>
      </c>
      <c r="L7" s="11" t="inlineStr">
        <is>
          <t>N/D</t>
        </is>
      </c>
      <c r="M7" s="11" t="inlineStr">
        <is>
          <t>Banco Pan</t>
        </is>
      </c>
      <c r="N7" s="11" t="n"/>
      <c r="O7" s="11" t="inlineStr">
        <is>
          <t>N/D</t>
        </is>
      </c>
      <c r="P7" s="11" t="inlineStr">
        <is>
          <t>Entes públicos responsáveis pelos precatórios federais adquiridos no 1T26; nomes não identificados.</t>
        </is>
      </c>
      <c r="Q7" s="11" t="inlineStr">
        <is>
          <t>O relatório trimestral confirma que a exposição incluiu precatórios federais no 1T26. O documento não demonstra que toda a carteira era de precatórios e não há evidência primária suficiente para classificá-la como financiamento de veículos.</t>
        </is>
      </c>
      <c r="R7" s="11" t="inlineStr">
        <is>
          <t>Agro, Indústria e Comércio</t>
        </is>
      </c>
      <c r="S7" s="11" t="inlineStr">
        <is>
          <t>Recebíveis Comerciais</t>
        </is>
      </c>
      <c r="T7" s="11" t="inlineStr">
        <is>
          <t>Agro, Indústria e Comércio</t>
        </is>
      </c>
      <c r="U7" s="11" t="inlineStr">
        <is>
          <t>Recebíveis Comerciais</t>
        </is>
      </c>
      <c r="V7" s="11" t="inlineStr">
        <is>
          <t>N/D</t>
        </is>
      </c>
      <c r="W7" s="11" t="inlineStr">
        <is>
          <t>N/D</t>
        </is>
      </c>
      <c r="X7" s="11" t="b">
        <v>0</v>
      </c>
      <c r="Y7" s="11" t="inlineStr">
        <is>
          <t>Sem indício documental de Middle Market</t>
        </is>
      </c>
      <c r="Z7" s="11" t="inlineStr">
        <is>
          <t>A evidência disponível aponta outro tipo de risco ou não traz crédito corporativo.</t>
        </is>
      </c>
      <c r="AA7" s="11" t="inlineStr">
        <is>
          <t>O nome PAN AUTO não é evidência de crédito automotivo. O classificador local baseado no nome deve ser descartado; a única evidência econômica primária localizada foi a aquisição de precatórios federais no 1T26.</t>
        </is>
      </c>
      <c r="AB7" s="11" t="inlineStr">
        <is>
          <t>https://fnet.bmfbovespa.com.br/fnet/publico/abrirGerenciadorDocumentosCVM?cnpjFundo=65473848000183</t>
        </is>
      </c>
      <c r="AC7" s="11" t="inlineStr">
        <is>
          <t>1142758;1196918</t>
        </is>
      </c>
      <c r="AD7" s="11" t="inlineStr">
        <is>
          <t>N/D</t>
        </is>
      </c>
      <c r="AE7" s="11" t="inlineStr">
        <is>
          <t>N/D</t>
        </is>
      </c>
      <c r="AF7" s="11" t="inlineStr">
        <is>
          <t>N/D</t>
        </is>
      </c>
      <c r="AG7" s="11" t="inlineStr">
        <is>
          <t>N/D</t>
        </is>
      </c>
      <c r="AH7" s="11" t="inlineStr">
        <is>
          <t>documentado — parte ou lastro identificado</t>
        </is>
      </c>
      <c r="AN7" s="27" t="inlineStr">
        <is>
          <t>curadoria anterior — não revisada nesta rodada</t>
        </is>
      </c>
    </row>
    <row r="8" hidden="1" ht="48" customHeight="1">
      <c r="A8" s="13" t="n">
        <v>4</v>
      </c>
      <c r="B8" s="13" t="n">
        <v>4</v>
      </c>
      <c r="C8" s="10" t="inlineStr">
        <is>
          <t>Top 100 por PL ex-FIC</t>
        </is>
      </c>
      <c r="D8" s="16" t="n">
        <v>62393679000183</v>
      </c>
      <c r="E8" s="10" t="inlineStr">
        <is>
          <t>62.393.679/0001-83</t>
        </is>
      </c>
      <c r="F8" s="10" t="inlineStr">
        <is>
          <t>CLOUDWALK BELA FUNDO DE INVESTIMENTO EM DIREITOS CREDITÓRIOS SEGMENTO MEIOS DE PAGAMENTO</t>
        </is>
      </c>
      <c r="G8" s="19" t="n">
        <v>10010957003.11</v>
      </c>
      <c r="H8" s="22" t="n">
        <v>0.01218824632093971</v>
      </c>
      <c r="I8" s="22" t="n">
        <v>0.1553594542690687</v>
      </c>
      <c r="J8" s="22" t="inlineStr">
        <is>
          <t>N/D</t>
        </is>
      </c>
      <c r="K8" s="22" t="inlineStr">
        <is>
          <t>N/D</t>
        </is>
      </c>
      <c r="L8" s="10" t="inlineStr">
        <is>
          <t>N/D</t>
        </is>
      </c>
      <c r="M8" s="10" t="inlineStr">
        <is>
          <t>Cloudwalk</t>
        </is>
      </c>
      <c r="N8" s="10" t="n"/>
      <c r="O8" s="10" t="inlineStr">
        <is>
          <t>CloudWalk Instituição de Pagamento.</t>
        </is>
      </c>
      <c r="P8" s="10" t="inlineStr">
        <is>
          <t>Emissores e instituições de pagamento responsáveis pela liquidação das transações capturadas no sistema CloudWalk.</t>
        </is>
      </c>
      <c r="Q8" s="10" t="inlineStr">
        <is>
          <t>Valores devidos pelos emissores à CloudWalk, como credenciadora, decorrentes de transações de cartão realizadas por estabelecimentos.</t>
        </is>
      </c>
      <c r="R8" s="10" t="inlineStr">
        <is>
          <t>Outros</t>
        </is>
      </c>
      <c r="S8" s="10" t="inlineStr">
        <is>
          <t>Multicarteira Outros</t>
        </is>
      </c>
      <c r="T8" s="10" t="inlineStr">
        <is>
          <t>Financeiro</t>
        </is>
      </c>
      <c r="U8" s="10" t="inlineStr">
        <is>
          <t>Adquirência</t>
        </is>
      </c>
      <c r="V8" s="10" t="inlineStr">
        <is>
          <t>Meios de Pagamento e Cartões</t>
        </is>
      </c>
      <c r="W8" s="10" t="inlineStr">
        <is>
          <t>Banco emissor/cartão de crédito</t>
        </is>
      </c>
      <c r="X8" s="10" t="b">
        <v>0</v>
      </c>
      <c r="Y8" s="10" t="inlineStr">
        <is>
          <t>Sem indício documental de Middle Market</t>
        </is>
      </c>
      <c r="Z8" s="10" t="inlineStr">
        <is>
          <t>A evidência disponível aponta outro tipo de risco ou não traz crédito corporativo.</t>
        </is>
      </c>
      <c r="AA8" s="10" t="inlineStr">
        <is>
          <t>O cadastro ANBIMA traz Outros/Multicarteira Outros; a estrutura econômica documental é de meios de pagamento.</t>
        </is>
      </c>
      <c r="AB8" s="10" t="inlineStr">
        <is>
          <t>https://fnet.bmfbovespa.com.br/fnet/publico/abrirGerenciadorDocumentosCVM?cnpjFundo=62393679000183</t>
        </is>
      </c>
      <c r="AC8" s="10" t="inlineStr">
        <is>
          <t>1117954;1166893;993253</t>
        </is>
      </c>
      <c r="AD8" s="10" t="inlineStr">
        <is>
          <t>N/D</t>
        </is>
      </c>
      <c r="AE8" s="10" t="inlineStr">
        <is>
          <t>Lista de fundos da tarefa</t>
        </is>
      </c>
      <c r="AF8" s="10" t="inlineStr">
        <is>
          <t>N/D</t>
        </is>
      </c>
      <c r="AG8" s="10" t="inlineStr">
        <is>
          <t>N/D</t>
        </is>
      </c>
      <c r="AH8" s="10" t="inlineStr">
        <is>
          <t>documentado — parte ou lastro identificado</t>
        </is>
      </c>
      <c r="AN8" s="27" t="inlineStr">
        <is>
          <t>curadoria anterior — não revisada nesta rodada</t>
        </is>
      </c>
    </row>
    <row r="9" hidden="1" ht="48" customHeight="1">
      <c r="A9" s="14" t="n">
        <v>5</v>
      </c>
      <c r="B9" s="14" t="n">
        <v>5</v>
      </c>
      <c r="C9" s="11" t="inlineStr">
        <is>
          <t>Top 100 por PL ex-FIC</t>
        </is>
      </c>
      <c r="D9" s="17" t="n">
        <v>63953619000130</v>
      </c>
      <c r="E9" s="11" t="inlineStr">
        <is>
          <t>63.953.619/0001-30</t>
        </is>
      </c>
      <c r="F9" s="11" t="inlineStr">
        <is>
          <t>CLASSE CONSIGNADO PRIVADO DO MT GLOBAL FUNDO DE INVESTIMENTO EM DIREITOS CREDITÓRIOS RESP LIMITADA</t>
        </is>
      </c>
      <c r="G9" s="20" t="n">
        <v>9407708295.27</v>
      </c>
      <c r="H9" s="23" t="n">
        <v>0.01145379667325284</v>
      </c>
      <c r="I9" s="23" t="n">
        <v>0.0134833710631275</v>
      </c>
      <c r="J9" s="23" t="inlineStr">
        <is>
          <t>N/D</t>
        </is>
      </c>
      <c r="K9" s="23" t="inlineStr">
        <is>
          <t>N/D</t>
        </is>
      </c>
      <c r="L9" s="11" t="inlineStr">
        <is>
          <t>N/D</t>
        </is>
      </c>
      <c r="M9" s="11" t="inlineStr">
        <is>
          <t>MeuTudo</t>
        </is>
      </c>
      <c r="N9" s="11" t="n"/>
      <c r="O9" s="11" t="inlineStr">
        <is>
          <t>Parati Crédito, Financiamento e Investimento S.A., como originadora e endossante das CCBs.</t>
        </is>
      </c>
      <c r="P9" s="11" t="inlineStr">
        <is>
          <t>Pessoas físicas empregadas por empresas privadas, devedoras dos empréstimos consignados.</t>
        </is>
      </c>
      <c r="Q9" s="11" t="inlineStr">
        <is>
          <t>Parcelas de CCBs de empréstimo consignado privado, processadas na infraestrutura Dataprev e Caixa prevista no regulamento.</t>
        </is>
      </c>
      <c r="R9" s="11" t="inlineStr">
        <is>
          <t>Financeiro</t>
        </is>
      </c>
      <c r="S9" s="11" t="inlineStr">
        <is>
          <t>Crédito Consignado</t>
        </is>
      </c>
      <c r="T9" s="11" t="inlineStr">
        <is>
          <t>Financeiro</t>
        </is>
      </c>
      <c r="U9" s="11" t="inlineStr">
        <is>
          <t>Crédito Consignado</t>
        </is>
      </c>
      <c r="V9" s="11" t="inlineStr">
        <is>
          <t>Crédito PF</t>
        </is>
      </c>
      <c r="W9" s="11" t="inlineStr">
        <is>
          <t>Consignado/INSS</t>
        </is>
      </c>
      <c r="X9" s="11" t="inlineStr">
        <is>
          <t>N/D</t>
        </is>
      </c>
      <c r="Y9" s="11" t="inlineStr">
        <is>
          <t>Indício de crédito corporativo; porte N/D</t>
        </is>
      </c>
      <c r="Z9" s="11" t="inlineStr">
        <is>
          <t>O lastro é compatível com crédito corporativo tradicional, mas a base não documenta o porte do tomador.</t>
        </is>
      </c>
      <c r="AA9" s="11" t="inlineStr">
        <is>
          <t>O regulamento declara Tipo Financeiro e Foco Créditos Consignados para a Classe Consignado Privado.</t>
        </is>
      </c>
      <c r="AB9" s="11" t="inlineStr">
        <is>
          <t>FundosNet, Regulamento id 1222855 de 02/06/2026, páginas 3 e 15; deliberação id 1087883 de 08/01/2026.</t>
        </is>
      </c>
      <c r="AC9" s="11" t="inlineStr">
        <is>
          <t>1222855;1087883</t>
        </is>
      </c>
      <c r="AD9" s="11" t="inlineStr">
        <is>
          <t>N/D</t>
        </is>
      </c>
      <c r="AE9" s="11" t="inlineStr">
        <is>
          <t>p. 87 — política/definição do lastro</t>
        </is>
      </c>
      <c r="AF9" s="11" t="inlineStr">
        <is>
          <t>N/D</t>
        </is>
      </c>
      <c r="AG9" s="11" t="inlineStr">
        <is>
          <t>N/D</t>
        </is>
      </c>
      <c r="AH9" s="11" t="inlineStr">
        <is>
          <t>documentado — parte ou lastro identificado</t>
        </is>
      </c>
      <c r="AN9" s="27" t="inlineStr">
        <is>
          <t>curadoria anterior — não revisada nesta rodada</t>
        </is>
      </c>
    </row>
    <row r="10" hidden="1" ht="48" customHeight="1">
      <c r="A10" s="13" t="n">
        <v>6</v>
      </c>
      <c r="B10" s="13" t="n">
        <v>6</v>
      </c>
      <c r="C10" s="10" t="inlineStr">
        <is>
          <t>Top 100 por PL ex-FIC</t>
        </is>
      </c>
      <c r="D10" s="16" t="n">
        <v>53286499000101</v>
      </c>
      <c r="E10" s="10" t="inlineStr">
        <is>
          <t>53.286.499/0001-01</t>
        </is>
      </c>
      <c r="F10" s="10" t="inlineStr">
        <is>
          <t>ITAÚ CRÉDITO PRIVADO FUNDO DE INVESTIMENTO EM DIREITOS CREDITÓRIOS - RESPONSABILIDADE LIMITADA</t>
        </is>
      </c>
      <c r="G10" s="19" t="n">
        <v>8719298749.48</v>
      </c>
      <c r="H10" s="22" t="n">
        <v>0.01061566450355436</v>
      </c>
      <c r="I10" s="22" t="n">
        <v>0</v>
      </c>
      <c r="J10" s="22" t="inlineStr">
        <is>
          <t>N/D</t>
        </is>
      </c>
      <c r="K10" s="22" t="inlineStr">
        <is>
          <t>N/D</t>
        </is>
      </c>
      <c r="L10" s="10" t="inlineStr">
        <is>
          <t>N/D</t>
        </is>
      </c>
      <c r="M10" s="10" t="inlineStr">
        <is>
          <t>Itaú Asset</t>
        </is>
      </c>
      <c r="N10" s="10" t="n"/>
      <c r="O10" s="10" t="inlineStr">
        <is>
          <t>Os documentos não apontam uma entidade cedente única; os instrumentos podem ser adquiridos de emissores ou no mercado, conforme seleção do gestor.</t>
        </is>
      </c>
      <c r="P10" s="10" t="inlineStr">
        <is>
          <t>Emissores, devedores, coobrigados ou garantidores dos instrumentos de crédito da carteira.</t>
        </is>
      </c>
      <c r="Q10" s="10" t="inlineStr">
        <is>
          <t>Debêntures, CRI, CRA, notas comerciais, letras financeiras, LCI, LCA, CDB, CCB, CDCA, cotas de FIDC e outros direitos de crédito previstos no regulamento.</t>
        </is>
      </c>
      <c r="R10" s="10" t="inlineStr">
        <is>
          <t>Outros</t>
        </is>
      </c>
      <c r="S10" s="10" t="inlineStr">
        <is>
          <t>Multicarteira Outros</t>
        </is>
      </c>
      <c r="T10" s="10" t="inlineStr">
        <is>
          <t>Outros</t>
        </is>
      </c>
      <c r="U10" s="10" t="inlineStr">
        <is>
          <t>Multicarteira Outros</t>
        </is>
      </c>
      <c r="V10" s="10" t="inlineStr">
        <is>
          <t>Multissetorial / Outros</t>
        </is>
      </c>
      <c r="W10" s="10" t="inlineStr">
        <is>
          <t>Multicarteira outros</t>
        </is>
      </c>
      <c r="X10" s="10" t="inlineStr">
        <is>
          <t>N/D</t>
        </is>
      </c>
      <c r="Y10" s="10" t="inlineStr">
        <is>
          <t>Indício de crédito corporativo; porte N/D</t>
        </is>
      </c>
      <c r="Z10" s="10" t="inlineStr">
        <is>
          <t>O lastro é compatível com crédito corporativo tradicional, mas a base não documenta o porte do tomador.</t>
        </is>
      </c>
      <c r="AA10" s="10" t="inlineStr">
        <is>
          <t>A leitura documental é compatível com Outros/Multicarteira Outros.</t>
        </is>
      </c>
      <c r="AB10" s="10" t="inlineStr">
        <is>
          <t>https://fnet.bmfbovespa.com.br/fnet/publico/abrirGerenciadorDocumentosCVM?cnpjFundo=53286499000101</t>
        </is>
      </c>
      <c r="AC10" s="10" t="inlineStr">
        <is>
          <t>579249;579248</t>
        </is>
      </c>
      <c r="AD10" s="10" t="inlineStr">
        <is>
          <t>N/D</t>
        </is>
      </c>
      <c r="AE10" s="10" t="inlineStr">
        <is>
          <t>pp. 15–16 — política de investimento</t>
        </is>
      </c>
      <c r="AF10" s="10" t="inlineStr">
        <is>
          <t>N/D</t>
        </is>
      </c>
      <c r="AG10" s="10" t="inlineStr">
        <is>
          <t>N/D</t>
        </is>
      </c>
      <c r="AH10" s="10" t="inlineStr">
        <is>
          <t>documentado — parte ou lastro identificado</t>
        </is>
      </c>
      <c r="AN10" s="27" t="inlineStr">
        <is>
          <t>curadoria anterior — não revisada nesta rodada</t>
        </is>
      </c>
    </row>
    <row r="11" hidden="1" ht="48" customHeight="1">
      <c r="A11" s="14" t="n">
        <v>7</v>
      </c>
      <c r="B11" s="14" t="n">
        <v>7</v>
      </c>
      <c r="C11" s="11" t="inlineStr">
        <is>
          <t>Top 100 por PL ex-FIC</t>
        </is>
      </c>
      <c r="D11" s="17" t="n">
        <v>52242420000188</v>
      </c>
      <c r="E11" s="11" t="inlineStr">
        <is>
          <t>52.242.420/0001-88</t>
        </is>
      </c>
      <c r="F11" s="11" t="inlineStr">
        <is>
          <t>BTG PACTUAL CONSIGNADOS II FUNDO DE INVESTIMENTO EM DIREITOS CREDITÓRIOS</t>
        </is>
      </c>
      <c r="G11" s="20" t="n">
        <v>8032044361.07</v>
      </c>
      <c r="H11" s="23" t="n">
        <v>0.009778938727139018</v>
      </c>
      <c r="I11" s="23" t="n">
        <v>0</v>
      </c>
      <c r="J11" s="23" t="inlineStr">
        <is>
          <t>N/D</t>
        </is>
      </c>
      <c r="K11" s="23" t="inlineStr">
        <is>
          <t>N/D</t>
        </is>
      </c>
      <c r="L11" s="11" t="inlineStr">
        <is>
          <t>N/D</t>
        </is>
      </c>
      <c r="M11" s="11" t="inlineStr">
        <is>
          <t>Banco Pan</t>
        </is>
      </c>
      <c r="N11" s="11" t="n"/>
      <c r="O11" s="11" t="inlineStr">
        <is>
          <t>Instituições financeiras que concedam as CCBs; nomes individuais não identificados no regulamento selecionado.</t>
        </is>
      </c>
      <c r="P11" s="11" t="inlineStr">
        <is>
          <t>Pessoas físicas, incluindo beneficiários de INSS/Auxílio Brasil e trabalhadores com saldo de FGTS, conforme a modalidade da CCB.</t>
        </is>
      </c>
      <c r="Q11" s="11" t="inlineStr">
        <is>
          <t>Parcelas vincendas de CCB de empréstimo pessoal com cessão fiduciária do saque-aniversário FGTS ou consignação operacionalizada pela Dataprev.</t>
        </is>
      </c>
      <c r="R11" s="11" t="inlineStr">
        <is>
          <t>Financeiro</t>
        </is>
      </c>
      <c r="S11" s="11" t="inlineStr">
        <is>
          <t>Crédito Pessoal</t>
        </is>
      </c>
      <c r="T11" s="11" t="inlineStr">
        <is>
          <t>Financeiro</t>
        </is>
      </c>
      <c r="U11" s="11" t="inlineStr">
        <is>
          <t>Crédito Consignado</t>
        </is>
      </c>
      <c r="V11" s="11" t="inlineStr">
        <is>
          <t>Crédito PF</t>
        </is>
      </c>
      <c r="W11" s="11" t="inlineStr">
        <is>
          <t>Consignado/INSS</t>
        </is>
      </c>
      <c r="X11" s="11" t="inlineStr">
        <is>
          <t>N/D</t>
        </is>
      </c>
      <c r="Y11" s="11" t="inlineStr">
        <is>
          <t>Indício de crédito corporativo; porte N/D</t>
        </is>
      </c>
      <c r="Z11" s="11" t="inlineStr">
        <is>
          <t>O lastro é compatível com crédito corporativo tradicional, mas a base não documenta o porte do tomador.</t>
        </is>
      </c>
      <c r="AA11" s="11" t="inlineStr">
        <is>
          <t>A leitura documental é compatível com Financeiro/Crédito Pessoal do snapshot, embora o foco contratual seja mais específico.</t>
        </is>
      </c>
      <c r="AB11" s="11" t="inlineStr">
        <is>
          <t>https://fnet.bmfbovespa.com.br/fnet/publico/abrirGerenciadorDocumentosCVM?cnpjFundo=52242420000188</t>
        </is>
      </c>
      <c r="AC11" s="11" t="inlineStr">
        <is>
          <t>938243;523931</t>
        </is>
      </c>
      <c r="AD11" s="11" t="inlineStr">
        <is>
          <t>N/D</t>
        </is>
      </c>
      <c r="AE11" s="11" t="inlineStr">
        <is>
          <t>p. 7 — política/definição do lastro</t>
        </is>
      </c>
      <c r="AF11" s="11" t="inlineStr">
        <is>
          <t>N/D</t>
        </is>
      </c>
      <c r="AG11" s="11" t="inlineStr">
        <is>
          <t>N/D</t>
        </is>
      </c>
      <c r="AH11" s="11" t="inlineStr">
        <is>
          <t>documentado — parte ou lastro identificado</t>
        </is>
      </c>
      <c r="AN11" s="27" t="inlineStr">
        <is>
          <t>curadoria anterior — não revisada nesta rodada</t>
        </is>
      </c>
    </row>
    <row r="12" ht="48" customHeight="1">
      <c r="A12" s="13" t="n">
        <v>8</v>
      </c>
      <c r="B12" s="13" t="n">
        <v>8</v>
      </c>
      <c r="C12" s="10" t="inlineStr">
        <is>
          <t>Top 100 por PL ex-FIC</t>
        </is>
      </c>
      <c r="D12" s="16" t="n">
        <v>52610624000124</v>
      </c>
      <c r="E12" s="10" t="inlineStr">
        <is>
          <t>52.610.624/0001-24</t>
        </is>
      </c>
      <c r="F12" s="10" t="inlineStr">
        <is>
          <t>AETOS ENERGIA FUNDO DE INVESTIMENTO EM DIREITOS CREDITÓRIOS</t>
        </is>
      </c>
      <c r="G12" s="19" t="n">
        <v>7350884666.57</v>
      </c>
      <c r="H12" s="22" t="n">
        <v>0.008949633183434965</v>
      </c>
      <c r="I12" s="22" t="n">
        <v>0.1184810115182402</v>
      </c>
      <c r="J12" s="22" t="inlineStr">
        <is>
          <t>N/D</t>
        </is>
      </c>
      <c r="K12" s="22" t="inlineStr">
        <is>
          <t>N/D</t>
        </is>
      </c>
      <c r="L12" s="10" t="inlineStr">
        <is>
          <t>N/D</t>
        </is>
      </c>
      <c r="M12" s="28" t="inlineStr">
        <is>
          <t>XP Comercializadora de Energia S.A.</t>
        </is>
      </c>
      <c r="N12" s="10" t="n"/>
      <c r="O12" s="10" t="inlineStr">
        <is>
          <t>XP Comercializadora de Energia S.A. — CNPJ 34.475.373/0001-30.</t>
        </is>
      </c>
      <c r="P12" s="10" t="inlineStr">
        <is>
          <t>Contrapartes compradoras nos contratos de compra e venda de energia elétrica.</t>
        </is>
      </c>
      <c r="Q12" s="10" t="inlineStr">
        <is>
          <t>Fluxos presentes e futuros decorrentes de contratos de comercialização de energia elétrica.</t>
        </is>
      </c>
      <c r="R12" s="10" t="inlineStr">
        <is>
          <t>Agro, Indústria e Comércio</t>
        </is>
      </c>
      <c r="S12" s="10" t="inlineStr">
        <is>
          <t>Recebíveis Comerciais</t>
        </is>
      </c>
      <c r="T12" s="10" t="inlineStr">
        <is>
          <t>Agro, Indústria e Comércio</t>
        </is>
      </c>
      <c r="U12" s="10" t="inlineStr">
        <is>
          <t>Infraestrutura</t>
        </is>
      </c>
      <c r="V12" s="10" t="inlineStr">
        <is>
          <t>Infra/Energia</t>
        </is>
      </c>
      <c r="W12" s="10" t="inlineStr">
        <is>
          <t>Energia/infra</t>
        </is>
      </c>
      <c r="X12" s="28" t="inlineStr">
        <is>
          <t>N/D</t>
        </is>
      </c>
      <c r="Y12" s="28" t="inlineStr">
        <is>
          <t>Indeterminado — regulamento sem métrica de porte</t>
        </is>
      </c>
      <c r="Z12" s="28" t="inlineStr">
        <is>
          <t>Cedente nomeada. Devedores são contrapartes em contratos de venda de energia, com limite de concentração por rating (AAA/AA 20%, A 15%, BBB 5%); o regulamento não traz faturamento nem porte.</t>
        </is>
      </c>
      <c r="AA12" s="10" t="inlineStr">
        <is>
          <t>A leitura documental é compatível com Agro, Indústria e Comércio/Recebíveis Comerciais.</t>
        </is>
      </c>
      <c r="AB12" s="10" t="inlineStr">
        <is>
          <t>https://fnet.bmfbovespa.com.br/fnet/publico/abrirGerenciadorDocumentosCVM?cnpjFundo=52610624000124</t>
        </is>
      </c>
      <c r="AC12" s="10" t="inlineStr">
        <is>
          <t>794164;551833</t>
        </is>
      </c>
      <c r="AD12" s="10" t="inlineStr">
        <is>
          <t>N/D</t>
        </is>
      </c>
      <c r="AE12" s="10" t="inlineStr">
        <is>
          <t>p. 7 — política/definição do lastro</t>
        </is>
      </c>
      <c r="AF12" s="10" t="inlineStr">
        <is>
          <t>N/D</t>
        </is>
      </c>
      <c r="AG12" s="10" t="inlineStr">
        <is>
          <t>N/D</t>
        </is>
      </c>
      <c r="AH12" s="10" t="inlineStr">
        <is>
          <t>documentado — parte ou lastro identificado</t>
        </is>
      </c>
      <c r="AI12" s="29" t="inlineStr">
        <is>
          <t>Def. "Cedente": A XP COMERCIALIZADORA DE ENERGIA S.A., CNPJ 34.475.373/0001-30. Def. "Devedor": pessoas físicas ou jurídicas contrapartes da Cedente nos Contratos de Venda de Energia.</t>
        </is>
      </c>
      <c r="AJ12" s="29" t="inlineStr">
        <is>
          <t>794164</t>
        </is>
      </c>
      <c r="AK12" s="29" t="inlineStr">
        <is>
          <t>Não</t>
        </is>
      </c>
      <c r="AL12" s="29" t="inlineStr">
        <is>
          <t>indeterminado</t>
        </is>
      </c>
      <c r="AM12" s="29" t="inlineStr">
        <is>
          <t>Cedente nomeada. Devedores são contrapartes em contratos de venda de energia, com limite de concentração por rating (AAA/AA 20%, A 15%, BBB 5%); o regulamento não traz faturamento nem porte.</t>
        </is>
      </c>
      <c r="AN12" s="29" t="inlineStr">
        <is>
          <t>leitura do regulamento nesta rodada</t>
        </is>
      </c>
    </row>
    <row r="13" hidden="1" ht="48" customHeight="1">
      <c r="A13" s="14" t="n">
        <v>9</v>
      </c>
      <c r="B13" s="14" t="n">
        <v>9</v>
      </c>
      <c r="C13" s="11" t="inlineStr">
        <is>
          <t>Top 100 por PL ex-FIC</t>
        </is>
      </c>
      <c r="D13" s="17" t="n">
        <v>26286939000158</v>
      </c>
      <c r="E13" s="11" t="inlineStr">
        <is>
          <t>26.286.939/0001-58</t>
        </is>
      </c>
      <c r="F13" s="11" t="inlineStr">
        <is>
          <t>CIELO FUNDO DE INVESTIMENTO EM DIREITOS CREDITÓRIOS</t>
        </is>
      </c>
      <c r="G13" s="20" t="n">
        <v>6479950762.42</v>
      </c>
      <c r="H13" s="23" t="n">
        <v>0.007889279318191094</v>
      </c>
      <c r="I13" s="23" t="n">
        <v>0.8414931267075925</v>
      </c>
      <c r="J13" s="23" t="inlineStr">
        <is>
          <t>N/D</t>
        </is>
      </c>
      <c r="K13" s="23" t="inlineStr">
        <is>
          <t>N/D</t>
        </is>
      </c>
      <c r="L13" s="11" t="inlineStr">
        <is>
          <t>N/D</t>
        </is>
      </c>
      <c r="M13" s="11" t="inlineStr">
        <is>
          <t>Cielo</t>
        </is>
      </c>
      <c r="N13" s="11" t="n"/>
      <c r="O13" s="11" t="inlineStr">
        <is>
          <t>Estabelecimentos credenciados à Cielo.</t>
        </is>
      </c>
      <c r="P13" s="11" t="inlineStr">
        <is>
          <t>Cielo, como adquirente e devedora dos recebíveis cedidos pelos estabelecimentos.</t>
        </is>
      </c>
      <c r="Q13" s="11" t="inlineStr">
        <is>
          <t>Valores de liquidação de transações de pagamento/unidades de recebíveis processadas no Sistema Cielo.</t>
        </is>
      </c>
      <c r="R13" s="11" t="inlineStr">
        <is>
          <t>Financeiro</t>
        </is>
      </c>
      <c r="S13" s="11" t="inlineStr">
        <is>
          <t>Multicarteira Financeiro</t>
        </is>
      </c>
      <c r="T13" s="11" t="inlineStr">
        <is>
          <t>Financeiro</t>
        </is>
      </c>
      <c r="U13" s="11" t="inlineStr">
        <is>
          <t>Adquirência</t>
        </is>
      </c>
      <c r="V13" s="11" t="inlineStr">
        <is>
          <t>Meios de Pagamento e Cartões</t>
        </is>
      </c>
      <c r="W13" s="11" t="inlineStr">
        <is>
          <t>Banco emissor/cartão de crédito</t>
        </is>
      </c>
      <c r="X13" s="11" t="b">
        <v>0</v>
      </c>
      <c r="Y13" s="11" t="inlineStr">
        <is>
          <t>Sem indício documental de Middle Market</t>
        </is>
      </c>
      <c r="Z13" s="11" t="inlineStr">
        <is>
          <t>A evidência disponível aponta outro tipo de risco ou não traz crédito corporativo.</t>
        </is>
      </c>
      <c r="AA13" s="11" t="inlineStr">
        <is>
          <t>O cadastro ANBIMA traz Financeiro/Multicarteira Financeiro; a estrutura documental é de meios de pagamento.</t>
        </is>
      </c>
      <c r="AB13" s="11" t="inlineStr">
        <is>
          <t>https://fnet.bmfbovespa.com.br/fnet/publico/abrirGerenciadorDocumentosCVM?cnpjFundo=26286939000158</t>
        </is>
      </c>
      <c r="AC13" s="11" t="inlineStr">
        <is>
          <t>1017493;1026980</t>
        </is>
      </c>
      <c r="AD13" s="11" t="inlineStr">
        <is>
          <t>N/D</t>
        </is>
      </c>
      <c r="AE13" s="11" t="inlineStr">
        <is>
          <t>Lista de fundos da tarefa</t>
        </is>
      </c>
      <c r="AF13" s="11" t="inlineStr">
        <is>
          <t>N/D</t>
        </is>
      </c>
      <c r="AG13" s="11" t="inlineStr">
        <is>
          <t>N/D</t>
        </is>
      </c>
      <c r="AH13" s="11" t="inlineStr">
        <is>
          <t>documentado — parte ou lastro identificado</t>
        </is>
      </c>
      <c r="AN13" s="27" t="inlineStr">
        <is>
          <t>curadoria anterior — não revisada nesta rodada</t>
        </is>
      </c>
    </row>
    <row r="14" hidden="1" ht="48" customHeight="1">
      <c r="A14" s="13" t="n">
        <v>10</v>
      </c>
      <c r="B14" s="13" t="n">
        <v>10</v>
      </c>
      <c r="C14" s="10" t="inlineStr">
        <is>
          <t>Top 100 por PL ex-FIC</t>
        </is>
      </c>
      <c r="D14" s="16" t="n">
        <v>53216449000158</v>
      </c>
      <c r="E14" s="10" t="inlineStr">
        <is>
          <t>53.216.449/0001-58</t>
        </is>
      </c>
      <c r="F14" s="10" t="inlineStr">
        <is>
          <t>RIO VERMELHO FUNDO DE INVESTIMENTO EM DIREITOS CREDITÓRIOS NÃO PADRONIZADO</t>
        </is>
      </c>
      <c r="G14" s="19" t="n">
        <v>6390451812.87</v>
      </c>
      <c r="H14" s="22" t="n">
        <v>0.007780315185966584</v>
      </c>
      <c r="I14" s="22" t="n">
        <v>0</v>
      </c>
      <c r="J14" s="22" t="inlineStr">
        <is>
          <t>N/D</t>
        </is>
      </c>
      <c r="K14" s="22" t="inlineStr">
        <is>
          <t>N/D</t>
        </is>
      </c>
      <c r="L14" s="10" t="inlineStr">
        <is>
          <t>N/D</t>
        </is>
      </c>
      <c r="M14" s="10" t="inlineStr">
        <is>
          <t>N/A</t>
        </is>
      </c>
      <c r="N14" s="10" t="n"/>
      <c r="O14" s="10" t="inlineStr">
        <is>
          <t>Pessoas físicas, jurídicas ou fundos que transfiram os direitos; nomes não identificados no regulamento.</t>
        </is>
      </c>
      <c r="P14" s="10" t="inlineStr">
        <is>
          <t>Entes públicos e demais pessoas físicas/jurídicas devedoras dos direitos adquiridos.</t>
        </is>
      </c>
      <c r="Q14" s="10" t="inlineStr">
        <is>
          <t>Precatórios e créditos públicos; créditos vencidos; direitos litigiosos, penhorados, futuros e outros não padronizados permitidos.</t>
        </is>
      </c>
      <c r="R14" s="10" t="inlineStr">
        <is>
          <t>Outros</t>
        </is>
      </c>
      <c r="S14" s="10" t="inlineStr">
        <is>
          <t>Multicarteira Outros</t>
        </is>
      </c>
      <c r="T14" s="10" t="inlineStr">
        <is>
          <t>Outros</t>
        </is>
      </c>
      <c r="U14" s="10" t="inlineStr">
        <is>
          <t>Recuperação</t>
        </is>
      </c>
      <c r="V14" s="10" t="inlineStr">
        <is>
          <t>Judicial/Precatórios/NPL</t>
        </is>
      </c>
      <c r="W14" s="10" t="inlineStr">
        <is>
          <t>Não padronizado/NPL</t>
        </is>
      </c>
      <c r="X14" s="10" t="b">
        <v>0</v>
      </c>
      <c r="Y14" s="10" t="inlineStr">
        <is>
          <t>Sem indício documental de Middle Market</t>
        </is>
      </c>
      <c r="Z14" s="10" t="inlineStr">
        <is>
          <t>A evidência disponível aponta outro tipo de risco ou não traz crédito corporativo.</t>
        </is>
      </c>
      <c r="AA14" s="10" t="inlineStr">
        <is>
          <t>O cadastro ANBIMA traz Outros/Multicarteira Outros; a política documental permite NPL e precatórios.</t>
        </is>
      </c>
      <c r="AB14" s="10" t="inlineStr">
        <is>
          <t>https://fnet.bmfbovespa.com.br/fnet/publico/abrirGerenciadorDocumentosCVM?cnpjFundo=53216449000158</t>
        </is>
      </c>
      <c r="AC14" s="10" t="inlineStr">
        <is>
          <t>880741;587879</t>
        </is>
      </c>
      <c r="AD14" s="10" t="inlineStr">
        <is>
          <t>N/D</t>
        </is>
      </c>
      <c r="AE14" s="10" t="inlineStr">
        <is>
          <t>Linha do FIDC na imagem</t>
        </is>
      </c>
      <c r="AF14" s="10" t="inlineStr">
        <is>
          <t>N/D</t>
        </is>
      </c>
      <c r="AG14" s="10" t="inlineStr">
        <is>
          <t>N/D</t>
        </is>
      </c>
      <c r="AH14" s="10" t="inlineStr">
        <is>
          <t>documentado — parte ou lastro identificado</t>
        </is>
      </c>
      <c r="AN14" s="27" t="inlineStr">
        <is>
          <t>curadoria anterior — não revisada nesta rodada</t>
        </is>
      </c>
    </row>
    <row r="15" hidden="1" ht="48" customHeight="1">
      <c r="A15" s="14" t="n">
        <v>11</v>
      </c>
      <c r="B15" s="14" t="n">
        <v>11</v>
      </c>
      <c r="C15" s="11" t="inlineStr">
        <is>
          <t>Top 100 por PL ex-FIC</t>
        </is>
      </c>
      <c r="D15" s="17" t="n">
        <v>28169275000172</v>
      </c>
      <c r="E15" s="11" t="inlineStr">
        <is>
          <t>28.169.275/0001-72</t>
        </is>
      </c>
      <c r="F15" s="11" t="inlineStr">
        <is>
          <t>FUNDO DE INVESTIMENTO EM DIREITOS CREDITÓRIOS PAGSEGURO I</t>
        </is>
      </c>
      <c r="G15" s="20" t="n">
        <v>6234652185.61</v>
      </c>
      <c r="H15" s="23" t="n">
        <v>0.007590630600050816</v>
      </c>
      <c r="I15" s="23" t="n">
        <v>0.6324501415323651</v>
      </c>
      <c r="J15" s="23" t="inlineStr">
        <is>
          <t>N/D</t>
        </is>
      </c>
      <c r="K15" s="23" t="inlineStr">
        <is>
          <t>N/D</t>
        </is>
      </c>
      <c r="L15" s="11" t="inlineStr">
        <is>
          <t>N/D</t>
        </is>
      </c>
      <c r="M15" s="11" t="inlineStr">
        <is>
          <t>PagSeguro</t>
        </is>
      </c>
      <c r="N15" s="11" t="n"/>
      <c r="O15" s="11" t="inlineStr">
        <is>
          <t>Estabelecimentos credenciados ao sistema PagSeguro.</t>
        </is>
      </c>
      <c r="P15" s="11" t="inlineStr">
        <is>
          <t>PagSeguro, como devedor dos valores de liquidação devidos aos estabelecimentos.</t>
        </is>
      </c>
      <c r="Q15" s="11" t="inlineStr">
        <is>
          <t>Unidades/recebíveis de transações de pagamento a débito e crédito, à vista ou parceladas, capturadas e liquidadas pelo sistema PagSeguro.</t>
        </is>
      </c>
      <c r="R15" s="11" t="inlineStr">
        <is>
          <t>Outros</t>
        </is>
      </c>
      <c r="S15" s="11" t="inlineStr">
        <is>
          <t>Multicarteira Outros</t>
        </is>
      </c>
      <c r="T15" s="11" t="inlineStr">
        <is>
          <t>Financeiro</t>
        </is>
      </c>
      <c r="U15" s="11" t="inlineStr">
        <is>
          <t>Adquirência</t>
        </is>
      </c>
      <c r="V15" s="11" t="inlineStr">
        <is>
          <t>Meios de Pagamento e Cartões</t>
        </is>
      </c>
      <c r="W15" s="11" t="inlineStr">
        <is>
          <t>Arranjos de pagamento/adquirência</t>
        </is>
      </c>
      <c r="X15" s="11" t="b">
        <v>0</v>
      </c>
      <c r="Y15" s="11" t="inlineStr">
        <is>
          <t>Sem indício documental de Middle Market</t>
        </is>
      </c>
      <c r="Z15" s="11" t="inlineStr">
        <is>
          <t>A evidência disponível aponta outro tipo de risco ou não traz crédito corporativo.</t>
        </is>
      </c>
      <c r="AA15" s="11" t="inlineStr">
        <is>
          <t>O cadastro ANBIMA traz Outros/Multicarteira Outros; a estrutura econômica documental é de meios de pagamento.</t>
        </is>
      </c>
      <c r="AB15" s="11" t="inlineStr">
        <is>
          <t>https://fnet.bmfbovespa.com.br/fnet/publico/abrirGerenciadorDocumentosCVM?cnpjFundo=28169275000172</t>
        </is>
      </c>
      <c r="AC15" s="11" t="inlineStr">
        <is>
          <t>1149521;1148251;773514</t>
        </is>
      </c>
      <c r="AD15" s="11" t="inlineStr">
        <is>
          <t>N/D</t>
        </is>
      </c>
      <c r="AE15" s="11" t="inlineStr">
        <is>
          <t>Lista de fundos da tarefa</t>
        </is>
      </c>
      <c r="AF15" s="11" t="inlineStr">
        <is>
          <t>N/D</t>
        </is>
      </c>
      <c r="AG15" s="11" t="inlineStr">
        <is>
          <t>N/D</t>
        </is>
      </c>
      <c r="AH15" s="11" t="inlineStr">
        <is>
          <t>documentado — parte ou lastro identificado</t>
        </is>
      </c>
      <c r="AN15" s="27" t="inlineStr">
        <is>
          <t>curadoria anterior — não revisada nesta rodada</t>
        </is>
      </c>
    </row>
    <row r="16" hidden="1" ht="48" customHeight="1">
      <c r="A16" s="13" t="n">
        <v>12</v>
      </c>
      <c r="B16" s="13" t="n">
        <v>12</v>
      </c>
      <c r="C16" s="10" t="inlineStr">
        <is>
          <t>Top 100 por PL ex-FIC</t>
        </is>
      </c>
      <c r="D16" s="16" t="n">
        <v>50906397000153</v>
      </c>
      <c r="E16" s="10" t="inlineStr">
        <is>
          <t>50.906.397/0001-53</t>
        </is>
      </c>
      <c r="F16" s="10" t="inlineStr">
        <is>
          <t>BTG PACTUAL CONSIGNADOS FUNDO DE INVESTIMENTO EM DIREITOS CREDITÓRIOS</t>
        </is>
      </c>
      <c r="G16" s="19" t="n">
        <v>6007175688.48</v>
      </c>
      <c r="H16" s="22" t="n">
        <v>0.007313680096878776</v>
      </c>
      <c r="I16" s="22" t="n">
        <v>0</v>
      </c>
      <c r="J16" s="22" t="inlineStr">
        <is>
          <t>N/D</t>
        </is>
      </c>
      <c r="K16" s="22" t="inlineStr">
        <is>
          <t>N/D</t>
        </is>
      </c>
      <c r="L16" s="10" t="inlineStr">
        <is>
          <t>N/D</t>
        </is>
      </c>
      <c r="M16" s="10" t="inlineStr">
        <is>
          <t>Banco Pan</t>
        </is>
      </c>
      <c r="N16" s="10" t="n"/>
      <c r="O16" s="10" t="inlineStr">
        <is>
          <t>Instituições financeiras que concedam as CCB; nomes individuais não identificados no regulamento.</t>
        </is>
      </c>
      <c r="P16" s="10" t="inlineStr">
        <is>
          <t>Pessoas físicas, incluindo beneficiários de INSS e trabalhadores com saldo de FGTS.</t>
        </is>
      </c>
      <c r="Q16" s="10" t="inlineStr">
        <is>
          <t>Parcelas vincendas de CCB de empréstimo pessoal com garantia do saque-aniversário FGTS ou consignação processada pela Dataprev.</t>
        </is>
      </c>
      <c r="R16" s="10" t="inlineStr">
        <is>
          <t>Financeiro</t>
        </is>
      </c>
      <c r="S16" s="10" t="inlineStr">
        <is>
          <t>Crédito Pessoal</t>
        </is>
      </c>
      <c r="T16" s="10" t="inlineStr">
        <is>
          <t>Financeiro</t>
        </is>
      </c>
      <c r="U16" s="10" t="inlineStr">
        <is>
          <t>Crédito Consignado</t>
        </is>
      </c>
      <c r="V16" s="10" t="inlineStr">
        <is>
          <t>Crédito PF</t>
        </is>
      </c>
      <c r="W16" s="10" t="inlineStr">
        <is>
          <t>Consignado/INSS</t>
        </is>
      </c>
      <c r="X16" s="10" t="inlineStr">
        <is>
          <t>N/D</t>
        </is>
      </c>
      <c r="Y16" s="10" t="inlineStr">
        <is>
          <t>Indício de crédito corporativo; porte N/D</t>
        </is>
      </c>
      <c r="Z16" s="10" t="inlineStr">
        <is>
          <t>O lastro é compatível com crédito corporativo tradicional, mas a base não documenta o porte do tomador.</t>
        </is>
      </c>
      <c r="AA16" s="10" t="inlineStr">
        <is>
          <t>A leitura documental é compatível com Financeiro/Crédito Pessoal, com foco contratual mais específico.</t>
        </is>
      </c>
      <c r="AB16" s="10" t="inlineStr">
        <is>
          <t>https://fnet.bmfbovespa.com.br/fnet/publico/abrirGerenciadorDocumentosCVM?cnpjFundo=50906397000153</t>
        </is>
      </c>
      <c r="AC16" s="10" t="inlineStr">
        <is>
          <t>939418;483282</t>
        </is>
      </c>
      <c r="AD16" s="10" t="inlineStr">
        <is>
          <t>N/D</t>
        </is>
      </c>
      <c r="AE16" s="10" t="inlineStr">
        <is>
          <t>p. 7 — política/definição do lastro</t>
        </is>
      </c>
      <c r="AF16" s="10" t="inlineStr">
        <is>
          <t>N/D</t>
        </is>
      </c>
      <c r="AG16" s="10" t="inlineStr">
        <is>
          <t>N/D</t>
        </is>
      </c>
      <c r="AH16" s="10" t="inlineStr">
        <is>
          <t>documentado — parte ou lastro identificado</t>
        </is>
      </c>
      <c r="AN16" s="27" t="inlineStr">
        <is>
          <t>curadoria anterior — não revisada nesta rodada</t>
        </is>
      </c>
    </row>
    <row r="17" ht="48" customHeight="1">
      <c r="A17" s="14" t="n">
        <v>13</v>
      </c>
      <c r="B17" s="14" t="n">
        <v>13</v>
      </c>
      <c r="C17" s="11" t="inlineStr">
        <is>
          <t>Top 100 por PL ex-FIC</t>
        </is>
      </c>
      <c r="D17" s="17" t="n">
        <v>29225241000110</v>
      </c>
      <c r="E17" s="11" t="inlineStr">
        <is>
          <t>29.225.241/0001-10</t>
        </is>
      </c>
      <c r="F17" s="11" t="inlineStr">
        <is>
          <t>FUNDO DE INVESTIMENTO EM DIREITOS CREDITÓRIOS ALTERNATIVE ASSETS III RESPONSABILIDADE LIMITADA</t>
        </is>
      </c>
      <c r="G17" s="20" t="n">
        <v>5861437942.62</v>
      </c>
      <c r="H17" s="23" t="n">
        <v>0.00713624575725986</v>
      </c>
      <c r="I17" s="23" t="n">
        <v>0</v>
      </c>
      <c r="J17" s="23" t="inlineStr">
        <is>
          <t>N/D</t>
        </is>
      </c>
      <c r="K17" s="23" t="inlineStr">
        <is>
          <t>N/D</t>
        </is>
      </c>
      <c r="L17" s="11" t="inlineStr">
        <is>
          <t>N/D</t>
        </is>
      </c>
      <c r="M17" s="28" t="inlineStr">
        <is>
          <t>não localizado — multicedente sem nome no regulamento</t>
        </is>
      </c>
      <c r="N17" s="11" t="n"/>
      <c r="O17" s="11" t="inlineStr">
        <is>
          <t>Pessoas jurídicas ou fundos que transfiram os direitos; nomes não identificados no regulamento.</t>
        </is>
      </c>
      <c r="P17" s="11" t="inlineStr">
        <is>
          <t>Pessoas físicas ou jurídicas, privadas ou públicas, obrigadas nos direitos adquiridos.</t>
        </is>
      </c>
      <c r="Q17" s="11" t="inlineStr">
        <is>
          <t>Créditos em litígio, precatórios e direitos vencidos/inadimplidos já performados.</t>
        </is>
      </c>
      <c r="R17" s="11" t="inlineStr">
        <is>
          <t>Outros</t>
        </is>
      </c>
      <c r="S17" s="11" t="inlineStr">
        <is>
          <t>Multicarteira Outros</t>
        </is>
      </c>
      <c r="T17" s="11" t="inlineStr">
        <is>
          <t>Outros</t>
        </is>
      </c>
      <c r="U17" s="11" t="inlineStr">
        <is>
          <t>Poder Público</t>
        </is>
      </c>
      <c r="V17" s="11" t="inlineStr">
        <is>
          <t>Judicial/Precatórios/NPL</t>
        </is>
      </c>
      <c r="W17" s="11" t="inlineStr">
        <is>
          <t>Precatórios/direitos judiciais</t>
        </is>
      </c>
      <c r="X17" s="28" t="inlineStr">
        <is>
          <t>N/D</t>
        </is>
      </c>
      <c r="Y17" s="28" t="inlineStr">
        <is>
          <t>Indeterminado — regulamento sem métrica de porte</t>
        </is>
      </c>
      <c r="Z17" s="28" t="inlineStr">
        <is>
          <t>Regulamento declara ausência de cedentes predeterminados; sem base para porte.</t>
        </is>
      </c>
      <c r="AA17" s="11" t="inlineStr">
        <is>
          <t>O cadastro ANBIMA traz Outros/Multicarteira Outros; a política documental é de NPL/direitos judiciais.</t>
        </is>
      </c>
      <c r="AB17" s="11" t="inlineStr">
        <is>
          <t>https://fnet.bmfbovespa.com.br/fnet/publico/abrirGerenciadorDocumentosCVM?cnpjFundo=29225241000110</t>
        </is>
      </c>
      <c r="AC17" s="11" t="inlineStr">
        <is>
          <t>784984</t>
        </is>
      </c>
      <c r="AD17" s="11" t="inlineStr">
        <is>
          <t>N/D</t>
        </is>
      </c>
      <c r="AE17" s="11" t="inlineStr">
        <is>
          <t>Linha do FIDC na imagem</t>
        </is>
      </c>
      <c r="AF17" s="11" t="inlineStr">
        <is>
          <t>N/D</t>
        </is>
      </c>
      <c r="AG17" s="11" t="inlineStr">
        <is>
          <t>N/D</t>
        </is>
      </c>
      <c r="AH17" s="11" t="inlineStr">
        <is>
          <t>documentado — parte ou lastro identificado</t>
        </is>
      </c>
      <c r="AI17" s="29" t="inlineStr">
        <is>
          <t>Def. "Cedente": as pessoas jurídicas e/ou fundos de investimento que alienarem Direitos Creditórios à Classe. O regulamento afirma que "não há Cedentes ou contrapartes predeterminados".</t>
        </is>
      </c>
      <c r="AJ17" s="29" t="inlineStr">
        <is>
          <t>784984</t>
        </is>
      </c>
      <c r="AK17" s="29" t="inlineStr">
        <is>
          <t>Não</t>
        </is>
      </c>
      <c r="AL17" s="29" t="inlineStr">
        <is>
          <t>indeterminado</t>
        </is>
      </c>
      <c r="AM17" s="29" t="inlineStr">
        <is>
          <t>Regulamento declara ausência de cedentes predeterminados; sem base para porte.</t>
        </is>
      </c>
      <c r="AN17" s="29" t="inlineStr">
        <is>
          <t>leitura do regulamento nesta rodada</t>
        </is>
      </c>
    </row>
    <row r="18" hidden="1" ht="48" customHeight="1">
      <c r="A18" s="13" t="n">
        <v>14</v>
      </c>
      <c r="B18" s="13" t="n">
        <v>14</v>
      </c>
      <c r="C18" s="10" t="inlineStr">
        <is>
          <t>Top 100 por PL ex-FIC</t>
        </is>
      </c>
      <c r="D18" s="16" t="n">
        <v>42922136000107</v>
      </c>
      <c r="E18" s="10" t="inlineStr">
        <is>
          <t>42.922.136/0001-07</t>
        </is>
      </c>
      <c r="F18" s="10" t="inlineStr">
        <is>
          <t>FUNDO DE INVESTIMENTO EM DIREITOS CREDITÓRIOS MONEE I DE RESPONSABILIDADE LIMITADA</t>
        </is>
      </c>
      <c r="G18" s="19" t="n">
        <v>5751418460.99</v>
      </c>
      <c r="H18" s="22" t="n">
        <v>0.007002298069562074</v>
      </c>
      <c r="I18" s="22" t="n">
        <v>1</v>
      </c>
      <c r="J18" s="22" t="inlineStr">
        <is>
          <t>N/D</t>
        </is>
      </c>
      <c r="K18" s="22" t="inlineStr">
        <is>
          <t>N/D</t>
        </is>
      </c>
      <c r="L18" s="10" t="inlineStr">
        <is>
          <t>N/D</t>
        </is>
      </c>
      <c r="M18" s="10" t="inlineStr">
        <is>
          <t>Shopee</t>
        </is>
      </c>
      <c r="N18" s="10" t="n"/>
      <c r="O18" s="10" t="inlineStr">
        <is>
          <t>SHPP Brasil Instituição de Pagamento e Serviços de Pagamentos Ltda. — CNPJ 38.372.267/0001-82 — atua como originadora/correspondente; CCB são endossadas por instituições financeiras parceiras e recebíveis de pagamento são cedidos por estabelecimentos.</t>
        </is>
      </c>
      <c r="P18" s="10" t="inlineStr">
        <is>
          <t>Pessoas físicas ou jurídicas tomadoras dos empréstimos e participantes das operações de pagamento, conforme o ativo.</t>
        </is>
      </c>
      <c r="Q18" s="10" t="inlineStr">
        <is>
          <t>CCB de empréstimos e unidades de recebíveis de transações de cartão realizadas em estabelecimentos.</t>
        </is>
      </c>
      <c r="R18" s="10" t="inlineStr">
        <is>
          <t>Outros</t>
        </is>
      </c>
      <c r="S18" s="10" t="inlineStr">
        <is>
          <t>Multicarteira Outros</t>
        </is>
      </c>
      <c r="T18" s="10" t="inlineStr">
        <is>
          <t>Financeiro</t>
        </is>
      </c>
      <c r="U18" s="10" t="inlineStr">
        <is>
          <t>Crédito PF</t>
        </is>
      </c>
      <c r="V18" s="10" t="inlineStr">
        <is>
          <t>Crédito PF</t>
        </is>
      </c>
      <c r="W18" s="10" t="inlineStr">
        <is>
          <t>Crédito PF parcelado / BNPL</t>
        </is>
      </c>
      <c r="X18" s="10" t="inlineStr">
        <is>
          <t>N/D</t>
        </is>
      </c>
      <c r="Y18" s="10" t="inlineStr">
        <is>
          <t>Indício de crédito corporativo; porte N/D</t>
        </is>
      </c>
      <c r="Z18" s="10" t="inlineStr">
        <is>
          <t>O lastro é compatível com crédito corporativo tradicional, mas a base não documenta o porte do tomador.</t>
        </is>
      </c>
      <c r="AA18" s="10" t="inlineStr">
        <is>
          <t>O cadastro ANBIMA traz Outros/Multicarteira Outros; a política documental combina crédito pessoal e meios de pagamento.</t>
        </is>
      </c>
      <c r="AB18" s="10" t="inlineStr">
        <is>
          <t>https://fnet.bmfbovespa.com.br/fnet/publico/abrirGerenciadorDocumentosCVM?cnpjFundo=42922136000107</t>
        </is>
      </c>
      <c r="AC18" s="10" t="inlineStr">
        <is>
          <t>1159092</t>
        </is>
      </c>
      <c r="AD18" s="10" t="inlineStr">
        <is>
          <t>N/D</t>
        </is>
      </c>
      <c r="AE18" s="10" t="inlineStr">
        <is>
          <t>Linha do FIDC na imagem</t>
        </is>
      </c>
      <c r="AF18" s="10" t="inlineStr">
        <is>
          <t>N/D</t>
        </is>
      </c>
      <c r="AG18" s="10" t="inlineStr">
        <is>
          <t>N/D</t>
        </is>
      </c>
      <c r="AH18" s="10" t="inlineStr">
        <is>
          <t>documentado — parte ou lastro identificado</t>
        </is>
      </c>
      <c r="AN18" s="27" t="inlineStr">
        <is>
          <t>curadoria anterior — não revisada nesta rodada</t>
        </is>
      </c>
    </row>
    <row r="19" hidden="1" ht="48" customHeight="1">
      <c r="A19" s="14" t="n">
        <v>15</v>
      </c>
      <c r="B19" s="14" t="n">
        <v>15</v>
      </c>
      <c r="C19" s="11" t="inlineStr">
        <is>
          <t>Top 100 por PL ex-FIC</t>
        </is>
      </c>
      <c r="D19" s="17" t="n">
        <v>32527650000186</v>
      </c>
      <c r="E19" s="11" t="inlineStr">
        <is>
          <t>32.527.650/0001-86</t>
        </is>
      </c>
      <c r="F19" s="11" t="inlineStr">
        <is>
          <t>FUNDO DE INVESTIMENTO EM DIREITOS CREDITÓRIOS PICPAY I</t>
        </is>
      </c>
      <c r="G19" s="20" t="n">
        <v>4762640671.11</v>
      </c>
      <c r="H19" s="23" t="n">
        <v>0.005798470377964967</v>
      </c>
      <c r="I19" s="23" t="n">
        <v>0.1032942874088393</v>
      </c>
      <c r="J19" s="23" t="inlineStr">
        <is>
          <t>N/D</t>
        </is>
      </c>
      <c r="K19" s="23" t="inlineStr">
        <is>
          <t>N/D</t>
        </is>
      </c>
      <c r="L19" s="11" t="inlineStr">
        <is>
          <t>N/D</t>
        </is>
      </c>
      <c r="M19" s="11" t="inlineStr">
        <is>
          <t>PicPay</t>
        </is>
      </c>
      <c r="N19" s="11" t="n"/>
      <c r="O19" s="11" t="inlineStr">
        <is>
          <t>Usuários finais do PicPay que transferem seus recebíveis à classe por mandato previsto no regulamento.</t>
        </is>
      </c>
      <c r="P19" s="11" t="inlineStr">
        <is>
          <t>PicPay, responsável pelos pagamentos devidos aos cedentes nas transações abrangidas.</t>
        </is>
      </c>
      <c r="Q19" s="11" t="inlineStr">
        <is>
          <t>Valores de transações de pagamento, cash-in e moeda eletrônica processados no sistema PicPay.</t>
        </is>
      </c>
      <c r="R19" s="11" t="inlineStr">
        <is>
          <t>Financeiro</t>
        </is>
      </c>
      <c r="S19" s="11" t="inlineStr">
        <is>
          <t>Multicarteira Financeiro</t>
        </is>
      </c>
      <c r="T19" s="11" t="inlineStr">
        <is>
          <t>Financeiro</t>
        </is>
      </c>
      <c r="U19" s="11" t="inlineStr">
        <is>
          <t>Adquirência</t>
        </is>
      </c>
      <c r="V19" s="11" t="inlineStr">
        <is>
          <t>Meios de Pagamento e Cartões</t>
        </is>
      </c>
      <c r="W19" s="11" t="inlineStr">
        <is>
          <t>Arranjos de pagamento/adquirência</t>
        </is>
      </c>
      <c r="X19" s="11" t="b">
        <v>0</v>
      </c>
      <c r="Y19" s="11" t="inlineStr">
        <is>
          <t>Sem indício documental de Middle Market</t>
        </is>
      </c>
      <c r="Z19" s="11" t="inlineStr">
        <is>
          <t>A evidência disponível aponta outro tipo de risco ou não traz crédito corporativo.</t>
        </is>
      </c>
      <c r="AA19" s="11" t="inlineStr">
        <is>
          <t>O cadastro ANBIMA traz Financeiro/Multicarteira Financeiro; a estrutura documental é de meios de pagamento.</t>
        </is>
      </c>
      <c r="AB19" s="11" t="inlineStr">
        <is>
          <t>https://fnet.bmfbovespa.com.br/fnet/publico/abrirGerenciadorDocumentosCVM?cnpjFundo=32527650000186</t>
        </is>
      </c>
      <c r="AC19" s="11" t="inlineStr">
        <is>
          <t>1203914</t>
        </is>
      </c>
      <c r="AD19" s="11" t="inlineStr">
        <is>
          <t>N/D</t>
        </is>
      </c>
      <c r="AE19" s="11" t="inlineStr">
        <is>
          <t>p. 13 — política/definição do lastro</t>
        </is>
      </c>
      <c r="AF19" s="11" t="inlineStr">
        <is>
          <t>N/D</t>
        </is>
      </c>
      <c r="AG19" s="11" t="inlineStr">
        <is>
          <t>N/D</t>
        </is>
      </c>
      <c r="AH19" s="11" t="inlineStr">
        <is>
          <t>documentado — parte ou lastro identificado</t>
        </is>
      </c>
      <c r="AN19" s="27" t="inlineStr">
        <is>
          <t>curadoria anterior — não revisada nesta rodada</t>
        </is>
      </c>
    </row>
    <row r="20" hidden="1" ht="48" customHeight="1">
      <c r="A20" s="13" t="n">
        <v>16</v>
      </c>
      <c r="B20" s="13" t="n">
        <v>16</v>
      </c>
      <c r="C20" s="10" t="inlineStr">
        <is>
          <t>Top 100 por PL ex-FIC</t>
        </is>
      </c>
      <c r="D20" s="16" t="n">
        <v>61285603000171</v>
      </c>
      <c r="E20" s="10" t="inlineStr">
        <is>
          <t>61.285.603/0001-71</t>
        </is>
      </c>
      <c r="F20" s="10" t="inlineStr">
        <is>
          <t>MAROBÁ FUNDO DE INVESTMENTO EM DIREITOS CREDITÓRIOS RESPONSABILIDADE LIMITADA</t>
        </is>
      </c>
      <c r="G20" s="19" t="n">
        <v>4467343585.25</v>
      </c>
      <c r="H20" s="22" t="n">
        <v>0.005438948943680588</v>
      </c>
      <c r="I20" s="22" t="n">
        <v>0</v>
      </c>
      <c r="J20" s="22" t="inlineStr">
        <is>
          <t>N/D</t>
        </is>
      </c>
      <c r="K20" s="22" t="inlineStr">
        <is>
          <t>N/D</t>
        </is>
      </c>
      <c r="L20" s="10" t="inlineStr">
        <is>
          <t>N/D</t>
        </is>
      </c>
      <c r="M20" s="10" t="inlineStr">
        <is>
          <t>Itaú BBA</t>
        </is>
      </c>
      <c r="N20" s="10" t="n"/>
      <c r="O20" s="10" t="inlineStr">
        <is>
          <t>Itaú BBA</t>
        </is>
      </c>
      <c r="P20" s="10" t="inlineStr">
        <is>
          <t>N/D</t>
        </is>
      </c>
      <c r="Q20" s="10" t="inlineStr">
        <is>
          <t>Multicarteira financeiro</t>
        </is>
      </c>
      <c r="R20" s="10" t="inlineStr">
        <is>
          <t>Outros</t>
        </is>
      </c>
      <c r="S20" s="10" t="inlineStr">
        <is>
          <t>Multicarteira Outros</t>
        </is>
      </c>
      <c r="T20" s="10" t="inlineStr">
        <is>
          <t>Financeiro</t>
        </is>
      </c>
      <c r="U20" s="10" t="inlineStr">
        <is>
          <t>Multicarteira Financeiro</t>
        </is>
      </c>
      <c r="V20" s="10" t="inlineStr">
        <is>
          <t>Multissetorial / Outros</t>
        </is>
      </c>
      <c r="W20" s="10" t="inlineStr">
        <is>
          <t>Multicarteira financeiro</t>
        </is>
      </c>
      <c r="X20" s="10" t="b">
        <v>0</v>
      </c>
      <c r="Y20" s="10" t="inlineStr">
        <is>
          <t>Sem indício documental de Middle Market</t>
        </is>
      </c>
      <c r="Z20" s="10" t="inlineStr">
        <is>
          <t>A evidência disponível aponta outro tipo de risco ou não traz crédito corporativo.</t>
        </is>
      </c>
      <c r="AA20" s="10" t="inlineStr">
        <is>
          <t>Classificação cadastral ANBIMA disponível; documentação primária da operação não localizada.</t>
        </is>
      </c>
      <c r="AB20" s="10" t="inlineStr">
        <is>
          <t>FundosNet e CVM SRE consultados em 24/07/2026; regulamento, suplemento e informe de encerramento não foram localizados no corpus acessível.</t>
        </is>
      </c>
      <c r="AC20" s="10" t="inlineStr">
        <is>
          <t>Nenhum documento primário localizado.</t>
        </is>
      </c>
      <c r="AD20" s="10" t="inlineStr">
        <is>
          <t>N/D</t>
        </is>
      </c>
      <c r="AE20" s="10" t="inlineStr">
        <is>
          <t>Linha do FIDC na imagem</t>
        </is>
      </c>
      <c r="AF20" s="10" t="inlineStr">
        <is>
          <t>N/D</t>
        </is>
      </c>
      <c r="AG20" s="10" t="inlineStr">
        <is>
          <t>N/D</t>
        </is>
      </c>
      <c r="AH20" s="10" t="inlineStr">
        <is>
          <t>documentado — parte ou lastro identificado</t>
        </is>
      </c>
      <c r="AN20" s="27" t="inlineStr">
        <is>
          <t>curadoria anterior — não revisada nesta rodada</t>
        </is>
      </c>
    </row>
    <row r="21" hidden="1" ht="48" customHeight="1">
      <c r="A21" s="14" t="n">
        <v>17</v>
      </c>
      <c r="B21" s="14" t="n">
        <v>17</v>
      </c>
      <c r="C21" s="11" t="inlineStr">
        <is>
          <t>Top 100 por PL ex-FIC</t>
        </is>
      </c>
      <c r="D21" s="17" t="n">
        <v>21126275000146</v>
      </c>
      <c r="E21" s="11" t="inlineStr">
        <is>
          <t>21.126.275/0001-46</t>
        </is>
      </c>
      <c r="F21" s="11" t="inlineStr">
        <is>
          <t>VENDA DE VEÍCULOS FUNDO DE INVESTIMENTO EM DIREITOS CREDITÓRIOS</t>
        </is>
      </c>
      <c r="G21" s="20" t="n">
        <v>4242510733.6</v>
      </c>
      <c r="H21" s="23" t="n">
        <v>0.00516521705410218</v>
      </c>
      <c r="I21" s="23" t="n">
        <v>0</v>
      </c>
      <c r="J21" s="23" t="inlineStr">
        <is>
          <t>N/D</t>
        </is>
      </c>
      <c r="K21" s="23" t="inlineStr">
        <is>
          <t>N/D</t>
        </is>
      </c>
      <c r="L21" s="11" t="inlineStr">
        <is>
          <t>N/D</t>
        </is>
      </c>
      <c r="M21" s="11" t="inlineStr">
        <is>
          <t>Volkswagen</t>
        </is>
      </c>
      <c r="N21" s="11" t="n"/>
      <c r="O21" s="11" t="inlineStr">
        <is>
          <t>Nissan do Brasil Automóveis Ltda. e Renault do Brasil Ltda.</t>
        </is>
      </c>
      <c r="P21" s="11" t="inlineStr">
        <is>
          <t>Locadoras de veículos e concessionárias que compram veículos novos com pagamento diferido.</t>
        </is>
      </c>
      <c r="Q21" s="11" t="inlineStr">
        <is>
          <t>Direitos creditórios decorrentes da venda direta e da venda a prazo de veículos novos.</t>
        </is>
      </c>
      <c r="R21" s="11" t="inlineStr">
        <is>
          <t>Financeiro</t>
        </is>
      </c>
      <c r="S21" s="11" t="inlineStr">
        <is>
          <t>Financiamento de Veículos</t>
        </is>
      </c>
      <c r="T21" s="11" t="inlineStr">
        <is>
          <t>Financeiro</t>
        </is>
      </c>
      <c r="U21" s="11" t="inlineStr">
        <is>
          <t>Financiamento de Veículos</t>
        </is>
      </c>
      <c r="V21" s="11" t="inlineStr">
        <is>
          <t>Crédito PF</t>
        </is>
      </c>
      <c r="W21" s="11" t="inlineStr">
        <is>
          <t>Auto/Veículos</t>
        </is>
      </c>
      <c r="X21" s="11" t="b">
        <v>0</v>
      </c>
      <c r="Y21" s="11" t="inlineStr">
        <is>
          <t>Sem indício documental de Middle Market</t>
        </is>
      </c>
      <c r="Z21" s="11" t="inlineStr">
        <is>
          <t>A evidência disponível aponta outro tipo de risco ou não traz crédito corporativo.</t>
        </is>
      </c>
      <c r="AA21" s="11" t="inlineStr">
        <is>
          <t>O regulamento identifica cedentes, devedores, natureza econômica e garantias da carteira.</t>
        </is>
      </c>
      <c r="AB21" s="11" t="inlineStr">
        <is>
          <t>FundosNet, Regulamento id 1230588, 26/06/2026.</t>
        </is>
      </c>
      <c r="AC21" s="11" t="inlineStr">
        <is>
          <t>1230588</t>
        </is>
      </c>
      <c r="AD21" s="11" t="inlineStr">
        <is>
          <t>N/D</t>
        </is>
      </c>
      <c r="AE21" s="11" t="inlineStr">
        <is>
          <t>p. 77 — política/definição do lastro</t>
        </is>
      </c>
      <c r="AF21" s="11" t="inlineStr">
        <is>
          <t>N/D</t>
        </is>
      </c>
      <c r="AG21" s="11" t="inlineStr">
        <is>
          <t>N/D</t>
        </is>
      </c>
      <c r="AH21" s="11" t="inlineStr">
        <is>
          <t>documentado — parte ou lastro identificado</t>
        </is>
      </c>
      <c r="AN21" s="27" t="inlineStr">
        <is>
          <t>curadoria anterior — não revisada nesta rodada</t>
        </is>
      </c>
    </row>
    <row r="22" ht="48" customHeight="1">
      <c r="A22" s="13" t="n">
        <v>18</v>
      </c>
      <c r="B22" s="13" t="n">
        <v>18</v>
      </c>
      <c r="C22" s="10" t="inlineStr">
        <is>
          <t>Top 100 por PL ex-FIC</t>
        </is>
      </c>
      <c r="D22" s="16" t="n">
        <v>34197588000137</v>
      </c>
      <c r="E22" s="10" t="inlineStr">
        <is>
          <t>34.197.588/0001-37</t>
        </is>
      </c>
      <c r="F22" s="10" t="inlineStr">
        <is>
          <t>DAY MAXX 2 FUNDO DE INVESTIMENTO EM DIREITOS CREDITÓRIOS DE RESPONSABILIDADE LIMITADA</t>
        </is>
      </c>
      <c r="G22" s="19" t="n">
        <v>4015059128.44</v>
      </c>
      <c r="H22" s="22" t="n">
        <v>0.004888296856670308</v>
      </c>
      <c r="I22" s="22" t="n">
        <v>0.6338991217168864</v>
      </c>
      <c r="J22" s="22" t="inlineStr">
        <is>
          <t>N/D</t>
        </is>
      </c>
      <c r="K22" s="22" t="inlineStr">
        <is>
          <t>N/D</t>
        </is>
      </c>
      <c r="L22" s="10" t="inlineStr">
        <is>
          <t>N/D</t>
        </is>
      </c>
      <c r="M22" s="28" t="inlineStr">
        <is>
          <t>não localizado — multicedente PF/PJ sem nome no regulamento</t>
        </is>
      </c>
      <c r="N22" s="10" t="n"/>
      <c r="O22" s="10" t="inlineStr">
        <is>
          <t>Pessoas físicas ou jurídicas que cedam os direitos; nomes não identificados no regulamento.</t>
        </is>
      </c>
      <c r="P22" s="10" t="inlineStr">
        <is>
          <t>Pessoas físicas, jurídicas e entes públicos, conforme os direitos adquiridos.</t>
        </is>
      </c>
      <c r="Q22" s="10" t="inlineStr">
        <is>
          <t>A política permite títulos de crédito; recebíveis mercantis, de transporte, industriais e de serviços; contratos futuros; precatórios federais; direitos não padronizados; créditos de cedentes em recuperação judicial; e até 100% do PL em cotas de outros FIDC, inclusive mezanino/júnior.</t>
        </is>
      </c>
      <c r="R22" s="10" t="inlineStr">
        <is>
          <t>Outros</t>
        </is>
      </c>
      <c r="S22" s="10" t="inlineStr">
        <is>
          <t>Multicarteira Outros</t>
        </is>
      </c>
      <c r="T22" s="10" t="inlineStr">
        <is>
          <t>Fomento Mercantil</t>
        </is>
      </c>
      <c r="U22" s="10" t="inlineStr">
        <is>
          <t>Fomento Mercantil</t>
        </is>
      </c>
      <c r="V22" s="10" t="inlineStr">
        <is>
          <t>Crédito PJ</t>
        </is>
      </c>
      <c r="W22" s="10" t="inlineStr">
        <is>
          <t>Recebíveis comerciais/multissetorial</t>
        </is>
      </c>
      <c r="X22" s="28" t="inlineStr">
        <is>
          <t>N/D</t>
        </is>
      </c>
      <c r="Y22" s="28" t="inlineStr">
        <is>
          <t>Indeterminado — regulamento sem métrica de porte</t>
        </is>
      </c>
      <c r="Z22" s="28" t="inlineStr">
        <is>
          <t>Cedente genérico PF/PJ; o regulamento remete limites de concentração por cedente/devedor ao anexo, sem métrica de porte.</t>
        </is>
      </c>
      <c r="AA22" s="10" t="inlineStr">
        <is>
          <t>O cadastro ANBIMA traz Outros/Multicarteira Outros; a política documental é ampla e inclui NPL/precatórios.</t>
        </is>
      </c>
      <c r="AB22" s="10" t="inlineStr">
        <is>
          <t>https://fnet.bmfbovespa.com.br/fnet/publico/abrirGerenciadorDocumentosCVM?cnpjFundo=34197588000137</t>
        </is>
      </c>
      <c r="AC22" s="10" t="inlineStr">
        <is>
          <t>974471</t>
        </is>
      </c>
      <c r="AD22" s="10" t="inlineStr">
        <is>
          <t>N/D</t>
        </is>
      </c>
      <c r="AE22" s="10" t="inlineStr">
        <is>
          <t>Linha do FIDC na imagem</t>
        </is>
      </c>
      <c r="AF22" s="10" t="inlineStr">
        <is>
          <t>N/D</t>
        </is>
      </c>
      <c r="AG22" s="10" t="inlineStr">
        <is>
          <t>N/D</t>
        </is>
      </c>
      <c r="AH22" s="10" t="inlineStr">
        <is>
          <t>documentado — parte ou lastro identificado</t>
        </is>
      </c>
      <c r="AI22" s="29" t="inlineStr">
        <is>
          <t>Def. "Cedente": pessoa física ou jurídica que cede os Direitos Creditórios ao Fundo. Consultoria Especializada: Banco Daycoval S.A.</t>
        </is>
      </c>
      <c r="AJ22" s="29" t="inlineStr">
        <is>
          <t>974471</t>
        </is>
      </c>
      <c r="AK22" s="29" t="inlineStr">
        <is>
          <t>Não</t>
        </is>
      </c>
      <c r="AL22" s="29" t="inlineStr">
        <is>
          <t>indeterminado</t>
        </is>
      </c>
      <c r="AM22" s="29" t="inlineStr">
        <is>
          <t>Cedente genérico PF/PJ; o regulamento remete limites de concentração por cedente/devedor ao anexo, sem métrica de porte.</t>
        </is>
      </c>
      <c r="AN22" s="29" t="inlineStr">
        <is>
          <t>leitura do regulamento nesta rodada</t>
        </is>
      </c>
    </row>
    <row r="23" hidden="1" ht="48" customHeight="1">
      <c r="A23" s="14" t="n">
        <v>19</v>
      </c>
      <c r="B23" s="14" t="n">
        <v>19</v>
      </c>
      <c r="C23" s="11" t="inlineStr">
        <is>
          <t>Top 100 por PL ex-FIC</t>
        </is>
      </c>
      <c r="D23" s="17" t="n">
        <v>54979779000168</v>
      </c>
      <c r="E23" s="11" t="inlineStr">
        <is>
          <t>54.979.779/0001-68</t>
        </is>
      </c>
      <c r="F23" s="11" t="inlineStr">
        <is>
          <t>FIDC ACR BEM BANCOS EMISSORES DE CARTÃO DE CRÉDITO - RESPONSABILIDADE LIMITADA</t>
        </is>
      </c>
      <c r="G23" s="20" t="n">
        <v>3677016076.94</v>
      </c>
      <c r="H23" s="23" t="n">
        <v>0.004476732609867116</v>
      </c>
      <c r="I23" s="23" t="n">
        <v>0.0301696997603437</v>
      </c>
      <c r="J23" s="23" t="inlineStr">
        <is>
          <t>N/D</t>
        </is>
      </c>
      <c r="K23" s="23" t="inlineStr">
        <is>
          <t>N/D</t>
        </is>
      </c>
      <c r="L23" s="11" t="inlineStr">
        <is>
          <t>N/D</t>
        </is>
      </c>
      <c r="M23" s="11" t="inlineStr">
        <is>
          <t>Cloudwalk</t>
        </is>
      </c>
      <c r="N23" s="11" t="n"/>
      <c r="O23" s="11" t="inlineStr">
        <is>
          <t>Stone Instituição de Pagamento S.A., como originadora e cedente dos recebíveis.</t>
        </is>
      </c>
      <c r="P23" s="11" t="inlineStr">
        <is>
          <t>Emissores de cartões e demais instituições financeiras responsáveis pela liquidação das transações.</t>
        </is>
      </c>
      <c r="Q23" s="11" t="inlineStr">
        <is>
          <t>Direitos creditórios oriundos de transações de pagamento processadas no sistema Stone.</t>
        </is>
      </c>
      <c r="R23" s="11" t="inlineStr">
        <is>
          <t>Financeiro</t>
        </is>
      </c>
      <c r="S23" s="11" t="inlineStr">
        <is>
          <t>Multicarteira Financeiro</t>
        </is>
      </c>
      <c r="T23" s="11" t="inlineStr">
        <is>
          <t>Financeiro</t>
        </is>
      </c>
      <c r="U23" s="11" t="inlineStr">
        <is>
          <t>Adquirência</t>
        </is>
      </c>
      <c r="V23" s="11" t="inlineStr">
        <is>
          <t>Meios de Pagamento e Cartões</t>
        </is>
      </c>
      <c r="W23" s="11" t="inlineStr">
        <is>
          <t>Banco emissor/cartão de crédito</t>
        </is>
      </c>
      <c r="X23" s="11" t="b">
        <v>0</v>
      </c>
      <c r="Y23" s="11" t="inlineStr">
        <is>
          <t>Sem indício documental de Middle Market</t>
        </is>
      </c>
      <c r="Z23" s="11" t="inlineStr">
        <is>
          <t>A evidência disponível aponta outro tipo de risco ou não traz crédito corporativo.</t>
        </is>
      </c>
      <c r="AA23" s="11" t="inlineStr">
        <is>
          <t>A documentação identifica a cadeia de pagamentos, os emissores de cartão como devedores e as ofertas encerradas.</t>
        </is>
      </c>
      <c r="AB23" s="11" t="inlineStr">
        <is>
          <t>FundosNet, Regulamento id 656484 de 09/05/2024 e Informe de Encerramento id 664301 de 15/05/2024.</t>
        </is>
      </c>
      <c r="AC23" s="11" t="inlineStr">
        <is>
          <t>656484;664301</t>
        </is>
      </c>
      <c r="AD23" s="11" t="inlineStr">
        <is>
          <t>N/D</t>
        </is>
      </c>
      <c r="AE23" s="11" t="inlineStr">
        <is>
          <t>Lista de fundos da tarefa</t>
        </is>
      </c>
      <c r="AF23" s="11" t="inlineStr">
        <is>
          <t>N/D</t>
        </is>
      </c>
      <c r="AG23" s="11" t="inlineStr">
        <is>
          <t>N/D</t>
        </is>
      </c>
      <c r="AH23" s="11" t="inlineStr">
        <is>
          <t>documentado — parte ou lastro identificado</t>
        </is>
      </c>
      <c r="AN23" s="27" t="inlineStr">
        <is>
          <t>curadoria anterior — não revisada nesta rodada</t>
        </is>
      </c>
    </row>
    <row r="24" hidden="1" ht="48" customHeight="1">
      <c r="A24" s="13" t="n">
        <v>20</v>
      </c>
      <c r="B24" s="13" t="n">
        <v>20</v>
      </c>
      <c r="C24" s="10" t="inlineStr">
        <is>
          <t>Top 100 por PL ex-FIC</t>
        </is>
      </c>
      <c r="D24" s="16" t="n">
        <v>12817329000129</v>
      </c>
      <c r="E24" s="10" t="inlineStr">
        <is>
          <t>12.817.329/0001-29</t>
        </is>
      </c>
      <c r="F24" s="10" t="inlineStr">
        <is>
          <t>HAVAN FUNDO DE INVESTIMENTO EM DIREITOS CREDITÓRIOS SEGMENTO ECONÔMICO, FINANCEIRO E COMERCIAL</t>
        </is>
      </c>
      <c r="G24" s="19" t="n">
        <v>3666009327</v>
      </c>
      <c r="H24" s="22" t="n">
        <v>0.004463331994978846</v>
      </c>
      <c r="I24" s="22" t="n">
        <v>0</v>
      </c>
      <c r="J24" s="22" t="inlineStr">
        <is>
          <t>N/D</t>
        </is>
      </c>
      <c r="K24" s="22" t="inlineStr">
        <is>
          <t>N/D</t>
        </is>
      </c>
      <c r="L24" s="10" t="inlineStr">
        <is>
          <t>N/D</t>
        </is>
      </c>
      <c r="M24" s="10" t="inlineStr">
        <is>
          <t>Havan</t>
        </is>
      </c>
      <c r="N24" s="10" t="n"/>
      <c r="O24" s="10" t="inlineStr">
        <is>
          <t>Havan</t>
        </is>
      </c>
      <c r="P24" s="10" t="inlineStr">
        <is>
          <t>N/D</t>
        </is>
      </c>
      <c r="Q24" s="10" t="inlineStr">
        <is>
          <t>Multicarteira financeiro</t>
        </is>
      </c>
      <c r="R24" s="10" t="inlineStr">
        <is>
          <t>Outros</t>
        </is>
      </c>
      <c r="S24" s="10" t="inlineStr">
        <is>
          <t>Multicarteira Outros</t>
        </is>
      </c>
      <c r="T24" s="10" t="inlineStr">
        <is>
          <t>Financeiro</t>
        </is>
      </c>
      <c r="U24" s="10" t="inlineStr">
        <is>
          <t>Multicarteira Financeiro</t>
        </is>
      </c>
      <c r="V24" s="10" t="inlineStr">
        <is>
          <t>Multissetorial / Outros</t>
        </is>
      </c>
      <c r="W24" s="10" t="inlineStr">
        <is>
          <t>Multicarteira financeiro</t>
        </is>
      </c>
      <c r="X24" s="10" t="b">
        <v>0</v>
      </c>
      <c r="Y24" s="10" t="inlineStr">
        <is>
          <t>Sem indício documental de Middle Market</t>
        </is>
      </c>
      <c r="Z24" s="10" t="inlineStr">
        <is>
          <t>A evidência disponível aponta outro tipo de risco ou não traz crédito corporativo.</t>
        </is>
      </c>
      <c r="AA24" s="10" t="inlineStr">
        <is>
          <t>Sem trecho citável no corpus consultado.</t>
        </is>
      </c>
      <c r="AB24" s="10" t="inlineStr">
        <is>
          <t>FundosNet e CVM SRE consultados em 2026-07-24; documento primário não localizado</t>
        </is>
      </c>
      <c r="AC24" s="10" t="inlineStr">
        <is>
          <t>Nenhum documento primário localizado.</t>
        </is>
      </c>
      <c r="AD24" s="10" t="inlineStr">
        <is>
          <t>N/D</t>
        </is>
      </c>
      <c r="AE24" s="10" t="inlineStr">
        <is>
          <t>Linha do FIDC na imagem</t>
        </is>
      </c>
      <c r="AF24" s="10" t="inlineStr">
        <is>
          <t>N/D</t>
        </is>
      </c>
      <c r="AG24" s="10" t="inlineStr">
        <is>
          <t>N/D</t>
        </is>
      </c>
      <c r="AH24" s="10" t="inlineStr">
        <is>
          <t>documentado — parte ou lastro identificado</t>
        </is>
      </c>
      <c r="AN24" s="27" t="inlineStr">
        <is>
          <t>curadoria anterior — não revisada nesta rodada</t>
        </is>
      </c>
    </row>
    <row r="25" hidden="1" ht="48" customHeight="1">
      <c r="A25" s="14" t="n">
        <v>21</v>
      </c>
      <c r="B25" s="14" t="n">
        <v>21</v>
      </c>
      <c r="C25" s="11" t="inlineStr">
        <is>
          <t>Top 100 por PL ex-FIC</t>
        </is>
      </c>
      <c r="D25" s="17" t="n">
        <v>50473039000102</v>
      </c>
      <c r="E25" s="11" t="inlineStr">
        <is>
          <t>50.473.039/0001-02</t>
        </is>
      </c>
      <c r="F25" s="11" t="inlineStr">
        <is>
          <t>SELLER FIDC SEGMENTO MEIOS DE PAGAMENTO DE RESPONSABILIDADE LIMITADA</t>
        </is>
      </c>
      <c r="G25" s="20" t="n">
        <v>3656448188.16</v>
      </c>
      <c r="H25" s="23" t="n">
        <v>0.004451691398055452</v>
      </c>
      <c r="I25" s="23" t="n">
        <v>0.5133697454647598</v>
      </c>
      <c r="J25" s="23" t="inlineStr">
        <is>
          <t>N/D</t>
        </is>
      </c>
      <c r="K25" s="23" t="inlineStr">
        <is>
          <t>N/D</t>
        </is>
      </c>
      <c r="L25" s="11" t="inlineStr">
        <is>
          <t>N/D</t>
        </is>
      </c>
      <c r="M25" s="11" t="inlineStr">
        <is>
          <t>Mercado Pago</t>
        </is>
      </c>
      <c r="N25" s="11" t="n"/>
      <c r="O25" s="11" t="inlineStr">
        <is>
          <t>Mercado Pago (originador) | Mercado Livre (cedente)</t>
        </is>
      </c>
      <c r="P25" s="11" t="inlineStr">
        <is>
          <t>N/D</t>
        </is>
      </c>
      <c r="Q25" s="11" t="inlineStr">
        <is>
          <t>recebíveis com risco Grupo Mercado Livre</t>
        </is>
      </c>
      <c r="R25" s="11" t="inlineStr">
        <is>
          <t>Financeiro</t>
        </is>
      </c>
      <c r="S25" s="11" t="inlineStr">
        <is>
          <t>Crédito Pessoal</t>
        </is>
      </c>
      <c r="T25" s="11" t="inlineStr">
        <is>
          <t>Financeiro</t>
        </is>
      </c>
      <c r="U25" s="11" t="inlineStr">
        <is>
          <t>Adquirência</t>
        </is>
      </c>
      <c r="V25" s="11" t="inlineStr">
        <is>
          <t>Meios de Pagamento e Cartões</t>
        </is>
      </c>
      <c r="W25" s="11" t="inlineStr">
        <is>
          <t>Arranjos de pagamento/adquirência</t>
        </is>
      </c>
      <c r="X25" s="11" t="b">
        <v>0</v>
      </c>
      <c r="Y25" s="11" t="inlineStr">
        <is>
          <t>Sem indício documental de Middle Market</t>
        </is>
      </c>
      <c r="Z25" s="11" t="inlineStr">
        <is>
          <t>A evidência disponível aponta outro tipo de risco ou não traz crédito corporativo.</t>
        </is>
      </c>
      <c r="AA25" s="11" t="inlineStr">
        <is>
          <t>Há recebíveis cedidos por lojistas e recebíveis de pagamento originados ou cedidos pelo Mercado Crédito.</t>
        </is>
      </c>
      <c r="AB25" s="11" t="inlineStr">
        <is>
          <t>Comentário explícito do usuário — tarefa Adquirência</t>
        </is>
      </c>
      <c r="AC25" s="11" t="inlineStr">
        <is>
          <t>chat_task_acquiring_2026_07_31</t>
        </is>
      </c>
      <c r="AD25" s="11" t="inlineStr">
        <is>
          <t>N/D</t>
        </is>
      </c>
      <c r="AE25" s="11" t="inlineStr">
        <is>
          <t>Lista de fundos da tarefa</t>
        </is>
      </c>
      <c r="AF25" s="11" t="inlineStr">
        <is>
          <t>N/D</t>
        </is>
      </c>
      <c r="AG25" s="11" t="inlineStr">
        <is>
          <t>N/D</t>
        </is>
      </c>
      <c r="AH25" s="11" t="inlineStr">
        <is>
          <t>documentado — parte ou lastro identificado</t>
        </is>
      </c>
      <c r="AN25" s="27" t="inlineStr">
        <is>
          <t>curadoria anterior — não revisada nesta rodada</t>
        </is>
      </c>
    </row>
    <row r="26" ht="48" customHeight="1">
      <c r="A26" s="13" t="n">
        <v>22</v>
      </c>
      <c r="B26" s="13" t="n">
        <v>22</v>
      </c>
      <c r="C26" s="10" t="inlineStr">
        <is>
          <t>Top 100 por PL ex-FIC</t>
        </is>
      </c>
      <c r="D26" s="16" t="n">
        <v>29301202000155</v>
      </c>
      <c r="E26" s="10" t="inlineStr">
        <is>
          <t>29.301.202/0001-55</t>
        </is>
      </c>
      <c r="F26" s="10" t="inlineStr">
        <is>
          <t>RSCRED MULTIESTRÉGIA - FUNDO DE INVESTIMENTO EM DIREITOS CREDITÓRIOS NÃO-PADRONIZADOS</t>
        </is>
      </c>
      <c r="G26" s="19" t="n">
        <v>3599850973.43</v>
      </c>
      <c r="H26" s="22" t="n">
        <v>0.004382784819594067</v>
      </c>
      <c r="I26" s="22" t="n">
        <v>1</v>
      </c>
      <c r="J26" s="22" t="inlineStr">
        <is>
          <t>N/D</t>
        </is>
      </c>
      <c r="K26" s="22" t="inlineStr">
        <is>
          <t>N/D</t>
        </is>
      </c>
      <c r="L26" s="10" t="inlineStr">
        <is>
          <t>N/D</t>
        </is>
      </c>
      <c r="M26" s="28" t="inlineStr">
        <is>
          <t>não localizado — cedente não definido no documento lido</t>
        </is>
      </c>
      <c r="N26" s="10" t="n"/>
      <c r="O26" s="10" t="inlineStr">
        <is>
          <t>Cedentes dos direitos judiciais contra o INCRA</t>
        </is>
      </c>
      <c r="P26" s="10" t="inlineStr">
        <is>
          <t>N/D</t>
        </is>
      </c>
      <c r="Q26" s="10" t="inlineStr">
        <is>
          <t>Precatórios/direitos judiciais</t>
        </is>
      </c>
      <c r="R26" s="10" t="inlineStr">
        <is>
          <t>Outros</t>
        </is>
      </c>
      <c r="S26" s="10" t="inlineStr">
        <is>
          <t>Multicarteira Outros</t>
        </is>
      </c>
      <c r="T26" s="10" t="inlineStr">
        <is>
          <t>Outros</t>
        </is>
      </c>
      <c r="U26" s="10" t="inlineStr">
        <is>
          <t>Poder Público</t>
        </is>
      </c>
      <c r="V26" s="10" t="inlineStr">
        <is>
          <t>Judicial/Precatórios/NPL</t>
        </is>
      </c>
      <c r="W26" s="10" t="inlineStr">
        <is>
          <t>Precatórios/direitos judiciais</t>
        </is>
      </c>
      <c r="X26" s="28" t="inlineStr">
        <is>
          <t>N/D</t>
        </is>
      </c>
      <c r="Y26" s="28" t="inlineStr">
        <is>
          <t>Indeterminado — regulamento sem métrica de porte</t>
        </is>
      </c>
      <c r="Z26" s="28" t="inlineStr">
        <is>
          <t>Sem definição de cedente no documento; sem base para porte.</t>
        </is>
      </c>
      <c r="AA26" s="10" t="inlineStr">
        <is>
          <t>O regulamento admite extensa lista de instrumentos, origens e setores. A leitura integral da cláusula sustenta Multicarteira Outros.</t>
        </is>
      </c>
      <c r="AB26" s="10" t="inlineStr">
        <is>
          <t>Comentário manual do usuário — IMG_8592.jpg</t>
        </is>
      </c>
      <c r="AC26" s="10" t="inlineStr">
        <is>
          <t>IMG_8592</t>
        </is>
      </c>
      <c r="AD26" s="10" t="inlineStr">
        <is>
          <t>N/D</t>
        </is>
      </c>
      <c r="AE26" s="10" t="inlineStr">
        <is>
          <t>Linha do FIDC na imagem</t>
        </is>
      </c>
      <c r="AF26" s="10" t="inlineStr">
        <is>
          <t>N/D</t>
        </is>
      </c>
      <c r="AG26" s="10" t="inlineStr">
        <is>
          <t>N/D</t>
        </is>
      </c>
      <c r="AH26" s="10" t="inlineStr">
        <is>
          <t>documentado — parte ou lastro identificado</t>
        </is>
      </c>
      <c r="AI26" s="29" t="inlineStr">
        <is>
          <t>O regulamento e o anexo obtidos no FundosNET não contêm definição de Cedente nem menção ao INCRA; a atribuição que consta na coluna O não é confirmável por este documento.</t>
        </is>
      </c>
      <c r="AJ26" s="29" t="inlineStr">
        <is>
          <t>762766;762773</t>
        </is>
      </c>
      <c r="AK26" s="29" t="inlineStr">
        <is>
          <t>Não</t>
        </is>
      </c>
      <c r="AL26" s="29" t="inlineStr">
        <is>
          <t>indeterminado</t>
        </is>
      </c>
      <c r="AM26" s="29" t="inlineStr">
        <is>
          <t>Sem definição de cedente no documento; sem base para porte.</t>
        </is>
      </c>
      <c r="AN26" s="29" t="inlineStr">
        <is>
          <t>leitura do regulamento nesta rodada</t>
        </is>
      </c>
    </row>
    <row r="27" hidden="1" ht="48" customHeight="1">
      <c r="A27" s="14" t="n">
        <v>23</v>
      </c>
      <c r="B27" s="14" t="n">
        <v>23</v>
      </c>
      <c r="C27" s="11" t="inlineStr">
        <is>
          <t>Top 100 por PL ex-FIC</t>
        </is>
      </c>
      <c r="D27" s="17" t="n">
        <v>48349509000170</v>
      </c>
      <c r="E27" s="11" t="inlineStr">
        <is>
          <t>48.349.509/0001-70</t>
        </is>
      </c>
      <c r="F27" s="11" t="inlineStr">
        <is>
          <t>OCCAM CRÉDITO CORPORATIVO 30 FUNDO DE INVESTIMENTO EM DIREITOS CREDITÓRIOS RESPONSABILIDADE LIMITADA</t>
        </is>
      </c>
      <c r="G27" s="20" t="n">
        <v>3470655083.68</v>
      </c>
      <c r="H27" s="23" t="n">
        <v>0.004225490034746146</v>
      </c>
      <c r="I27" s="23" t="n">
        <v>0</v>
      </c>
      <c r="J27" s="23" t="inlineStr">
        <is>
          <t>N/D</t>
        </is>
      </c>
      <c r="K27" s="23" t="inlineStr">
        <is>
          <t>N/D</t>
        </is>
      </c>
      <c r="L27" s="11" t="inlineStr">
        <is>
          <t>N/D</t>
        </is>
      </c>
      <c r="M27" s="11" t="inlineStr">
        <is>
          <t>N/A</t>
        </is>
      </c>
      <c r="N27" s="11" t="n"/>
      <c r="O27" s="11" t="inlineStr">
        <is>
          <t>Múltiplos emissores e fundos investidos</t>
        </is>
      </c>
      <c r="P27" s="11" t="inlineStr">
        <is>
          <t>N/D</t>
        </is>
      </c>
      <c r="Q27" s="11" t="inlineStr">
        <is>
          <t>Multicarteira outros</t>
        </is>
      </c>
      <c r="R27" s="11" t="inlineStr">
        <is>
          <t>Outros</t>
        </is>
      </c>
      <c r="S27" s="11" t="inlineStr">
        <is>
          <t>Multicarteira Outros</t>
        </is>
      </c>
      <c r="T27" s="11" t="inlineStr">
        <is>
          <t>Outros</t>
        </is>
      </c>
      <c r="U27" s="11" t="inlineStr">
        <is>
          <t>Multicarteira Outros</t>
        </is>
      </c>
      <c r="V27" s="11" t="inlineStr">
        <is>
          <t>Multissetorial / Outros</t>
        </is>
      </c>
      <c r="W27" s="11" t="inlineStr">
        <is>
          <t>Multicarteira outros</t>
        </is>
      </c>
      <c r="X27" s="11" t="b">
        <v>0</v>
      </c>
      <c r="Y27" s="11" t="inlineStr">
        <is>
          <t>Sem indício documental de Middle Market</t>
        </is>
      </c>
      <c r="Z27" s="11" t="inlineStr">
        <is>
          <t>A evidência disponível aponta outro tipo de risco ou não traz crédito corporativo.</t>
        </is>
      </c>
      <c r="AA27" s="11" t="inlineStr">
        <is>
          <t>Regulamento sem texto recuperável; proposta baseada na classificação ANBIMA preservada de 2025-12-29.</t>
        </is>
      </c>
      <c r="AB27" s="11" t="inlineStr">
        <is>
          <t>Comentário explícito do usuário — tarefa de reclassificação</t>
        </is>
      </c>
      <c r="AC27" s="11" t="inlineStr">
        <is>
          <t>chat_task_reclassification_2026_07_31</t>
        </is>
      </c>
      <c r="AD27" s="11" t="inlineStr">
        <is>
          <t>N/D</t>
        </is>
      </c>
      <c r="AE27" s="11" t="inlineStr">
        <is>
          <t>Lista de mudanças aprovadas</t>
        </is>
      </c>
      <c r="AF27" s="11" t="inlineStr">
        <is>
          <t>N/D</t>
        </is>
      </c>
      <c r="AG27" s="11" t="inlineStr">
        <is>
          <t>N/D</t>
        </is>
      </c>
      <c r="AH27" s="11" t="inlineStr">
        <is>
          <t>documentado — parte ou lastro identificado</t>
        </is>
      </c>
      <c r="AN27" s="27" t="inlineStr">
        <is>
          <t>curadoria anterior — não revisada nesta rodada</t>
        </is>
      </c>
    </row>
    <row r="28" hidden="1" ht="48" customHeight="1">
      <c r="A28" s="13" t="n">
        <v>24</v>
      </c>
      <c r="B28" s="13" t="n">
        <v>24</v>
      </c>
      <c r="C28" s="10" t="inlineStr">
        <is>
          <t>Top 100 por PL ex-FIC</t>
        </is>
      </c>
      <c r="D28" s="16" t="n">
        <v>17250006000110</v>
      </c>
      <c r="E28" s="10" t="inlineStr">
        <is>
          <t>17.250.006/0001-10</t>
        </is>
      </c>
      <c r="F28" s="10" t="inlineStr">
        <is>
          <t>RED FUNDO DE INVESTIMENTO EM DIREITOS CREDITÓRIOS REAL LP DE RESPONSABILIDADE LIMITADA</t>
        </is>
      </c>
      <c r="G28" s="19" t="n">
        <v>3394314559.41</v>
      </c>
      <c r="H28" s="22" t="n">
        <v>0.00413254616196921</v>
      </c>
      <c r="I28" s="22" t="n">
        <v>0.4787782384680989</v>
      </c>
      <c r="J28" s="22" t="inlineStr">
        <is>
          <t>N/D</t>
        </is>
      </c>
      <c r="K28" s="22" t="inlineStr">
        <is>
          <t>N/D</t>
        </is>
      </c>
      <c r="L28" s="10" t="inlineStr">
        <is>
          <t>N/D</t>
        </is>
      </c>
      <c r="M28" s="10" t="inlineStr">
        <is>
          <t>Red Factoring</t>
        </is>
      </c>
      <c r="N28" s="10" t="n"/>
      <c r="O28" s="10" t="inlineStr">
        <is>
          <t>Múltiplos cedentes</t>
        </is>
      </c>
      <c r="P28" s="10" t="inlineStr">
        <is>
          <t>N/D</t>
        </is>
      </c>
      <c r="Q28" s="10" t="inlineStr">
        <is>
          <t>Recebíveis comerciais/multissetorial</t>
        </is>
      </c>
      <c r="R28" s="10" t="inlineStr">
        <is>
          <t>Outros</t>
        </is>
      </c>
      <c r="S28" s="10" t="inlineStr">
        <is>
          <t>Multicarteira Outros</t>
        </is>
      </c>
      <c r="T28" s="10" t="inlineStr">
        <is>
          <t>Fomento Mercantil</t>
        </is>
      </c>
      <c r="U28" s="10" t="inlineStr">
        <is>
          <t>Fomento Mercantil</t>
        </is>
      </c>
      <c r="V28" s="10" t="inlineStr">
        <is>
          <t>Crédito PJ</t>
        </is>
      </c>
      <c r="W28" s="10" t="inlineStr">
        <is>
          <t>Recebíveis comerciais/multissetorial</t>
        </is>
      </c>
      <c r="X28" s="10" t="inlineStr">
        <is>
          <t>N/D</t>
        </is>
      </c>
      <c r="Y28" s="10" t="inlineStr">
        <is>
          <t>Indício de crédito corporativo; porte N/D</t>
        </is>
      </c>
      <c r="Z28" s="10" t="inlineStr">
        <is>
          <t>O lastro é compatível com crédito corporativo tradicional, mas a base não documenta o porte do tomador.</t>
        </is>
      </c>
      <c r="AA28" s="10" t="inlineStr">
        <is>
          <t>A FINALIDADE DE REALIZAR A GESTAO DE CAIXA E DE LIQUIDEZ DO FUNDO. ARTIGO 39. O FUNDO ADQUIRIRA OS DIREITOS CREDITORIOS, DEVIDAMENTE REPRESENTADOS PELOS DOCUMENTOS COMPROBATORIOS, DECORRENTES DOS SEGMENTOS COMERCIAL, INDUSTRIAL, FINANCEIR O E DE PRESTACAO DE SERVICOS, QUE ATENDAM AOS CRITERIOS DE ELEGIBILIDADE E AS CONDICOES DE CESSAO. PARAGRAFO PRIMEIRO. OS DIREITOS CREDITORIOS PODERAO SER ADQUIRIDOS (I) DE FORMA PRIMARIA ; OU (II) EM MERCADO SECUNDARIO. PARAGRAFO SEGUNDO. OS DIREITOS CREDITORIOS SERAO ADQUIRIDOS PELO FUNDO JUNTAMENTE COM TODOS OS DIREITOS, PRIVILEGIOS, PREFERENCIAS, PRERROGATIVAS E ACOES ASSEGURADOS AOS SEUS TITULARES, NOS TERMOS DOS CONTRATOS DE CESSAO. PARAGRAFO TERCEIRO. NOS TERMOS DOS ARTIGOS 42, CAPUT E §1O, E 30, §5O, DO ANEXO NORMATIVO II A RESOLUCAO CVM 175, OBSERVADAS AS NORMAS QU</t>
        </is>
      </c>
      <c r="AB28" s="10" t="inlineStr">
        <is>
          <t>Comentário manual do usuário — IMG_8592.jpg</t>
        </is>
      </c>
      <c r="AC28" s="10" t="inlineStr">
        <is>
          <t>IMG_8592</t>
        </is>
      </c>
      <c r="AD28" s="10" t="inlineStr">
        <is>
          <t>N/D</t>
        </is>
      </c>
      <c r="AE28" s="10" t="inlineStr">
        <is>
          <t>Linha do FIDC na imagem</t>
        </is>
      </c>
      <c r="AF28" s="10" t="inlineStr">
        <is>
          <t>N/D</t>
        </is>
      </c>
      <c r="AG28" s="10" t="inlineStr">
        <is>
          <t>N/D</t>
        </is>
      </c>
      <c r="AH28" s="10" t="inlineStr">
        <is>
          <t>documentado — parte ou lastro identificado</t>
        </is>
      </c>
      <c r="AN28" s="27" t="inlineStr">
        <is>
          <t>curadoria anterior — não revisada nesta rodada</t>
        </is>
      </c>
    </row>
    <row r="29" hidden="1" ht="48" customHeight="1">
      <c r="A29" s="14" t="n">
        <v>25</v>
      </c>
      <c r="B29" s="14" t="n">
        <v>25</v>
      </c>
      <c r="C29" s="11" t="inlineStr">
        <is>
          <t>Top 100 por PL ex-FIC</t>
        </is>
      </c>
      <c r="D29" s="17" t="n">
        <v>49826785000145</v>
      </c>
      <c r="E29" s="11" t="inlineStr">
        <is>
          <t>49.826.785/0001-45</t>
        </is>
      </c>
      <c r="F29" s="11" t="inlineStr">
        <is>
          <t>ASA FUNDO DE INVESTIMENTO EM DIREITOS CREDITÓRIOS RESPONSABILIDADE LIMITADA</t>
        </is>
      </c>
      <c r="G29" s="20" t="n">
        <v>3364983017.12</v>
      </c>
      <c r="H29" s="23" t="n">
        <v>0.004096835284148786</v>
      </c>
      <c r="I29" s="23" t="n">
        <v>1</v>
      </c>
      <c r="J29" s="23" t="inlineStr">
        <is>
          <t>N/D</t>
        </is>
      </c>
      <c r="K29" s="23" t="inlineStr">
        <is>
          <t>N/D</t>
        </is>
      </c>
      <c r="L29" s="11" t="inlineStr">
        <is>
          <t>N/D</t>
        </is>
      </c>
      <c r="M29" s="11" t="inlineStr">
        <is>
          <t>N/A</t>
        </is>
      </c>
      <c r="N29" s="11" t="n"/>
      <c r="O29" s="11" t="inlineStr">
        <is>
          <t>N/D</t>
        </is>
      </c>
      <c r="P29" s="11" t="inlineStr">
        <is>
          <t>N/D</t>
        </is>
      </c>
      <c r="Q29" s="11" t="inlineStr">
        <is>
          <t>Multicarteira outros</t>
        </is>
      </c>
      <c r="R29" s="11" t="inlineStr">
        <is>
          <t>Outros</t>
        </is>
      </c>
      <c r="S29" s="11" t="inlineStr">
        <is>
          <t>Multicarteira Outros</t>
        </is>
      </c>
      <c r="T29" s="11" t="inlineStr">
        <is>
          <t>Outros</t>
        </is>
      </c>
      <c r="U29" s="11" t="inlineStr">
        <is>
          <t>Multicarteira Outros</t>
        </is>
      </c>
      <c r="V29" s="11" t="inlineStr">
        <is>
          <t>Multissetorial / Outros</t>
        </is>
      </c>
      <c r="W29" s="11" t="inlineStr">
        <is>
          <t>Multicarteira outros</t>
        </is>
      </c>
      <c r="X29" s="11" t="inlineStr">
        <is>
          <t>N/D</t>
        </is>
      </c>
      <c r="Y29" s="11" t="inlineStr">
        <is>
          <t>Indício de crédito corporativo; porte N/D</t>
        </is>
      </c>
      <c r="Z29" s="11" t="inlineStr">
        <is>
          <t>O lastro é compatível com crédito corporativo tradicional, mas a base não documenta o porte do tomador.</t>
        </is>
      </c>
      <c r="AA29" s="11" t="inlineStr">
        <is>
          <t>O regulamento admite carteira ampla, incluindo créditos judiciais e precatórios, CCBs e outros instrumentos. Nenhuma família isolada representa o mandato completo.</t>
        </is>
      </c>
      <c r="AB29" s="11" t="inlineStr">
        <is>
          <t>FundosNet/B3 — regulamento 1072129</t>
        </is>
      </c>
      <c r="AC29" s="11" t="inlineStr">
        <is>
          <t>1072129</t>
        </is>
      </c>
      <c r="AD29" s="11" t="inlineStr">
        <is>
          <t>N/D</t>
        </is>
      </c>
      <c r="AE29" s="11" t="inlineStr">
        <is>
          <t>p. 45 — política de investimento</t>
        </is>
      </c>
      <c r="AF29" s="11" t="inlineStr">
        <is>
          <t>N/D</t>
        </is>
      </c>
      <c r="AG29" s="11" t="inlineStr">
        <is>
          <t>N/D</t>
        </is>
      </c>
      <c r="AH29" s="11" t="inlineStr">
        <is>
          <t>taxonomia disponível — partes e lastro documental N/D</t>
        </is>
      </c>
      <c r="AN29" s="27" t="inlineStr">
        <is>
          <t>curadoria anterior — não revisada nesta rodada</t>
        </is>
      </c>
    </row>
    <row r="30" hidden="1" ht="48" customHeight="1">
      <c r="A30" s="13" t="n">
        <v>26</v>
      </c>
      <c r="B30" s="13" t="n">
        <v>26</v>
      </c>
      <c r="C30" s="10" t="inlineStr">
        <is>
          <t>Top 100 por PL ex-FIC</t>
        </is>
      </c>
      <c r="D30" s="16" t="n">
        <v>60356171000180</v>
      </c>
      <c r="E30" s="10" t="inlineStr">
        <is>
          <t>60.356.171/0001-80</t>
        </is>
      </c>
      <c r="F30" s="10" t="inlineStr">
        <is>
          <t>CLOUDWALK PI FUNDO DE INVESTIMENTO EM DIREITOS CREDITÓRIOS SEGMENTO MEIOS DE PAGAMENTO</t>
        </is>
      </c>
      <c r="G30" s="19" t="n">
        <v>3254537202.75</v>
      </c>
      <c r="H30" s="22" t="n">
        <v>0.003962368540335967</v>
      </c>
      <c r="I30" s="22" t="n">
        <v>0.1612463408977896</v>
      </c>
      <c r="J30" s="22" t="inlineStr">
        <is>
          <t>N/D</t>
        </is>
      </c>
      <c r="K30" s="22" t="inlineStr">
        <is>
          <t>N/D</t>
        </is>
      </c>
      <c r="L30" s="10" t="inlineStr">
        <is>
          <t>N/D</t>
        </is>
      </c>
      <c r="M30" s="10" t="inlineStr">
        <is>
          <t>Cloudwalk</t>
        </is>
      </c>
      <c r="N30" s="10" t="n"/>
      <c r="O30" s="10" t="inlineStr">
        <is>
          <t>Cloudwalk</t>
        </is>
      </c>
      <c r="P30" s="10" t="inlineStr">
        <is>
          <t>N/D</t>
        </is>
      </c>
      <c r="Q30" s="10" t="inlineStr">
        <is>
          <t>Banco emissor/cartão de crédito</t>
        </is>
      </c>
      <c r="R30" s="10" t="inlineStr">
        <is>
          <t>Financeiro</t>
        </is>
      </c>
      <c r="S30" s="10" t="inlineStr">
        <is>
          <t>Multicarteira Financeiro</t>
        </is>
      </c>
      <c r="T30" s="10" t="inlineStr">
        <is>
          <t>Financeiro</t>
        </is>
      </c>
      <c r="U30" s="10" t="inlineStr">
        <is>
          <t>Adquirência</t>
        </is>
      </c>
      <c r="V30" s="10" t="inlineStr">
        <is>
          <t>Meios de Pagamento e Cartões</t>
        </is>
      </c>
      <c r="W30" s="10" t="inlineStr">
        <is>
          <t>Banco emissor/cartão de crédito</t>
        </is>
      </c>
      <c r="X30" s="10" t="b">
        <v>0</v>
      </c>
      <c r="Y30" s="10" t="inlineStr">
        <is>
          <t>Sem indício documental de Middle Market</t>
        </is>
      </c>
      <c r="Z30" s="10" t="inlineStr">
        <is>
          <t>A evidência disponível aponta outro tipo de risco ou não traz crédito corporativo.</t>
        </is>
      </c>
      <c r="AA30" s="10" t="inlineStr">
        <is>
          <t>A CloudWalk é definida como cedente dos recebíveis de transações de pagamento devidos pelos emissores.</t>
        </is>
      </c>
      <c r="AB30" s="10" t="inlineStr">
        <is>
          <t>Comentário explícito do usuário — tarefa Adquirência</t>
        </is>
      </c>
      <c r="AC30" s="10" t="inlineStr">
        <is>
          <t>chat_task_acquiring_2026_07_31</t>
        </is>
      </c>
      <c r="AD30" s="10" t="inlineStr">
        <is>
          <t>N/D</t>
        </is>
      </c>
      <c r="AE30" s="10" t="inlineStr">
        <is>
          <t>Lista de fundos da tarefa</t>
        </is>
      </c>
      <c r="AF30" s="10" t="inlineStr">
        <is>
          <t>N/D</t>
        </is>
      </c>
      <c r="AG30" s="10" t="inlineStr">
        <is>
          <t>N/D</t>
        </is>
      </c>
      <c r="AH30" s="10" t="inlineStr">
        <is>
          <t>documentado — parte ou lastro identificado</t>
        </is>
      </c>
      <c r="AN30" s="27" t="inlineStr">
        <is>
          <t>curadoria anterior — não revisada nesta rodada</t>
        </is>
      </c>
    </row>
    <row r="31" ht="48" customHeight="1">
      <c r="A31" s="14" t="n">
        <v>27</v>
      </c>
      <c r="B31" s="14" t="n">
        <v>27</v>
      </c>
      <c r="C31" s="11" t="inlineStr">
        <is>
          <t>Top 100 por PL ex-FIC</t>
        </is>
      </c>
      <c r="D31" s="17" t="n">
        <v>7727002000126</v>
      </c>
      <c r="E31" s="11" t="inlineStr">
        <is>
          <t>07.727.002/0001-26</t>
        </is>
      </c>
      <c r="F31" s="11" t="inlineStr">
        <is>
          <t>FIDC PCG - BRASIL MULTICARTEIRA</t>
        </is>
      </c>
      <c r="G31" s="20" t="n">
        <v>3140454721.87</v>
      </c>
      <c r="H31" s="23" t="n">
        <v>0.003823474189132843</v>
      </c>
      <c r="I31" s="23" t="n">
        <v>0</v>
      </c>
      <c r="J31" s="23" t="inlineStr">
        <is>
          <t>N/D</t>
        </is>
      </c>
      <c r="K31" s="23" t="inlineStr">
        <is>
          <t>N/D</t>
        </is>
      </c>
      <c r="L31" s="11" t="inlineStr">
        <is>
          <t>N/D</t>
        </is>
      </c>
      <c r="M31" s="28" t="inlineStr">
        <is>
          <t>não localizado — regulamento não obtido</t>
        </is>
      </c>
      <c r="N31" s="11" t="n"/>
      <c r="O31" s="11" t="inlineStr">
        <is>
          <t>Múltiplos cedentes</t>
        </is>
      </c>
      <c r="P31" s="11" t="inlineStr">
        <is>
          <t>N/D</t>
        </is>
      </c>
      <c r="Q31" s="11" t="inlineStr">
        <is>
          <t>Não padronizado/NPL</t>
        </is>
      </c>
      <c r="R31" s="11" t="inlineStr">
        <is>
          <t>Outros</t>
        </is>
      </c>
      <c r="S31" s="11" t="inlineStr">
        <is>
          <t>Multicarteira Outros</t>
        </is>
      </c>
      <c r="T31" s="11" t="inlineStr">
        <is>
          <t>Outros</t>
        </is>
      </c>
      <c r="U31" s="11" t="inlineStr">
        <is>
          <t>Recuperação</t>
        </is>
      </c>
      <c r="V31" s="11" t="inlineStr">
        <is>
          <t>Judicial/Precatórios/NPL</t>
        </is>
      </c>
      <c r="W31" s="11" t="inlineStr">
        <is>
          <t>Não padronizado/NPL</t>
        </is>
      </c>
      <c r="X31" s="28" t="inlineStr">
        <is>
          <t>N/D</t>
        </is>
      </c>
      <c r="Y31" s="28" t="inlineStr">
        <is>
          <t>Indeterminado — regulamento sem métrica de porte</t>
        </is>
      </c>
      <c r="Z31" s="28" t="inlineStr">
        <is>
          <t>Documento não obtido; nada a afirmar.</t>
        </is>
      </c>
      <c r="AA31" s="11" t="inlineStr">
        <is>
          <t>RSIFICACAO; E (C) AVALIAR A ADERENCIA DO RISCO DE PERFORMANCE DOS DIREITOS DE CREDITO, SE HOUVER, A POLITICA DE INVESTIMENTO, OBSERVADO QUE O CUSTODIANTE PODERA SER SUBCONTRATADO PELO GESTOR PARA DESEMPENHAR AS FUNCOES INDICADAS NOS ITENS (A) A (C); (IX) ENTREGAR OS DIREITOS DE CREDITO AO CUSTODIANTE OU ADMINISTRADOR, CONFORME O CASO, NOS TERMOS DESTE ANEXO , POR MEIO DO ENVIO, PELO GESTOR AO CUSTODIANTE, DOS DOCUMENTOS COMPROBATORIOS DE CREDITO, DE FORMA ELETRONICA OU ENTREGA DAS VIAS FISICAS DOS REFERIDOS DOCUMENTOS; (X) NA HIPOTESE DE OCORRER SUBSTITUICAO DE DIREITOS DE CREDITO, POR QUALQUER MOTIVO, DILIGENCIAR PARA QUE A RELACAO ENTRE RISCO E RETORNO DA CARTEIRA DE DIREITOS DE CREDITO NAO SEJA ALTERADA, NOS TERMOS DA POLITICA DE INVESTIMENTOS; (XI) ATUAR PARA QUE OCORRA A CORRETA FORMALIZACAO DOS DOCUMENT</t>
        </is>
      </c>
      <c r="AB31" s="11" t="inlineStr">
        <is>
          <t>Comentário manual do usuário — IMG_8592.jpg</t>
        </is>
      </c>
      <c r="AC31" s="11" t="inlineStr">
        <is>
          <t>IMG_8592</t>
        </is>
      </c>
      <c r="AD31" s="11" t="inlineStr">
        <is>
          <t>N/D</t>
        </is>
      </c>
      <c r="AE31" s="11" t="inlineStr">
        <is>
          <t>Linha do FIDC na imagem</t>
        </is>
      </c>
      <c r="AF31" s="11" t="inlineStr">
        <is>
          <t>N/D</t>
        </is>
      </c>
      <c r="AG31" s="11" t="inlineStr">
        <is>
          <t>N/D</t>
        </is>
      </c>
      <c r="AH31" s="11" t="inlineStr">
        <is>
          <t>documentado — parte ou lastro identificado</t>
        </is>
      </c>
      <c r="AI31" s="29" t="inlineStr">
        <is>
          <t>Busca no FundosNET por CNPJ retornou 200 documentos, nenhum na categoria Regulamento dentro da janela consultada. Nenhum documento lido.</t>
        </is>
      </c>
      <c r="AJ31" s="29" t="inlineStr">
        <is>
          <t>não localizado</t>
        </is>
      </c>
      <c r="AK31" s="29" t="inlineStr">
        <is>
          <t>Não</t>
        </is>
      </c>
      <c r="AL31" s="29" t="inlineStr">
        <is>
          <t>indeterminado</t>
        </is>
      </c>
      <c r="AM31" s="29" t="inlineStr">
        <is>
          <t>Documento não obtido; nada a afirmar.</t>
        </is>
      </c>
      <c r="AN31" s="29" t="inlineStr">
        <is>
          <t>leitura do regulamento nesta rodada</t>
        </is>
      </c>
    </row>
    <row r="32" hidden="1" ht="48" customHeight="1">
      <c r="A32" s="13" t="n">
        <v>28</v>
      </c>
      <c r="B32" s="13" t="n">
        <v>28</v>
      </c>
      <c r="C32" s="10" t="inlineStr">
        <is>
          <t>Top 100 por PL ex-FIC</t>
        </is>
      </c>
      <c r="D32" s="16" t="n">
        <v>62393829000159</v>
      </c>
      <c r="E32" s="10" t="inlineStr">
        <is>
          <t>62.393.829/0001-59</t>
        </is>
      </c>
      <c r="F32" s="10" t="inlineStr">
        <is>
          <t>FUNDO DE INVESTIMENTO EM DIREITOS CREDITÓRIOS COMERCIAIS MEDICI I - RESPONSABILIDADE LIMITADA</t>
        </is>
      </c>
      <c r="G32" s="19" t="n">
        <v>3091715187.97</v>
      </c>
      <c r="H32" s="22" t="n">
        <v>0.003764134263433787</v>
      </c>
      <c r="I32" s="22" t="n">
        <v>0.0545912971158512</v>
      </c>
      <c r="J32" s="22" t="inlineStr">
        <is>
          <t>N/D</t>
        </is>
      </c>
      <c r="K32" s="22" t="inlineStr">
        <is>
          <t>N/D</t>
        </is>
      </c>
      <c r="L32" s="10" t="inlineStr">
        <is>
          <t>N/D</t>
        </is>
      </c>
      <c r="M32" s="10" t="inlineStr">
        <is>
          <t>BRFMarfrig</t>
        </is>
      </c>
      <c r="N32" s="10" t="n"/>
      <c r="O32" s="10" t="inlineStr">
        <is>
          <t>Multicedente</t>
        </is>
      </c>
      <c r="P32" s="10" t="inlineStr">
        <is>
          <t>BRF</t>
        </is>
      </c>
      <c r="Q32" s="10" t="inlineStr">
        <is>
          <t>Risco Sacado BRF</t>
        </is>
      </c>
      <c r="R32" s="10" t="inlineStr">
        <is>
          <t>Fomento Mercantil</t>
        </is>
      </c>
      <c r="S32" s="10" t="inlineStr">
        <is>
          <t>Fomento Mercantil</t>
        </is>
      </c>
      <c r="T32" s="10" t="inlineStr">
        <is>
          <t>Fomento Mercantil</t>
        </is>
      </c>
      <c r="U32" s="10" t="inlineStr">
        <is>
          <t>Fomento Mercantil</t>
        </is>
      </c>
      <c r="V32" s="10" t="inlineStr">
        <is>
          <t>Crédito PJ</t>
        </is>
      </c>
      <c r="W32" s="10" t="inlineStr">
        <is>
          <t>Recebíveis comerciais/multissetorial</t>
        </is>
      </c>
      <c r="X32" s="10" t="inlineStr">
        <is>
          <t>N/D</t>
        </is>
      </c>
      <c r="Y32" s="10" t="inlineStr">
        <is>
          <t>Indício de crédito corporativo; porte N/D</t>
        </is>
      </c>
      <c r="Z32" s="10" t="inlineStr">
        <is>
          <t>O lastro é compatível com crédito corporativo tradicional, mas a base não documenta o porte do tomador.</t>
        </is>
      </c>
      <c r="AA32" s="10" t="inlineStr">
        <is>
          <t>Comentário manual do usuário — IMG_8706.JPG; planilha amarela; linha da raiz 62393829</t>
        </is>
      </c>
      <c r="AB32" s="10" t="inlineStr">
        <is>
          <t>https://fnet.bmfbovespa.com.br/fnet/publico/abrirGerenciadorDocumentosCVM?cnpjFundo=62393829000159</t>
        </is>
      </c>
      <c r="AC32" s="10" t="inlineStr">
        <is>
          <t>1242436</t>
        </is>
      </c>
      <c r="AD32" s="10" t="inlineStr">
        <is>
          <t>N/D</t>
        </is>
      </c>
      <c r="AE32" s="10" t="inlineStr">
        <is>
          <t>p. 48 — política/definição do lastro</t>
        </is>
      </c>
      <c r="AF32" s="10" t="inlineStr">
        <is>
          <t>N/D</t>
        </is>
      </c>
      <c r="AG32" s="10" t="inlineStr">
        <is>
          <t>N/D</t>
        </is>
      </c>
      <c r="AH32" s="10" t="inlineStr">
        <is>
          <t>documentado — parte ou lastro identificado</t>
        </is>
      </c>
      <c r="AN32" s="27" t="inlineStr">
        <is>
          <t>curadoria anterior — não revisada nesta rodada</t>
        </is>
      </c>
    </row>
    <row r="33" ht="48" customHeight="1">
      <c r="A33" s="14" t="n">
        <v>29</v>
      </c>
      <c r="B33" s="14" t="n">
        <v>29</v>
      </c>
      <c r="C33" s="11" t="inlineStr">
        <is>
          <t>Top 100 por PL ex-FIC</t>
        </is>
      </c>
      <c r="D33" s="17" t="n">
        <v>11468186000124</v>
      </c>
      <c r="E33" s="11" t="inlineStr">
        <is>
          <t>11.468.186/0001-24</t>
        </is>
      </c>
      <c r="F33" s="11" t="inlineStr">
        <is>
          <t>ATLANTA FUNDO DE INVESTIMENTO EM DIREITOS CREDITÓRIOS DE RESPONSABILIDADE LIMITADA</t>
        </is>
      </c>
      <c r="G33" s="20" t="n">
        <v>3090301588.05</v>
      </c>
      <c r="H33" s="23" t="n">
        <v>0.003762413218780527</v>
      </c>
      <c r="I33" s="23" t="n">
        <v>0.797482279939063</v>
      </c>
      <c r="J33" s="23" t="inlineStr">
        <is>
          <t>N/D</t>
        </is>
      </c>
      <c r="K33" s="23" t="inlineStr">
        <is>
          <t>N/D</t>
        </is>
      </c>
      <c r="L33" s="11" t="inlineStr">
        <is>
          <t>N/D</t>
        </is>
      </c>
      <c r="M33" s="28" t="inlineStr">
        <is>
          <t>não localizado — multicedente PF/PJ e endossantes</t>
        </is>
      </c>
      <c r="N33" s="11" t="n"/>
      <c r="O33" s="11" t="inlineStr">
        <is>
          <t>Multicedentes e Multisacados</t>
        </is>
      </c>
      <c r="P33" s="11" t="inlineStr">
        <is>
          <t>N/D</t>
        </is>
      </c>
      <c r="Q33" s="11" t="inlineStr">
        <is>
          <t>FIDC Multicedentes &amp; Multisacados</t>
        </is>
      </c>
      <c r="R33" s="11" t="inlineStr">
        <is>
          <t>Fomento Mercantil</t>
        </is>
      </c>
      <c r="S33" s="11" t="inlineStr">
        <is>
          <t>Fomento Mercantil</t>
        </is>
      </c>
      <c r="T33" s="11" t="inlineStr">
        <is>
          <t>Fomento Mercantil</t>
        </is>
      </c>
      <c r="U33" s="11" t="inlineStr">
        <is>
          <t>Fomento Mercantil</t>
        </is>
      </c>
      <c r="V33" s="11" t="inlineStr">
        <is>
          <t>Crédito PJ</t>
        </is>
      </c>
      <c r="W33" s="11" t="inlineStr">
        <is>
          <t>Recebíveis comerciais/multissetorial</t>
        </is>
      </c>
      <c r="X33" s="28" t="inlineStr">
        <is>
          <t>N/D</t>
        </is>
      </c>
      <c r="Y33" s="28" t="inlineStr">
        <is>
          <t>Indeterminado — regulamento sem métrica de porte</t>
        </is>
      </c>
      <c r="Z33" s="28" t="inlineStr">
        <is>
          <t>Cedente e endossante genéricos; limites de concentração remetidos à regulamentação, sem porte.</t>
        </is>
      </c>
      <c r="AA33" s="11" t="inlineStr">
        <is>
          <t>O regulamento define cedentes genericamente e informa que os múltiplos cedentes não são conhecidos previamente.</t>
        </is>
      </c>
      <c r="AB33" s="11" t="inlineStr">
        <is>
          <t>https://fnet.bmfbovespa.com.br/fnet/publico/abrirGerenciadorDocumentosCVM?cnpjFundo=11468186000124</t>
        </is>
      </c>
      <c r="AC33" s="11" t="inlineStr">
        <is>
          <t>1130308</t>
        </is>
      </c>
      <c r="AD33" s="11" t="inlineStr">
        <is>
          <t>N/D</t>
        </is>
      </c>
      <c r="AE33" s="11" t="inlineStr">
        <is>
          <t>p. 49 — política/definição do lastro</t>
        </is>
      </c>
      <c r="AF33" s="11" t="inlineStr">
        <is>
          <t>N/D</t>
        </is>
      </c>
      <c r="AG33" s="11" t="inlineStr">
        <is>
          <t>N/D</t>
        </is>
      </c>
      <c r="AH33" s="11" t="inlineStr">
        <is>
          <t>documentado — parte ou lastro identificado</t>
        </is>
      </c>
      <c r="AI33" s="29" t="inlineStr">
        <is>
          <t>Def. "Cedentes": pessoas físicas ou jurídicas que cedem Direitos Creditórios. Def. "Endossante": titulares de créditos ou emissores que transferem por endosso.</t>
        </is>
      </c>
      <c r="AJ33" s="29" t="inlineStr">
        <is>
          <t>1130308</t>
        </is>
      </c>
      <c r="AK33" s="29" t="inlineStr">
        <is>
          <t>Não</t>
        </is>
      </c>
      <c r="AL33" s="29" t="inlineStr">
        <is>
          <t>indeterminado</t>
        </is>
      </c>
      <c r="AM33" s="29" t="inlineStr">
        <is>
          <t>Cedente e endossante genéricos; limites de concentração remetidos à regulamentação, sem porte.</t>
        </is>
      </c>
      <c r="AN33" s="29" t="inlineStr">
        <is>
          <t>leitura do regulamento nesta rodada</t>
        </is>
      </c>
    </row>
    <row r="34" hidden="1" ht="48" customHeight="1">
      <c r="A34" s="13" t="n">
        <v>30</v>
      </c>
      <c r="B34" s="13" t="n">
        <v>30</v>
      </c>
      <c r="C34" s="10" t="inlineStr">
        <is>
          <t>Top 100 por PL ex-FIC</t>
        </is>
      </c>
      <c r="D34" s="16" t="n">
        <v>62588266000154</v>
      </c>
      <c r="E34" s="10" t="inlineStr">
        <is>
          <t>62.588.266/0001-54</t>
        </is>
      </c>
      <c r="F34" s="10" t="inlineStr">
        <is>
          <t>VTK FUNDO DE INVESTIMENTO EM DIREITOS CREDITÓRIOS RESPONSABILIDADE LIMITADA</t>
        </is>
      </c>
      <c r="G34" s="19" t="n">
        <v>3085111034.31</v>
      </c>
      <c r="H34" s="22" t="n">
        <v>0.003756093768251916</v>
      </c>
      <c r="I34" s="22" t="n">
        <v>0.1851583225887235</v>
      </c>
      <c r="J34" s="22" t="inlineStr">
        <is>
          <t>N/D</t>
        </is>
      </c>
      <c r="K34" s="22" t="inlineStr">
        <is>
          <t>N/D</t>
        </is>
      </c>
      <c r="L34" s="10" t="inlineStr">
        <is>
          <t>N/D</t>
        </is>
      </c>
      <c r="M34" s="10" t="inlineStr">
        <is>
          <t>Facta Financeira</t>
        </is>
      </c>
      <c r="N34" s="10" t="n"/>
      <c r="O34" s="10" t="inlineStr">
        <is>
          <t>Facta</t>
        </is>
      </c>
      <c r="P34" s="10" t="inlineStr">
        <is>
          <t>N/D</t>
        </is>
      </c>
      <c r="Q34" s="10" t="inlineStr">
        <is>
          <t>Crédito INSS</t>
        </is>
      </c>
      <c r="R34" s="10" t="inlineStr">
        <is>
          <t>Financeiro</t>
        </is>
      </c>
      <c r="S34" s="10" t="inlineStr">
        <is>
          <t>Crédito Consignado</t>
        </is>
      </c>
      <c r="T34" s="10" t="inlineStr">
        <is>
          <t>Financeiro</t>
        </is>
      </c>
      <c r="U34" s="10" t="inlineStr">
        <is>
          <t>Crédito Consignado</t>
        </is>
      </c>
      <c r="V34" s="10" t="inlineStr">
        <is>
          <t>Crédito PF</t>
        </is>
      </c>
      <c r="W34" s="10" t="inlineStr">
        <is>
          <t>Consignado/INSS</t>
        </is>
      </c>
      <c r="X34" s="10" t="inlineStr">
        <is>
          <t>N/D</t>
        </is>
      </c>
      <c r="Y34" s="10" t="inlineStr">
        <is>
          <t>Indício de crédito corporativo; porte N/D</t>
        </is>
      </c>
      <c r="Z34" s="10" t="inlineStr">
        <is>
          <t>O lastro é compatível com crédito corporativo tradicional, mas a base não documenta o porte do tomador.</t>
        </is>
      </c>
      <c r="AA34" s="10" t="inlineStr">
        <is>
          <t>A Facta origina digitalmente as CCBs concede os empréstimos e endossa ou transfere os direitos ao fundo.</t>
        </is>
      </c>
      <c r="AB34" s="10" t="inlineStr">
        <is>
          <t>https://fnet.bmfbovespa.com.br/fnet/publico/abrirGerenciadorDocumentosCVM?cnpjFundo=62588266000154</t>
        </is>
      </c>
      <c r="AC34" s="10" t="inlineStr">
        <is>
          <t>1002580</t>
        </is>
      </c>
      <c r="AD34" s="10" t="inlineStr">
        <is>
          <t>N/D</t>
        </is>
      </c>
      <c r="AE34" s="10" t="inlineStr">
        <is>
          <t>p. 20 — política/definição do lastro</t>
        </is>
      </c>
      <c r="AF34" s="10" t="inlineStr">
        <is>
          <t>N/D</t>
        </is>
      </c>
      <c r="AG34" s="10" t="inlineStr">
        <is>
          <t>N/D</t>
        </is>
      </c>
      <c r="AH34" s="10" t="inlineStr">
        <is>
          <t>documentado — parte ou lastro identificado</t>
        </is>
      </c>
      <c r="AN34" s="27" t="inlineStr">
        <is>
          <t>curadoria anterior — não revisada nesta rodada</t>
        </is>
      </c>
    </row>
    <row r="35" hidden="1" ht="48" customHeight="1">
      <c r="A35" s="14" t="n">
        <v>31</v>
      </c>
      <c r="B35" s="14" t="n">
        <v>31</v>
      </c>
      <c r="C35" s="11" t="inlineStr">
        <is>
          <t>Top 100 por PL ex-FIC</t>
        </is>
      </c>
      <c r="D35" s="17" t="n">
        <v>60010416000112</v>
      </c>
      <c r="E35" s="11" t="inlineStr">
        <is>
          <t>60.010.416/0001-12</t>
        </is>
      </c>
      <c r="F35" s="11" t="inlineStr">
        <is>
          <t>MT CONSIGNADO PRIVADO I FUNDO DE INVESTIMENTO EM DIREITOS CREDITÓRIOS</t>
        </is>
      </c>
      <c r="G35" s="20" t="n">
        <v>3072067502.44</v>
      </c>
      <c r="H35" s="23" t="n">
        <v>0.00374021339045415</v>
      </c>
      <c r="I35" s="23" t="n">
        <v>0.0572199210343438</v>
      </c>
      <c r="J35" s="23" t="inlineStr">
        <is>
          <t>N/D</t>
        </is>
      </c>
      <c r="K35" s="23" t="inlineStr">
        <is>
          <t>N/D</t>
        </is>
      </c>
      <c r="L35" s="11" t="inlineStr">
        <is>
          <t>N/D</t>
        </is>
      </c>
      <c r="M35" s="11" t="inlineStr">
        <is>
          <t>MeuTudo</t>
        </is>
      </c>
      <c r="N35" s="11" t="n"/>
      <c r="O35" s="11" t="inlineStr">
        <is>
          <t>N/D</t>
        </is>
      </c>
      <c r="P35" s="11" t="inlineStr">
        <is>
          <t>N/D</t>
        </is>
      </c>
      <c r="Q35" s="11" t="inlineStr">
        <is>
          <t>Consignado/INSS</t>
        </is>
      </c>
      <c r="R35" s="11" t="inlineStr">
        <is>
          <t>Financeiro</t>
        </is>
      </c>
      <c r="S35" s="11" t="inlineStr">
        <is>
          <t>Crédito Consignado</t>
        </is>
      </c>
      <c r="T35" s="11" t="inlineStr">
        <is>
          <t>Financeiro</t>
        </is>
      </c>
      <c r="U35" s="11" t="inlineStr">
        <is>
          <t>Crédito Consignado</t>
        </is>
      </c>
      <c r="V35" s="11" t="inlineStr">
        <is>
          <t>Crédito PF</t>
        </is>
      </c>
      <c r="W35" s="11" t="inlineStr">
        <is>
          <t>Consignado/INSS</t>
        </is>
      </c>
      <c r="X35" s="11" t="inlineStr">
        <is>
          <t>N/D</t>
        </is>
      </c>
      <c r="Y35" s="11" t="inlineStr">
        <is>
          <t>Indício de crédito corporativo; porte N/D</t>
        </is>
      </c>
      <c r="Z35" s="11" t="inlineStr">
        <is>
          <t>O lastro é compatível com crédito corporativo tradicional, mas a base não documenta o porte do tomador.</t>
        </is>
      </c>
      <c r="AA35" s="11" t="inlineStr">
        <is>
          <t>A Parati concede os empréstimos consignados e endossa ao fundo as CCBs correspondentes.</t>
        </is>
      </c>
      <c r="AB35" s="11" t="inlineStr">
        <is>
          <t>https://fnet.bmfbovespa.com.br/fnet/publico/abrirGerenciadorDocumentosCVM?cnpjFundo=60010416000112</t>
        </is>
      </c>
      <c r="AC35" s="11" t="inlineStr">
        <is>
          <t>1051393</t>
        </is>
      </c>
      <c r="AD35" s="11" t="inlineStr">
        <is>
          <t>N/D</t>
        </is>
      </c>
      <c r="AE35" s="11" t="inlineStr">
        <is>
          <t>p. 9 — política/definição do lastro</t>
        </is>
      </c>
      <c r="AF35" s="11" t="inlineStr">
        <is>
          <t>N/D</t>
        </is>
      </c>
      <c r="AG35" s="11" t="inlineStr">
        <is>
          <t>N/D</t>
        </is>
      </c>
      <c r="AH35" s="11" t="inlineStr">
        <is>
          <t>taxonomia disponível — partes e lastro documental N/D</t>
        </is>
      </c>
      <c r="AN35" s="27" t="inlineStr">
        <is>
          <t>curadoria anterior — não revisada nesta rodada</t>
        </is>
      </c>
    </row>
    <row r="36" ht="48" customHeight="1">
      <c r="A36" s="13" t="n">
        <v>32</v>
      </c>
      <c r="B36" s="13" t="n">
        <v>32</v>
      </c>
      <c r="C36" s="10" t="inlineStr">
        <is>
          <t>Top 100 por PL ex-FIC</t>
        </is>
      </c>
      <c r="D36" s="16" t="n">
        <v>51079269000146</v>
      </c>
      <c r="E36" s="10" t="inlineStr">
        <is>
          <t>51.079.269/0001-46</t>
        </is>
      </c>
      <c r="F36" s="10" t="inlineStr">
        <is>
          <t>CARNIVAL FUNDO DE INVESTIMENTO EM DIREITOS CREDITÓRIOS</t>
        </is>
      </c>
      <c r="G36" s="19" t="n">
        <v>3058107297.6</v>
      </c>
      <c r="H36" s="22" t="n">
        <v>0.003723216971907168</v>
      </c>
      <c r="I36" s="22" t="n">
        <v>0</v>
      </c>
      <c r="J36" s="22" t="inlineStr">
        <is>
          <t>N/D</t>
        </is>
      </c>
      <c r="K36" s="22" t="inlineStr">
        <is>
          <t>N/D</t>
        </is>
      </c>
      <c r="L36" s="10" t="inlineStr">
        <is>
          <t>N/D</t>
        </is>
      </c>
      <c r="M36" s="28" t="inlineStr">
        <is>
          <t>Empresas em recuperação judicial ou não, indicadas pela LC Consultoria e Cobrança Ltda.</t>
        </is>
      </c>
      <c r="N36" s="10" t="n"/>
      <c r="O36" s="10" t="inlineStr">
        <is>
          <t>N/D</t>
        </is>
      </c>
      <c r="P36" s="10" t="inlineStr">
        <is>
          <t>N/D</t>
        </is>
      </c>
      <c r="Q36" s="10" t="inlineStr">
        <is>
          <t>Multicarteira outros</t>
        </is>
      </c>
      <c r="R36" s="10" t="inlineStr">
        <is>
          <t>Outros</t>
        </is>
      </c>
      <c r="S36" s="10" t="inlineStr">
        <is>
          <t>Multicarteira Outros</t>
        </is>
      </c>
      <c r="T36" s="10" t="inlineStr">
        <is>
          <t>Outros</t>
        </is>
      </c>
      <c r="U36" s="10" t="inlineStr">
        <is>
          <t>Multicarteira Outros</t>
        </is>
      </c>
      <c r="V36" s="10" t="inlineStr">
        <is>
          <t>Multissetorial / Outros</t>
        </is>
      </c>
      <c r="W36" s="10" t="inlineStr">
        <is>
          <t>Multicarteira outros</t>
        </is>
      </c>
      <c r="X36" s="28" t="inlineStr">
        <is>
          <t>N/D</t>
        </is>
      </c>
      <c r="Y36" s="28" t="inlineStr">
        <is>
          <t>Indeterminado — regulamento sem métrica de porte</t>
        </is>
      </c>
      <c r="Z36" s="28" t="inlineStr">
        <is>
          <t>Cedentes são pessoas jurídicas (inclusive em recuperação judicial), o que caracteriza risco corporativo, mas o regulamento não fixa faturamento nem porte.</t>
        </is>
      </c>
      <c r="AA36" s="10" t="inlineStr">
        <is>
          <t>O regulamento admite CCBs, duplicatas, cheques e contratos oriundos de setores financeiro, comercial, industrial e de serviços. O mandato é multicarteira.</t>
        </is>
      </c>
      <c r="AB36" s="10" t="inlineStr">
        <is>
          <t>https://fnet.bmfbovespa.com.br/fnet/publico/abrirGerenciadorDocumentosCVM?cnpjFundo=51079269000146</t>
        </is>
      </c>
      <c r="AC36" s="10" t="inlineStr">
        <is>
          <t>884671</t>
        </is>
      </c>
      <c r="AD36" s="10" t="inlineStr">
        <is>
          <t>N/D</t>
        </is>
      </c>
      <c r="AE36" s="10" t="inlineStr">
        <is>
          <t>p. 27 — política/definição do lastro</t>
        </is>
      </c>
      <c r="AF36" s="10" t="inlineStr">
        <is>
          <t>N/D</t>
        </is>
      </c>
      <c r="AG36" s="10" t="inlineStr">
        <is>
          <t>N/D</t>
        </is>
      </c>
      <c r="AH36" s="10" t="inlineStr">
        <is>
          <t>taxonomia disponível — partes e lastro documental N/D</t>
        </is>
      </c>
      <c r="AI36" s="29" t="inlineStr">
        <is>
          <t>Def. "Cedentes": são empresas em recuperação judicial ou não, sediadas no território nacional, indicadas pela respectiva Consultora. CONSULTORA: LC CONSULTORIA E COBRANCA LTDA.</t>
        </is>
      </c>
      <c r="AJ36" s="29" t="inlineStr">
        <is>
          <t>884671</t>
        </is>
      </c>
      <c r="AK36" s="29" t="inlineStr">
        <is>
          <t>Não</t>
        </is>
      </c>
      <c r="AL36" s="29" t="inlineStr">
        <is>
          <t>indeterminado</t>
        </is>
      </c>
      <c r="AM36" s="29" t="inlineStr">
        <is>
          <t>Cedentes são pessoas jurídicas (inclusive em recuperação judicial), o que caracteriza risco corporativo, mas o regulamento não fixa faturamento nem porte.</t>
        </is>
      </c>
      <c r="AN36" s="29" t="inlineStr">
        <is>
          <t>leitura do regulamento nesta rodada</t>
        </is>
      </c>
    </row>
    <row r="37" ht="48" customHeight="1">
      <c r="A37" s="14" t="n">
        <v>33</v>
      </c>
      <c r="B37" s="14" t="n">
        <v>33</v>
      </c>
      <c r="C37" s="11" t="inlineStr">
        <is>
          <t>Top 100 por PL ex-FIC</t>
        </is>
      </c>
      <c r="D37" s="17" t="n">
        <v>24194675000187</v>
      </c>
      <c r="E37" s="11" t="inlineStr">
        <is>
          <t>24.194.675/0001-87</t>
        </is>
      </c>
      <c r="F37" s="11" t="inlineStr">
        <is>
          <t>FUNDO DE INVESTIMENTO EM DIREITOS CREDITÓRIOS ALTERNATIVE ASSETS I RESPONSABILIDADE LIMITADA</t>
        </is>
      </c>
      <c r="G37" s="20" t="n">
        <v>3030582055.52</v>
      </c>
      <c r="H37" s="23" t="n">
        <v>0.003689705247662392</v>
      </c>
      <c r="I37" s="23" t="n">
        <v>0</v>
      </c>
      <c r="J37" s="23" t="inlineStr">
        <is>
          <t>N/D</t>
        </is>
      </c>
      <c r="K37" s="23" t="inlineStr">
        <is>
          <t>N/D</t>
        </is>
      </c>
      <c r="L37" s="11" t="inlineStr">
        <is>
          <t>N/D</t>
        </is>
      </c>
      <c r="M37" s="28" t="inlineStr">
        <is>
          <t>não localizado — multicedente sem nome no regulamento</t>
        </is>
      </c>
      <c r="N37" s="11" t="n"/>
      <c r="O37" s="11" t="inlineStr">
        <is>
          <t>N/D</t>
        </is>
      </c>
      <c r="P37" s="11" t="inlineStr">
        <is>
          <t>N/D</t>
        </is>
      </c>
      <c r="Q37" s="11" t="inlineStr">
        <is>
          <t>Multicarteira outros</t>
        </is>
      </c>
      <c r="R37" s="11" t="inlineStr">
        <is>
          <t>Outros</t>
        </is>
      </c>
      <c r="S37" s="11" t="inlineStr">
        <is>
          <t>Multicarteira Outros</t>
        </is>
      </c>
      <c r="T37" s="11" t="inlineStr">
        <is>
          <t>Outros</t>
        </is>
      </c>
      <c r="U37" s="11" t="inlineStr">
        <is>
          <t>Multicarteira Outros</t>
        </is>
      </c>
      <c r="V37" s="11" t="inlineStr">
        <is>
          <t>Multissetorial / Outros</t>
        </is>
      </c>
      <c r="W37" s="11" t="inlineStr">
        <is>
          <t>Multicarteira outros</t>
        </is>
      </c>
      <c r="X37" s="28" t="inlineStr">
        <is>
          <t>N/D</t>
        </is>
      </c>
      <c r="Y37" s="28" t="inlineStr">
        <is>
          <t>Indeterminado — regulamento sem métrica de porte</t>
        </is>
      </c>
      <c r="Z37" s="28" t="inlineStr">
        <is>
          <t>Mesma estrutura do Alternative Assets III; sem base para porte.</t>
        </is>
      </c>
      <c r="AA37" s="11" t="inlineStr">
        <is>
          <t>E FORMA PRIVADA OU OFERTADOS PUBLICAMENTE, INDEPENDENTEMENTE DO REGIME DE DISTRIBUICAO, OBSERVADA A POLITICA DE INVESTIMENTOS E AS DEMAIS DISPOSICOES DESTE REGULAMENTO E DA LEGISLACAO E REGULAMENTACAO APLICAVEIS . 4.5 O GESTOR SERA RESPONSAVEL POR VERIFICAR O CUMPRIMENTO, PELOS CEDENTES DA OBRIGACAO, CONFORME APLICAVEL, DE NOTIFICAR OS RESPECTIVOS DEVEDORES ACERCA DA CESSAO DOS DIREITOS CREDITORIOS A CLASSE CASO O CEDENTE NAO O TENHA FEITO. CRITERIOS DE ELEGIBILIDADE DIREITOS CREDITORIOS (I) ORIUNDOS DE LITIGIOS, JA AJUIZADOS, CONTRA PESSOAS FISICAS OU JURIDICAS DE DIREITO PRIVADO OU PUBLICO, NESTE ULTIMO CASO, JA REPRESENTADOS EM PRE PRECATORIOS E/OU PRECATORIOS DE TITULARIDADE DO CEDENTE E O/OU (II) DIREITOS CREDITORIOS PERFORMADOS QUE SE ENCONTREM VENCIDOS E INADIMPLIDOS NA DATA DE SUA CESSAO A CLASSE 4.5.</t>
        </is>
      </c>
      <c r="AB37" s="11" t="inlineStr">
        <is>
          <t>https://fnet.bmfbovespa.com.br/fnet/publico/abrirGerenciadorDocumentosCVM?cnpjFundo=24194675000187</t>
        </is>
      </c>
      <c r="AC37" s="11" t="inlineStr">
        <is>
          <t>830508</t>
        </is>
      </c>
      <c r="AD37" s="11" t="inlineStr">
        <is>
          <t>N/D</t>
        </is>
      </c>
      <c r="AE37" s="11" t="inlineStr">
        <is>
          <t>p. 9</t>
        </is>
      </c>
      <c r="AF37" s="11" t="inlineStr">
        <is>
          <t>N/D</t>
        </is>
      </c>
      <c r="AG37" s="11" t="inlineStr">
        <is>
          <t>N/D</t>
        </is>
      </c>
      <c r="AH37" s="11" t="inlineStr">
        <is>
          <t>taxonomia disponível — partes e lastro documental N/D</t>
        </is>
      </c>
      <c r="AI37" s="29" t="inlineStr">
        <is>
          <t>Def. "Cedente": as pessoas físicas e jurídicas e/ou fundos de investimento que alienarem Direitos Creditórios à Classe. Regulamento afirma não haver cedentes predeterminados.</t>
        </is>
      </c>
      <c r="AJ37" s="29" t="inlineStr">
        <is>
          <t>830508</t>
        </is>
      </c>
      <c r="AK37" s="29" t="inlineStr">
        <is>
          <t>Não</t>
        </is>
      </c>
      <c r="AL37" s="29" t="inlineStr">
        <is>
          <t>indeterminado</t>
        </is>
      </c>
      <c r="AM37" s="29" t="inlineStr">
        <is>
          <t>Mesma estrutura do Alternative Assets III; sem base para porte.</t>
        </is>
      </c>
      <c r="AN37" s="29" t="inlineStr">
        <is>
          <t>leitura do regulamento nesta rodada</t>
        </is>
      </c>
    </row>
    <row r="38" hidden="1" ht="48" customHeight="1">
      <c r="A38" s="13" t="n">
        <v>34</v>
      </c>
      <c r="B38" s="13" t="n">
        <v>34</v>
      </c>
      <c r="C38" s="10" t="inlineStr">
        <is>
          <t>Top 100 por PL ex-FIC</t>
        </is>
      </c>
      <c r="D38" s="16" t="n">
        <v>33254370000104</v>
      </c>
      <c r="E38" s="10" t="inlineStr">
        <is>
          <t>33.254.370/0001-04</t>
        </is>
      </c>
      <c r="F38" s="10" t="inlineStr">
        <is>
          <t>MERCADO CRÉDITO FUNDO DE INVESTIMENTO EM DIREITOS CREDITÓRIOS RESPONSABILIDADE LIMITADA</t>
        </is>
      </c>
      <c r="G38" s="19" t="n">
        <v>3017886933.33</v>
      </c>
      <c r="H38" s="22" t="n">
        <v>0.003674249055384463</v>
      </c>
      <c r="I38" s="22" t="n">
        <v>0.6940802460808179</v>
      </c>
      <c r="J38" s="22" t="inlineStr">
        <is>
          <t>N/D</t>
        </is>
      </c>
      <c r="K38" s="22" t="inlineStr">
        <is>
          <t>N/D</t>
        </is>
      </c>
      <c r="L38" s="10" t="inlineStr">
        <is>
          <t>N/D</t>
        </is>
      </c>
      <c r="M38" s="10" t="inlineStr">
        <is>
          <t>Mercado Pago</t>
        </is>
      </c>
      <c r="N38" s="10" t="n"/>
      <c r="O38" s="10" t="inlineStr">
        <is>
          <t>N/D</t>
        </is>
      </c>
      <c r="P38" s="10" t="inlineStr">
        <is>
          <t>N/D</t>
        </is>
      </c>
      <c r="Q38" s="10" t="inlineStr">
        <is>
          <t>CCB/Notas comerciais/Capital de giro</t>
        </is>
      </c>
      <c r="R38" s="10" t="inlineStr">
        <is>
          <t>Financeiro</t>
        </is>
      </c>
      <c r="S38" s="10" t="inlineStr">
        <is>
          <t>Multicarteira Financeiro</t>
        </is>
      </c>
      <c r="T38" s="10" t="inlineStr">
        <is>
          <t>Financeiro</t>
        </is>
      </c>
      <c r="U38" s="10" t="inlineStr">
        <is>
          <t>Multicarteira Financeiro</t>
        </is>
      </c>
      <c r="V38" s="10" t="inlineStr">
        <is>
          <t>Crédito PJ</t>
        </is>
      </c>
      <c r="W38" s="10" t="inlineStr">
        <is>
          <t>CCB/Notas comerciais/Capital de giro</t>
        </is>
      </c>
      <c r="X38" s="10" t="inlineStr">
        <is>
          <t>N/D</t>
        </is>
      </c>
      <c r="Y38" s="10" t="inlineStr">
        <is>
          <t>Indício de crédito corporativo; porte N/D</t>
        </is>
      </c>
      <c r="Z38" s="10" t="inlineStr">
        <is>
          <t>O lastro é compatível com crédito corporativo tradicional, mas a base não documenta o porte do tomador.</t>
        </is>
      </c>
      <c r="AA38" s="10" t="inlineStr">
        <is>
          <t>O documento define cedentes como instituições financeiras parceiras e vendedores usuários da plataforma sem identificação nominal.</t>
        </is>
      </c>
      <c r="AB38" s="10" t="inlineStr">
        <is>
          <t>https://fnet.bmfbovespa.com.br/fnet/publico/abrirGerenciadorDocumentosCVM?cnpjFundo=33254370000104</t>
        </is>
      </c>
      <c r="AC38" s="10" t="inlineStr">
        <is>
          <t>1128340</t>
        </is>
      </c>
      <c r="AD38" s="10" t="inlineStr">
        <is>
          <t>N/D</t>
        </is>
      </c>
      <c r="AE38" s="10" t="inlineStr">
        <is>
          <t>p. 91 — política/definição do lastro</t>
        </is>
      </c>
      <c r="AF38" s="10" t="inlineStr">
        <is>
          <t>N/D</t>
        </is>
      </c>
      <c r="AG38" s="10" t="inlineStr">
        <is>
          <t>N/D</t>
        </is>
      </c>
      <c r="AH38" s="10" t="inlineStr">
        <is>
          <t>taxonomia disponível — partes e lastro documental N/D</t>
        </is>
      </c>
      <c r="AN38" s="27" t="inlineStr">
        <is>
          <t>curadoria anterior — não revisada nesta rodada</t>
        </is>
      </c>
    </row>
    <row r="39" hidden="1" ht="48" customHeight="1">
      <c r="A39" s="14" t="n">
        <v>35</v>
      </c>
      <c r="B39" s="14" t="n">
        <v>35</v>
      </c>
      <c r="C39" s="11" t="inlineStr">
        <is>
          <t>Top 100 por PL ex-FIC</t>
        </is>
      </c>
      <c r="D39" s="17" t="n">
        <v>11230727000181</v>
      </c>
      <c r="E39" s="11" t="inlineStr">
        <is>
          <t>11.230.727/0001-81</t>
        </is>
      </c>
      <c r="F39" s="11" t="inlineStr">
        <is>
          <t>FIDC GM - VENDA DE VEÍCULOS</t>
        </is>
      </c>
      <c r="G39" s="20" t="n">
        <v>2984648919.61</v>
      </c>
      <c r="H39" s="23" t="n">
        <v>0.003633782085212452</v>
      </c>
      <c r="I39" s="23" t="n">
        <v>0</v>
      </c>
      <c r="J39" s="23" t="inlineStr">
        <is>
          <t>N/D</t>
        </is>
      </c>
      <c r="K39" s="23" t="inlineStr">
        <is>
          <t>N/D</t>
        </is>
      </c>
      <c r="L39" s="11" t="inlineStr">
        <is>
          <t>N/D</t>
        </is>
      </c>
      <c r="M39" s="11" t="inlineStr">
        <is>
          <t>GM</t>
        </is>
      </c>
      <c r="N39" s="11" t="n"/>
      <c r="O39" s="11" t="inlineStr">
        <is>
          <t>N/D</t>
        </is>
      </c>
      <c r="P39" s="11" t="inlineStr">
        <is>
          <t>N/D</t>
        </is>
      </c>
      <c r="Q39" s="11" t="inlineStr">
        <is>
          <t>Recebíveis comerciais/multissetorial</t>
        </is>
      </c>
      <c r="R39" s="11" t="inlineStr">
        <is>
          <t>Agro, Indústria e Comércio</t>
        </is>
      </c>
      <c r="S39" s="11" t="inlineStr">
        <is>
          <t>Recebíveis Comerciais</t>
        </is>
      </c>
      <c r="T39" s="11" t="inlineStr">
        <is>
          <t>Agro, Indústria e Comércio</t>
        </is>
      </c>
      <c r="U39" s="11" t="inlineStr">
        <is>
          <t>Crédito Corporativo</t>
        </is>
      </c>
      <c r="V39" s="11" t="inlineStr">
        <is>
          <t>Crédito PJ</t>
        </is>
      </c>
      <c r="W39" s="11" t="inlineStr">
        <is>
          <t>Recebíveis comerciais/multissetorial</t>
        </is>
      </c>
      <c r="X39" s="11" t="inlineStr">
        <is>
          <t>N/D</t>
        </is>
      </c>
      <c r="Y39" s="11" t="inlineStr">
        <is>
          <t>Indício de crédito corporativo; porte N/D</t>
        </is>
      </c>
      <c r="Z39" s="11" t="inlineStr">
        <is>
          <t>O lastro é compatível com crédito corporativo tradicional, mas a base não documenta o porte do tomador.</t>
        </is>
      </c>
      <c r="AA39" s="11" t="inlineStr">
        <is>
          <t>DITORIO CEDIDO SIGNIFICA UM DIREITO CREDITORIO QUE ATENDA A TODOS OS CRITERIOS DE ELEGIBILIDADE E A POLITICA DE INVESTIMENTO E VENHA A SER ADQUIRIDO PELA CLASSE, NOS TERMOS DO CONTRATO DE CESSAO E RESPECTIVO TERMO DE CESSAO. DIREITOS CREDITORIOS SIGNIFICA, CONJUNTA OU SEPARADAMENTE, OS DIREITOS DE CREDITO E VALORES ORIUNDOS DE UMA VENDA DE VEICULOS A PRAZO DO CEDENTE A UMA CONCESSIONARIA, COM TUDO QUE OS REFERIDOS DIREITOS DE CREDITO REPRESENTAM, INCLUINDO AJUSTES MONETARIOS E TODOS OS DIREITOS ASSEGURADOS AO CEDENTE PELOS MESMOS. DIREITOS CREDITORIOS INADIMPLIDOS COM RELACAO A QUALQUER DIREITO CREDITORIO, SIGNIFICA O NAO PAGAMENTO A CLASSE POR PARTE DA CONCESSIONARIA DO VALOR DA VENDA DO VEICULO AO CONSUMIDOR FINAL OU DA ENTREGA FISICA DO VEICULO A TERCEIROS, A QUALQUER TITULO QUE SEJA, NO PRAZO</t>
        </is>
      </c>
      <c r="AB39" s="11" t="inlineStr">
        <is>
          <t>FundosNet/B3 — regulamento 700587</t>
        </is>
      </c>
      <c r="AC39" s="11" t="inlineStr">
        <is>
          <t>700587</t>
        </is>
      </c>
      <c r="AD39" s="11" t="inlineStr">
        <is>
          <t>N/D</t>
        </is>
      </c>
      <c r="AE39" s="11" t="inlineStr">
        <is>
          <t>p. 18 — venda de veículos a prazo à concessionária</t>
        </is>
      </c>
      <c r="AF39" s="11" t="inlineStr">
        <is>
          <t>N/D</t>
        </is>
      </c>
      <c r="AG39" s="11" t="inlineStr">
        <is>
          <t>N/D</t>
        </is>
      </c>
      <c r="AH39" s="11" t="inlineStr">
        <is>
          <t>taxonomia disponível — partes e lastro documental N/D</t>
        </is>
      </c>
      <c r="AN39" s="27" t="inlineStr">
        <is>
          <t>curadoria anterior — não revisada nesta rodada</t>
        </is>
      </c>
    </row>
    <row r="40" hidden="1" ht="48" customHeight="1">
      <c r="A40" s="13" t="n">
        <v>36</v>
      </c>
      <c r="B40" s="13" t="n">
        <v>36</v>
      </c>
      <c r="C40" s="10" t="inlineStr">
        <is>
          <t>Top 100 por PL ex-FIC</t>
        </is>
      </c>
      <c r="D40" s="16" t="n">
        <v>65976848000104</v>
      </c>
      <c r="E40" s="10" t="inlineStr">
        <is>
          <t>65.976.848/0001-04</t>
        </is>
      </c>
      <c r="F40" s="10" t="inlineStr">
        <is>
          <t>FUNDO DE INVESTIMENTO EM DIREITOS CREDITÓRIOS AGIBANK II RESPONSABILIDADE LIMITADA</t>
        </is>
      </c>
      <c r="G40" s="19" t="n">
        <v>2967229777.92</v>
      </c>
      <c r="H40" s="22" t="n">
        <v>0.003612574443470397</v>
      </c>
      <c r="I40" s="22" t="n">
        <v>0.1521734277067646</v>
      </c>
      <c r="J40" s="22" t="inlineStr">
        <is>
          <t>N/D</t>
        </is>
      </c>
      <c r="K40" s="22" t="inlineStr">
        <is>
          <t>N/D</t>
        </is>
      </c>
      <c r="L40" s="10" t="inlineStr">
        <is>
          <t>N/D</t>
        </is>
      </c>
      <c r="M40" s="10" t="inlineStr">
        <is>
          <t>Agibank</t>
        </is>
      </c>
      <c r="N40" s="10" t="n"/>
      <c r="O40" s="10" t="inlineStr">
        <is>
          <t>N/D</t>
        </is>
      </c>
      <c r="P40" s="10" t="inlineStr">
        <is>
          <t>N/D</t>
        </is>
      </c>
      <c r="Q40" s="10" t="inlineStr">
        <is>
          <t>Consignado/INSS</t>
        </is>
      </c>
      <c r="R40" s="10" t="inlineStr">
        <is>
          <t>Financeiro</t>
        </is>
      </c>
      <c r="S40" s="10" t="inlineStr">
        <is>
          <t>Crédito Consignado</t>
        </is>
      </c>
      <c r="T40" s="10" t="inlineStr">
        <is>
          <t>Financeiro</t>
        </is>
      </c>
      <c r="U40" s="10" t="inlineStr">
        <is>
          <t>Crédito Consignado</t>
        </is>
      </c>
      <c r="V40" s="10" t="inlineStr">
        <is>
          <t>Crédito PF</t>
        </is>
      </c>
      <c r="W40" s="10" t="inlineStr">
        <is>
          <t>Consignado/INSS</t>
        </is>
      </c>
      <c r="X40" s="10" t="b">
        <v>0</v>
      </c>
      <c r="Y40" s="10" t="inlineStr">
        <is>
          <t>Sem indício documental de Middle Market</t>
        </is>
      </c>
      <c r="Z40" s="10" t="inlineStr">
        <is>
          <t>A evidência disponível aponta outro tipo de risco ou não traz crédito corporativo.</t>
        </is>
      </c>
      <c r="AA40" s="10" t="inlineStr">
        <is>
          <t>ITORIOS QUE ATENDAM A POLITICA DE INVESTIMENTO, COMPOSICAO E DIVERSIFICACAO DA CARTEIRA DO FUNDO, DESCRITA NESTE ANEXO DESCRITIVO. 1.3 CATEGORIA DO FUNDO. FUNDO DE INVESTIMENTO EM DIREITOS CREDITORIOS, CONFORME ANEXO NORMATIVO II DA RESOLUCAO CVM 175. 1.4 CLASSIFICACAO ANBIMA. PARA FINS DO DISPOSTO NO CODIGO DE ADMINISTRACAO E GESTAO DE RECURSOS DE TERCEIROS DA ANBIMA, O FUNDO E CLASSIFICADO COMO " FINANCEIRO – CREDITO CONSIGNADO", CONFORME ARTIGO 34 DO ANEXO COMPLEMENTAR V DAS REGRAS E PROCEDIMENTOS DE ADMINISTRACAO E GESTAO DE RECURSOS DE TERCEIROS DA ANBIMA. 1.5 FORMA DE CONSTITUICAO. A CLASSE A E CONSTITUIDA SOB A FORMA DE CONDOMINIO FECHADO, DE MODO QUE AS COTAS DE CADA SUBCLASSE OU SERIE SOMENTE SERAO RESGATADAS, ORDINARIAMENTE, NAS RESPECTIVAS DATAS DE RESGATE OU EM CASO DE LIQUIDACAO DO FUNDO E/OU DA CLASSE A. NAO OBSTANTE, AS COTAS SERAO OBJETO DE AMORTIZACOES DURANTE O PRAZO DE VIGENCIA DO FUNDO, NOS TERMOS DESTE REGULAMENTO E DO</t>
        </is>
      </c>
      <c r="AB40" s="10" t="inlineStr">
        <is>
          <t>https://fnet.bmfbovespa.com.br/fnet/publico/abrirGerenciadorDocumentosCVM?cnpjFundo=65976848000104</t>
        </is>
      </c>
      <c r="AC40" s="10" t="inlineStr">
        <is>
          <t>1239452</t>
        </is>
      </c>
      <c r="AD40" s="10" t="inlineStr">
        <is>
          <t>N/D</t>
        </is>
      </c>
      <c r="AE40" s="10" t="inlineStr">
        <is>
          <t>p. 17 — política/definição do lastro</t>
        </is>
      </c>
      <c r="AF40" s="10" t="inlineStr">
        <is>
          <t>N/D</t>
        </is>
      </c>
      <c r="AG40" s="10" t="inlineStr">
        <is>
          <t>N/D</t>
        </is>
      </c>
      <c r="AH40" s="10" t="inlineStr">
        <is>
          <t>taxonomia disponível — partes e lastro documental N/D</t>
        </is>
      </c>
      <c r="AN40" s="27" t="inlineStr">
        <is>
          <t>curadoria anterior — não revisada nesta rodada</t>
        </is>
      </c>
    </row>
    <row r="41" ht="48" customHeight="1">
      <c r="A41" s="14" t="n">
        <v>37</v>
      </c>
      <c r="B41" s="14" t="n">
        <v>37</v>
      </c>
      <c r="C41" s="11" t="inlineStr">
        <is>
          <t>Top 100 por PL ex-FIC</t>
        </is>
      </c>
      <c r="D41" s="17" t="n">
        <v>53029409000105</v>
      </c>
      <c r="E41" s="11" t="inlineStr">
        <is>
          <t>53.029.409/0001-05</t>
        </is>
      </c>
      <c r="F41" s="11" t="inlineStr">
        <is>
          <t>GSR FUNDO DE INVESTIMENTO EM DIREITOS CREDITÓRIOS NÃO PADRONIZADOS</t>
        </is>
      </c>
      <c r="G41" s="20" t="n">
        <v>2943415740.48</v>
      </c>
      <c r="H41" s="23" t="n">
        <v>0.003583581076090572</v>
      </c>
      <c r="I41" s="23" t="n">
        <v>0</v>
      </c>
      <c r="J41" s="23" t="inlineStr">
        <is>
          <t>N/D</t>
        </is>
      </c>
      <c r="K41" s="23" t="inlineStr">
        <is>
          <t>N/D</t>
        </is>
      </c>
      <c r="L41" s="11" t="inlineStr">
        <is>
          <t>N/D</t>
        </is>
      </c>
      <c r="M41" s="28" t="inlineStr">
        <is>
          <t>não localizado — multicedente genérico</t>
        </is>
      </c>
      <c r="N41" s="11" t="n"/>
      <c r="O41" s="11" t="inlineStr">
        <is>
          <t>N/D</t>
        </is>
      </c>
      <c r="P41" s="11" t="inlineStr">
        <is>
          <t>N/D</t>
        </is>
      </c>
      <c r="Q41" s="11" t="inlineStr">
        <is>
          <t>Multicarteira outros</t>
        </is>
      </c>
      <c r="R41" s="11" t="inlineStr">
        <is>
          <t>Outros</t>
        </is>
      </c>
      <c r="S41" s="11" t="inlineStr">
        <is>
          <t>Multicarteira Outros</t>
        </is>
      </c>
      <c r="T41" s="11" t="inlineStr">
        <is>
          <t>Outros</t>
        </is>
      </c>
      <c r="U41" s="11" t="inlineStr">
        <is>
          <t>Multicarteira Outros</t>
        </is>
      </c>
      <c r="V41" s="11" t="inlineStr">
        <is>
          <t>Multissetorial / Outros</t>
        </is>
      </c>
      <c r="W41" s="11" t="inlineStr">
        <is>
          <t>Multicarteira outros</t>
        </is>
      </c>
      <c r="X41" s="28" t="inlineStr">
        <is>
          <t>N/D</t>
        </is>
      </c>
      <c r="Y41" s="28" t="inlineStr">
        <is>
          <t>Indeterminado — regulamento sem métrica de porte</t>
        </is>
      </c>
      <c r="Z41" s="28" t="inlineStr">
        <is>
          <t>Cedente genérico; limite de concentração é regulatório, não é porte.</t>
        </is>
      </c>
      <c r="AA41" s="11" t="inlineStr">
        <is>
          <t>O regulamento enumera duplicatas, cheques, debêntures, certificados, cédulas rurais, industriais, comerciais, imobiliárias e bancárias, contratos e agendas de cartão.</t>
        </is>
      </c>
      <c r="AB41" s="11" t="inlineStr">
        <is>
          <t>https://fnet.bmfbovespa.com.br/fnet/publico/abrirGerenciadorDocumentosCVM?cnpjFundo=53029409000105</t>
        </is>
      </c>
      <c r="AC41" s="11" t="inlineStr">
        <is>
          <t>565885</t>
        </is>
      </c>
      <c r="AD41" s="11" t="inlineStr">
        <is>
          <t>N/D</t>
        </is>
      </c>
      <c r="AE41" s="11" t="inlineStr">
        <is>
          <t>p. 19 — política/definição do lastro</t>
        </is>
      </c>
      <c r="AF41" s="11" t="inlineStr">
        <is>
          <t>N/D</t>
        </is>
      </c>
      <c r="AG41" s="11" t="inlineStr">
        <is>
          <t>N/D</t>
        </is>
      </c>
      <c r="AH41" s="11" t="inlineStr">
        <is>
          <t>taxonomia disponível — partes e lastro documental N/D</t>
        </is>
      </c>
      <c r="AI41" s="29" t="inlineStr">
        <is>
          <t>Def. "Cedente": aquele que realiza cessão de direitos creditórios para o FIDC. Limite de 20% do PL por devedor/coobrigado.</t>
        </is>
      </c>
      <c r="AJ41" s="29" t="inlineStr">
        <is>
          <t>565885</t>
        </is>
      </c>
      <c r="AK41" s="29" t="inlineStr">
        <is>
          <t>Não</t>
        </is>
      </c>
      <c r="AL41" s="29" t="inlineStr">
        <is>
          <t>indeterminado</t>
        </is>
      </c>
      <c r="AM41" s="29" t="inlineStr">
        <is>
          <t>Cedente genérico; limite de concentração é regulatório, não é porte.</t>
        </is>
      </c>
      <c r="AN41" s="29" t="inlineStr">
        <is>
          <t>leitura do regulamento nesta rodada</t>
        </is>
      </c>
    </row>
    <row r="42" hidden="1" ht="48" customHeight="1">
      <c r="A42" s="13" t="n">
        <v>38</v>
      </c>
      <c r="B42" s="13" t="n">
        <v>38</v>
      </c>
      <c r="C42" s="10" t="inlineStr">
        <is>
          <t>Top 100 por PL ex-FIC</t>
        </is>
      </c>
      <c r="D42" s="16" t="n">
        <v>55471753000177</v>
      </c>
      <c r="E42" s="10" t="inlineStr">
        <is>
          <t>55.471.753/0001-77</t>
        </is>
      </c>
      <c r="F42" s="10" t="inlineStr">
        <is>
          <t>SELLER II FUNDO DE INVESTIMENTO EM DIREITOS CREDITÓRIOS SEGMENTO MEIOS DE PAGAMENTO RESP LTDA</t>
        </is>
      </c>
      <c r="G42" s="19" t="n">
        <v>2879663753.83</v>
      </c>
      <c r="H42" s="22" t="n">
        <v>0.003505963629876582</v>
      </c>
      <c r="I42" s="22" t="n">
        <v>0.650587163121943</v>
      </c>
      <c r="J42" s="22" t="inlineStr">
        <is>
          <t>N/D</t>
        </is>
      </c>
      <c r="K42" s="22" t="inlineStr">
        <is>
          <t>N/D</t>
        </is>
      </c>
      <c r="L42" s="10" t="inlineStr">
        <is>
          <t>N/D</t>
        </is>
      </c>
      <c r="M42" s="10" t="inlineStr">
        <is>
          <t>Mercado Pago</t>
        </is>
      </c>
      <c r="N42" s="10" t="n"/>
      <c r="O42" s="10" t="inlineStr">
        <is>
          <t>N/D</t>
        </is>
      </c>
      <c r="P42" s="10" t="inlineStr">
        <is>
          <t>N/D</t>
        </is>
      </c>
      <c r="Q42" s="10" t="inlineStr">
        <is>
          <t>Arranjos de pagamento/adquirência</t>
        </is>
      </c>
      <c r="R42" s="10" t="inlineStr">
        <is>
          <t>Financeiro</t>
        </is>
      </c>
      <c r="S42" s="10" t="inlineStr">
        <is>
          <t>Crédito Pessoal</t>
        </is>
      </c>
      <c r="T42" s="10" t="inlineStr">
        <is>
          <t>Financeiro</t>
        </is>
      </c>
      <c r="U42" s="10" t="inlineStr">
        <is>
          <t>Adquirência</t>
        </is>
      </c>
      <c r="V42" s="10" t="inlineStr">
        <is>
          <t>Meios de Pagamento e Cartões</t>
        </is>
      </c>
      <c r="W42" s="10" t="inlineStr">
        <is>
          <t>Arranjos de pagamento/adquirência</t>
        </is>
      </c>
      <c r="X42" s="10" t="b">
        <v>0</v>
      </c>
      <c r="Y42" s="10" t="inlineStr">
        <is>
          <t>Sem indício documental de Middle Market</t>
        </is>
      </c>
      <c r="Z42" s="10" t="inlineStr">
        <is>
          <t>A evidência disponível aponta outro tipo de risco ou não traz crédito corporativo.</t>
        </is>
      </c>
      <c r="AA42" s="10" t="inlineStr">
        <is>
          <t>OS ESTABELECIMENTO COMERCIAIS ORGANIZADOS E FORMALIZADOS ATRAVES DE U.R. E REGISTRADOS EM SISTEM AS DE REGISTRO, NOS TERMOS DA RESOLUCAO BCB 264/22. 3.18.1.AS CESSOES DAS U.RS DOS DIREITOS CREDITORIOS ESTABELECIMENTOS COMERCIAIS SAO REGISTRADAS EM BENEFICIO DA CLASSE UNICA NO SISTEMA DE REGISTRO , CONSIDERANDO-SE O SEGUINTE CONJUNTO DE INFORMACOES (I) NUMERO DE INSCRICAO NO CNPJ OU NO CPF DOS ESTABELECIMENTOS COMERCIAIS; (II) IDENTIFICACAO DO ARRANJO DE PAGAMENTO (BANDEIRAS); (III) IDENTIFICACAO DO CREDENCIADOR OU SUBCREDENCIADOR ; (IV) DATA DE LIQUIDACAO (VENCIMENTO); E (V) VALOR FIXO. 3.18.2.O REGISTRO DAS CESSOES DOS DIREITOS CREDITORIOS ESTABELECIMENTOS COMERCIAIS NO SISTEMA DE REGISTRO EM BENEFICIO DA CLASSE UNICA SERA OPERACIONALIZADO PELO AGENTE DE PAGAMENTO E REGISTRO, OBSERVADAS AS DISPOSICOES DO CONTRATO DE AGENTE DE PAGAMENTO E REGISTRO. 3.18.3.A CLASSE UNICA ADQUIRIRA OS DIREITOS CREDITORIOS ESTABELECIMENTOS COMERCIAIS DOS ESTABELECIMENTOS COMERCIAIS, POR MEIO</t>
        </is>
      </c>
      <c r="AB42" s="10" t="inlineStr">
        <is>
          <t>Comentário explícito do usuário — tarefa Adquirência</t>
        </is>
      </c>
      <c r="AC42" s="10" t="inlineStr">
        <is>
          <t>chat_task_acquiring_2026_07_31</t>
        </is>
      </c>
      <c r="AD42" s="10" t="inlineStr">
        <is>
          <t>N/D</t>
        </is>
      </c>
      <c r="AE42" s="10" t="inlineStr">
        <is>
          <t>Lista de fundos da tarefa</t>
        </is>
      </c>
      <c r="AF42" s="10" t="inlineStr">
        <is>
          <t>N/D</t>
        </is>
      </c>
      <c r="AG42" s="10" t="inlineStr">
        <is>
          <t>N/D</t>
        </is>
      </c>
      <c r="AH42" s="10" t="inlineStr">
        <is>
          <t>taxonomia disponível — partes e lastro documental N/D</t>
        </is>
      </c>
      <c r="AN42" s="27" t="inlineStr">
        <is>
          <t>curadoria anterior — não revisada nesta rodada</t>
        </is>
      </c>
    </row>
    <row r="43" ht="48" customHeight="1">
      <c r="A43" s="14" t="n">
        <v>39</v>
      </c>
      <c r="B43" s="14" t="n">
        <v>39</v>
      </c>
      <c r="C43" s="11" t="inlineStr">
        <is>
          <t>Top 100 por PL ex-FIC</t>
        </is>
      </c>
      <c r="D43" s="17" t="n">
        <v>32321307000180</v>
      </c>
      <c r="E43" s="11" t="inlineStr">
        <is>
          <t>32.321.307/0001-80</t>
        </is>
      </c>
      <c r="F43" s="11" t="inlineStr">
        <is>
          <t>CITY - 02 FUNDO DE INVESTIMENTO EM DIREITOS CREDITÓRIOS NÃO-PADRONIZADOS RESPONSABILIDADE ILIMITADA</t>
        </is>
      </c>
      <c r="G43" s="20" t="n">
        <v>2712460624.74</v>
      </c>
      <c r="H43" s="23" t="n">
        <v>0.003302395387365131</v>
      </c>
      <c r="I43" s="23" t="n">
        <v>1</v>
      </c>
      <c r="J43" s="23" t="inlineStr">
        <is>
          <t>N/D</t>
        </is>
      </c>
      <c r="K43" s="23" t="inlineStr">
        <is>
          <t>N/D</t>
        </is>
      </c>
      <c r="L43" s="11" t="inlineStr">
        <is>
          <t>N/D</t>
        </is>
      </c>
      <c r="M43" s="28" t="inlineStr">
        <is>
          <t>não localizado — definições não recuperadas do documento</t>
        </is>
      </c>
      <c r="N43" s="11" t="n"/>
      <c r="O43" s="11" t="inlineStr">
        <is>
          <t>N/D</t>
        </is>
      </c>
      <c r="P43" s="11" t="inlineStr">
        <is>
          <t>N/D</t>
        </is>
      </c>
      <c r="Q43" s="11" t="inlineStr">
        <is>
          <t>Multicarteira outros</t>
        </is>
      </c>
      <c r="R43" s="11" t="inlineStr">
        <is>
          <t>Fomento Mercantil</t>
        </is>
      </c>
      <c r="S43" s="11" t="inlineStr">
        <is>
          <t>Fomento Mercantil</t>
        </is>
      </c>
      <c r="T43" s="11" t="inlineStr">
        <is>
          <t>Fomento Mercantil</t>
        </is>
      </c>
      <c r="U43" s="11" t="inlineStr">
        <is>
          <t>Fomento Mercantil</t>
        </is>
      </c>
      <c r="V43" s="11" t="inlineStr">
        <is>
          <t>Multissetorial / Outros</t>
        </is>
      </c>
      <c r="W43" s="11" t="inlineStr">
        <is>
          <t>Multicarteira outros</t>
        </is>
      </c>
      <c r="X43" s="28" t="inlineStr">
        <is>
          <t>N/D</t>
        </is>
      </c>
      <c r="Y43" s="28" t="inlineStr">
        <is>
          <t>Indeterminado — regulamento sem métrica de porte</t>
        </is>
      </c>
      <c r="Z43" s="28" t="inlineStr">
        <is>
          <t>Sem leitura utilizável; nada a afirmar.</t>
        </is>
      </c>
      <c r="AA43" s="11" t="inlineStr">
        <is>
          <t>AXAS DE ADMINISTRACAO, DE GESTAO, MAXIMA DE DISTRIBUICAO, DE INGRESSO OU DE SAIDA; II. ALTERACAO DA POLITICA DE INVESTIMENTO; III. MUDANCA NAS CONDICOES DE RESGATE; OU IV. INCORPORACAO, CISAO, FUSAO OU TRANSFORMACAO QUE ACARRETE ALTERACAO, PARA OS COTISTAS ENVOLVIDOS, DAS CONDICOES ELENCADAS NOS ITENS ACIMA. B) NO CASO DE CLASSE FECHADA, COM RELACAO A INCORPORACAO, CISAO, FUSAO OU TRANSFORMACAO, APENAS A PARTIR DO DECURSO DO PRAZO PARA PAGAMENTO DO REEMBOLSO AOS COTI STA DISSIDENTE OU QUE NAO PARTICIPOU DA ASSEMBLEIA, QUE OBSERVARA OS SEGUINTES PASSOS: I. O COTISTA TERA 10 (DEZ) DIAS PARA SOLICITAR O REEMBOLSO, A CONTAR DA COMUNICACAO DA DECISAO DA ASSEMBLEIA; E II. O PAGAMENTO DO REEMBOLSO DEVERA OCORRER EM ATE 10 (DEZ) DIAS DA RECEPCAO DA COMUNICACAO ENCAMINHADA PELO COTISTA, ADOTANDO PARA O VALOR DO REEMBO</t>
        </is>
      </c>
      <c r="AB43" s="11" t="inlineStr">
        <is>
          <t>https://fnet.bmfbovespa.com.br/fnet/publico/abrirGerenciadorDocumentosCVM?cnpjFundo=32321307000180</t>
        </is>
      </c>
      <c r="AC43" s="11" t="inlineStr">
        <is>
          <t>1057633</t>
        </is>
      </c>
      <c r="AD43" s="11" t="inlineStr">
        <is>
          <t>N/D</t>
        </is>
      </c>
      <c r="AE43" s="11" t="inlineStr">
        <is>
          <t>p. 11</t>
        </is>
      </c>
      <c r="AF43" s="11" t="inlineStr">
        <is>
          <t>N/D</t>
        </is>
      </c>
      <c r="AG43" s="11" t="inlineStr">
        <is>
          <t>N/D</t>
        </is>
      </c>
      <c r="AH43" s="11" t="inlineStr">
        <is>
          <t>taxonomia disponível — partes e lastro documental N/D</t>
        </is>
      </c>
      <c r="AI43" s="29" t="inlineStr">
        <is>
          <t>O documento obtido não expõe definição de Cedente/Devedor em formato recuperável por texto.</t>
        </is>
      </c>
      <c r="AJ43" s="29" t="inlineStr">
        <is>
          <t>1057633</t>
        </is>
      </c>
      <c r="AK43" s="29" t="inlineStr">
        <is>
          <t>Não</t>
        </is>
      </c>
      <c r="AL43" s="29" t="inlineStr">
        <is>
          <t>indeterminado</t>
        </is>
      </c>
      <c r="AM43" s="29" t="inlineStr">
        <is>
          <t>Sem leitura utilizável; nada a afirmar.</t>
        </is>
      </c>
      <c r="AN43" s="29" t="inlineStr">
        <is>
          <t>leitura do regulamento nesta rodada</t>
        </is>
      </c>
    </row>
    <row r="44" hidden="1" ht="48" customHeight="1">
      <c r="A44" s="13" t="n">
        <v>40</v>
      </c>
      <c r="B44" s="13" t="n">
        <v>40</v>
      </c>
      <c r="C44" s="10" t="inlineStr">
        <is>
          <t>Top 100 por PL ex-FIC</t>
        </is>
      </c>
      <c r="D44" s="16" t="n">
        <v>57609282000146</v>
      </c>
      <c r="E44" s="10" t="inlineStr">
        <is>
          <t>57.609.282/0001-46</t>
        </is>
      </c>
      <c r="F44" s="10" t="inlineStr">
        <is>
          <t>CLOUDWALK A.I. FUNDO DE INVESTIMENTO EM DIREITOS CREDITÓRIOS SEGMENTO MEIOS DE PAGAMENTO</t>
        </is>
      </c>
      <c r="G44" s="19" t="n">
        <v>2700487143.69</v>
      </c>
      <c r="H44" s="22" t="n">
        <v>0.00328781778641138</v>
      </c>
      <c r="I44" s="22" t="n">
        <v>0.1618628982389708</v>
      </c>
      <c r="J44" s="22" t="inlineStr">
        <is>
          <t>N/D</t>
        </is>
      </c>
      <c r="K44" s="22" t="inlineStr">
        <is>
          <t>N/D</t>
        </is>
      </c>
      <c r="L44" s="10" t="inlineStr">
        <is>
          <t>N/D</t>
        </is>
      </c>
      <c r="M44" s="10" t="inlineStr">
        <is>
          <t>Cloudwalk</t>
        </is>
      </c>
      <c r="N44" s="10" t="n"/>
      <c r="O44" s="10" t="inlineStr">
        <is>
          <t>N/D</t>
        </is>
      </c>
      <c r="P44" s="10" t="inlineStr">
        <is>
          <t>N/D</t>
        </is>
      </c>
      <c r="Q44" s="10" t="inlineStr">
        <is>
          <t>Banco emissor/cartão de crédito</t>
        </is>
      </c>
      <c r="R44" s="10" t="inlineStr">
        <is>
          <t>Agro, Indústria e Comércio</t>
        </is>
      </c>
      <c r="S44" s="10" t="inlineStr">
        <is>
          <t>Recebíveis Comerciais</t>
        </is>
      </c>
      <c r="T44" s="10" t="inlineStr">
        <is>
          <t>Financeiro</t>
        </is>
      </c>
      <c r="U44" s="10" t="inlineStr">
        <is>
          <t>Adquirência</t>
        </is>
      </c>
      <c r="V44" s="10" t="inlineStr">
        <is>
          <t>Meios de Pagamento e Cartões</t>
        </is>
      </c>
      <c r="W44" s="10" t="inlineStr">
        <is>
          <t>Banco emissor/cartão de crédito</t>
        </is>
      </c>
      <c r="X44" s="10" t="b">
        <v>0</v>
      </c>
      <c r="Y44" s="10" t="inlineStr">
        <is>
          <t>Sem indício documental de Middle Market</t>
        </is>
      </c>
      <c r="Z44" s="10" t="inlineStr">
        <is>
          <t>A evidência disponível aponta outro tipo de risco ou não traz crédito corporativo.</t>
        </is>
      </c>
      <c r="AA44" s="10" t="inlineStr">
        <is>
          <t>Financeiro → Adquirência; risco banco emissor</t>
        </is>
      </c>
      <c r="AB44" s="10" t="inlineStr">
        <is>
          <t>Comentário explícito do usuário — tarefa Adquirência</t>
        </is>
      </c>
      <c r="AC44" s="10" t="inlineStr">
        <is>
          <t>chat_task_acquiring_2026_07_31</t>
        </is>
      </c>
      <c r="AD44" s="10" t="inlineStr">
        <is>
          <t>N/D</t>
        </is>
      </c>
      <c r="AE44" s="10" t="inlineStr">
        <is>
          <t>Lista de fundos da tarefa</t>
        </is>
      </c>
      <c r="AF44" s="10" t="inlineStr">
        <is>
          <t>N/D</t>
        </is>
      </c>
      <c r="AG44" s="10" t="inlineStr">
        <is>
          <t>N/D</t>
        </is>
      </c>
      <c r="AH44" s="10" t="inlineStr">
        <is>
          <t>taxonomia disponível — partes e lastro documental N/D</t>
        </is>
      </c>
      <c r="AN44" s="27" t="inlineStr">
        <is>
          <t>curadoria anterior — não revisada nesta rodada</t>
        </is>
      </c>
    </row>
    <row r="45" hidden="1" ht="48" customHeight="1">
      <c r="A45" s="14" t="n">
        <v>41</v>
      </c>
      <c r="B45" s="14" t="n">
        <v>41</v>
      </c>
      <c r="C45" s="11" t="inlineStr">
        <is>
          <t>Top 100 por PL ex-FIC</t>
        </is>
      </c>
      <c r="D45" s="17" t="n">
        <v>54836930000109</v>
      </c>
      <c r="E45" s="11" t="inlineStr">
        <is>
          <t>54.836.930/0001-09</t>
        </is>
      </c>
      <c r="F45" s="11" t="inlineStr">
        <is>
          <t>FUNDO DE INVESTIMENTO EM DIREITOS CREDITÓRIOS METEORO - RESP LTDA</t>
        </is>
      </c>
      <c r="G45" s="20" t="n">
        <v>2688587997.05</v>
      </c>
      <c r="H45" s="23" t="n">
        <v>0.003273330686905085</v>
      </c>
      <c r="I45" s="23" t="n">
        <v>1</v>
      </c>
      <c r="J45" s="23" t="inlineStr">
        <is>
          <t>N/D</t>
        </is>
      </c>
      <c r="K45" s="23" t="inlineStr">
        <is>
          <t>N/D</t>
        </is>
      </c>
      <c r="L45" s="11" t="inlineStr">
        <is>
          <t>N/D</t>
        </is>
      </c>
      <c r="M45" s="11" t="inlineStr">
        <is>
          <t>Nubank</t>
        </is>
      </c>
      <c r="N45" s="11" t="n"/>
      <c r="O45" s="11" t="inlineStr">
        <is>
          <t>N/D</t>
        </is>
      </c>
      <c r="P45" s="11" t="inlineStr">
        <is>
          <t>N/D</t>
        </is>
      </c>
      <c r="Q45" s="11" t="inlineStr">
        <is>
          <t>Multicarteira outros</t>
        </is>
      </c>
      <c r="R45" s="11" t="inlineStr">
        <is>
          <t>Financeiro</t>
        </is>
      </c>
      <c r="S45" s="11" t="inlineStr">
        <is>
          <t>Crédito Pessoal</t>
        </is>
      </c>
      <c r="T45" s="11" t="inlineStr">
        <is>
          <t>Financeiro</t>
        </is>
      </c>
      <c r="U45" s="11" t="inlineStr">
        <is>
          <t>Crédito Pessoal</t>
        </is>
      </c>
      <c r="V45" s="11" t="inlineStr">
        <is>
          <t>Multissetorial / Outros</t>
        </is>
      </c>
      <c r="W45" s="11" t="inlineStr">
        <is>
          <t>Multicarteira outros</t>
        </is>
      </c>
      <c r="X45" s="11" t="inlineStr">
        <is>
          <t>N/D</t>
        </is>
      </c>
      <c r="Y45" s="11" t="inlineStr">
        <is>
          <t>Indício de crédito corporativo; porte N/D</t>
        </is>
      </c>
      <c r="Z45" s="11" t="inlineStr">
        <is>
          <t>O lastro é compatível com crédito corporativo tradicional, mas a base não documenta o porte do tomador.</t>
        </is>
      </c>
      <c r="AA45" s="11" t="inlineStr">
        <is>
          <t>TIVO; E (II) ATIVOS FINANCEIROS DE LIQUIDEZ. 6.1.1. PARA FINS DO ARTIGO 21 DO ANEXO NORMATIVO II, A POLITICA DE INVESTIMENTO DA CLASSE UNICA ABRANGE, ALEM DESTE CAPITULO 6, O DISPOSTO NOS CAPITULOS 7 E 8 E NO SUPLEMENTO A DO PRESENTE ANEXO DESCRITIVO. 6.2. ORIGEM DOS DIREITOS CREDITORIOS. OS DIREITOS CREDITORIOS SAO ORIUNDOS DE DIVIDAS CONTRAIDAS PELOS DEVEDORES (1) FRENTE A NU PAGAMENTOS, NO AMBITO DE CONTRATO DE CARTAO DE CREDITO, REPRESENTADAS POR CCB EMITIDAS EM FAVOR DA NU FINANCEIRA; (2) DECORRENTES DE OPERACOES DE EMPRESTIMO BANCAR IO CELEBRADAS ENTRE OS DEVEDORES E A NU FINANCEIRA; OU (3) DECORRENTES DE DIVIDAS PREVIAMENTE INCORRIDAS PELOS DEVEDORES E QUE FORAM RENEGOCIADAS ATRAVES DA EMISSAO DAS CCB EM BENEFICIO DO ENDOSSANTE OU DA CELEBRACAO DE CONTRATO DE EMPRESTIMO ENTRE O ENDOS SANTE E O DEVEDOR,</t>
        </is>
      </c>
      <c r="AB45" s="11" t="inlineStr">
        <is>
          <t>https://fnet.bmfbovespa.com.br/fnet/publico/abrirGerenciadorDocumentosCVM?cnpjFundo=54836930000109</t>
        </is>
      </c>
      <c r="AC45" s="11" t="inlineStr">
        <is>
          <t>1044203</t>
        </is>
      </c>
      <c r="AD45" s="11" t="inlineStr">
        <is>
          <t>N/D</t>
        </is>
      </c>
      <c r="AE45" s="11" t="inlineStr">
        <is>
          <t>p. 37</t>
        </is>
      </c>
      <c r="AF45" s="11" t="inlineStr">
        <is>
          <t>N/D</t>
        </is>
      </c>
      <c r="AG45" s="11" t="inlineStr">
        <is>
          <t>N/D</t>
        </is>
      </c>
      <c r="AH45" s="11" t="inlineStr">
        <is>
          <t>taxonomia disponível — partes e lastro documental N/D</t>
        </is>
      </c>
      <c r="AN45" s="27" t="inlineStr">
        <is>
          <t>curadoria anterior — não revisada nesta rodada</t>
        </is>
      </c>
    </row>
    <row r="46" hidden="1" ht="48" customHeight="1">
      <c r="A46" s="13" t="n">
        <v>42</v>
      </c>
      <c r="B46" s="13" t="n">
        <v>42</v>
      </c>
      <c r="C46" s="10" t="inlineStr">
        <is>
          <t>Top 100 por PL ex-FIC</t>
        </is>
      </c>
      <c r="D46" s="16" t="n">
        <v>52256912000122</v>
      </c>
      <c r="E46" s="10" t="inlineStr">
        <is>
          <t>52.256.912/0001-22</t>
        </is>
      </c>
      <c r="F46" s="10" t="inlineStr">
        <is>
          <t>FUNDO DE INVESTIMENTO EM DIREITOS CREDITÓRIOS ACR I BANCOS EMISSORES DE CARTÃO DE CRÉDITO RESP LIMI</t>
        </is>
      </c>
      <c r="G46" s="19" t="n">
        <v>2661592324.9</v>
      </c>
      <c r="H46" s="22" t="n">
        <v>0.003240463709086548</v>
      </c>
      <c r="I46" s="22" t="n">
        <v>0.08303373845885929</v>
      </c>
      <c r="J46" s="22" t="inlineStr">
        <is>
          <t>N/D</t>
        </is>
      </c>
      <c r="K46" s="22" t="inlineStr">
        <is>
          <t>N/D</t>
        </is>
      </c>
      <c r="L46" s="10" t="inlineStr">
        <is>
          <t>N/D</t>
        </is>
      </c>
      <c r="M46" s="10" t="inlineStr">
        <is>
          <t>Stone Pagamentos</t>
        </is>
      </c>
      <c r="N46" s="10" t="n"/>
      <c r="O46" s="10" t="inlineStr">
        <is>
          <t>N/D</t>
        </is>
      </c>
      <c r="P46" s="10" t="inlineStr">
        <is>
          <t>N/D</t>
        </is>
      </c>
      <c r="Q46" s="10" t="inlineStr">
        <is>
          <t>Banco emissor/cartão de crédito</t>
        </is>
      </c>
      <c r="R46" s="10" t="inlineStr">
        <is>
          <t>Financeiro</t>
        </is>
      </c>
      <c r="S46" s="10" t="inlineStr">
        <is>
          <t>Multicarteira Financeiro</t>
        </is>
      </c>
      <c r="T46" s="10" t="inlineStr">
        <is>
          <t>Financeiro</t>
        </is>
      </c>
      <c r="U46" s="10" t="inlineStr">
        <is>
          <t>Adquirência</t>
        </is>
      </c>
      <c r="V46" s="10" t="inlineStr">
        <is>
          <t>Meios de Pagamento e Cartões</t>
        </is>
      </c>
      <c r="W46" s="10" t="inlineStr">
        <is>
          <t>Banco emissor/cartão de crédito</t>
        </is>
      </c>
      <c r="X46" s="10" t="b">
        <v>0</v>
      </c>
      <c r="Y46" s="10" t="inlineStr">
        <is>
          <t>Sem indício documental de Middle Market</t>
        </is>
      </c>
      <c r="Z46" s="10" t="inlineStr">
        <is>
          <t>A evidência disponível aponta outro tipo de risco ou não traz crédito corporativo.</t>
        </is>
      </c>
      <c r="AA46" s="10" t="inlineStr">
        <is>
          <t>Financeiro → Adquirência; risco banco emissor</t>
        </is>
      </c>
      <c r="AB46" s="10" t="inlineStr">
        <is>
          <t>Comentário explícito do usuário — tarefa Adquirência</t>
        </is>
      </c>
      <c r="AC46" s="10" t="inlineStr">
        <is>
          <t>chat_task_acquiring_2026_07_31</t>
        </is>
      </c>
      <c r="AD46" s="10" t="inlineStr">
        <is>
          <t>N/D</t>
        </is>
      </c>
      <c r="AE46" s="10" t="inlineStr">
        <is>
          <t>Lista de fundos da tarefa</t>
        </is>
      </c>
      <c r="AF46" s="10" t="inlineStr">
        <is>
          <t>N/D</t>
        </is>
      </c>
      <c r="AG46" s="10" t="inlineStr">
        <is>
          <t>N/D</t>
        </is>
      </c>
      <c r="AH46" s="10" t="inlineStr">
        <is>
          <t>taxonomia disponível — partes e lastro documental N/D</t>
        </is>
      </c>
      <c r="AN46" s="27" t="inlineStr">
        <is>
          <t>curadoria anterior — não revisada nesta rodada</t>
        </is>
      </c>
    </row>
    <row r="47" ht="48" customHeight="1">
      <c r="A47" s="14" t="n">
        <v>43</v>
      </c>
      <c r="B47" s="14" t="n">
        <v>43</v>
      </c>
      <c r="C47" s="11" t="inlineStr">
        <is>
          <t>Top 100 por PL ex-FIC</t>
        </is>
      </c>
      <c r="D47" s="17" t="n">
        <v>26405883000103</v>
      </c>
      <c r="E47" s="11" t="inlineStr">
        <is>
          <t>26.405.883/0001-03</t>
        </is>
      </c>
      <c r="F47" s="11" t="inlineStr">
        <is>
          <t>FIDC MULTISEGMENTOS NPL IPANEMA VI RESPONSABILIDADE LIMITADA</t>
        </is>
      </c>
      <c r="G47" s="20" t="n">
        <v>2633629374.15</v>
      </c>
      <c r="H47" s="23" t="n">
        <v>0.003206419078638588</v>
      </c>
      <c r="I47" s="23" t="n">
        <v>0</v>
      </c>
      <c r="J47" s="23" t="inlineStr">
        <is>
          <t>N/D</t>
        </is>
      </c>
      <c r="K47" s="23" t="inlineStr">
        <is>
          <t>N/D</t>
        </is>
      </c>
      <c r="L47" s="11" t="inlineStr">
        <is>
          <t>N/D</t>
        </is>
      </c>
      <c r="M47" s="28" t="inlineStr">
        <is>
          <t>não localizado — multicedente PF/PJ (carteira NPL)</t>
        </is>
      </c>
      <c r="N47" s="11" t="n"/>
      <c r="O47" s="11" t="inlineStr">
        <is>
          <t>N/D</t>
        </is>
      </c>
      <c r="P47" s="11" t="inlineStr">
        <is>
          <t>N/D</t>
        </is>
      </c>
      <c r="Q47" s="11" t="inlineStr">
        <is>
          <t>Não padronizado/NPL</t>
        </is>
      </c>
      <c r="R47" s="11" t="inlineStr">
        <is>
          <t>Outros</t>
        </is>
      </c>
      <c r="S47" s="11" t="inlineStr">
        <is>
          <t>Multicarteira Outros</t>
        </is>
      </c>
      <c r="T47" s="11" t="inlineStr">
        <is>
          <t>Outros</t>
        </is>
      </c>
      <c r="U47" s="11" t="inlineStr">
        <is>
          <t>Recuperação</t>
        </is>
      </c>
      <c r="V47" s="11" t="inlineStr">
        <is>
          <t>Judicial/Precatórios/NPL</t>
        </is>
      </c>
      <c r="W47" s="11" t="inlineStr">
        <is>
          <t>Não padronizado/NPL</t>
        </is>
      </c>
      <c r="X47" s="28" t="inlineStr">
        <is>
          <t>N/D</t>
        </is>
      </c>
      <c r="Y47" s="28" t="inlineStr">
        <is>
          <t>Indeterminado — regulamento sem métrica de porte</t>
        </is>
      </c>
      <c r="Z47" s="28" t="inlineStr">
        <is>
          <t>Cedente e devedor genéricos em carteira de crédito inadimplido.</t>
        </is>
      </c>
      <c r="AA47" s="11" t="inlineStr">
        <is>
          <t>IVO DO FUNDO. O OBJETIVO DO FUNDO E PROPORCIONAR AOS SEUS COTISTAS A VALORIZACAO DE SUAS COTAS, NO LONGO PRAZO, POR MEIO DA APLICACAO DOS RECURSOS DO FUNDO, PREPONDERANTEMENTE, NA AQUISICAO DE CARTEIRAS DE DIREITOS CREDITORIOS NAO-PADRONIZADOS, VENCIDOS E NAO PAGOS QUANDO DE SUA CESSAO PARA O FUNDO, CONFORME A POLITICA DE INVESTIMENTO DESTE REGULAMENTO. 7.2 CRITERIOS MINIMOS . OS DIREITOS CREDITORIOS DEVERAO OBEDECER PELO MENOS UM DOS CRITERIOS ABAIXO: (I) SER ORIGINADOS DE OPERACOES FINANCEIRAS, COMERCIAIS, IMOBILIARIAS, DE PRESTACOES DE SERVICOS, DE ARRENDAMENTO MERCANTIL E/OU INDUSTRIAIS REALIZADAS POR INSTITUICOES FINANCEIRAS E OUTRAS SOCIEDADES ATUANTES NO MERCADO BRASILEIRO NOS SEGMENTOS ANTERIORMENTE REFERIDOS; (II) SER DECORRENTES DE RECEITAS PUBLICAS ORI</t>
        </is>
      </c>
      <c r="AB47" s="11" t="inlineStr">
        <is>
          <t>https://fnet.bmfbovespa.com.br/fnet/publico/abrirGerenciadorDocumentosCVM?cnpjFundo=26405883000103</t>
        </is>
      </c>
      <c r="AC47" s="11" t="inlineStr">
        <is>
          <t>787165</t>
        </is>
      </c>
      <c r="AD47" s="11" t="inlineStr">
        <is>
          <t>N/D</t>
        </is>
      </c>
      <c r="AE47" s="11" t="inlineStr">
        <is>
          <t>p. 9 — política/definição do lastro</t>
        </is>
      </c>
      <c r="AF47" s="11" t="inlineStr">
        <is>
          <t>N/D</t>
        </is>
      </c>
      <c r="AG47" s="11" t="inlineStr">
        <is>
          <t>N/D</t>
        </is>
      </c>
      <c r="AH47" s="11" t="inlineStr">
        <is>
          <t>taxonomia disponível — partes e lastro documental N/D</t>
        </is>
      </c>
      <c r="AI47" s="29" t="inlineStr">
        <is>
          <t>Def. "Cedentes": todas as pessoas físicas ou jurídicas que cedem os Direitos Creditórios ao Fundo. Def. "Devedores": pessoas físicas ou jurídicas devedoras dos Direitos Creditórios adquiridos.</t>
        </is>
      </c>
      <c r="AJ47" s="29" t="inlineStr">
        <is>
          <t>787165</t>
        </is>
      </c>
      <c r="AK47" s="29" t="inlineStr">
        <is>
          <t>Não</t>
        </is>
      </c>
      <c r="AL47" s="29" t="inlineStr">
        <is>
          <t>indeterminado</t>
        </is>
      </c>
      <c r="AM47" s="29" t="inlineStr">
        <is>
          <t>Cedente e devedor genéricos em carteira de crédito inadimplido.</t>
        </is>
      </c>
      <c r="AN47" s="29" t="inlineStr">
        <is>
          <t>leitura do regulamento nesta rodada</t>
        </is>
      </c>
    </row>
    <row r="48" ht="48" customHeight="1">
      <c r="A48" s="13" t="n">
        <v>44</v>
      </c>
      <c r="B48" s="13" t="n">
        <v>44</v>
      </c>
      <c r="C48" s="10" t="inlineStr">
        <is>
          <t>Top 100 por PL ex-FIC</t>
        </is>
      </c>
      <c r="D48" s="16" t="n">
        <v>29492605000129</v>
      </c>
      <c r="E48" s="10" t="inlineStr">
        <is>
          <t>29.492.605/0001-29</t>
        </is>
      </c>
      <c r="F48" s="10" t="inlineStr">
        <is>
          <t>GAZIN FUNDO DE INVESTIMENTO EM DIREITOS CREDITÓRIOS MULTISSEGMENTOS - RESPONSABILIDADE LIMITADA</t>
        </is>
      </c>
      <c r="G48" s="19" t="n">
        <v>2494236413.23</v>
      </c>
      <c r="H48" s="22" t="n">
        <v>0.003036709455215943</v>
      </c>
      <c r="I48" s="22" t="n">
        <v>0.6759511157308264</v>
      </c>
      <c r="J48" s="22" t="inlineStr">
        <is>
          <t>N/D</t>
        </is>
      </c>
      <c r="K48" s="22" t="inlineStr">
        <is>
          <t>N/D</t>
        </is>
      </c>
      <c r="L48" s="10" t="inlineStr">
        <is>
          <t>N/D</t>
        </is>
      </c>
      <c r="M48" s="28" t="inlineStr">
        <is>
          <t>Gazin (Entidades Gazin)</t>
        </is>
      </c>
      <c r="N48" s="10" t="n"/>
      <c r="O48" s="10" t="inlineStr">
        <is>
          <t>N/D</t>
        </is>
      </c>
      <c r="P48" s="10" t="inlineStr">
        <is>
          <t>N/D</t>
        </is>
      </c>
      <c r="Q48" s="10" t="inlineStr">
        <is>
          <t>Recebíveis comerciais/multissetorial</t>
        </is>
      </c>
      <c r="R48" s="10" t="inlineStr">
        <is>
          <t>Agro, Indústria e Comércio</t>
        </is>
      </c>
      <c r="S48" s="10" t="inlineStr">
        <is>
          <t>Multicarteira Agro, Indústria e Comércio</t>
        </is>
      </c>
      <c r="T48" s="10" t="inlineStr">
        <is>
          <t>Agro, Indústria e Comércio</t>
        </is>
      </c>
      <c r="U48" s="10" t="inlineStr">
        <is>
          <t>Multicarteira Agro, Indústria e Comércio</t>
        </is>
      </c>
      <c r="V48" s="10" t="inlineStr">
        <is>
          <t>Crédito PJ</t>
        </is>
      </c>
      <c r="W48" s="10" t="inlineStr">
        <is>
          <t>Recebíveis comerciais/multissetorial</t>
        </is>
      </c>
      <c r="X48" s="28" t="inlineStr">
        <is>
          <t>N/D</t>
        </is>
      </c>
      <c r="Y48" s="28" t="inlineStr">
        <is>
          <t>Indeterminado — regulamento sem métrica de porte</t>
        </is>
      </c>
      <c r="Z48" s="28" t="inlineStr">
        <is>
          <t>Grupo cedente nomeado; o devedor especial é companhia de grande porte do varejo, mas o regulamento não declara faturamento. Devedores pulverizados são consumidores.</t>
        </is>
      </c>
      <c r="AA48" s="10" t="inlineStr">
        <is>
          <t>A política admite recebíveis documentados por NF-e e NFC-e e créditos representados por CCBs em múltiplos segmentos econômicos. O enquadramento oficial multicarteira é aderente.</t>
        </is>
      </c>
      <c r="AB48" s="10" t="inlineStr">
        <is>
          <t>https://fnet.bmfbovespa.com.br/fnet/publico/abrirGerenciadorDocumentosCVM?cnpjFundo=29492605000129</t>
        </is>
      </c>
      <c r="AC48" s="10" t="inlineStr">
        <is>
          <t>1117213</t>
        </is>
      </c>
      <c r="AD48" s="10" t="inlineStr">
        <is>
          <t>N/D</t>
        </is>
      </c>
      <c r="AE48" s="10" t="inlineStr">
        <is>
          <t>p. 30 — política/definição do lastro</t>
        </is>
      </c>
      <c r="AF48" s="10" t="inlineStr">
        <is>
          <t>N/D</t>
        </is>
      </c>
      <c r="AG48" s="10" t="inlineStr">
        <is>
          <t>N/D</t>
        </is>
      </c>
      <c r="AH48" s="10" t="inlineStr">
        <is>
          <t>taxonomia disponível — partes e lastro documental N/D</t>
        </is>
      </c>
      <c r="AI48" s="29" t="inlineStr">
        <is>
          <t>Def. "Cedentes": em conjunto, as Cedentes Outro, as Entidades Gazin e a Cedente Especial. Def. "Devedor Especial": Gazin Indústria e Comércio de Móveis e Eletrodomésticos S.A., CNPJ 77.941.490/0001-55.</t>
        </is>
      </c>
      <c r="AJ48" s="29" t="inlineStr">
        <is>
          <t>1117213</t>
        </is>
      </c>
      <c r="AK48" s="29" t="inlineStr">
        <is>
          <t>Não</t>
        </is>
      </c>
      <c r="AL48" s="29" t="inlineStr">
        <is>
          <t>indeterminado</t>
        </is>
      </c>
      <c r="AM48" s="29" t="inlineStr">
        <is>
          <t>Grupo cedente nomeado; o devedor especial é companhia de grande porte do varejo, mas o regulamento não declara faturamento. Devedores pulverizados são consumidores.</t>
        </is>
      </c>
      <c r="AN48" s="29" t="inlineStr">
        <is>
          <t>leitura do regulamento nesta rodada</t>
        </is>
      </c>
    </row>
    <row r="49" ht="48" customHeight="1">
      <c r="A49" s="14" t="n">
        <v>45</v>
      </c>
      <c r="B49" s="14" t="n">
        <v>45</v>
      </c>
      <c r="C49" s="11" t="inlineStr">
        <is>
          <t>Top 100 por PL ex-FIC</t>
        </is>
      </c>
      <c r="D49" s="17" t="n">
        <v>50095909000149</v>
      </c>
      <c r="E49" s="11" t="inlineStr">
        <is>
          <t>50.095.909/0001-49</t>
        </is>
      </c>
      <c r="F49" s="11" t="inlineStr">
        <is>
          <t>VITA AUTO FUNDO DE INVESTIMENTO EM DIREITOS CREDITÓRIOS</t>
        </is>
      </c>
      <c r="G49" s="20" t="n">
        <v>2489750068.19</v>
      </c>
      <c r="H49" s="23" t="n">
        <v>0.003031247372179201</v>
      </c>
      <c r="I49" s="23" t="n">
        <v>0.0723606913022373</v>
      </c>
      <c r="J49" s="23" t="inlineStr">
        <is>
          <t>N/D</t>
        </is>
      </c>
      <c r="K49" s="23" t="inlineStr">
        <is>
          <t>N/D</t>
        </is>
      </c>
      <c r="L49" s="11" t="inlineStr">
        <is>
          <t>N/D</t>
        </is>
      </c>
      <c r="M49" s="28" t="inlineStr">
        <is>
          <t>FCA Fiat Chrysler Automóveis do Brasil Ltda. (grupo Stellantis)</t>
        </is>
      </c>
      <c r="N49" s="11" t="n"/>
      <c r="O49" s="11" t="inlineStr">
        <is>
          <t>N/D</t>
        </is>
      </c>
      <c r="P49" s="11" t="inlineStr">
        <is>
          <t>N/D</t>
        </is>
      </c>
      <c r="Q49" s="11" t="inlineStr">
        <is>
          <t>Multicarteira outros</t>
        </is>
      </c>
      <c r="R49" s="11" t="inlineStr">
        <is>
          <t>Agro, Indústria e Comércio</t>
        </is>
      </c>
      <c r="S49" s="11" t="inlineStr">
        <is>
          <t>Recebíveis Comerciais</t>
        </is>
      </c>
      <c r="T49" s="11" t="inlineStr">
        <is>
          <t>Agro, Indústria e Comércio</t>
        </is>
      </c>
      <c r="U49" s="11" t="inlineStr">
        <is>
          <t>Recebíveis Comerciais</t>
        </is>
      </c>
      <c r="V49" s="11" t="inlineStr">
        <is>
          <t>Multissetorial / Outros</t>
        </is>
      </c>
      <c r="W49" s="11" t="inlineStr">
        <is>
          <t>Multicarteira outros</t>
        </is>
      </c>
      <c r="X49" s="28" t="inlineStr">
        <is>
          <t>N/D</t>
        </is>
      </c>
      <c r="Y49" s="28" t="inlineStr">
        <is>
          <t>Indeterminado — regulamento sem métrica de porte</t>
        </is>
      </c>
      <c r="Z49" s="28" t="inlineStr">
        <is>
          <t>Estrutura de floor plan: o sacado é a rede de concessionárias, perfil compatível com middle market, mas o regulamento não fixa faixa de faturamento por concessionária.</t>
        </is>
      </c>
      <c r="AA49" s="11" t="inlineStr">
        <is>
          <t>E PELAS CONCESSIONARIAS NA CONTA CORRENTE DE TITULARIDADE DA CLASSE, POR MEIO DE BOLETO BANCARIO. 9 POLITICA DE INVESTIMENTO 9.1 OS INVESTIMENTOS D A CLASSE CONSISTIRAO EM DIREITOS CREDITORIOS E INVESTIMENTOS PERMITIDOS (“POLITICA DE INVESTIMENTO”). 9.2 A CLASSE E VOLTAD A, PRIMORDIALMENTE, A APLICACAO EM DIREITOS CREDITORIOS, ORIUNDOS DA VENDA DE VEICULOS A PRAZO DO CEDENTE EM FAVOR DA RESPECTIVA CONCESSIONARIA. 9.2.1 A CLASSE E CLASSIFICADA COMO UMA CLASSE DE FUNDO DE INVESTIMENTO EM DIREITOS CREDITORIOS DO TIPO ANBIMA "AGRO, INDUSTRIA E COMERCIO", COM FOCO DE ATUACAO EM "RECEBIVEIS COMERCIAIS", NOS TERMOS DO “CODIGO DE ADMINISTRACAO E GESTAO DE RECURSOS DE TERCEIROS” EDITADO PELA ANBIMA E EM VIGOR NESTA DATA. 9.2.2 A CLASSE DEVERA MANTER, EM ATE 180 (CENTO E OITENTA ) DIAS, A PARTIR DO INICIO DE SUAS ATIVI</t>
        </is>
      </c>
      <c r="AB49" s="11" t="inlineStr">
        <is>
          <t>https://fnet.bmfbovespa.com.br/fnet/publico/abrirGerenciadorDocumentosCVM?cnpjFundo=50095909000149</t>
        </is>
      </c>
      <c r="AC49" s="11" t="inlineStr">
        <is>
          <t>1074512</t>
        </is>
      </c>
      <c r="AD49" s="11" t="inlineStr">
        <is>
          <t>N/D</t>
        </is>
      </c>
      <c r="AE49" s="11" t="inlineStr">
        <is>
          <t>p. 40</t>
        </is>
      </c>
      <c r="AF49" s="11" t="inlineStr">
        <is>
          <t>N/D</t>
        </is>
      </c>
      <c r="AG49" s="11" t="inlineStr">
        <is>
          <t>N/D</t>
        </is>
      </c>
      <c r="AH49" s="11" t="inlineStr">
        <is>
          <t>taxonomia disponível — partes e lastro documental N/D</t>
        </is>
      </c>
      <c r="AI49" s="29" t="inlineStr">
        <is>
          <t>Def. "Cedente": FCA Fiat Chrysler Automóveis do Brasil Ltda., CNPJ 16.701.716/0001-56. Def. "Direitos Creditórios": originados e titularizados pelo Cedente, oriundos da venda de Veículos a prazo do Cedente em favor de uma Concessionária.</t>
        </is>
      </c>
      <c r="AJ49" s="29" t="inlineStr">
        <is>
          <t>1074512</t>
        </is>
      </c>
      <c r="AK49" s="29" t="inlineStr">
        <is>
          <t>Não</t>
        </is>
      </c>
      <c r="AL49" s="29" t="inlineStr">
        <is>
          <t>indeterminado</t>
        </is>
      </c>
      <c r="AM49" s="29" t="inlineStr">
        <is>
          <t>Estrutura de floor plan: o sacado é a rede de concessionárias, perfil compatível com middle market, mas o regulamento não fixa faixa de faturamento por concessionária.</t>
        </is>
      </c>
      <c r="AN49" s="29" t="inlineStr">
        <is>
          <t>leitura do regulamento nesta rodada</t>
        </is>
      </c>
    </row>
    <row r="50" hidden="1" ht="48" customHeight="1">
      <c r="A50" s="13" t="n">
        <v>46</v>
      </c>
      <c r="B50" s="13" t="n">
        <v>46</v>
      </c>
      <c r="C50" s="10" t="inlineStr">
        <is>
          <t>Top 100 por PL ex-FIC</t>
        </is>
      </c>
      <c r="D50" s="16" t="n">
        <v>26142862000142</v>
      </c>
      <c r="E50" s="10" t="inlineStr">
        <is>
          <t>26.142.862/0001-42</t>
        </is>
      </c>
      <c r="F50" s="10" t="inlineStr">
        <is>
          <t>FUNDO DE INVESTIMENTO EM DIREITOS CREDITÓRIOS CLUBCARD VAREJO - RESPONSABILIDADE LIMITADA</t>
        </is>
      </c>
      <c r="G50" s="19" t="n">
        <v>2470380152.66</v>
      </c>
      <c r="H50" s="22" t="n">
        <v>0.003007664681571091</v>
      </c>
      <c r="I50" s="22" t="n">
        <v>0</v>
      </c>
      <c r="J50" s="22" t="inlineStr">
        <is>
          <t>N/D</t>
        </is>
      </c>
      <c r="K50" s="22" t="inlineStr">
        <is>
          <t>N/D</t>
        </is>
      </c>
      <c r="L50" s="10" t="inlineStr">
        <is>
          <t>N/D</t>
        </is>
      </c>
      <c r="M50" s="10" t="inlineStr">
        <is>
          <t>Clubcard</t>
        </is>
      </c>
      <c r="N50" s="10" t="n"/>
      <c r="O50" s="10" t="inlineStr">
        <is>
          <t>N/D</t>
        </is>
      </c>
      <c r="P50" s="10" t="inlineStr">
        <is>
          <t>N/D</t>
        </is>
      </c>
      <c r="Q50" s="10" t="inlineStr">
        <is>
          <t>Multicarteira outros</t>
        </is>
      </c>
      <c r="R50" s="10" t="inlineStr">
        <is>
          <t>Financeiro</t>
        </is>
      </c>
      <c r="S50" s="10" t="inlineStr">
        <is>
          <t>Multicarteira Financeiro</t>
        </is>
      </c>
      <c r="T50" s="10" t="inlineStr">
        <is>
          <t>Financeiro</t>
        </is>
      </c>
      <c r="U50" s="10" t="inlineStr">
        <is>
          <t>Multicarteira Financeiro</t>
        </is>
      </c>
      <c r="V50" s="10" t="inlineStr">
        <is>
          <t>Multissetorial / Outros</t>
        </is>
      </c>
      <c r="W50" s="10" t="inlineStr">
        <is>
          <t>Multicarteira outros</t>
        </is>
      </c>
      <c r="X50" s="10" t="b">
        <v>0</v>
      </c>
      <c r="Y50" s="10" t="inlineStr">
        <is>
          <t>Sem indício documental de Middle Market</t>
        </is>
      </c>
      <c r="Z50" s="10" t="inlineStr">
        <is>
          <t>A evidência disponível aponta outro tipo de risco ou não traz crédito corporativo.</t>
        </is>
      </c>
      <c r="AA50" s="10" t="inlineStr">
        <is>
          <t>A política admite direitos creditórios e títulos de naturezas diversas, operações de securitização e cotas de FIDC. O mandato sustenta Multicarteira Financeiro.</t>
        </is>
      </c>
      <c r="AB50" s="10" t="inlineStr">
        <is>
          <t>https://fnet.bmfbovespa.com.br/fnet/publico/abrirGerenciadorDocumentosCVM?cnpjFundo=26142862000142</t>
        </is>
      </c>
      <c r="AC50" s="10" t="inlineStr">
        <is>
          <t>1166301</t>
        </is>
      </c>
      <c r="AD50" s="10" t="inlineStr">
        <is>
          <t>N/D</t>
        </is>
      </c>
      <c r="AE50" s="10" t="inlineStr">
        <is>
          <t>p. 36 — política/definição do lastro</t>
        </is>
      </c>
      <c r="AF50" s="10" t="inlineStr">
        <is>
          <t>N/D</t>
        </is>
      </c>
      <c r="AG50" s="10" t="inlineStr">
        <is>
          <t>N/D</t>
        </is>
      </c>
      <c r="AH50" s="10" t="inlineStr">
        <is>
          <t>taxonomia disponível — partes e lastro documental N/D</t>
        </is>
      </c>
      <c r="AN50" s="27" t="inlineStr">
        <is>
          <t>curadoria anterior — não revisada nesta rodada</t>
        </is>
      </c>
    </row>
    <row r="51" hidden="1" ht="48" customHeight="1">
      <c r="A51" s="14" t="n">
        <v>47</v>
      </c>
      <c r="B51" s="14" t="n">
        <v>47</v>
      </c>
      <c r="C51" s="11" t="inlineStr">
        <is>
          <t>Top 100 por PL ex-FIC</t>
        </is>
      </c>
      <c r="D51" s="17" t="n">
        <v>38314763000180</v>
      </c>
      <c r="E51" s="11" t="inlineStr">
        <is>
          <t>38.314.763/0001-80</t>
        </is>
      </c>
      <c r="F51" s="11" t="inlineStr">
        <is>
          <t>SOMA III FUNDO DE INVESTIMENTO EM DIREITOS CREDITÓRIOS RESPONSABILIDADE LIMITADA</t>
        </is>
      </c>
      <c r="G51" s="20" t="n">
        <v>2464460565.77</v>
      </c>
      <c r="H51" s="23" t="n">
        <v>0.003000457640015412</v>
      </c>
      <c r="I51" s="23" t="n">
        <v>1</v>
      </c>
      <c r="J51" s="23" t="inlineStr">
        <is>
          <t>N/D</t>
        </is>
      </c>
      <c r="K51" s="23" t="inlineStr">
        <is>
          <t>N/D</t>
        </is>
      </c>
      <c r="L51" s="11" t="inlineStr">
        <is>
          <t>N/D</t>
        </is>
      </c>
      <c r="M51" s="11" t="inlineStr">
        <is>
          <t>Stone Pagamentos</t>
        </is>
      </c>
      <c r="N51" s="11" t="n"/>
      <c r="O51" s="11" t="inlineStr">
        <is>
          <t>N/D</t>
        </is>
      </c>
      <c r="P51" s="11" t="inlineStr">
        <is>
          <t>N/D</t>
        </is>
      </c>
      <c r="Q51" s="11" t="inlineStr">
        <is>
          <t>Multicarteira outros</t>
        </is>
      </c>
      <c r="R51" s="11" t="inlineStr">
        <is>
          <t>Financeiro</t>
        </is>
      </c>
      <c r="S51" s="11" t="inlineStr">
        <is>
          <t>Crédito Pessoal</t>
        </is>
      </c>
      <c r="T51" s="11" t="inlineStr">
        <is>
          <t>Financeiro</t>
        </is>
      </c>
      <c r="U51" s="11" t="inlineStr">
        <is>
          <t>Crédito Pessoal</t>
        </is>
      </c>
      <c r="V51" s="11" t="inlineStr">
        <is>
          <t>Multissetorial / Outros</t>
        </is>
      </c>
      <c r="W51" s="11" t="inlineStr">
        <is>
          <t>Multicarteira outros</t>
        </is>
      </c>
      <c r="X51" s="11" t="b">
        <v>0</v>
      </c>
      <c r="Y51" s="11" t="inlineStr">
        <is>
          <t>Sem indício documental de Middle Market</t>
        </is>
      </c>
      <c r="Z51" s="11" t="inlineStr">
        <is>
          <t>A evidência disponível aponta outro tipo de risco ou não traz crédito corporativo.</t>
        </is>
      </c>
      <c r="AA51" s="11" t="inlineStr">
        <is>
          <t>ENCIA DOS DIREITOS CREDITORIOS E ATENDIMENTO AOS CRITERIOS DE ELEGIBILIDADE DO ANEXO I-A; E (III) A POLITICA DE INVESTIMENTO PREVISTA NESTE CAPITULO 2 DESTE ANEXO I-A. 2.6.3. CADA CEDENTE OU ENDOSSANTE, CONFORME O CASO, E RESPONSAVEL PELA EXISTENCIA, VERACIDADE E CORRETA FORMALIZACAO DOS RESPECTIVOS DIREITOS CREDITORIOS ADQUIRIDOS, NOS TERMOS DA LEGISLACAO APLICAVEL, DESTE REGULAMENTO E DOS RESPECTIVOS DOCUMENTOS COMPROBATORIOS. 2.6.4. OS TERMOS DE TRANSFERENCIA DOS DIREITOS CREDITORIOS ADQUIRIDOS NAO SERAO REGISTRADOS NOS CARTORIOS DE REGISTROS DE TITULOS E DOCUMENTOS. 2.7. O PROCESSO DE ORIGINACAO DOS DIREITOS CREDITORIOS E A POLITICA DE CREDITO ENCONTRAM-SE DESCRITOS NO ANEXO I-B A ESTE REGULAMENTO. 2.8. UMA VEZ REALIZADO A CESSAO OU O ENDOSSO , CONFORME O CASO, DOS DIREITOS CREDITORIOS ADQUIRIDOS, A AMORT</t>
        </is>
      </c>
      <c r="AB51" s="11" t="inlineStr">
        <is>
          <t>https://fnet.bmfbovespa.com.br/fnet/publico/abrirGerenciadorDocumentosCVM?cnpjFundo=38314763000180</t>
        </is>
      </c>
      <c r="AC51" s="11" t="inlineStr">
        <is>
          <t>1238855</t>
        </is>
      </c>
      <c r="AD51" s="11" t="inlineStr">
        <is>
          <t>N/D</t>
        </is>
      </c>
      <c r="AE51" s="11" t="inlineStr">
        <is>
          <t>p. 19</t>
        </is>
      </c>
      <c r="AF51" s="11" t="inlineStr">
        <is>
          <t>N/D</t>
        </is>
      </c>
      <c r="AG51" s="11" t="inlineStr">
        <is>
          <t>N/D</t>
        </is>
      </c>
      <c r="AH51" s="11" t="inlineStr">
        <is>
          <t>taxonomia disponível — partes e lastro documental N/D</t>
        </is>
      </c>
      <c r="AN51" s="27" t="inlineStr">
        <is>
          <t>curadoria anterior — não revisada nesta rodada</t>
        </is>
      </c>
    </row>
    <row r="52" ht="48" customHeight="1">
      <c r="A52" s="13" t="n">
        <v>48</v>
      </c>
      <c r="B52" s="13" t="n">
        <v>48</v>
      </c>
      <c r="C52" s="10" t="inlineStr">
        <is>
          <t>Top 100 por PL ex-FIC</t>
        </is>
      </c>
      <c r="D52" s="16" t="n">
        <v>59356753000187</v>
      </c>
      <c r="E52" s="10" t="inlineStr">
        <is>
          <t>59.356.753/0001-87</t>
        </is>
      </c>
      <c r="F52" s="10" t="inlineStr">
        <is>
          <t>ER - FUNDO DE INVESTIMENTO EM DIREITOS CREDITÓRIOS RESPONSABILIDADE LIMITADA</t>
        </is>
      </c>
      <c r="G52" s="19" t="n">
        <v>2463356625.53</v>
      </c>
      <c r="H52" s="22" t="n">
        <v>0.002999113603120185</v>
      </c>
      <c r="I52" s="22" t="n">
        <v>0</v>
      </c>
      <c r="J52" s="22" t="inlineStr">
        <is>
          <t>N/D</t>
        </is>
      </c>
      <c r="K52" s="22" t="inlineStr">
        <is>
          <t>N/D</t>
        </is>
      </c>
      <c r="L52" s="10" t="inlineStr">
        <is>
          <t>N/D</t>
        </is>
      </c>
      <c r="M52" s="28" t="inlineStr">
        <is>
          <t>Âmbar Energia S.A.</t>
        </is>
      </c>
      <c r="N52" s="10" t="n"/>
      <c r="O52" s="10" t="inlineStr">
        <is>
          <t>N/D</t>
        </is>
      </c>
      <c r="P52" s="10" t="inlineStr">
        <is>
          <t>N/D</t>
        </is>
      </c>
      <c r="Q52" s="10" t="inlineStr">
        <is>
          <t>Energia/infra</t>
        </is>
      </c>
      <c r="R52" s="10" t="inlineStr">
        <is>
          <t>Agro, Indústria e Comércio</t>
        </is>
      </c>
      <c r="S52" s="10" t="inlineStr">
        <is>
          <t>Infraestrutura</t>
        </is>
      </c>
      <c r="T52" s="10" t="inlineStr">
        <is>
          <t>Agro, Indústria e Comércio</t>
        </is>
      </c>
      <c r="U52" s="10" t="inlineStr">
        <is>
          <t>Infraestrutura</t>
        </is>
      </c>
      <c r="V52" s="10" t="inlineStr">
        <is>
          <t>Infra/Energia</t>
        </is>
      </c>
      <c r="W52" s="10" t="inlineStr">
        <is>
          <t>Energia/infra</t>
        </is>
      </c>
      <c r="X52" s="28" t="b">
        <v>0</v>
      </c>
      <c r="Y52" s="28" t="inlineStr">
        <is>
          <t>Fora da faixa de Middle Market por natureza do devedor</t>
        </is>
      </c>
      <c r="Z52" s="28" t="inlineStr">
        <is>
          <t>Sacado único é a CCEE, câmara setorial do sistema elétrico — não é empresa com faturamento na faixa de middle market. Cedente é companhia de energia de grande porte.</t>
        </is>
      </c>
      <c r="AA52" s="10" t="inlineStr">
        <is>
          <t>A Âmbar é credora original e cedente dos recebíveis CER devidos pela CCEE.</t>
        </is>
      </c>
      <c r="AB52" s="10" t="inlineStr">
        <is>
          <t>https://fnet.bmfbovespa.com.br/fnet/publico/abrirGerenciadorDocumentosCVM?cnpjFundo=59356753000187</t>
        </is>
      </c>
      <c r="AC52" s="10" t="inlineStr">
        <is>
          <t>1001065</t>
        </is>
      </c>
      <c r="AD52" s="10" t="inlineStr">
        <is>
          <t>N/D</t>
        </is>
      </c>
      <c r="AE52" s="10" t="inlineStr">
        <is>
          <t>p. 68 — política/definição do lastro</t>
        </is>
      </c>
      <c r="AF52" s="10" t="inlineStr">
        <is>
          <t>N/D</t>
        </is>
      </c>
      <c r="AG52" s="10" t="inlineStr">
        <is>
          <t>N/D</t>
        </is>
      </c>
      <c r="AH52" s="10" t="inlineStr">
        <is>
          <t>taxonomia disponível — partes e lastro documental N/D</t>
        </is>
      </c>
      <c r="AI52" s="29" t="inlineStr">
        <is>
          <t>Def. "Âmbar": ÂMBAR ENERGIA S.A., CNPJ 01.645.009/0003-84. Def. "Devedor" ou "CCEE": Câmara de Comercialização de Energia Elétrica. Lastro: Contrato de Energia de Reserva nº 448/2021 celebrado entre a Âmbar e a CCEE.</t>
        </is>
      </c>
      <c r="AJ52" s="29" t="inlineStr">
        <is>
          <t>1001065</t>
        </is>
      </c>
      <c r="AK52" s="29" t="inlineStr">
        <is>
          <t>Não</t>
        </is>
      </c>
      <c r="AL52" s="29" t="inlineStr">
        <is>
          <t>fora da faixa</t>
        </is>
      </c>
      <c r="AM52" s="29" t="inlineStr">
        <is>
          <t>Sacado único é a CCEE, câmara setorial do sistema elétrico — não é empresa com faturamento na faixa de middle market. Cedente é companhia de energia de grande porte.</t>
        </is>
      </c>
      <c r="AN52" s="29" t="inlineStr">
        <is>
          <t>leitura do regulamento nesta rodada</t>
        </is>
      </c>
    </row>
    <row r="53" hidden="1" ht="48" customHeight="1">
      <c r="A53" s="14" t="n">
        <v>49</v>
      </c>
      <c r="B53" s="14" t="n">
        <v>49</v>
      </c>
      <c r="C53" s="11" t="inlineStr">
        <is>
          <t>Top 100 por PL ex-FIC</t>
        </is>
      </c>
      <c r="D53" s="17" t="n">
        <v>63662224000189</v>
      </c>
      <c r="E53" s="11" t="inlineStr">
        <is>
          <t>63.662.224/0001-89</t>
        </is>
      </c>
      <c r="F53" s="11" t="inlineStr">
        <is>
          <t>FIDC SANTANDER AUTO LOANS I SEGMENTO FINANCEIRO - RESPONSABILIDADE LIMITADA</t>
        </is>
      </c>
      <c r="G53" s="20" t="n">
        <v>2430490971.94</v>
      </c>
      <c r="H53" s="23" t="n">
        <v>0.002959099977916405</v>
      </c>
      <c r="I53" s="23" t="n">
        <v>0.1332185833742618</v>
      </c>
      <c r="J53" s="23" t="inlineStr">
        <is>
          <t>N/D</t>
        </is>
      </c>
      <c r="K53" s="23" t="inlineStr">
        <is>
          <t>N/D</t>
        </is>
      </c>
      <c r="L53" s="11" t="inlineStr">
        <is>
          <t>N/D</t>
        </is>
      </c>
      <c r="M53" s="11" t="inlineStr">
        <is>
          <t>Santander</t>
        </is>
      </c>
      <c r="N53" s="11" t="n"/>
      <c r="O53" s="11" t="inlineStr">
        <is>
          <t>N/D</t>
        </is>
      </c>
      <c r="P53" s="11" t="inlineStr">
        <is>
          <t>N/D</t>
        </is>
      </c>
      <c r="Q53" s="11" t="inlineStr">
        <is>
          <t>Auto/Veículos</t>
        </is>
      </c>
      <c r="R53" s="11" t="inlineStr">
        <is>
          <t>Financeiro</t>
        </is>
      </c>
      <c r="S53" s="11" t="inlineStr">
        <is>
          <t>Multicarteira Financeiro</t>
        </is>
      </c>
      <c r="T53" s="11" t="inlineStr">
        <is>
          <t>Financeiro</t>
        </is>
      </c>
      <c r="U53" s="11" t="inlineStr">
        <is>
          <t>Financiamento de Veículos</t>
        </is>
      </c>
      <c r="V53" s="11" t="inlineStr">
        <is>
          <t>Crédito PF</t>
        </is>
      </c>
      <c r="W53" s="11" t="inlineStr">
        <is>
          <t>Auto/Veículos</t>
        </is>
      </c>
      <c r="X53" s="11" t="inlineStr">
        <is>
          <t>N/D</t>
        </is>
      </c>
      <c r="Y53" s="11" t="inlineStr">
        <is>
          <t>Indício de crédito corporativo; porte N/D</t>
        </is>
      </c>
      <c r="Z53" s="11" t="inlineStr">
        <is>
          <t>O lastro é compatível com crédito corporativo tradicional, mas a base não documenta o porte do tomador.</t>
        </is>
      </c>
      <c r="AA53" s="11" t="inlineStr">
        <is>
          <t>MEIO DA B3, HIPOTESE EM QUE SERAO CONSIDERADOS DIAS UTEIS TODOS OS DIAS EXCETO FERIADO NACIONAL, SABADO OU DOMINGO OU DATA EM QUE, POR QUALQUER MOTIVO, NAO HAJA EXPEDIENTE NA B3. “DIREITOS CREDITORIOS”: SIGNIFICAM OS DIREITOS CREDITORIOS VINCULADOS AOS CCCBS ELEGIVEIS ADQUIRIDOS PELA CLASSE A QUE, POR SUA VEZ, ESTAO RELACIONADOS AS CCBS VINCULADAS, QUE REPRESENTAM CREDITOS DECORRENTES DE OPERACOES DE FINANCIAMENTO DE VEICULOS AUTOMOTORES A DEVEDORES, INCLUINDO AQUELES DECORRENTES DOS DEMAIS DIREITOS, DOCUSIGN ENVELOPE ID: 21CD02BF-005B-8612-80FE-9AE34DBAC3E9</t>
        </is>
      </c>
      <c r="AB53" s="11" t="inlineStr">
        <is>
          <t>https://fnet.bmfbovespa.com.br/fnet/publico/abrirGerenciadorDocumentosCVM?cnpjFundo=63662224000189</t>
        </is>
      </c>
      <c r="AC53" s="11" t="inlineStr">
        <is>
          <t>1240697</t>
        </is>
      </c>
      <c r="AD53" s="11" t="inlineStr">
        <is>
          <t>N/D</t>
        </is>
      </c>
      <c r="AE53" s="11" t="inlineStr">
        <is>
          <t>p. 20 — política/definição do lastro</t>
        </is>
      </c>
      <c r="AF53" s="11" t="inlineStr">
        <is>
          <t>N/D</t>
        </is>
      </c>
      <c r="AG53" s="11" t="inlineStr">
        <is>
          <t>N/D</t>
        </is>
      </c>
      <c r="AH53" s="11" t="inlineStr">
        <is>
          <t>taxonomia disponível — partes e lastro documental N/D</t>
        </is>
      </c>
      <c r="AN53" s="27" t="inlineStr">
        <is>
          <t>curadoria anterior — não revisada nesta rodada</t>
        </is>
      </c>
    </row>
    <row r="54" hidden="1" ht="48" customHeight="1">
      <c r="A54" s="13" t="n">
        <v>50</v>
      </c>
      <c r="B54" s="13" t="n">
        <v>50</v>
      </c>
      <c r="C54" s="10" t="inlineStr">
        <is>
          <t>Top 100 por PL ex-FIC</t>
        </is>
      </c>
      <c r="D54" s="16" t="n">
        <v>60528786000146</v>
      </c>
      <c r="E54" s="10" t="inlineStr">
        <is>
          <t>60.528.786/0001-46</t>
        </is>
      </c>
      <c r="F54" s="10" t="inlineStr">
        <is>
          <t>FUNDO DE INVESTIMENTO EM DIREITOS CREDITÓRIOS AGIBANK I RESPONSABILIDADE LIMITADA</t>
        </is>
      </c>
      <c r="G54" s="19" t="n">
        <v>2374382918.49</v>
      </c>
      <c r="H54" s="22" t="n">
        <v>0.002890788948728625</v>
      </c>
      <c r="I54" s="22" t="n">
        <v>0.1522959202306858</v>
      </c>
      <c r="J54" s="22" t="inlineStr">
        <is>
          <t>N/D</t>
        </is>
      </c>
      <c r="K54" s="22" t="inlineStr">
        <is>
          <t>N/D</t>
        </is>
      </c>
      <c r="L54" s="10" t="inlineStr">
        <is>
          <t>N/D</t>
        </is>
      </c>
      <c r="M54" s="10" t="inlineStr">
        <is>
          <t>Agibank</t>
        </is>
      </c>
      <c r="N54" s="10" t="n"/>
      <c r="O54" s="10" t="inlineStr">
        <is>
          <t>N/D</t>
        </is>
      </c>
      <c r="P54" s="10" t="inlineStr">
        <is>
          <t>N/D</t>
        </is>
      </c>
      <c r="Q54" s="10" t="inlineStr">
        <is>
          <t>Consignado/INSS</t>
        </is>
      </c>
      <c r="R54" s="10" t="inlineStr">
        <is>
          <t>Financeiro</t>
        </is>
      </c>
      <c r="S54" s="10" t="inlineStr">
        <is>
          <t>Crédito Consignado</t>
        </is>
      </c>
      <c r="T54" s="10" t="inlineStr">
        <is>
          <t>Financeiro</t>
        </is>
      </c>
      <c r="U54" s="10" t="inlineStr">
        <is>
          <t>Crédito Consignado</t>
        </is>
      </c>
      <c r="V54" s="10" t="inlineStr">
        <is>
          <t>Crédito PF</t>
        </is>
      </c>
      <c r="W54" s="10" t="inlineStr">
        <is>
          <t>Consignado/INSS</t>
        </is>
      </c>
      <c r="X54" s="10" t="b">
        <v>0</v>
      </c>
      <c r="Y54" s="10" t="inlineStr">
        <is>
          <t>Sem indício documental de Middle Market</t>
        </is>
      </c>
      <c r="Z54" s="10" t="inlineStr">
        <is>
          <t>A evidência disponível aponta outro tipo de risco ou não traz crédito corporativo.</t>
        </is>
      </c>
      <c r="AA54" s="10" t="inlineStr">
        <is>
          <t>E ORIGINACAO DE DIREITOS CREDITORIOS PODERA AFETAR NEGATIVAMENTE A CAPACIDADE DO FUNDO DE PAGAMENTO DA META DE RENTABILIDADE. O FUNDO ADQUIRIRA DIREITOS CREDITORIOS DECORRENTES DE EMPRESTIMOS CONSIGNADOS ORIGINADOS E/OU ADQUIRIDOS PELO ENDOSSANTE, CONFORME TERMOS E CONDICOES PREVISTOS NO CONTRATO DE ENDOSSO. DESSA FORMA, AS ATIVIDADES DO FUNDO ESTARAO ASSIM CONDICIONADAS A CONT INUIDADE DAS OPERACOES DO ENDOSSANTE E, NOTADAMENTE, A SUA CAPACIDADE DE ORIGINACAO E/OU AQUISICAO E TRANSFERENC IA DOS DIREITOS CREDITORIOS. O FUNDO NAO TEM QUALQUER CONTROLE OU INGERENCIA SOBRE A ORIGINACAO DOS DIREITOS CREDITORIOS, A QUAL E CONDUZIDA PELO ENDOSSANTE, DE ACORDO COM CRITERIOS E POLITICAS PROPRIAS DO ENDOSSANTE. O ENDOSSANT</t>
        </is>
      </c>
      <c r="AB54" s="10" t="inlineStr">
        <is>
          <t>https://fnet.bmfbovespa.com.br/fnet/publico/abrirGerenciadorDocumentosCVM?cnpjFundo=60528786000146</t>
        </is>
      </c>
      <c r="AC54" s="10" t="inlineStr">
        <is>
          <t>1239450</t>
        </is>
      </c>
      <c r="AD54" s="10" t="inlineStr">
        <is>
          <t>N/D</t>
        </is>
      </c>
      <c r="AE54" s="10" t="inlineStr">
        <is>
          <t>p. 76 — política/definição do lastro</t>
        </is>
      </c>
      <c r="AF54" s="10" t="inlineStr">
        <is>
          <t>N/D</t>
        </is>
      </c>
      <c r="AG54" s="10" t="inlineStr">
        <is>
          <t>N/D</t>
        </is>
      </c>
      <c r="AH54" s="10" t="inlineStr">
        <is>
          <t>taxonomia disponível — partes e lastro documental N/D</t>
        </is>
      </c>
      <c r="AN54" s="27" t="inlineStr">
        <is>
          <t>curadoria anterior — não revisada nesta rodada</t>
        </is>
      </c>
    </row>
    <row r="55" ht="48" customHeight="1">
      <c r="A55" s="14" t="n">
        <v>51</v>
      </c>
      <c r="B55" s="14" t="n">
        <v>51</v>
      </c>
      <c r="C55" s="11" t="inlineStr">
        <is>
          <t>Top 100 por PL ex-FIC</t>
        </is>
      </c>
      <c r="D55" s="17" t="n">
        <v>47228232000165</v>
      </c>
      <c r="E55" s="11" t="inlineStr">
        <is>
          <t>47.228.232/0001-65</t>
        </is>
      </c>
      <c r="F55" s="11" t="inlineStr">
        <is>
          <t>AGRO FLEX FUNDO DE INVESTIMENTO EM DIREITOS CREDITÓRIOS</t>
        </is>
      </c>
      <c r="G55" s="20" t="n">
        <v>2352850421.12</v>
      </c>
      <c r="H55" s="23" t="n">
        <v>0.002864573334999686</v>
      </c>
      <c r="I55" s="23" t="n">
        <v>0</v>
      </c>
      <c r="J55" s="23" t="inlineStr">
        <is>
          <t>N/D</t>
        </is>
      </c>
      <c r="K55" s="23" t="inlineStr">
        <is>
          <t>N/D</t>
        </is>
      </c>
      <c r="L55" s="11" t="inlineStr">
        <is>
          <t>N/D</t>
        </is>
      </c>
      <c r="M55" s="28" t="inlineStr">
        <is>
          <t>não localizado — Fornecedor de insumos não nomeado no regulamento</t>
        </is>
      </c>
      <c r="N55" s="11" t="n"/>
      <c r="O55" s="11" t="inlineStr">
        <is>
          <t>N/D</t>
        </is>
      </c>
      <c r="P55" s="11" t="inlineStr">
        <is>
          <t>N/D</t>
        </is>
      </c>
      <c r="Q55" s="11" t="inlineStr">
        <is>
          <t>Agro</t>
        </is>
      </c>
      <c r="R55" s="11" t="inlineStr">
        <is>
          <t>Agro, Indústria e Comércio</t>
        </is>
      </c>
      <c r="S55" s="11" t="inlineStr">
        <is>
          <t>Agronegócio</t>
        </is>
      </c>
      <c r="T55" s="11" t="inlineStr">
        <is>
          <t>Agro, Indústria e Comércio</t>
        </is>
      </c>
      <c r="U55" s="11" t="inlineStr">
        <is>
          <t>Agronegócio</t>
        </is>
      </c>
      <c r="V55" s="11" t="inlineStr">
        <is>
          <t>Agro</t>
        </is>
      </c>
      <c r="W55" s="11" t="inlineStr">
        <is>
          <t>Agro</t>
        </is>
      </c>
      <c r="X55" s="28" t="inlineStr">
        <is>
          <t>N/D</t>
        </is>
      </c>
      <c r="Y55" s="28" t="inlineStr">
        <is>
          <t>Indeterminado — regulamento sem métrica de porte</t>
        </is>
      </c>
      <c r="Z55" s="28" t="inlineStr">
        <is>
          <t>Devedores são revendas de insumos, cooperativas e agroindústrias — perfil compatível com middle market, mas o regulamento não traz faturamento nem faixa de porte.</t>
        </is>
      </c>
      <c r="AA55" s="11" t="inlineStr">
        <is>
          <t>O E REGIDO PELO DISPOSTO NO ANEXO DESCRITIVO I. “CLIENTES” SIGNIFICA, EM CONJUNTO (I) OS CLIENTES DA COOPERATIVA QUE SE QUALIFICAM COMO PRODUTORES RURAIS E REALIZAM OPERACOES PARA AQUISICAO DE INSUMOS (“ CLIENTES COOPERATIVA”); (II) OS CLIENTES DOS FORNECEDORES QUE SE QUALIFICAM COMO PRODUTORES RURAIS, COOPERATIVAS OU REVENDA E REALIZAM OPERACOES PARA AQUISICAO DE INSUMOS (“CLIENTES FORNECEDOR”); (III) OS CLIENTES DA REVENDA QUE SE QUALIFICAM COMO PRODUTORES RURAIS OU COOPERATIVAS E REALIZAM OPERACOES PARA AQUISICAO DE INSUMOS (“CLIENTES REVENDA”). “CMN” SIGNIFICA O CONSELHO MONETARIO NACIONAL. “CNPJ/MF” SIGNIFICA O CADASTRO NACIONAL DA PESSOA JURIDICA DO MINISTERIO DA FAZENDA. “CODIGO ANBIMA” SIGNIFICA O CODIGO ANBIMA DE ADMINISTRACAO E GESTAO DE RECURSOS DE TERCEIROS.</t>
        </is>
      </c>
      <c r="AB55" s="11" t="inlineStr">
        <is>
          <t>https://fnet.bmfbovespa.com.br/fnet/publico/abrirGerenciadorDocumentosCVM?cnpjFundo=47228232000165</t>
        </is>
      </c>
      <c r="AC55" s="11" t="inlineStr">
        <is>
          <t>987484</t>
        </is>
      </c>
      <c r="AD55" s="11" t="inlineStr">
        <is>
          <t>N/D</t>
        </is>
      </c>
      <c r="AE55" s="11" t="inlineStr">
        <is>
          <t>p. 7 — política/definição do lastro</t>
        </is>
      </c>
      <c r="AF55" s="11" t="inlineStr">
        <is>
          <t>N/D</t>
        </is>
      </c>
      <c r="AG55" s="11" t="inlineStr">
        <is>
          <t>N/D</t>
        </is>
      </c>
      <c r="AH55" s="11" t="inlineStr">
        <is>
          <t>taxonomia disponível — partes e lastro documental N/D</t>
        </is>
      </c>
      <c r="AI55" s="29" t="inlineStr">
        <is>
          <t>Def. "Devedores": as Cooperativas, os Fornecedores, as Revendas, os Clientes Cooperativa, os Clientes Fornecedor e os Clientes Revenda. Def. "Revenda": pessoas jurídicas distribuidoras de Insumos, incluindo cooperativas de produtores rurais e agroindústrias. Agente extraordinário: Agromatic Soluções de Tecnologia Digital Ltda. (CNPJ 37.178.510/0001-63).</t>
        </is>
      </c>
      <c r="AJ55" s="29" t="inlineStr">
        <is>
          <t>987484</t>
        </is>
      </c>
      <c r="AK55" s="29" t="inlineStr">
        <is>
          <t>Não</t>
        </is>
      </c>
      <c r="AL55" s="29" t="inlineStr">
        <is>
          <t>indeterminado</t>
        </is>
      </c>
      <c r="AM55" s="29" t="inlineStr">
        <is>
          <t>Devedores são revendas de insumos, cooperativas e agroindústrias — perfil compatível com middle market, mas o regulamento não traz faturamento nem faixa de porte.</t>
        </is>
      </c>
      <c r="AN55" s="29" t="inlineStr">
        <is>
          <t>leitura do regulamento nesta rodada</t>
        </is>
      </c>
    </row>
    <row r="56" ht="48" customHeight="1">
      <c r="A56" s="13" t="n">
        <v>52</v>
      </c>
      <c r="B56" s="13" t="n">
        <v>52</v>
      </c>
      <c r="C56" s="10" t="inlineStr">
        <is>
          <t>Top 100 por PL ex-FIC</t>
        </is>
      </c>
      <c r="D56" s="16" t="n">
        <v>42358004000196</v>
      </c>
      <c r="E56" s="10" t="inlineStr">
        <is>
          <t>42.358.004/0001-96</t>
        </is>
      </c>
      <c r="F56" s="10" t="inlineStr">
        <is>
          <t>ACONCÁGUA FUNDO DE INVESTIMENTO EM DIREITOS CREDITÓRIOS NÃO PADRONIZADOS RESPONSABILIDADE LIMITADA</t>
        </is>
      </c>
      <c r="G56" s="19" t="n">
        <v>2341582512.2</v>
      </c>
      <c r="H56" s="22" t="n">
        <v>0.002850854761501048</v>
      </c>
      <c r="I56" s="22" t="n">
        <v>1</v>
      </c>
      <c r="J56" s="22" t="inlineStr">
        <is>
          <t>N/D</t>
        </is>
      </c>
      <c r="K56" s="22" t="inlineStr">
        <is>
          <t>N/D</t>
        </is>
      </c>
      <c r="L56" s="10" t="inlineStr">
        <is>
          <t>N/D</t>
        </is>
      </c>
      <c r="M56" s="28" t="inlineStr">
        <is>
          <t>não localizado — multicedente genérico</t>
        </is>
      </c>
      <c r="N56" s="10" t="n"/>
      <c r="O56" s="10" t="inlineStr">
        <is>
          <t>N/D</t>
        </is>
      </c>
      <c r="P56" s="10" t="inlineStr">
        <is>
          <t>N/D</t>
        </is>
      </c>
      <c r="Q56" s="10" t="inlineStr">
        <is>
          <t>Multicarteira outros</t>
        </is>
      </c>
      <c r="R56" s="10" t="inlineStr">
        <is>
          <t>Outros</t>
        </is>
      </c>
      <c r="S56" s="10" t="inlineStr">
        <is>
          <t>Poder Público</t>
        </is>
      </c>
      <c r="T56" s="10" t="inlineStr">
        <is>
          <t>Outros</t>
        </is>
      </c>
      <c r="U56" s="10" t="inlineStr">
        <is>
          <t>Poder Público</t>
        </is>
      </c>
      <c r="V56" s="10" t="inlineStr">
        <is>
          <t>Multissetorial / Outros</t>
        </is>
      </c>
      <c r="W56" s="10" t="inlineStr">
        <is>
          <t>Multicarteira outros</t>
        </is>
      </c>
      <c r="X56" s="28" t="inlineStr">
        <is>
          <t>N/D</t>
        </is>
      </c>
      <c r="Y56" s="28" t="inlineStr">
        <is>
          <t>Indeterminado — regulamento sem métrica de porte</t>
        </is>
      </c>
      <c r="Z56" s="28" t="inlineStr">
        <is>
          <t>Sem definição nominal de cedente.</t>
        </is>
      </c>
      <c r="AA56" s="10" t="inlineStr">
        <is>
          <t>E/OU DA GESTORA, OU DE QUALQUER MECANISMO DE SEGURO OU, AINDA NO FUNDO GARANTIDOR DE CREDITOS - FGC POLITICA DE INVESTIMENTO OS DIREITOS CREDITORIOS QUE INTEGRARAO A CARTEIRA D A CLASSE CONSISTEM NAQUELES ORIGINADOS DE ACOES JUDICIAIS MOVIDAS POR COMPANHIA USINA CAMBAHYBA, COMPANHIA USINA DO OUTEIRO, USINA SAO JOAO B LYZANDRO S.A E COMPANHIA ACUCAREIRA PARAISO – EM RECUPERACAO JUDICIAL CONTRA A UNIAO FEDERAL DO BRASIL, NA POSICAO DE SUCESSORA DO ANTIGO INSTITUTO DO ACUCAR E DO ALCOOL, POR MEIO DAS QUAIS CADA CEDENTE PLEITEIA INDENIZACAO PELOS PREJUIZOS PATRIMONIAIS DECORRENTES DA FIXACAO DE PRECOS DOS PRODUTOS DO SETOR SUCROALCOOLEIRO ABAIXO DOS RESPECTIVOS CUSTOS MEDIOS DE PRODUCAO, EM DESACORDO COM A LEI FEDERAL NO 4.870/1965 (“ACOES JUDICIAIS”). OS DIREITOS CREDITORIOS TEM ORIGEM NAS RESPECTIVAS ACOES JUDI</t>
        </is>
      </c>
      <c r="AB56" s="10" t="inlineStr">
        <is>
          <t>https://fnet.bmfbovespa.com.br/fnet/publico/abrirGerenciadorDocumentosCVM?cnpjFundo=42358004000196</t>
        </is>
      </c>
      <c r="AC56" s="10" t="inlineStr">
        <is>
          <t>777021</t>
        </is>
      </c>
      <c r="AD56" s="10" t="inlineStr">
        <is>
          <t>N/D</t>
        </is>
      </c>
      <c r="AE56" s="10" t="inlineStr">
        <is>
          <t>p. 37</t>
        </is>
      </c>
      <c r="AF56" s="10" t="inlineStr">
        <is>
          <t>N/D</t>
        </is>
      </c>
      <c r="AG56" s="10" t="inlineStr">
        <is>
          <t>N/D</t>
        </is>
      </c>
      <c r="AH56" s="10" t="inlineStr">
        <is>
          <t>taxonomia disponível — partes e lastro documental N/D</t>
        </is>
      </c>
      <c r="AI56" s="29" t="inlineStr">
        <is>
          <t>O regulamento trata dos Cedentes apenas em cláusula de fator de risco (fraude a credores), sem definição nominal.</t>
        </is>
      </c>
      <c r="AJ56" s="29" t="inlineStr">
        <is>
          <t>777021</t>
        </is>
      </c>
      <c r="AK56" s="29" t="inlineStr">
        <is>
          <t>Não</t>
        </is>
      </c>
      <c r="AL56" s="29" t="inlineStr">
        <is>
          <t>indeterminado</t>
        </is>
      </c>
      <c r="AM56" s="29" t="inlineStr">
        <is>
          <t>Sem definição nominal de cedente.</t>
        </is>
      </c>
      <c r="AN56" s="29" t="inlineStr">
        <is>
          <t>leitura do regulamento nesta rodada</t>
        </is>
      </c>
    </row>
    <row r="57" ht="48" customHeight="1">
      <c r="A57" s="14" t="n">
        <v>53</v>
      </c>
      <c r="B57" s="14" t="n">
        <v>53</v>
      </c>
      <c r="C57" s="11" t="inlineStr">
        <is>
          <t>Top 100 por PL ex-FIC</t>
        </is>
      </c>
      <c r="D57" s="17" t="n">
        <v>55720253000121</v>
      </c>
      <c r="E57" s="11" t="inlineStr">
        <is>
          <t>55.720.253/0001-21</t>
        </is>
      </c>
      <c r="F57" s="11" t="inlineStr">
        <is>
          <t>ITAL FUNDO DE INVESTIMENTO EM DIREITOS CREDITÓRIOS NÃO PADRONIZADOS RESPONSABILIDADE ILIMITADA</t>
        </is>
      </c>
      <c r="G57" s="20" t="n">
        <v>2302518318.66</v>
      </c>
      <c r="H57" s="23" t="n">
        <v>0.002803294472005601</v>
      </c>
      <c r="I57" s="23" t="n">
        <v>1</v>
      </c>
      <c r="J57" s="23" t="inlineStr">
        <is>
          <t>N/D</t>
        </is>
      </c>
      <c r="K57" s="23" t="inlineStr">
        <is>
          <t>N/D</t>
        </is>
      </c>
      <c r="L57" s="11" t="inlineStr">
        <is>
          <t>N/D</t>
        </is>
      </c>
      <c r="M57" s="28" t="inlineStr">
        <is>
          <t>não localizado — multicedente PF/PJ/fundos</t>
        </is>
      </c>
      <c r="N57" s="11" t="n"/>
      <c r="O57" s="11" t="inlineStr">
        <is>
          <t>N/D</t>
        </is>
      </c>
      <c r="P57" s="11" t="inlineStr">
        <is>
          <t>N/D</t>
        </is>
      </c>
      <c r="Q57" s="11" t="inlineStr">
        <is>
          <t>Precatórios/direitos judiciais</t>
        </is>
      </c>
      <c r="R57" s="11" t="inlineStr">
        <is>
          <t>Outros</t>
        </is>
      </c>
      <c r="S57" s="11" t="inlineStr">
        <is>
          <t>Multicarteira Outros</t>
        </is>
      </c>
      <c r="T57" s="11" t="inlineStr">
        <is>
          <t>Outros</t>
        </is>
      </c>
      <c r="U57" s="11" t="inlineStr">
        <is>
          <t>Poder Público</t>
        </is>
      </c>
      <c r="V57" s="11" t="inlineStr">
        <is>
          <t>Judicial/Precatórios/NPL</t>
        </is>
      </c>
      <c r="W57" s="11" t="inlineStr">
        <is>
          <t>Precatórios/direitos judiciais</t>
        </is>
      </c>
      <c r="X57" s="28" t="inlineStr">
        <is>
          <t>N/D</t>
        </is>
      </c>
      <c r="Y57" s="28" t="inlineStr">
        <is>
          <t>Indeterminado — regulamento sem métrica de porte</t>
        </is>
      </c>
      <c r="Z57" s="28" t="inlineStr">
        <is>
          <t>Cedente genérico.</t>
        </is>
      </c>
      <c r="AA57" s="11" t="inlineStr">
        <is>
          <t>regulamento 1198083 p. 27 [precatórios e requisitórios contra entes públicos]: ACAO DO RESPECTIVO CEDENTE. 5.2.2. OBSERVADO O DISPOSTO NO PRESENTE ANEXO, A CLASSE PODERA ADQUIRIR DO(S) CEDENTE(S) DIREITOS CREDITORIOS, TOTAL OU PARCIALMENTE: I –ORIGINARIOS DE PRECATORIOS OU AINDA CREDITOS DECORRENTES DE RECEITAS OU DIVIDAS PUBLICAS ORIGINARIAS OU DERIVADAS DA UNIAO, ESTADOS, DISTRITO FEDERAL E MUNICIPIOS, AUTARQUIAS E FUNDACOES. || CEDENTE/ORIGINADOR: regulamento 1198083 p. 25: CEDENTES: PESSOA JURIDICA E/OU FISICA, IDENTIFICADA PELO SEU NUMERO DE INSCRICAO NO CNPJ/MF OU CPF/MF OU FUNDOS DE</t>
        </is>
      </c>
      <c r="AB57" s="11" t="inlineStr">
        <is>
          <t>https://fnet.bmfbovespa.com.br/fnet/publico/abrirGerenciadorDocumentosCVM?cnpjFundo=55720253000121</t>
        </is>
      </c>
      <c r="AC57" s="11" t="inlineStr">
        <is>
          <t>1198083</t>
        </is>
      </c>
      <c r="AD57" s="11" t="inlineStr">
        <is>
          <t>N/D</t>
        </is>
      </c>
      <c r="AE57" s="11" t="inlineStr">
        <is>
          <t>regulamento 1198083 p. 27</t>
        </is>
      </c>
      <c r="AF57" s="11" t="inlineStr">
        <is>
          <t>N/D</t>
        </is>
      </c>
      <c r="AG57" s="11" t="inlineStr">
        <is>
          <t>N/D</t>
        </is>
      </c>
      <c r="AH57" s="11" t="inlineStr">
        <is>
          <t>taxonomia disponível — partes e lastro documental N/D</t>
        </is>
      </c>
      <c r="AI57" s="29" t="inlineStr">
        <is>
          <t>Def. "Cedentes": pessoa jurídica e/ou física, identificada pelo CNPJ/CPF, ou fundos de investimento, que venham a ceder Direitos Creditórios para a Classe.</t>
        </is>
      </c>
      <c r="AJ57" s="29" t="inlineStr">
        <is>
          <t>1198083</t>
        </is>
      </c>
      <c r="AK57" s="29" t="inlineStr">
        <is>
          <t>Não</t>
        </is>
      </c>
      <c r="AL57" s="29" t="inlineStr">
        <is>
          <t>indeterminado</t>
        </is>
      </c>
      <c r="AM57" s="29" t="inlineStr">
        <is>
          <t>Cedente genérico.</t>
        </is>
      </c>
      <c r="AN57" s="29" t="inlineStr">
        <is>
          <t>leitura do regulamento nesta rodada</t>
        </is>
      </c>
    </row>
    <row r="58" hidden="1" ht="48" customHeight="1">
      <c r="A58" s="13" t="n">
        <v>54</v>
      </c>
      <c r="B58" s="13" t="n">
        <v>54</v>
      </c>
      <c r="C58" s="10" t="inlineStr">
        <is>
          <t>Top 100 por PL ex-FIC</t>
        </is>
      </c>
      <c r="D58" s="16" t="n">
        <v>59929098000109</v>
      </c>
      <c r="E58" s="10" t="inlineStr">
        <is>
          <t>59.929.098/0001-09</t>
        </is>
      </c>
      <c r="F58" s="10" t="inlineStr">
        <is>
          <t>FUNDO DE INVESTIMENTO EM DIREITOS CREDITÓRIOS CREDITAS AUTO XII</t>
        </is>
      </c>
      <c r="G58" s="19" t="n">
        <v>2207591119.67</v>
      </c>
      <c r="H58" s="22" t="n">
        <v>0.002687721496965598</v>
      </c>
      <c r="I58" s="22" t="n">
        <v>0.2480810505995611</v>
      </c>
      <c r="J58" s="22" t="inlineStr">
        <is>
          <t>N/D</t>
        </is>
      </c>
      <c r="K58" s="22" t="inlineStr">
        <is>
          <t>N/D</t>
        </is>
      </c>
      <c r="L58" s="10" t="inlineStr">
        <is>
          <t>N/D</t>
        </is>
      </c>
      <c r="M58" s="10" t="inlineStr">
        <is>
          <t>Creditas</t>
        </is>
      </c>
      <c r="N58" s="10" t="n"/>
      <c r="O58" s="10" t="inlineStr">
        <is>
          <t>N/D</t>
        </is>
      </c>
      <c r="P58" s="10" t="inlineStr">
        <is>
          <t>N/D</t>
        </is>
      </c>
      <c r="Q58" s="10" t="inlineStr">
        <is>
          <t>Auto/Veículos</t>
        </is>
      </c>
      <c r="R58" s="10" t="inlineStr">
        <is>
          <t>Outros</t>
        </is>
      </c>
      <c r="S58" s="10" t="inlineStr">
        <is>
          <t>Multicarteira Outros</t>
        </is>
      </c>
      <c r="T58" s="10" t="inlineStr">
        <is>
          <t>Financeiro</t>
        </is>
      </c>
      <c r="U58" s="10" t="inlineStr">
        <is>
          <t>Financiamento de Veículos</t>
        </is>
      </c>
      <c r="V58" s="10" t="inlineStr">
        <is>
          <t>Crédito PF</t>
        </is>
      </c>
      <c r="W58" s="10" t="inlineStr">
        <is>
          <t>Auto/Veículos</t>
        </is>
      </c>
      <c r="X58" s="10" t="b">
        <v>0</v>
      </c>
      <c r="Y58" s="10" t="inlineStr">
        <is>
          <t>Sem indício documental de Middle Market</t>
        </is>
      </c>
      <c r="Z58" s="10" t="inlineStr">
        <is>
          <t>A evidência disponível aponta outro tipo de risco ou não traz crédito corporativo.</t>
        </is>
      </c>
      <c r="AA58" s="10" t="inlineStr">
        <is>
          <t>regulamento 1251746 p. 20 [classificação ANBIMA declarada no regulamento]: OS DE TERCEIROS, DA ANBIMA, A CLASSE CLASSIFICA -SE COMO TIPO “FINANCEIRO”, COM FOCO DE ATUACAO “FINANCIAMENTO DE VEICULOS”. CAPITULO II - DO OBJETIVO DA CLASSE E DA POLITICA DE INVESTIMENTO || regulamento 1251746 p. 20 [financiamento de veículos]: ANEXO COMPLEMENTAR V DAS REGRAS E PROCEDIMENTOS DE ADMINISTRACAO E GESTAO DE RECURSOS DE TERCEIROS, DA ANBIMA, A CLASSE CLASSIFICA -SE COMO TIPO “FINANCEIRO”, COM FOCO DE ATUACAO “FINANCIAMENTO DE VEICULOS”. CAPITULO II - DO OBJETIVO DA CLASSE E DA POLITICA DE INVESTIMENTO | regulamento 1251746 p. 68 [créditos inadimplidos / NPL]: NDO ESTE, INCLUSIVE, INCORRER EM CUSTOS COM O FIM DE RECUPERAR OS SEUS CREDITOS. O NAO -PAGAMENTO DAS OPERA COES INTEGRANTES DA CARTEIRA DA CLASSE E OS CUSTOS ADMINISTRATIVOS E DE RECUPERACAO DE CREDITOS DA CLASSE PODERAO FAZER COM QUE A CLASSE SOFRA UMA PERDA PATRIMONIAL SIGNIFICATIVA, O QUE AFETARIA NEGATIVAMENTE A RENTABILIDADE DAS COTAS. 17.1.10. FATORES MACROECONOMICOS . COMO A CLASSE APLICARA SEUS RECURSOS PREPONDERANTEMENTE EM DIREITOS CREDITORIOS, O PAGAMENTO DAS AMORTIZACOES E RENTABILIDADE AOS COTISTAS DEPEN | regulamento 1251746 p. 103 [banco emissor / cartão de crédito]: DIMENTO ORDINARIO DE PAGAMENTO DOS DIREITOS OS DIREITOS CREDITORIOS SAO PAGOS NORMALMENTE POR MEIO DE BOLETOS BANCARIOS, ENVIADOS AOS DEVEDORES, EM FAVOR DA CLASSE, OU POR MEIO DE CARTAO DE CREDITO E/OU CARTAO DE DEBITO, OU POR MEIO DE PIX, TRANSFERENCIA ELETRONICA DISPONIVEL – TED OU QUALQUER OUTRO MEIO DE TRANSFERENCIA OU PAGAMENTO DIRETAMENTE PARA UMA CONTA DE COBRANCA PARA A CONTA DA CLASSE, OU PARA UMA CONTA VINCULADA MANTIDA E GERENCIADA POR AGENTE DE RECEBIMENTO COM A FINALIDADE ESPECIFICA DE RECEBER PAGA</t>
        </is>
      </c>
      <c r="AB58" s="10" t="inlineStr">
        <is>
          <t>https://fnet.bmfbovespa.com.br/fnet/publico/abrirGerenciadorDocumentosCVM?cnpjFundo=59929098000109</t>
        </is>
      </c>
      <c r="AC58" s="10" t="inlineStr">
        <is>
          <t>1251746</t>
        </is>
      </c>
      <c r="AD58" s="10" t="inlineStr">
        <is>
          <t>N/D</t>
        </is>
      </c>
      <c r="AE58" s="10" t="inlineStr">
        <is>
          <t>regulamento 1251746 p. 20; regulamento 1251746 p. 20, regulamento 1251746 p. 68, regulamento 1251746 p. 103</t>
        </is>
      </c>
      <c r="AF58" s="10" t="inlineStr">
        <is>
          <t>N/D</t>
        </is>
      </c>
      <c r="AG58" s="10" t="inlineStr">
        <is>
          <t>N/D</t>
        </is>
      </c>
      <c r="AH58" s="10" t="inlineStr">
        <is>
          <t>taxonomia disponível — partes e lastro documental N/D</t>
        </is>
      </c>
      <c r="AN58" s="27" t="inlineStr">
        <is>
          <t>curadoria anterior — não revisada nesta rodada</t>
        </is>
      </c>
    </row>
    <row r="59" ht="48" customHeight="1">
      <c r="A59" s="14" t="n">
        <v>55</v>
      </c>
      <c r="B59" s="14" t="n">
        <v>55</v>
      </c>
      <c r="C59" s="11" t="inlineStr">
        <is>
          <t>Top 100 por PL ex-FIC</t>
        </is>
      </c>
      <c r="D59" s="17" t="n">
        <v>40801446000130</v>
      </c>
      <c r="E59" s="11" t="inlineStr">
        <is>
          <t>40.801.446/0001-30</t>
        </is>
      </c>
      <c r="F59" s="11" t="inlineStr">
        <is>
          <t>EB VESTA FUNDO DE INVESTIMENTO EM DIREITOS CREDITÓRIOS RESPONSABILIDADE LIMITADA</t>
        </is>
      </c>
      <c r="G59" s="20" t="n">
        <v>2202074010.33</v>
      </c>
      <c r="H59" s="23" t="n">
        <v>0.002681004468054717</v>
      </c>
      <c r="I59" s="23" t="n">
        <v>0.5079249203375443</v>
      </c>
      <c r="J59" s="23" t="inlineStr">
        <is>
          <t>N/D</t>
        </is>
      </c>
      <c r="K59" s="23" t="inlineStr">
        <is>
          <t>N/D</t>
        </is>
      </c>
      <c r="L59" s="11" t="inlineStr">
        <is>
          <t>N/D</t>
        </is>
      </c>
      <c r="M59" s="28" t="inlineStr">
        <is>
          <t>não localizado — multicedente PF/PJ</t>
        </is>
      </c>
      <c r="N59" s="11" t="n"/>
      <c r="O59" s="11" t="inlineStr">
        <is>
          <t>N/D</t>
        </is>
      </c>
      <c r="P59" s="11" t="inlineStr">
        <is>
          <t>N/D</t>
        </is>
      </c>
      <c r="Q59" s="11" t="inlineStr">
        <is>
          <t>Recebíveis comerciais/multissetorial</t>
        </is>
      </c>
      <c r="R59" s="11" t="inlineStr">
        <is>
          <t>Outros</t>
        </is>
      </c>
      <c r="S59" s="11" t="inlineStr">
        <is>
          <t>Multicarteira Outros</t>
        </is>
      </c>
      <c r="T59" s="11" t="inlineStr">
        <is>
          <t>Agro, Indústria e Comércio</t>
        </is>
      </c>
      <c r="U59" s="11" t="inlineStr">
        <is>
          <t>Recebíveis Comerciais</t>
        </is>
      </c>
      <c r="V59" s="11" t="inlineStr">
        <is>
          <t>Crédito PJ</t>
        </is>
      </c>
      <c r="W59" s="11" t="inlineStr">
        <is>
          <t>Recebíveis comerciais/multissetorial</t>
        </is>
      </c>
      <c r="X59" s="28" t="inlineStr">
        <is>
          <t>N/D</t>
        </is>
      </c>
      <c r="Y59" s="28" t="inlineStr">
        <is>
          <t>Indeterminado — regulamento sem métrica de porte</t>
        </is>
      </c>
      <c r="Z59" s="28" t="inlineStr">
        <is>
          <t>Cedente e sacado genéricos.</t>
        </is>
      </c>
      <c r="AA59" s="11" t="inlineStr">
        <is>
          <t>O documento está em nome de CTG FIDC para o mesmo CNPJ e admite direitos e títulos de crédito, valores mobiliários de crédito, certificados de recebíveis ou securitização e cotas de FIDC; a descrição específica remete a Anexo Descritivo ausente.</t>
        </is>
      </c>
      <c r="AB59" s="11" t="inlineStr">
        <is>
          <t>https://fnet.bmfbovespa.com.br/fnet/publico/abrirGerenciadorDocumentosCVM?cnpjFundo=40801446000130</t>
        </is>
      </c>
      <c r="AC59" s="11" t="inlineStr">
        <is>
          <t>1220023</t>
        </is>
      </c>
      <c r="AD59" s="11" t="inlineStr">
        <is>
          <t>N/D</t>
        </is>
      </c>
      <c r="AE59" s="11" t="inlineStr">
        <is>
          <t>regulamento 1220023 p. 43</t>
        </is>
      </c>
      <c r="AF59" s="11" t="inlineStr">
        <is>
          <t>N/D</t>
        </is>
      </c>
      <c r="AG59" s="11" t="inlineStr">
        <is>
          <t>N/D</t>
        </is>
      </c>
      <c r="AH59" s="11" t="inlineStr">
        <is>
          <t>taxonomia disponível — partes e lastro documental N/D</t>
        </is>
      </c>
      <c r="AI59" s="29" t="inlineStr">
        <is>
          <t>Def. "Cedentes": pessoas físicas ou jurídicas que transferem Direitos Creditórios mediante Instrumento de Transferência. Def. "Devedores": pessoas físicas ou jurídicas, denominadas sacados.</t>
        </is>
      </c>
      <c r="AJ59" s="29" t="inlineStr">
        <is>
          <t>1220023</t>
        </is>
      </c>
      <c r="AK59" s="29" t="inlineStr">
        <is>
          <t>Não</t>
        </is>
      </c>
      <c r="AL59" s="29" t="inlineStr">
        <is>
          <t>indeterminado</t>
        </is>
      </c>
      <c r="AM59" s="29" t="inlineStr">
        <is>
          <t>Cedente e sacado genéricos.</t>
        </is>
      </c>
      <c r="AN59" s="29" t="inlineStr">
        <is>
          <t>leitura do regulamento nesta rodada</t>
        </is>
      </c>
    </row>
    <row r="60" hidden="1" ht="48" customHeight="1">
      <c r="A60" s="13" t="n">
        <v>56</v>
      </c>
      <c r="B60" s="13" t="n">
        <v>56</v>
      </c>
      <c r="C60" s="10" t="inlineStr">
        <is>
          <t>Top 100 por PL ex-FIC</t>
        </is>
      </c>
      <c r="D60" s="16" t="n">
        <v>52651831000127</v>
      </c>
      <c r="E60" s="10" t="inlineStr">
        <is>
          <t>52.651.831/0001-27</t>
        </is>
      </c>
      <c r="F60" s="10" t="inlineStr">
        <is>
          <t>HYUNDAI FUNDO DE INVESTIMENTO EM DIREITOS CREDITÓRIOS</t>
        </is>
      </c>
      <c r="G60" s="19" t="n">
        <v>2187326043.42</v>
      </c>
      <c r="H60" s="22" t="n">
        <v>0.002663048956571019</v>
      </c>
      <c r="I60" s="22" t="n">
        <v>0</v>
      </c>
      <c r="J60" s="22" t="inlineStr">
        <is>
          <t>N/D</t>
        </is>
      </c>
      <c r="K60" s="22" t="inlineStr">
        <is>
          <t>N/D</t>
        </is>
      </c>
      <c r="L60" s="10" t="inlineStr">
        <is>
          <t>N/D</t>
        </is>
      </c>
      <c r="M60" s="10" t="inlineStr">
        <is>
          <t>Hyundai</t>
        </is>
      </c>
      <c r="N60" s="10" t="n"/>
      <c r="O60" s="10" t="inlineStr">
        <is>
          <t>N/D</t>
        </is>
      </c>
      <c r="P60" s="10" t="inlineStr">
        <is>
          <t>N/D</t>
        </is>
      </c>
      <c r="Q60" s="10" t="inlineStr">
        <is>
          <t>Recebíveis comerciais/multissetorial</t>
        </is>
      </c>
      <c r="R60" s="10" t="inlineStr">
        <is>
          <t>Agro, Indústria e Comércio</t>
        </is>
      </c>
      <c r="S60" s="10" t="inlineStr">
        <is>
          <t>Recebíveis Comerciais</t>
        </is>
      </c>
      <c r="T60" s="10" t="inlineStr">
        <is>
          <t>Agro, Indústria e Comércio</t>
        </is>
      </c>
      <c r="U60" s="10" t="inlineStr">
        <is>
          <t>Crédito Corporativo</t>
        </is>
      </c>
      <c r="V60" s="10" t="inlineStr">
        <is>
          <t>Crédito PJ</t>
        </is>
      </c>
      <c r="W60" s="10" t="inlineStr">
        <is>
          <t>Recebíveis comerciais/multissetorial</t>
        </is>
      </c>
      <c r="X60" s="10" t="inlineStr">
        <is>
          <t>N/D</t>
        </is>
      </c>
      <c r="Y60" s="10" t="inlineStr">
        <is>
          <t>Indício de crédito corporativo; porte N/D</t>
        </is>
      </c>
      <c r="Z60" s="10" t="inlineStr">
        <is>
          <t>O lastro é compatível com crédito corporativo tradicional, mas a base não documenta o porte do tomador.</t>
        </is>
      </c>
      <c r="AA60" s="10" t="inlineStr">
        <is>
          <t>E ASSUNTO, CEDER OU ORIGINAR, DIRETA OU INDIRETAMENTE, DIREITOS CREDITORIOS AO FUNDO E A CLASSE. 4. POLITICA DE INVESTIMENTO 4.1. OS INVESTIMENTOS DA CLASSE CONSISTIRAO EM DIREITOS CREDITORIOS E INVESTIMENTOS PERMITIDOS (“POLITICA DE INVESTIMENTO”), SENDO QUE, NOS TERMOS DO ARTIGO 45, PARAGRAFO 7O, INCISO II, DO ANEXO NORMATIVO II DA RESOLUCAO CVM 175, A CLASSE ESTA DISPENSADA DE LIMITAR-SE AOS 20% (VINTE POR CENTO) DE APLICACAO DE RECURSOS EM DIREITOS CREDITORIOS E OUTROS ATIVOS DE RESPONSABILIDADE OU COOBRIGACAO DE UM MESMO DEVEDOR COM RELACAO AO PATRIMONIO LIQUIDO DA CLASSE. 4.2. A CLASSE E VOLTADA, PRIMORDIALMENTE, A APLICACAO EM DIREITOS CREDITORIOS, ORIUNDOS DA VENDA DE VEICULOS A PRAZO DA CEDENTE EM FAVOR DA RESPECTIVA CONCESSIONARIA. 4.3. DE ACORDO COM AS REGRAS E PROCEDIMENTOS ANBIMA PARA CLASSIFICAC</t>
        </is>
      </c>
      <c r="AB60" s="10" t="inlineStr">
        <is>
          <t>FundosNet/B3 — regulamento 690896</t>
        </is>
      </c>
      <c r="AC60" s="10" t="inlineStr">
        <is>
          <t>690896</t>
        </is>
      </c>
      <c r="AD60" s="10" t="inlineStr">
        <is>
          <t>N/D</t>
        </is>
      </c>
      <c r="AE60" s="10" t="inlineStr">
        <is>
          <t>p. 47 — venda de veículos a prazo à concessionária</t>
        </is>
      </c>
      <c r="AF60" s="10" t="inlineStr">
        <is>
          <t>N/D</t>
        </is>
      </c>
      <c r="AG60" s="10" t="inlineStr">
        <is>
          <t>N/D</t>
        </is>
      </c>
      <c r="AH60" s="10" t="inlineStr">
        <is>
          <t>taxonomia disponível — partes e lastro documental N/D</t>
        </is>
      </c>
      <c r="AN60" s="27" t="inlineStr">
        <is>
          <t>curadoria anterior — não revisada nesta rodada</t>
        </is>
      </c>
    </row>
    <row r="61" ht="48" customHeight="1">
      <c r="A61" s="14" t="n">
        <v>57</v>
      </c>
      <c r="B61" s="14" t="n">
        <v>57</v>
      </c>
      <c r="C61" s="11" t="inlineStr">
        <is>
          <t>Top 100 por PL ex-FIC</t>
        </is>
      </c>
      <c r="D61" s="17" t="n">
        <v>44229197000100</v>
      </c>
      <c r="E61" s="11" t="inlineStr">
        <is>
          <t>44.229.197/0001-00</t>
        </is>
      </c>
      <c r="F61" s="11" t="inlineStr">
        <is>
          <t>EUV SP1 FUNDO DE INVESTIMENTO EM DIREITOS CREDITORIOS</t>
        </is>
      </c>
      <c r="G61" s="20" t="n">
        <v>2178946912.58</v>
      </c>
      <c r="H61" s="23" t="n">
        <v>0.002652847443308943</v>
      </c>
      <c r="I61" s="23" t="n">
        <v>0</v>
      </c>
      <c r="J61" s="23" t="inlineStr">
        <is>
          <t>N/D</t>
        </is>
      </c>
      <c r="K61" s="23" t="inlineStr">
        <is>
          <t>N/D</t>
        </is>
      </c>
      <c r="L61" s="11" t="inlineStr">
        <is>
          <t>N/D</t>
        </is>
      </c>
      <c r="M61" s="28" t="inlineStr">
        <is>
          <t>não localizado — multicedente genérico</t>
        </is>
      </c>
      <c r="N61" s="11" t="n"/>
      <c r="O61" s="11" t="inlineStr">
        <is>
          <t>N/D</t>
        </is>
      </c>
      <c r="P61" s="11" t="inlineStr">
        <is>
          <t>N/D</t>
        </is>
      </c>
      <c r="Q61" s="11" t="inlineStr">
        <is>
          <t>Recebíveis comerciais/multissetorial</t>
        </is>
      </c>
      <c r="R61" s="11" t="inlineStr">
        <is>
          <t>Fomento Mercantil</t>
        </is>
      </c>
      <c r="S61" s="11" t="inlineStr">
        <is>
          <t>Fomento Mercantil</t>
        </is>
      </c>
      <c r="T61" s="11" t="inlineStr">
        <is>
          <t>Fomento Mercantil</t>
        </is>
      </c>
      <c r="U61" s="11" t="inlineStr">
        <is>
          <t>Fomento Mercantil</t>
        </is>
      </c>
      <c r="V61" s="11" t="inlineStr">
        <is>
          <t>Crédito PJ</t>
        </is>
      </c>
      <c r="W61" s="11" t="inlineStr">
        <is>
          <t>Recebíveis comerciais/multissetorial</t>
        </is>
      </c>
      <c r="X61" s="28" t="inlineStr">
        <is>
          <t>N/D</t>
        </is>
      </c>
      <c r="Y61" s="28" t="inlineStr">
        <is>
          <t>Indeterminado — regulamento sem métrica de porte</t>
        </is>
      </c>
      <c r="Z61" s="28" t="inlineStr">
        <is>
          <t>Cedente genérico.</t>
        </is>
      </c>
      <c r="AA61" s="11" t="inlineStr">
        <is>
          <t>ECURSOS NA AQUISICAO DE DIREITOS CREDITORIOS ELEGIVEIS E/OU ATIVOS FINANCEIROS , OBSERVADOS OS LIMITES E AS RESTRICOES PREVISTAS NA LEGISLACAO VIGENTE E NESTE REGULAMENTO. 4.3. OS DIREITOS CREDITORIOS CONSISTIRAO EM DIREITOS CREDITORIOS PERFORMADOS E/OU NAO PERFORMADOS, ORIUNDOS DE OPERACOES REALIZADAS PELOS CEDENTES NOS SEGMENTOS FINANCEIRO, INDUSTRIAL, COMERCIAL, IMOBILIARIO E/OU DE PRESTACAO DE SERVICOS DE ACORDO COM OS CRITERIOS DE</t>
        </is>
      </c>
      <c r="AB61" s="11" t="inlineStr">
        <is>
          <t>https://fnet.bmfbovespa.com.br/fnet/publico/abrirGerenciadorDocumentosCVM?cnpjFundo=44229197000100</t>
        </is>
      </c>
      <c r="AC61" s="11" t="inlineStr">
        <is>
          <t>800235</t>
        </is>
      </c>
      <c r="AD61" s="11" t="inlineStr">
        <is>
          <t>N/D</t>
        </is>
      </c>
      <c r="AE61" s="11" t="inlineStr">
        <is>
          <t>p. 22 — política/definição do lastro</t>
        </is>
      </c>
      <c r="AF61" s="11" t="inlineStr">
        <is>
          <t>N/D</t>
        </is>
      </c>
      <c r="AG61" s="11" t="inlineStr">
        <is>
          <t>N/D</t>
        </is>
      </c>
      <c r="AH61" s="11" t="inlineStr">
        <is>
          <t>taxonomia disponível — partes e lastro documental N/D</t>
        </is>
      </c>
      <c r="AI61" s="29" t="inlineStr">
        <is>
          <t>Def. "Cedentes": é aquele que realiza cessão de direitos creditórios para o FUNDO. Def. "Devedores": os devedores dos Direitos de Crédito Elegíveis.</t>
        </is>
      </c>
      <c r="AJ61" s="29" t="inlineStr">
        <is>
          <t>800235</t>
        </is>
      </c>
      <c r="AK61" s="29" t="inlineStr">
        <is>
          <t>Não</t>
        </is>
      </c>
      <c r="AL61" s="29" t="inlineStr">
        <is>
          <t>indeterminado</t>
        </is>
      </c>
      <c r="AM61" s="29" t="inlineStr">
        <is>
          <t>Cedente genérico.</t>
        </is>
      </c>
      <c r="AN61" s="29" t="inlineStr">
        <is>
          <t>leitura do regulamento nesta rodada</t>
        </is>
      </c>
    </row>
    <row r="62" ht="48" customHeight="1">
      <c r="A62" s="13" t="n">
        <v>58</v>
      </c>
      <c r="B62" s="13" t="n">
        <v>58</v>
      </c>
      <c r="C62" s="10" t="inlineStr">
        <is>
          <t>Top 100 por PL ex-FIC</t>
        </is>
      </c>
      <c r="D62" s="16" t="n">
        <v>57719370000109</v>
      </c>
      <c r="E62" s="10" t="inlineStr">
        <is>
          <t>57.719.370/0001-09</t>
        </is>
      </c>
      <c r="F62" s="10" t="inlineStr">
        <is>
          <t>RSG FUNDO DE INVESTIMENTO EM DIREITOS CREDITÓRIOS</t>
        </is>
      </c>
      <c r="G62" s="19" t="n">
        <v>2140596574.92</v>
      </c>
      <c r="H62" s="22" t="n">
        <v>0.002606156266656593</v>
      </c>
      <c r="I62" s="22" t="n">
        <v>0</v>
      </c>
      <c r="J62" s="22" t="inlineStr">
        <is>
          <t>N/D</t>
        </is>
      </c>
      <c r="K62" s="22" t="inlineStr">
        <is>
          <t>N/D</t>
        </is>
      </c>
      <c r="L62" s="10" t="inlineStr">
        <is>
          <t>N/D</t>
        </is>
      </c>
      <c r="M62" s="28" t="inlineStr">
        <is>
          <t>não localizado — multicedente genérico</t>
        </is>
      </c>
      <c r="N62" s="10" t="n"/>
      <c r="O62" s="10" t="inlineStr">
        <is>
          <t>N/D</t>
        </is>
      </c>
      <c r="P62" s="10" t="inlineStr">
        <is>
          <t>N/D</t>
        </is>
      </c>
      <c r="Q62" s="10" t="inlineStr">
        <is>
          <t>Multicarteira outros</t>
        </is>
      </c>
      <c r="R62" s="10" t="inlineStr">
        <is>
          <t>Outros</t>
        </is>
      </c>
      <c r="S62" s="10" t="inlineStr">
        <is>
          <t>Multicarteira Outros</t>
        </is>
      </c>
      <c r="T62" s="10" t="inlineStr">
        <is>
          <t>Outros</t>
        </is>
      </c>
      <c r="U62" s="10" t="inlineStr">
        <is>
          <t>Multicarteira Outros</t>
        </is>
      </c>
      <c r="V62" s="10" t="inlineStr">
        <is>
          <t>Multissetorial / Outros</t>
        </is>
      </c>
      <c r="W62" s="10" t="inlineStr">
        <is>
          <t>Multicarteira outros</t>
        </is>
      </c>
      <c r="X62" s="28" t="inlineStr">
        <is>
          <t>N/D</t>
        </is>
      </c>
      <c r="Y62" s="28" t="inlineStr">
        <is>
          <t>Indeterminado — regulamento sem métrica de porte</t>
        </is>
      </c>
      <c r="Z62" s="28" t="inlineStr">
        <is>
          <t>Cedente genérico.</t>
        </is>
      </c>
      <c r="AA62" s="10" t="inlineStr">
        <is>
          <t>regulamento 1098228 p. 18 [crédito corporativo / mercado de capitais]: DO FUNDO. PARAGRAFO UNICO OS DIREITOS CREDITORIOS SERAO INDIVIDUALMENTE REPRESENTADOS POR TITULOS DE CREDITO, COMO DUPLICATAS FISICAS OU ESCRITURAIS, CHEQUES, NOTAS PROMISSORIAS, DEBENTURES, CERTIFICADOS DE RECEBIVEIS, CEDULAS OU NOTAS DE CREDITO (HIPOTECARIA, RURAL, INDUSTRIAL, A EXPORTACAO, COMERCIAL, IMOBILIARIO OU BANCARIO), NOTAS COMERCIAIS, POR CONTRATOS DE COMPRA E VENDA, CONTRATOS DE PRESTACAO DE SERVICOS, CONTRATOS DE LOCACAO, POR FATURA OU NOTA FISCAL, POR AGENDA DE CARTAO DE CREDITO OU NSU (NU | regulamento 1098228 p. 16 [receitas e dívidas do poder público]: ATIVOS; (O) NO CASO DE CLASSE FECHADA, SE FOR O CASO, AS DESPESAS INERENTES A: I) DISTRIBUICAO PRIMARIA DE COTAS; E II) ADMISSAO DAS COTAS A NEGOCIACAO EM MERCADO ORGANIZADO; (P) ROYALTIES DEVIDOS PELO LICENCIAMENTO DE INDICES DE REFERENCIA, DESDE QUE COBRADOS DE ACORDO COM CONTRATO ESTABELECIDO ENTRE O ADMINISTRADOR E A INSTITUICAO QUE DETEM OS DIREITOS SOBRE O INDICE; (Q) TAXAS DE ADMINISTRACAO E DE GESTAO; (R) MONTANTES DEVIDOS A FUNDOS INVESTIDORES NA HIPOTESE DE ACORDO DE REMUNERACAO COM BASE NA TA | regulamento 1098228 p. 18 [recebíveis comerciais / multissetorial]: NTATIVOS DOS DIREITOS CREDITORIOS PELA CONSULTORIA ESPECIALIZADA DO FUNDO. PARAGRAFO UNICO OS DIREITOS CREDITORIOS SERAO INDIVIDUALMENTE REPRESENTADOS POR TITULOS DE CREDITO, COMO DUPLICATAS FISICAS OU ESCRITURAIS, CHEQUES, NOTAS PROMISSORIAS, DEBENTURES, CERTIFICADOS DE RECEBIVEIS, CEDULAS OU NOTAS DE CREDITO (HIPOTECARIA, RURAL, INDUSTRIAL, A EXPORTACAO, COMERCIAL, IMOBILIARIO OU BANCARIO), NOTAS COMERCIAIS, POR CONTRATOS DE COMPRA E VENDA, CONTRATOS DE PRESTACAO DE SERVICOS, CONTRATOS DE LOCACAO, POR F || CEDENTE/ORIGINADOR: regulamento 1098228 p. 20: CEDENTE E SEUS COLATERAIS, POR TODOS OS MEIOS DISPONIVEIS NA LEGISLACAO BRASILEIRA</t>
        </is>
      </c>
      <c r="AB62" s="10" t="inlineStr">
        <is>
          <t>https://fnet.bmfbovespa.com.br/fnet/publico/abrirGerenciadorDocumentosCVM?cnpjFundo=57719370000109</t>
        </is>
      </c>
      <c r="AC62" s="10" t="inlineStr">
        <is>
          <t>1098228</t>
        </is>
      </c>
      <c r="AD62" s="10" t="inlineStr">
        <is>
          <t>N/D</t>
        </is>
      </c>
      <c r="AE62" s="10" t="inlineStr">
        <is>
          <t>regulamento 1098228 p. 18, regulamento 1098228 p. 16, regulamento 1098228 p. 18</t>
        </is>
      </c>
      <c r="AF62" s="10" t="inlineStr">
        <is>
          <t>N/D</t>
        </is>
      </c>
      <c r="AG62" s="10" t="inlineStr">
        <is>
          <t>N/D</t>
        </is>
      </c>
      <c r="AH62" s="10" t="inlineStr">
        <is>
          <t>taxonomia disponível — partes e lastro documental N/D</t>
        </is>
      </c>
      <c r="AI62" s="29" t="inlineStr">
        <is>
          <t>Def. "Cedente": aquele que realiza cessão de direitos creditórios para o FIDC. Lastro definido por tipo de instrumento, não por parte.</t>
        </is>
      </c>
      <c r="AJ62" s="29" t="inlineStr">
        <is>
          <t>1098228</t>
        </is>
      </c>
      <c r="AK62" s="29" t="inlineStr">
        <is>
          <t>Não</t>
        </is>
      </c>
      <c r="AL62" s="29" t="inlineStr">
        <is>
          <t>indeterminado</t>
        </is>
      </c>
      <c r="AM62" s="29" t="inlineStr">
        <is>
          <t>Cedente genérico.</t>
        </is>
      </c>
      <c r="AN62" s="29" t="inlineStr">
        <is>
          <t>leitura do regulamento nesta rodada</t>
        </is>
      </c>
    </row>
    <row r="63" hidden="1" ht="48" customHeight="1">
      <c r="A63" s="14" t="n">
        <v>59</v>
      </c>
      <c r="B63" s="14" t="n">
        <v>59</v>
      </c>
      <c r="C63" s="11" t="inlineStr">
        <is>
          <t>Top 100 por PL ex-FIC</t>
        </is>
      </c>
      <c r="D63" s="17" t="n">
        <v>42154687000160</v>
      </c>
      <c r="E63" s="11" t="inlineStr">
        <is>
          <t>42.154.687/0001-60</t>
        </is>
      </c>
      <c r="F63" s="11" t="inlineStr">
        <is>
          <t>MULTIPLIKE PLUS FUNDO DE INVESTIMENTO EM DIREITOS CREDITÓRIOS</t>
        </is>
      </c>
      <c r="G63" s="20" t="n">
        <v>2118132225.34</v>
      </c>
      <c r="H63" s="23" t="n">
        <v>0.00257880613159601</v>
      </c>
      <c r="I63" s="23" t="n">
        <v>0.4225649486265656</v>
      </c>
      <c r="J63" s="23" t="inlineStr">
        <is>
          <t>N/D</t>
        </is>
      </c>
      <c r="K63" s="23" t="inlineStr">
        <is>
          <t>N/D</t>
        </is>
      </c>
      <c r="L63" s="11" t="inlineStr">
        <is>
          <t>N/D</t>
        </is>
      </c>
      <c r="M63" s="11" t="inlineStr">
        <is>
          <t>Multiplike</t>
        </is>
      </c>
      <c r="N63" s="11" t="n"/>
      <c r="O63" s="11" t="inlineStr">
        <is>
          <t>Multicedentes &amp; Multisacados</t>
        </is>
      </c>
      <c r="P63" s="11" t="inlineStr">
        <is>
          <t>N/D</t>
        </is>
      </c>
      <c r="Q63" s="11" t="inlineStr">
        <is>
          <t>FIDC MultiCedente / Multisacado</t>
        </is>
      </c>
      <c r="R63" s="11" t="inlineStr">
        <is>
          <t>Fomento Mercantil</t>
        </is>
      </c>
      <c r="S63" s="11" t="inlineStr">
        <is>
          <t>Fomento Mercantil</t>
        </is>
      </c>
      <c r="T63" s="11" t="inlineStr">
        <is>
          <t>Financeiro</t>
        </is>
      </c>
      <c r="U63" s="11" t="inlineStr">
        <is>
          <t>Multicarteira Financeiro</t>
        </is>
      </c>
      <c r="V63" s="11" t="inlineStr">
        <is>
          <t>Multissetorial / Outros</t>
        </is>
      </c>
      <c r="W63" s="11" t="inlineStr">
        <is>
          <t>Multicarteira financeiro</t>
        </is>
      </c>
      <c r="X63" s="11" t="b">
        <v>0</v>
      </c>
      <c r="Y63" s="11" t="inlineStr">
        <is>
          <t>Sem indício documental de Middle Market</t>
        </is>
      </c>
      <c r="Z63" s="11" t="inlineStr">
        <is>
          <t>A evidência disponível aponta outro tipo de risco ou não traz crédito corporativo.</t>
        </is>
      </c>
      <c r="AA63" s="11" t="inlineStr">
        <is>
          <t>Direção aprovada: Financeiro / Multicarteira Financeiro</t>
        </is>
      </c>
      <c r="AB63" s="11" t="inlineStr">
        <is>
          <t>FundosNet/B3 — regulamento 1223029</t>
        </is>
      </c>
      <c r="AC63" s="11" t="inlineStr">
        <is>
          <t>1223029</t>
        </is>
      </c>
      <c r="AD63" s="11" t="inlineStr">
        <is>
          <t>N/D</t>
        </is>
      </c>
      <c r="AE63" s="11" t="inlineStr">
        <is>
          <t>pp. 23 e 26–29 — ativos elegíveis e garantias</t>
        </is>
      </c>
      <c r="AF63" s="11" t="inlineStr">
        <is>
          <t>N/D</t>
        </is>
      </c>
      <c r="AG63" s="11" t="inlineStr">
        <is>
          <t>N/D</t>
        </is>
      </c>
      <c r="AH63" s="11" t="inlineStr">
        <is>
          <t>documentado — parte ou lastro identificado</t>
        </is>
      </c>
      <c r="AN63" s="27" t="inlineStr">
        <is>
          <t>curadoria anterior — não revisada nesta rodada</t>
        </is>
      </c>
    </row>
    <row r="64" hidden="1" ht="48" customHeight="1">
      <c r="A64" s="13" t="n">
        <v>60</v>
      </c>
      <c r="B64" s="13" t="n">
        <v>60</v>
      </c>
      <c r="C64" s="10" t="inlineStr">
        <is>
          <t>Top 100 por PL ex-FIC</t>
        </is>
      </c>
      <c r="D64" s="16" t="n">
        <v>13321819000100</v>
      </c>
      <c r="E64" s="10" t="inlineStr">
        <is>
          <t>13.321.819/0001-00</t>
        </is>
      </c>
      <c r="F64" s="10" t="inlineStr">
        <is>
          <t>FUNDO DE INVESTIMENTO EM DIREITOS CREDITÓRIOS VALE</t>
        </is>
      </c>
      <c r="G64" s="19" t="n">
        <v>2110355080.85</v>
      </c>
      <c r="H64" s="22" t="n">
        <v>0.002569337531072783</v>
      </c>
      <c r="I64" s="22" t="n">
        <v>0.0370380606480036</v>
      </c>
      <c r="J64" s="22" t="inlineStr">
        <is>
          <t>N/D</t>
        </is>
      </c>
      <c r="K64" s="22" t="inlineStr">
        <is>
          <t>N/D</t>
        </is>
      </c>
      <c r="L64" s="10" t="inlineStr">
        <is>
          <t>N/D</t>
        </is>
      </c>
      <c r="M64" s="10" t="inlineStr">
        <is>
          <t>Vale</t>
        </is>
      </c>
      <c r="N64" s="10" t="n"/>
      <c r="O64" s="10" t="inlineStr">
        <is>
          <t>N/D</t>
        </is>
      </c>
      <c r="P64" s="10" t="inlineStr">
        <is>
          <t>N/D</t>
        </is>
      </c>
      <c r="Q64" s="10" t="inlineStr">
        <is>
          <t>Multicarteira outros</t>
        </is>
      </c>
      <c r="R64" s="10" t="inlineStr">
        <is>
          <t>Outros</t>
        </is>
      </c>
      <c r="S64" s="10" t="inlineStr">
        <is>
          <t>Multicarteira Outros</t>
        </is>
      </c>
      <c r="T64" s="10" t="inlineStr">
        <is>
          <t>Outros</t>
        </is>
      </c>
      <c r="U64" s="10" t="inlineStr">
        <is>
          <t>Multicarteira Outros</t>
        </is>
      </c>
      <c r="V64" s="10" t="inlineStr">
        <is>
          <t>Multissetorial / Outros</t>
        </is>
      </c>
      <c r="W64" s="10" t="inlineStr">
        <is>
          <t>Multicarteira outros</t>
        </is>
      </c>
      <c r="X64" s="10" t="inlineStr">
        <is>
          <t>N/D</t>
        </is>
      </c>
      <c r="Y64" s="10" t="inlineStr">
        <is>
          <t>Indício de crédito corporativo; porte N/D</t>
        </is>
      </c>
      <c r="Z64" s="10" t="inlineStr">
        <is>
          <t>O lastro é compatível com crédito corporativo tradicional, mas a base não documenta o porte do tomador.</t>
        </is>
      </c>
      <c r="AA64" s="10" t="inlineStr">
        <is>
          <t>Os documentos admitem cupons e notas fiscais, CCBs, recebíveis de cartão e renegociações. A diversidade contratual sustenta Multicarteira Outros.</t>
        </is>
      </c>
      <c r="AB64" s="10" t="inlineStr">
        <is>
          <t>https://fnet.bmfbovespa.com.br/fnet/publico/abrirGerenciadorDocumentosCVM?cnpjFundo=13321819000100</t>
        </is>
      </c>
      <c r="AC64" s="10" t="inlineStr">
        <is>
          <t>975461</t>
        </is>
      </c>
      <c r="AD64" s="10" t="inlineStr">
        <is>
          <t>N/D</t>
        </is>
      </c>
      <c r="AE64" s="10" t="inlineStr">
        <is>
          <t>p. 13 — política/definição do lastro</t>
        </is>
      </c>
      <c r="AF64" s="10" t="inlineStr">
        <is>
          <t>N/D</t>
        </is>
      </c>
      <c r="AG64" s="10" t="inlineStr">
        <is>
          <t>N/D</t>
        </is>
      </c>
      <c r="AH64" s="10" t="inlineStr">
        <is>
          <t>taxonomia disponível — partes e lastro documental N/D</t>
        </is>
      </c>
      <c r="AN64" s="27" t="inlineStr">
        <is>
          <t>curadoria anterior — não revisada nesta rodada</t>
        </is>
      </c>
    </row>
    <row r="65" ht="48" customHeight="1">
      <c r="A65" s="14" t="n">
        <v>61</v>
      </c>
      <c r="B65" s="14" t="n">
        <v>61</v>
      </c>
      <c r="C65" s="11" t="inlineStr">
        <is>
          <t>Top 100 por PL ex-FIC</t>
        </is>
      </c>
      <c r="D65" s="17" t="n">
        <v>49306883000151</v>
      </c>
      <c r="E65" s="11" t="inlineStr">
        <is>
          <t>49.306.883/0001-51</t>
        </is>
      </c>
      <c r="F65" s="11" t="inlineStr">
        <is>
          <t>TM FUNDO DE INVESTIMENTO EM DIREITOS CREDITÓRIOS</t>
        </is>
      </c>
      <c r="G65" s="20" t="n">
        <v>2100498673.09</v>
      </c>
      <c r="H65" s="23" t="n">
        <v>0.002557337447006776</v>
      </c>
      <c r="I65" s="23" t="n">
        <v>0</v>
      </c>
      <c r="J65" s="23" t="inlineStr">
        <is>
          <t>N/D</t>
        </is>
      </c>
      <c r="K65" s="23" t="inlineStr">
        <is>
          <t>N/D</t>
        </is>
      </c>
      <c r="L65" s="11" t="inlineStr">
        <is>
          <t>N/D</t>
        </is>
      </c>
      <c r="M65" s="28" t="inlineStr">
        <is>
          <t>não localizado — multicedente; lastro corporativo e judicial</t>
        </is>
      </c>
      <c r="N65" s="11" t="n"/>
      <c r="O65" s="11" t="inlineStr">
        <is>
          <t>N/D</t>
        </is>
      </c>
      <c r="P65" s="11" t="inlineStr">
        <is>
          <t>N/D</t>
        </is>
      </c>
      <c r="Q65" s="11" t="inlineStr">
        <is>
          <t>Multicarteira outros</t>
        </is>
      </c>
      <c r="R65" s="11" t="inlineStr">
        <is>
          <t>Outros</t>
        </is>
      </c>
      <c r="S65" s="11" t="inlineStr">
        <is>
          <t>Multicarteira Outros</t>
        </is>
      </c>
      <c r="T65" s="11" t="inlineStr">
        <is>
          <t>Outros</t>
        </is>
      </c>
      <c r="U65" s="11" t="inlineStr">
        <is>
          <t>Multicarteira Outros</t>
        </is>
      </c>
      <c r="V65" s="11" t="inlineStr">
        <is>
          <t>Multissetorial / Outros</t>
        </is>
      </c>
      <c r="W65" s="11" t="inlineStr">
        <is>
          <t>Multicarteira outros</t>
        </is>
      </c>
      <c r="X65" s="28" t="inlineStr">
        <is>
          <t>N/D</t>
        </is>
      </c>
      <c r="Y65" s="28" t="inlineStr">
        <is>
          <t>Indeterminado — regulamento sem métrica de porte</t>
        </is>
      </c>
      <c r="Z65" s="28" t="inlineStr">
        <is>
          <t>Lastro é crédito contra companhia aberta ou fechada — indício corporativo explícito, mas sem qualquer corte de porte ou faturamento.</t>
        </is>
      </c>
      <c r="AA65" s="11" t="inlineStr">
        <is>
          <t>O regulamento declara que a origem não pode ser especificada e admite debêntures, notas, CCBs, precatórios e direitos judiciais. O mandato sustenta Multicarteira Outros.</t>
        </is>
      </c>
      <c r="AB65" s="11" t="inlineStr">
        <is>
          <t>https://fnet.bmfbovespa.com.br/fnet/publico/abrirGerenciadorDocumentosCVM?cnpjFundo=49306883000151</t>
        </is>
      </c>
      <c r="AC65" s="11" t="inlineStr">
        <is>
          <t>771170</t>
        </is>
      </c>
      <c r="AD65" s="11" t="inlineStr">
        <is>
          <t>N/D</t>
        </is>
      </c>
      <c r="AE65" s="11" t="inlineStr">
        <is>
          <t>p. 9 — política/definição do lastro</t>
        </is>
      </c>
      <c r="AF65" s="11" t="inlineStr">
        <is>
          <t>N/D</t>
        </is>
      </c>
      <c r="AG65" s="11" t="inlineStr">
        <is>
          <t>N/D</t>
        </is>
      </c>
      <c r="AH65" s="11" t="inlineStr">
        <is>
          <t>taxonomia disponível — partes e lastro documental N/D</t>
        </is>
      </c>
      <c r="AI65" s="29" t="inlineStr">
        <is>
          <t>Def. "Direitos Creditórios": representados por Debêntures, notas comerciais, cédulas de crédito bancário, entre outros títulos de dívida, representativos de crédito contra uma companhia aberta ou fechada, e/ou recebíveis decorrentes de Ações Judiciais, Precatórios e honorários advocatícios.</t>
        </is>
      </c>
      <c r="AJ65" s="29" t="inlineStr">
        <is>
          <t>771170</t>
        </is>
      </c>
      <c r="AK65" s="29" t="inlineStr">
        <is>
          <t>Não</t>
        </is>
      </c>
      <c r="AL65" s="29" t="inlineStr">
        <is>
          <t>indeterminado</t>
        </is>
      </c>
      <c r="AM65" s="29" t="inlineStr">
        <is>
          <t>Lastro é crédito contra companhia aberta ou fechada — indício corporativo explícito, mas sem qualquer corte de porte ou faturamento.</t>
        </is>
      </c>
      <c r="AN65" s="29" t="inlineStr">
        <is>
          <t>leitura do regulamento nesta rodada</t>
        </is>
      </c>
    </row>
    <row r="66" ht="48" customHeight="1">
      <c r="A66" s="13" t="n">
        <v>62</v>
      </c>
      <c r="B66" s="13" t="n">
        <v>62</v>
      </c>
      <c r="C66" s="10" t="inlineStr">
        <is>
          <t>Top 100 por PL ex-FIC</t>
        </is>
      </c>
      <c r="D66" s="16" t="n">
        <v>54871427000194</v>
      </c>
      <c r="E66" s="10" t="inlineStr">
        <is>
          <t>54.871.427/0001-94</t>
        </is>
      </c>
      <c r="F66" s="10" t="inlineStr">
        <is>
          <t>CONSIGNADO DELTA RECEIVABLES I FUNDO DE INVESTIMENTO EM DIREITOS CREDITÓRIOS</t>
        </is>
      </c>
      <c r="G66" s="19" t="n">
        <v>2008347381.44</v>
      </c>
      <c r="H66" s="22" t="n">
        <v>0.002445144113135296</v>
      </c>
      <c r="I66" s="22" t="n">
        <v>0</v>
      </c>
      <c r="J66" s="22" t="inlineStr">
        <is>
          <t>N/D</t>
        </is>
      </c>
      <c r="K66" s="22" t="inlineStr">
        <is>
          <t>N/D</t>
        </is>
      </c>
      <c r="L66" s="10" t="inlineStr">
        <is>
          <t>N/D</t>
        </is>
      </c>
      <c r="M66" s="28" t="inlineStr">
        <is>
          <t>não localizado — instituições financeiras endossantes não nomeadas</t>
        </is>
      </c>
      <c r="N66" s="10" t="n"/>
      <c r="O66" s="10" t="inlineStr">
        <is>
          <t>N/D</t>
        </is>
      </c>
      <c r="P66" s="10" t="inlineStr">
        <is>
          <t>N/D</t>
        </is>
      </c>
      <c r="Q66" s="10" t="inlineStr">
        <is>
          <t>N/D</t>
        </is>
      </c>
      <c r="R66" s="10" t="inlineStr">
        <is>
          <t>Financeiro</t>
        </is>
      </c>
      <c r="S66" s="10" t="inlineStr">
        <is>
          <t>Crédito Pessoal</t>
        </is>
      </c>
      <c r="T66" s="10" t="inlineStr">
        <is>
          <t>Financeiro</t>
        </is>
      </c>
      <c r="U66" s="10" t="inlineStr">
        <is>
          <t>Crédito Pessoal</t>
        </is>
      </c>
      <c r="V66" s="10" t="inlineStr">
        <is>
          <t>N/D</t>
        </is>
      </c>
      <c r="W66" s="10" t="inlineStr">
        <is>
          <t>N/D</t>
        </is>
      </c>
      <c r="X66" s="28" t="b">
        <v>0</v>
      </c>
      <c r="Y66" s="28" t="inlineStr">
        <is>
          <t>Fora da faixa de Middle Market por natureza do devedor</t>
        </is>
      </c>
      <c r="Z66" s="28" t="inlineStr">
        <is>
          <t>Devedor final é pessoa física trabalhadora com conta de FGTS; não é crédito a empresa.</t>
        </is>
      </c>
      <c r="AA66" s="10" t="inlineStr">
        <is>
          <t>N/D</t>
        </is>
      </c>
      <c r="AB66" s="10" t="inlineStr">
        <is>
          <t>ANBIMA Data — Fundos 175: características público</t>
        </is>
      </c>
      <c r="AC66" s="10" t="inlineStr">
        <is>
          <t>N/D</t>
        </is>
      </c>
      <c r="AD66" s="10" t="inlineStr">
        <is>
          <t>N/D</t>
        </is>
      </c>
      <c r="AE66" s="10" t="inlineStr">
        <is>
          <t>N/D</t>
        </is>
      </c>
      <c r="AF66" s="10" t="inlineStr">
        <is>
          <t>N/D</t>
        </is>
      </c>
      <c r="AG66" s="10" t="inlineStr">
        <is>
          <t>N/D</t>
        </is>
      </c>
      <c r="AH66" s="10" t="inlineStr">
        <is>
          <t>N/D</t>
        </is>
      </c>
      <c r="AI66" s="29" t="inlineStr">
        <is>
          <t>Def. "Endossante": cada instituição financeira que ceda Direitos Creditórios à Classe nos termos de um Contrato de Endosso. Def. "Devedores": cada trabalhador beneficiário do FGTS que emita CCB com cessão fiduciária do Saque-aniversário.</t>
        </is>
      </c>
      <c r="AJ66" s="29" t="inlineStr">
        <is>
          <t>670689;670690 (localizados por busca no FundosNET por CNPJ)</t>
        </is>
      </c>
      <c r="AK66" s="29" t="inlineStr">
        <is>
          <t>Não</t>
        </is>
      </c>
      <c r="AL66" s="29" t="inlineStr">
        <is>
          <t>fora da faixa</t>
        </is>
      </c>
      <c r="AM66" s="29" t="inlineStr">
        <is>
          <t>Devedor final é pessoa física trabalhadora com conta de FGTS; não é crédito a empresa.</t>
        </is>
      </c>
      <c r="AN66" s="29" t="inlineStr">
        <is>
          <t>leitura do regulamento nesta rodada</t>
        </is>
      </c>
    </row>
    <row r="67" hidden="1" ht="48" customHeight="1">
      <c r="A67" s="14" t="n">
        <v>63</v>
      </c>
      <c r="B67" s="14" t="n">
        <v>63</v>
      </c>
      <c r="C67" s="11" t="inlineStr">
        <is>
          <t>Top 100 por PL ex-FIC</t>
        </is>
      </c>
      <c r="D67" s="17" t="n">
        <v>62838025000116</v>
      </c>
      <c r="E67" s="11" t="inlineStr">
        <is>
          <t>62.838.025/0001-16</t>
        </is>
      </c>
      <c r="F67" s="11" t="inlineStr">
        <is>
          <t>ENDURANCE FUNDO DE INVESTIMENTO EM DIREITOS CREDITÓRIOS RESPONSABILIDADE LIMITADA</t>
        </is>
      </c>
      <c r="G67" s="20" t="n">
        <v>2004513902.3</v>
      </c>
      <c r="H67" s="23" t="n">
        <v>0.002440476888212644</v>
      </c>
      <c r="I67" s="23" t="n">
        <v>0.0945332125270876</v>
      </c>
      <c r="J67" s="23" t="inlineStr">
        <is>
          <t>N/D</t>
        </is>
      </c>
      <c r="K67" s="23" t="inlineStr">
        <is>
          <t>N/D</t>
        </is>
      </c>
      <c r="L67" s="11" t="inlineStr">
        <is>
          <t>N/D</t>
        </is>
      </c>
      <c r="M67" s="11" t="inlineStr">
        <is>
          <t>PagueVeloz</t>
        </is>
      </c>
      <c r="N67" s="11" t="n"/>
      <c r="O67" s="11" t="inlineStr">
        <is>
          <t>Pague Veloz / Serasa</t>
        </is>
      </c>
      <c r="P67" s="11" t="inlineStr">
        <is>
          <t>N/D</t>
        </is>
      </c>
      <c r="Q67" s="11" t="inlineStr">
        <is>
          <t>recebíveis de Rede, GetNet, Cielo e Pag</t>
        </is>
      </c>
      <c r="R67" s="11" t="inlineStr">
        <is>
          <t>Agro, Indústria e Comércio</t>
        </is>
      </c>
      <c r="S67" s="11" t="inlineStr">
        <is>
          <t>Recebíveis Comerciais</t>
        </is>
      </c>
      <c r="T67" s="11" t="inlineStr">
        <is>
          <t>Financeiro</t>
        </is>
      </c>
      <c r="U67" s="11" t="inlineStr">
        <is>
          <t>Adquirência</t>
        </is>
      </c>
      <c r="V67" s="11" t="inlineStr">
        <is>
          <t>Meios de Pagamento e Cartões</t>
        </is>
      </c>
      <c r="W67" s="11" t="inlineStr">
        <is>
          <t>Arranjos de pagamento/adquirência</t>
        </is>
      </c>
      <c r="X67" s="11" t="b">
        <v>0</v>
      </c>
      <c r="Y67" s="11" t="inlineStr">
        <is>
          <t>Sem indício documental de Middle Market</t>
        </is>
      </c>
      <c r="Z67" s="11" t="inlineStr">
        <is>
          <t>A evidência disponível aponta outro tipo de risco ou não traz crédito corporativo.</t>
        </is>
      </c>
      <c r="AA67" s="11" t="inlineStr">
        <is>
          <t>Direção aprovada: Financeiro / Adquirência</t>
        </is>
      </c>
      <c r="AB67" s="11" t="inlineStr">
        <is>
          <t>FundosNet/B3 — regulamento 1058234</t>
        </is>
      </c>
      <c r="AC67" s="11" t="inlineStr">
        <is>
          <t>1058234</t>
        </is>
      </c>
      <c r="AD67" s="11" t="inlineStr">
        <is>
          <t>N/D</t>
        </is>
      </c>
      <c r="AE67" s="11" t="inlineStr">
        <is>
          <t>p. 25 — unidades de recebíveis e subcredenciadoras</t>
        </is>
      </c>
      <c r="AF67" s="11" t="inlineStr">
        <is>
          <t>N/D</t>
        </is>
      </c>
      <c r="AG67" s="11" t="inlineStr">
        <is>
          <t>N/D</t>
        </is>
      </c>
      <c r="AH67" s="11" t="inlineStr">
        <is>
          <t>documentado — parte ou lastro identificado</t>
        </is>
      </c>
      <c r="AN67" s="27" t="inlineStr">
        <is>
          <t>curadoria anterior — não revisada nesta rodada</t>
        </is>
      </c>
    </row>
    <row r="68" ht="48" customHeight="1">
      <c r="A68" s="13" t="n">
        <v>64</v>
      </c>
      <c r="B68" s="13" t="n">
        <v>64</v>
      </c>
      <c r="C68" s="10" t="inlineStr">
        <is>
          <t>Top 100 por PL ex-FIC</t>
        </is>
      </c>
      <c r="D68" s="16" t="n">
        <v>23216398000101</v>
      </c>
      <c r="E68" s="10" t="inlineStr">
        <is>
          <t>23.216.398/0001-01</t>
        </is>
      </c>
      <c r="F68" s="10" t="inlineStr">
        <is>
          <t>MULTIPLICA FUNDO DE INVESTIMENTO EM DIREITOS CREDITÓRIOS</t>
        </is>
      </c>
      <c r="G68" s="19" t="n">
        <v>1993263958.67</v>
      </c>
      <c r="H68" s="22" t="n">
        <v>0.002426780187286196</v>
      </c>
      <c r="I68" s="22" t="n">
        <v>0.4477404397036854</v>
      </c>
      <c r="J68" s="22" t="inlineStr">
        <is>
          <t>N/D</t>
        </is>
      </c>
      <c r="K68" s="22" t="inlineStr">
        <is>
          <t>N/D</t>
        </is>
      </c>
      <c r="L68" s="10" t="inlineStr">
        <is>
          <t>N/D</t>
        </is>
      </c>
      <c r="M68" s="28" t="inlineStr">
        <is>
          <t>não localizado — multicedente PF/PJ</t>
        </is>
      </c>
      <c r="N68" s="10" t="n"/>
      <c r="O68" s="10" t="inlineStr">
        <is>
          <t>N/D</t>
        </is>
      </c>
      <c r="P68" s="10" t="inlineStr">
        <is>
          <t>N/D</t>
        </is>
      </c>
      <c r="Q68" s="10" t="inlineStr">
        <is>
          <t>Recebíveis comerciais/multissetorial</t>
        </is>
      </c>
      <c r="R68" s="10" t="inlineStr">
        <is>
          <t>Fomento Mercantil</t>
        </is>
      </c>
      <c r="S68" s="10" t="inlineStr">
        <is>
          <t>Fomento Mercantil</t>
        </is>
      </c>
      <c r="T68" s="10" t="inlineStr">
        <is>
          <t>Fomento Mercantil</t>
        </is>
      </c>
      <c r="U68" s="10" t="inlineStr">
        <is>
          <t>Fomento Mercantil</t>
        </is>
      </c>
      <c r="V68" s="10" t="inlineStr">
        <is>
          <t>Crédito PJ</t>
        </is>
      </c>
      <c r="W68" s="10" t="inlineStr">
        <is>
          <t>Recebíveis comerciais/multissetorial</t>
        </is>
      </c>
      <c r="X68" s="28" t="inlineStr">
        <is>
          <t>N/D</t>
        </is>
      </c>
      <c r="Y68" s="28" t="inlineStr">
        <is>
          <t>Indeterminado — regulamento sem métrica de porte</t>
        </is>
      </c>
      <c r="Z68" s="28" t="inlineStr">
        <is>
          <t>Cedente genérico; relação comercial cedente-devedor sem porte declarado.</t>
        </is>
      </c>
      <c r="AA68" s="10" t="inlineStr">
        <is>
          <t>ZACAO DE SUAS COTAS ATRAVES DA APLICACAO PREPONDERANTE DOS RECURSOS NA AQUISICAO DE DIREITOS CREDITORIOS CONFORME POLITICA DE INVESTIMENTO ESTABELECIDA NESTE REGULAMENTO. 11.2. OS DIREITOS CREDITORIOS QUE SERAO ADQUIRIDOS PELO FUNDO PODERAO SER ORIGINADOS EM DIVERSOS SEGMENTOS, SENDO ORIUNDOS DE OPERACOES DE NATUREZA INDUSTRIAL, COMERCIAL, FINANCEIRA, AGRICOLA, HIPOTECARIA E IMOBILIARIA, BEM COMO DE OPERACOES DE ARRENDAMENTO MERCANTIL OU DO SEGMENTO DE PRESTACAO DE SERVICOS. OS:</t>
        </is>
      </c>
      <c r="AB68" s="10" t="inlineStr">
        <is>
          <t>https://fnet.bmfbovespa.com.br/fnet/publico/abrirGerenciadorDocumentosCVM?cnpjFundo=23216398000101</t>
        </is>
      </c>
      <c r="AC68" s="10" t="inlineStr">
        <is>
          <t>930881</t>
        </is>
      </c>
      <c r="AD68" s="10" t="inlineStr">
        <is>
          <t>N/D</t>
        </is>
      </c>
      <c r="AE68" s="10" t="inlineStr">
        <is>
          <t>p. 56 — política/definição do lastro</t>
        </is>
      </c>
      <c r="AF68" s="10" t="inlineStr">
        <is>
          <t>N/D</t>
        </is>
      </c>
      <c r="AG68" s="10" t="inlineStr">
        <is>
          <t>N/D</t>
        </is>
      </c>
      <c r="AH68" s="10" t="inlineStr">
        <is>
          <t>taxonomia disponível — partes e lastro documental N/D</t>
        </is>
      </c>
      <c r="AI68" s="29" t="inlineStr">
        <is>
          <t>Def. "Cedentes": pessoas físicas ou jurídicas que cedem Direitos Creditórios. Def. "Devedores": pessoa física ou jurídica que adquire produtos ou contrata serviços com o Cedente.</t>
        </is>
      </c>
      <c r="AJ68" s="29" t="inlineStr">
        <is>
          <t>930881</t>
        </is>
      </c>
      <c r="AK68" s="29" t="inlineStr">
        <is>
          <t>Não</t>
        </is>
      </c>
      <c r="AL68" s="29" t="inlineStr">
        <is>
          <t>indeterminado</t>
        </is>
      </c>
      <c r="AM68" s="29" t="inlineStr">
        <is>
          <t>Cedente genérico; relação comercial cedente-devedor sem porte declarado.</t>
        </is>
      </c>
      <c r="AN68" s="29" t="inlineStr">
        <is>
          <t>leitura do regulamento nesta rodada</t>
        </is>
      </c>
    </row>
    <row r="69" hidden="1" ht="48" customHeight="1">
      <c r="A69" s="14" t="n">
        <v>65</v>
      </c>
      <c r="B69" s="14" t="n">
        <v>65</v>
      </c>
      <c r="C69" s="11" t="inlineStr">
        <is>
          <t>Top 100 por PL ex-FIC</t>
        </is>
      </c>
      <c r="D69" s="17" t="n">
        <v>61652768000134</v>
      </c>
      <c r="E69" s="11" t="inlineStr">
        <is>
          <t>61.652.768/0001-34</t>
        </is>
      </c>
      <c r="F69" s="11" t="inlineStr">
        <is>
          <t>FUNDO DE INVESTIMENTO EM DIREITOS CREDITÓRIOS DRIVER MASTER BRASIL I - RESP LIMITADA</t>
        </is>
      </c>
      <c r="G69" s="20" t="n">
        <v>1972712266.59</v>
      </c>
      <c r="H69" s="23" t="n">
        <v>0.002401758694804975</v>
      </c>
      <c r="I69" s="23" t="n">
        <v>0.2309097529943922</v>
      </c>
      <c r="J69" s="23" t="inlineStr">
        <is>
          <t>N/D</t>
        </is>
      </c>
      <c r="K69" s="23" t="inlineStr">
        <is>
          <t>N/D</t>
        </is>
      </c>
      <c r="L69" s="11" t="inlineStr">
        <is>
          <t>N/D</t>
        </is>
      </c>
      <c r="M69" s="11" t="inlineStr">
        <is>
          <t>Volkswagen</t>
        </is>
      </c>
      <c r="N69" s="11" t="n"/>
      <c r="O69" s="11" t="inlineStr">
        <is>
          <t>N/D</t>
        </is>
      </c>
      <c r="P69" s="11" t="inlineStr">
        <is>
          <t>N/D</t>
        </is>
      </c>
      <c r="Q69" s="11" t="inlineStr">
        <is>
          <t>Auto/Veículos</t>
        </is>
      </c>
      <c r="R69" s="11" t="inlineStr">
        <is>
          <t>Financeiro</t>
        </is>
      </c>
      <c r="S69" s="11" t="inlineStr">
        <is>
          <t>Financiamento de Veículos</t>
        </is>
      </c>
      <c r="T69" s="11" t="inlineStr">
        <is>
          <t>Financeiro</t>
        </is>
      </c>
      <c r="U69" s="11" t="inlineStr">
        <is>
          <t>Financiamento de Veículos</t>
        </is>
      </c>
      <c r="V69" s="11" t="inlineStr">
        <is>
          <t>Crédito PF</t>
        </is>
      </c>
      <c r="W69" s="11" t="inlineStr">
        <is>
          <t>Auto/Veículos</t>
        </is>
      </c>
      <c r="X69" s="11" t="b">
        <v>0</v>
      </c>
      <c r="Y69" s="11" t="inlineStr">
        <is>
          <t>Sem indício documental de Middle Market</t>
        </is>
      </c>
      <c r="Z69" s="11" t="inlineStr">
        <is>
          <t>A evidência disponível aponta outro tipo de risco ou não traz crédito corporativo.</t>
        </is>
      </c>
      <c r="AA69" s="11" t="inlineStr">
        <is>
          <t>IFICADO E VALIDADO PELO CUSTODIANTE NO DIA UTIL IMEDIATAMENTE ANTERIOR A DATA DE AQUISICAO, DE ACORDO COM OS SEGUINTES CRITERIOS DE ELEGIBILIDADE: (I) O VALOR NOMINAL AGREGADO DOS DIREITOS CREDITORIOS ADQUIRIDOS DECORRENTES DE CEDULAS DE CREDITO BANCARIO DE UM UNICO DEVEDOR NAO PODERA EXCEDER R$ 250.000,00 (DUZENTOS E CINQUENTA MIL REAIS); (II) OS DIREITOS CREDITORIOS SOMENTE SERAO REFERENTES AS CEDULAS DE CREDITO BANCARIO RELATIVAS AO FINANCIAMENTO DE VEICULOS NA MODALIDADE DE CREDITO DIRETO AO CONSUMIDOR (CDC – VEICULOS), DESDE QUE AS CEDULAS DE CREDITO BANCARIO RELATIVAS AO FINANCIAMENTO DE VEICULOS SEMINOVOS CORRESPONDAM A, NO MAXIMO, 15,0% (QUINZE POR CENTO) DE TODOS OS DIREITOS CREDITORIOS ADQUIRIDOS PELA CLASSE; (III) OS DIREITOS CREDITORIOS DEVEM SER DE DEVEDORES QUE NAO APRESENTEM, NO MOMENTO DA COMPRA PELO FUNDO, OUTROS DIREITOS CREDITORIOS ADQUIRIDOS ACUMULADOS E NAO PAGOS AO FUNDO; (IV) CONSIDERANDO A CESSAO PROPOSTA PRO FORMA, OS DIREITOS CREDITORIOS ADQUIRIDOS QUE COMPOEM A CARTEIRA DO FUNDO TERAO APENAS PARCELAS MENS</t>
        </is>
      </c>
      <c r="AB69" s="11" t="inlineStr">
        <is>
          <t>https://fnet.bmfbovespa.com.br/fnet/publico/abrirGerenciadorDocumentosCVM?cnpjFundo=61652768000134</t>
        </is>
      </c>
      <c r="AC69" s="11" t="inlineStr">
        <is>
          <t>1044627</t>
        </is>
      </c>
      <c r="AD69" s="11" t="inlineStr">
        <is>
          <t>N/D</t>
        </is>
      </c>
      <c r="AE69" s="11" t="inlineStr">
        <is>
          <t>p. 35 — política/definição do lastro</t>
        </is>
      </c>
      <c r="AF69" s="11" t="inlineStr">
        <is>
          <t>N/D</t>
        </is>
      </c>
      <c r="AG69" s="11" t="inlineStr">
        <is>
          <t>N/D</t>
        </is>
      </c>
      <c r="AH69" s="11" t="inlineStr">
        <is>
          <t>taxonomia disponível — partes e lastro documental N/D</t>
        </is>
      </c>
      <c r="AN69" s="27" t="inlineStr">
        <is>
          <t>curadoria anterior — não revisada nesta rodada</t>
        </is>
      </c>
    </row>
    <row r="70" hidden="1" ht="48" customHeight="1">
      <c r="A70" s="13" t="n">
        <v>66</v>
      </c>
      <c r="B70" s="13" t="n">
        <v>66</v>
      </c>
      <c r="C70" s="10" t="inlineStr">
        <is>
          <t>Top 100 por PL ex-FIC</t>
        </is>
      </c>
      <c r="D70" s="16" t="n">
        <v>42449510000190</v>
      </c>
      <c r="E70" s="10" t="inlineStr">
        <is>
          <t>42.449.510/0001-90</t>
        </is>
      </c>
      <c r="F70" s="10" t="inlineStr">
        <is>
          <t>MONTENEGRO FUNDO DE INVESTIMENTO EM DIREITOS CREDITÓRIOS</t>
        </is>
      </c>
      <c r="G70" s="19" t="n">
        <v>1967671103.82</v>
      </c>
      <c r="H70" s="22" t="n">
        <v>0.002395621126382134</v>
      </c>
      <c r="I70" s="22" t="n">
        <v>0</v>
      </c>
      <c r="J70" s="22" t="inlineStr">
        <is>
          <t>N/D</t>
        </is>
      </c>
      <c r="K70" s="22" t="inlineStr">
        <is>
          <t>N/D</t>
        </is>
      </c>
      <c r="L70" s="10" t="inlineStr">
        <is>
          <t>N/D</t>
        </is>
      </c>
      <c r="M70" s="10" t="inlineStr">
        <is>
          <t>Nubank</t>
        </is>
      </c>
      <c r="N70" s="10" t="n"/>
      <c r="O70" s="10" t="inlineStr">
        <is>
          <t>N/D</t>
        </is>
      </c>
      <c r="P70" s="10" t="inlineStr">
        <is>
          <t>N/D</t>
        </is>
      </c>
      <c r="Q70" s="10" t="inlineStr">
        <is>
          <t>Precatórios/direitos judiciais</t>
        </is>
      </c>
      <c r="R70" s="10" t="inlineStr">
        <is>
          <t>Outros</t>
        </is>
      </c>
      <c r="S70" s="10" t="inlineStr">
        <is>
          <t>Multicarteira Outros</t>
        </is>
      </c>
      <c r="T70" s="10" t="inlineStr">
        <is>
          <t>Outros</t>
        </is>
      </c>
      <c r="U70" s="10" t="inlineStr">
        <is>
          <t>Poder Público</t>
        </is>
      </c>
      <c r="V70" s="10" t="inlineStr">
        <is>
          <t>Judicial/Precatórios/NPL</t>
        </is>
      </c>
      <c r="W70" s="10" t="inlineStr">
        <is>
          <t>Precatórios/direitos judiciais</t>
        </is>
      </c>
      <c r="X70" s="10" t="b">
        <v>0</v>
      </c>
      <c r="Y70" s="10" t="inlineStr">
        <is>
          <t>Sem indício documental de Middle Market</t>
        </is>
      </c>
      <c r="Z70" s="10" t="inlineStr">
        <is>
          <t>A evidência disponível aponta outro tipo de risco ou não traz crédito corporativo.</t>
        </is>
      </c>
      <c r="AA70" s="10" t="inlineStr">
        <is>
          <t>regulamento 1100659 p. 19 [precatórios e requisitórios contra entes públicos]: PARA ATUAR NA DEFESA DOS INTERESSES REFERENTES AOS PRECATORIOS, INCLUINDO REPRESENTACAO JUDICIAL E MONITORAMENTO DE TAIS DIREITOS CREDITORIOS; E B. PREVIAMENTE A CADA AQUISICAO DE PRECATORIOS, POSSUIR O OFICIO REQUISITORIO E A CERTIDAO DE REMESSA DO PRECATORIO AO TRIBUNAL REGIONAL FEDERAL, OU O COMPROVANTE DE CONSULTA DO PRECATORIO NA PAGINA ELETRONICA DO TRIBUNAL. || CEDENTE/ORIGINADOR: regulamento 1100659 p. 36: CEDENTE SERA RESPONSAVEL POR DAR CIENCIA AS RESPECTIVAS DEVEDORAS ACERCA DA CESSAO DOS DIREITOS DE CREDITO AO FUNDO, NOS TERMOS DO ARTIGO 290 DO CODIGO CIVIL, FICANDO O GESTOR RESPONSAVEL POR V</t>
        </is>
      </c>
      <c r="AB70" s="10" t="inlineStr">
        <is>
          <t>https://fnet.bmfbovespa.com.br/fnet/publico/abrirGerenciadorDocumentosCVM?cnpjFundo=42449510000190</t>
        </is>
      </c>
      <c r="AC70" s="10" t="inlineStr">
        <is>
          <t>1100659</t>
        </is>
      </c>
      <c r="AD70" s="10" t="inlineStr">
        <is>
          <t>N/D</t>
        </is>
      </c>
      <c r="AE70" s="10" t="inlineStr">
        <is>
          <t>regulamento 1100659 p. 19</t>
        </is>
      </c>
      <c r="AF70" s="10" t="inlineStr">
        <is>
          <t>N/D</t>
        </is>
      </c>
      <c r="AG70" s="10" t="inlineStr">
        <is>
          <t>N/D</t>
        </is>
      </c>
      <c r="AH70" s="10" t="inlineStr">
        <is>
          <t>taxonomia disponível — partes e lastro documental N/D</t>
        </is>
      </c>
      <c r="AN70" s="27" t="inlineStr">
        <is>
          <t>curadoria anterior — não revisada nesta rodada</t>
        </is>
      </c>
    </row>
    <row r="71" hidden="1" ht="48" customHeight="1">
      <c r="A71" s="14" t="n">
        <v>67</v>
      </c>
      <c r="B71" s="14" t="n">
        <v>67</v>
      </c>
      <c r="C71" s="11" t="inlineStr">
        <is>
          <t>Top 100 por PL ex-FIC</t>
        </is>
      </c>
      <c r="D71" s="17" t="n">
        <v>50114948000146</v>
      </c>
      <c r="E71" s="11" t="inlineStr">
        <is>
          <t>50.114.948/0001-46</t>
        </is>
      </c>
      <c r="F71" s="11" t="inlineStr">
        <is>
          <t>DRIVER BRASIL SIX BANCO VOLKSWAGEN FIDC FINANCIAMENTO DE VEÍCULOS - RESPONSABILIDADE LIMITADA</t>
        </is>
      </c>
      <c r="G71" s="20" t="n">
        <v>1934784988.69</v>
      </c>
      <c r="H71" s="23" t="n">
        <v>0.002355582589445186</v>
      </c>
      <c r="I71" s="23" t="n">
        <v>0.1340459460934414</v>
      </c>
      <c r="J71" s="23" t="inlineStr">
        <is>
          <t>N/D</t>
        </is>
      </c>
      <c r="K71" s="23" t="inlineStr">
        <is>
          <t>N/D</t>
        </is>
      </c>
      <c r="L71" s="11" t="inlineStr">
        <is>
          <t>N/D</t>
        </is>
      </c>
      <c r="M71" s="11" t="inlineStr">
        <is>
          <t>Volkswagen</t>
        </is>
      </c>
      <c r="N71" s="11" t="n"/>
      <c r="O71" s="11" t="inlineStr">
        <is>
          <t>N/D</t>
        </is>
      </c>
      <c r="P71" s="11" t="inlineStr">
        <is>
          <t>N/D</t>
        </is>
      </c>
      <c r="Q71" s="11" t="inlineStr">
        <is>
          <t>N/D</t>
        </is>
      </c>
      <c r="R71" s="11" t="inlineStr">
        <is>
          <t>Financeiro</t>
        </is>
      </c>
      <c r="S71" s="11" t="inlineStr">
        <is>
          <t>Financiamento de Veículos</t>
        </is>
      </c>
      <c r="T71" s="11" t="inlineStr">
        <is>
          <t>Financeiro</t>
        </is>
      </c>
      <c r="U71" s="11" t="inlineStr">
        <is>
          <t>Financiamento de Veículos</t>
        </is>
      </c>
      <c r="V71" s="11" t="inlineStr">
        <is>
          <t>N/D</t>
        </is>
      </c>
      <c r="W71" s="11" t="inlineStr">
        <is>
          <t>N/D</t>
        </is>
      </c>
      <c r="X71" s="11" t="inlineStr">
        <is>
          <t>N/D</t>
        </is>
      </c>
      <c r="Y71" s="11" t="inlineStr">
        <is>
          <t>N/D — dados insuficientes</t>
        </is>
      </c>
      <c r="Z71" s="11" t="inlineStr">
        <is>
          <t>Cedente, sacado e tipo de recebível não foram localizados.</t>
        </is>
      </c>
      <c r="AA71" s="11" t="inlineStr">
        <is>
          <t>N/D</t>
        </is>
      </c>
      <c r="AB71" s="11" t="inlineStr">
        <is>
          <t>ANBIMA Data — Fundos 175: características público</t>
        </is>
      </c>
      <c r="AC71" s="11" t="inlineStr">
        <is>
          <t>N/D</t>
        </is>
      </c>
      <c r="AD71" s="11" t="inlineStr">
        <is>
          <t>N/D</t>
        </is>
      </c>
      <c r="AE71" s="11" t="inlineStr">
        <is>
          <t>N/D</t>
        </is>
      </c>
      <c r="AF71" s="11" t="inlineStr">
        <is>
          <t>N/D</t>
        </is>
      </c>
      <c r="AG71" s="11" t="inlineStr">
        <is>
          <t>N/D</t>
        </is>
      </c>
      <c r="AH71" s="11" t="inlineStr">
        <is>
          <t>N/D</t>
        </is>
      </c>
      <c r="AN71" s="27" t="inlineStr">
        <is>
          <t>curadoria anterior — não revisada nesta rodada</t>
        </is>
      </c>
    </row>
    <row r="72" hidden="1" ht="48" customHeight="1">
      <c r="A72" s="13" t="n">
        <v>68</v>
      </c>
      <c r="B72" s="13" t="n">
        <v>68</v>
      </c>
      <c r="C72" s="10" t="inlineStr">
        <is>
          <t>Top 100 por PL ex-FIC</t>
        </is>
      </c>
      <c r="D72" s="16" t="n">
        <v>53841740000117</v>
      </c>
      <c r="E72" s="10" t="inlineStr">
        <is>
          <t>53.841.740/0001-17</t>
        </is>
      </c>
      <c r="F72" s="10" t="inlineStr">
        <is>
          <t>FUNDO DE INVESTIMENTO EM DIREITOS CREDITÓRIOS CRÉDITO CONSIGNADO PRIVADO PAKETÁ DE RESPONSABILID</t>
        </is>
      </c>
      <c r="G72" s="19" t="n">
        <v>1918531934.02</v>
      </c>
      <c r="H72" s="22" t="n">
        <v>0.002335794647720521</v>
      </c>
      <c r="I72" s="22" t="n">
        <v>0.3199140206034778</v>
      </c>
      <c r="J72" s="22" t="inlineStr">
        <is>
          <t>N/D</t>
        </is>
      </c>
      <c r="K72" s="22" t="inlineStr">
        <is>
          <t>N/D</t>
        </is>
      </c>
      <c r="L72" s="10" t="inlineStr">
        <is>
          <t>N/D</t>
        </is>
      </c>
      <c r="M72" s="28" t="inlineStr">
        <is>
          <t>não localizado — endossantes aprovados pelo Banco XP, não nomeados</t>
        </is>
      </c>
      <c r="N72" s="10" t="n"/>
      <c r="O72" s="10" t="inlineStr">
        <is>
          <t>N/D</t>
        </is>
      </c>
      <c r="P72" s="10" t="inlineStr">
        <is>
          <t>N/D</t>
        </is>
      </c>
      <c r="Q72" s="10" t="inlineStr">
        <is>
          <t>N/D</t>
        </is>
      </c>
      <c r="R72" s="10" t="inlineStr">
        <is>
          <t>Financeiro</t>
        </is>
      </c>
      <c r="S72" s="10" t="inlineStr">
        <is>
          <t>Crédito Consignado</t>
        </is>
      </c>
      <c r="T72" s="10" t="inlineStr">
        <is>
          <t>Financeiro</t>
        </is>
      </c>
      <c r="U72" s="10" t="inlineStr">
        <is>
          <t>Crédito Consignado</t>
        </is>
      </c>
      <c r="V72" s="10" t="inlineStr">
        <is>
          <t>N/D</t>
        </is>
      </c>
      <c r="W72" s="10" t="inlineStr">
        <is>
          <t>N/D</t>
        </is>
      </c>
      <c r="X72" s="28" t="b">
        <v>0</v>
      </c>
      <c r="Y72" s="28" t="inlineStr">
        <is>
          <t>Fora da faixa de Middle Market por natureza do devedor</t>
        </is>
      </c>
      <c r="Z72" s="28" t="inlineStr">
        <is>
          <t>Devedor é pessoa física em consignado privado; não é crédito a empresa.</t>
        </is>
      </c>
      <c r="AA72" s="10" t="inlineStr">
        <is>
          <t>N/D</t>
        </is>
      </c>
      <c r="AB72" s="10" t="inlineStr">
        <is>
          <t>ANBIMA Data — Fundos 175: características público</t>
        </is>
      </c>
      <c r="AC72" s="10" t="inlineStr">
        <is>
          <t>N/D</t>
        </is>
      </c>
      <c r="AD72" s="10" t="inlineStr">
        <is>
          <t>N/D</t>
        </is>
      </c>
      <c r="AE72" s="10" t="inlineStr">
        <is>
          <t>N/D</t>
        </is>
      </c>
      <c r="AF72" s="10" t="inlineStr">
        <is>
          <t>N/D</t>
        </is>
      </c>
      <c r="AG72" s="10" t="inlineStr">
        <is>
          <t>N/D</t>
        </is>
      </c>
      <c r="AH72" s="10" t="inlineStr">
        <is>
          <t>N/D</t>
        </is>
      </c>
      <c r="AI72" s="29" t="inlineStr">
        <is>
          <t>Def. "Endossante": pessoa jurídica que endossa os Direitos Creditórios ao Fundo. O Fundo somente poderá adquirir Direitos Creditórios de Endossantes que tenham contratado o Correspondente Bancário e tenham sido aprovados pelo Banco XP. Def. "Devedor": cada pessoa física emissora de CCB.</t>
        </is>
      </c>
      <c r="AJ72" s="29" t="inlineStr">
        <is>
          <t>618409;751266 (localizados por busca no FundosNET por CNPJ)</t>
        </is>
      </c>
      <c r="AK72" s="29" t="inlineStr">
        <is>
          <t>Não</t>
        </is>
      </c>
      <c r="AL72" s="29" t="inlineStr">
        <is>
          <t>fora da faixa</t>
        </is>
      </c>
      <c r="AM72" s="29" t="inlineStr">
        <is>
          <t>Devedor é pessoa física em consignado privado; não é crédito a empresa.</t>
        </is>
      </c>
      <c r="AN72" s="29" t="inlineStr">
        <is>
          <t>leitura do regulamento nesta rodada</t>
        </is>
      </c>
    </row>
    <row r="73" ht="48" customHeight="1">
      <c r="A73" s="14" t="n">
        <v>69</v>
      </c>
      <c r="B73" s="14" t="n">
        <v>69</v>
      </c>
      <c r="C73" s="11" t="inlineStr">
        <is>
          <t>Top 100 por PL ex-FIC</t>
        </is>
      </c>
      <c r="D73" s="17" t="n">
        <v>53300525000109</v>
      </c>
      <c r="E73" s="11" t="inlineStr">
        <is>
          <t>53.300.525/0001-09</t>
        </is>
      </c>
      <c r="F73" s="11" t="inlineStr">
        <is>
          <t>IBCB-AF01 FUNDO DE INVESTIMENTO EM DIREITOS CREDITÓRIOS</t>
        </is>
      </c>
      <c r="G73" s="20" t="n">
        <v>1909790565.67</v>
      </c>
      <c r="H73" s="23" t="n">
        <v>0.002325152113685187</v>
      </c>
      <c r="I73" s="23" t="n">
        <v>1</v>
      </c>
      <c r="J73" s="23" t="inlineStr">
        <is>
          <t>N/D</t>
        </is>
      </c>
      <c r="K73" s="23" t="inlineStr">
        <is>
          <t>N/D</t>
        </is>
      </c>
      <c r="L73" s="11" t="inlineStr">
        <is>
          <t>N/D</t>
        </is>
      </c>
      <c r="M73" s="28" t="inlineStr">
        <is>
          <t>não localizado — cedentes e endossantes genéricos</t>
        </is>
      </c>
      <c r="N73" s="11" t="n"/>
      <c r="O73" s="11" t="inlineStr">
        <is>
          <t>N/D</t>
        </is>
      </c>
      <c r="P73" s="11" t="inlineStr">
        <is>
          <t>N/D</t>
        </is>
      </c>
      <c r="Q73" s="11" t="inlineStr">
        <is>
          <t>Recebíveis comerciais/multissetorial</t>
        </is>
      </c>
      <c r="R73" s="11" t="inlineStr">
        <is>
          <t>Agro, Indústria e Comércio</t>
        </is>
      </c>
      <c r="S73" s="11" t="inlineStr">
        <is>
          <t>Recebíveis Comerciais</t>
        </is>
      </c>
      <c r="T73" s="11" t="inlineStr">
        <is>
          <t>Agro, Indústria e Comércio</t>
        </is>
      </c>
      <c r="U73" s="11" t="inlineStr">
        <is>
          <t>Recebíveis Comerciais</t>
        </is>
      </c>
      <c r="V73" s="11" t="inlineStr">
        <is>
          <t>Crédito PJ</t>
        </is>
      </c>
      <c r="W73" s="11" t="inlineStr">
        <is>
          <t>Recebíveis comerciais/multissetorial</t>
        </is>
      </c>
      <c r="X73" s="28" t="inlineStr">
        <is>
          <t>N/D</t>
        </is>
      </c>
      <c r="Y73" s="28" t="inlineStr">
        <is>
          <t>Indeterminado — regulamento sem métrica de porte</t>
        </is>
      </c>
      <c r="Z73" s="28" t="inlineStr">
        <is>
          <t>Cedente genérico.</t>
        </is>
      </c>
      <c r="AA73" s="11" t="inlineStr">
        <is>
          <t>O documento define cedentes e endossantes como partes que transferem recebíveis sem individualizar entidades.</t>
        </is>
      </c>
      <c r="AB73" s="11" t="inlineStr">
        <is>
          <t>https://fnet.bmfbovespa.com.br/fnet/publico/abrirGerenciadorDocumentosCVM?cnpjFundo=53300525000109</t>
        </is>
      </c>
      <c r="AC73" s="11" t="inlineStr">
        <is>
          <t>1246711</t>
        </is>
      </c>
      <c r="AD73" s="11" t="inlineStr">
        <is>
          <t>N/D</t>
        </is>
      </c>
      <c r="AE73" s="11" t="inlineStr">
        <is>
          <t>p. 44 — política/definição do lastro</t>
        </is>
      </c>
      <c r="AF73" s="11" t="inlineStr">
        <is>
          <t>N/D</t>
        </is>
      </c>
      <c r="AG73" s="11" t="inlineStr">
        <is>
          <t>N/D</t>
        </is>
      </c>
      <c r="AH73" s="11" t="inlineStr">
        <is>
          <t>taxonomia disponível — partes e lastro documental N/D</t>
        </is>
      </c>
      <c r="AI73" s="29" t="inlineStr">
        <is>
          <t>Def. "Cedentes": os cedentes e/ou endossantes que realizam a transferência de Direitos de Crédito à Classe por meio de Contrato de Cessão.</t>
        </is>
      </c>
      <c r="AJ73" s="29" t="inlineStr">
        <is>
          <t>1246711</t>
        </is>
      </c>
      <c r="AK73" s="29" t="inlineStr">
        <is>
          <t>Não</t>
        </is>
      </c>
      <c r="AL73" s="29" t="inlineStr">
        <is>
          <t>indeterminado</t>
        </is>
      </c>
      <c r="AM73" s="29" t="inlineStr">
        <is>
          <t>Cedente genérico.</t>
        </is>
      </c>
      <c r="AN73" s="29" t="inlineStr">
        <is>
          <t>leitura do regulamento nesta rodada</t>
        </is>
      </c>
    </row>
    <row r="74" ht="48" customHeight="1">
      <c r="A74" s="13" t="n">
        <v>70</v>
      </c>
      <c r="B74" s="13" t="n">
        <v>70</v>
      </c>
      <c r="C74" s="10" t="inlineStr">
        <is>
          <t>Top 100 por PL ex-FIC</t>
        </is>
      </c>
      <c r="D74" s="16" t="n">
        <v>24504464000101</v>
      </c>
      <c r="E74" s="10" t="inlineStr">
        <is>
          <t>24.504.464/0001-01</t>
        </is>
      </c>
      <c r="F74" s="10" t="inlineStr">
        <is>
          <t>IOX II FUNDO DE INVESTIMENTO EM DIREITOS CREDITÓRIOS DE RESPONSABILIDADE LIMITADA</t>
        </is>
      </c>
      <c r="G74" s="19" t="n">
        <v>1893430371.86</v>
      </c>
      <c r="H74" s="22" t="n">
        <v>0.002305233731061763</v>
      </c>
      <c r="I74" s="22" t="n">
        <v>0.3808755174811066</v>
      </c>
      <c r="J74" s="22" t="inlineStr">
        <is>
          <t>N/D</t>
        </is>
      </c>
      <c r="K74" s="22" t="inlineStr">
        <is>
          <t>N/D</t>
        </is>
      </c>
      <c r="L74" s="10" t="inlineStr">
        <is>
          <t>N/D</t>
        </is>
      </c>
      <c r="M74" s="28" t="inlineStr">
        <is>
          <t>não localizado — multicedente multissegmento</t>
        </is>
      </c>
      <c r="N74" s="10" t="n"/>
      <c r="O74" s="10" t="inlineStr">
        <is>
          <t>N/D</t>
        </is>
      </c>
      <c r="P74" s="10" t="inlineStr">
        <is>
          <t>N/D</t>
        </is>
      </c>
      <c r="Q74" s="10" t="inlineStr">
        <is>
          <t>Recebíveis comerciais/multissetorial</t>
        </is>
      </c>
      <c r="R74" s="10" t="inlineStr">
        <is>
          <t>Fomento Mercantil</t>
        </is>
      </c>
      <c r="S74" s="10" t="inlineStr">
        <is>
          <t>Fomento Mercantil</t>
        </is>
      </c>
      <c r="T74" s="10" t="inlineStr">
        <is>
          <t>Fomento Mercantil</t>
        </is>
      </c>
      <c r="U74" s="10" t="inlineStr">
        <is>
          <t>Fomento Mercantil</t>
        </is>
      </c>
      <c r="V74" s="10" t="inlineStr">
        <is>
          <t>Crédito PJ</t>
        </is>
      </c>
      <c r="W74" s="10" t="inlineStr">
        <is>
          <t>Recebíveis comerciais/multissetorial</t>
        </is>
      </c>
      <c r="X74" s="28" t="inlineStr">
        <is>
          <t>N/D</t>
        </is>
      </c>
      <c r="Y74" s="28" t="inlineStr">
        <is>
          <t>Indeterminado — regulamento sem métrica de porte</t>
        </is>
      </c>
      <c r="Z74" s="28" t="inlineStr">
        <is>
          <t>Lastro corporativo multissegmento explícito, inclusive empresas em recuperação, mas sem faixa de faturamento.</t>
        </is>
      </c>
      <c r="AA74" s="10" t="inlineStr">
        <is>
          <t>NTRATAR PRESTADORES DE SERVICOS HABILITADOS PARA A VERIFICACAO E A GUARDA FISICA DOS DOCUMENTOS COMPROBATORIOS. 12. CRITERIOS DE ELEGIBILIDADE 12.1 O FUNDO SOMENTE PODERA ADQUIRIR DIREITOS CREDITORIOS QUE ATENDAM, EXCLUSIVA E CUMULATIVAMENTE, AOS SEGUINTES CRITERIOS DE ELEGIBILIDADE: A) SER REPRESENTADOS POR NOTAS COMERCIAIS, NOTAS PROMISSORIAS, DUPLICATAS, CHEQUES, CEDULAS DE CREDITO BANCARIO, CEDULAS DE PRODUTOR RURAL FINANCEIRA; B) TER VALOR MINIMO DE R$ 0,01 (UM CENTAVO);</t>
        </is>
      </c>
      <c r="AB74" s="10" t="inlineStr">
        <is>
          <t>https://fnet.bmfbovespa.com.br/fnet/publico/abrirGerenciadorDocumentosCVM?cnpjFundo=24504464000101</t>
        </is>
      </c>
      <c r="AC74" s="10" t="inlineStr">
        <is>
          <t>1266015</t>
        </is>
      </c>
      <c r="AD74" s="10" t="inlineStr">
        <is>
          <t>N/D</t>
        </is>
      </c>
      <c r="AE74" s="10" t="inlineStr">
        <is>
          <t>p. 15 — política/definição do lastro</t>
        </is>
      </c>
      <c r="AF74" s="10" t="inlineStr">
        <is>
          <t>N/D</t>
        </is>
      </c>
      <c r="AG74" s="10" t="inlineStr">
        <is>
          <t>N/D</t>
        </is>
      </c>
      <c r="AH74" s="10" t="inlineStr">
        <is>
          <t>taxonomia disponível — partes e lastro documental N/D</t>
        </is>
      </c>
      <c r="AI74" s="29" t="inlineStr">
        <is>
          <t>Item 11.1: Direitos Creditórios originados de operações entre Cedentes e Devedores nos segmentos industrial, comercial, imobiliário, agrícola, financeiro, hipotecário, de arrendamento mercantil e de serviços; item 10.1.2 admite cessão por empresas em recuperação judicial.</t>
        </is>
      </c>
      <c r="AJ74" s="29" t="inlineStr">
        <is>
          <t>1266015</t>
        </is>
      </c>
      <c r="AK74" s="29" t="inlineStr">
        <is>
          <t>Não</t>
        </is>
      </c>
      <c r="AL74" s="29" t="inlineStr">
        <is>
          <t>indeterminado</t>
        </is>
      </c>
      <c r="AM74" s="29" t="inlineStr">
        <is>
          <t>Lastro corporativo multissegmento explícito, inclusive empresas em recuperação, mas sem faixa de faturamento.</t>
        </is>
      </c>
      <c r="AN74" s="29" t="inlineStr">
        <is>
          <t>leitura do regulamento nesta rodada</t>
        </is>
      </c>
    </row>
    <row r="75" hidden="1" ht="48" customHeight="1">
      <c r="A75" s="14" t="n">
        <v>71</v>
      </c>
      <c r="B75" s="14" t="n">
        <v>71</v>
      </c>
      <c r="C75" s="11" t="inlineStr">
        <is>
          <t>Top 100 por PL ex-FIC</t>
        </is>
      </c>
      <c r="D75" s="17" t="n">
        <v>43489824000180</v>
      </c>
      <c r="E75" s="11" t="inlineStr">
        <is>
          <t>43.489.824/0001-80</t>
        </is>
      </c>
      <c r="F75" s="11" t="inlineStr">
        <is>
          <t>FUNDO DE INVESTIMENTO EM DIREITOS CREDITÓRIOS COMPLEMENTAR AUTO-FORD</t>
        </is>
      </c>
      <c r="G75" s="20" t="n">
        <v>1883891566.03</v>
      </c>
      <c r="H75" s="23" t="n">
        <v>0.002293620324368723</v>
      </c>
      <c r="I75" s="23" t="n">
        <v>0</v>
      </c>
      <c r="J75" s="23" t="inlineStr">
        <is>
          <t>N/D</t>
        </is>
      </c>
      <c r="K75" s="23" t="inlineStr">
        <is>
          <t>N/D</t>
        </is>
      </c>
      <c r="L75" s="11" t="inlineStr">
        <is>
          <t>N/D</t>
        </is>
      </c>
      <c r="M75" s="11" t="inlineStr">
        <is>
          <t>Ford</t>
        </is>
      </c>
      <c r="N75" s="11" t="n"/>
      <c r="O75" s="11" t="inlineStr">
        <is>
          <t>N/D</t>
        </is>
      </c>
      <c r="P75" s="11" t="inlineStr">
        <is>
          <t>N/D</t>
        </is>
      </c>
      <c r="Q75" s="11" t="inlineStr">
        <is>
          <t>N/D</t>
        </is>
      </c>
      <c r="R75" s="11" t="inlineStr">
        <is>
          <t>Financeiro</t>
        </is>
      </c>
      <c r="S75" s="11" t="inlineStr">
        <is>
          <t>Financiamento de Veículos</t>
        </is>
      </c>
      <c r="T75" s="11" t="inlineStr">
        <is>
          <t>Financeiro</t>
        </is>
      </c>
      <c r="U75" s="11" t="inlineStr">
        <is>
          <t>Financiamento de Veículos</t>
        </is>
      </c>
      <c r="V75" s="11" t="inlineStr">
        <is>
          <t>N/D</t>
        </is>
      </c>
      <c r="W75" s="11" t="inlineStr">
        <is>
          <t>N/D</t>
        </is>
      </c>
      <c r="X75" s="11" t="inlineStr">
        <is>
          <t>N/D</t>
        </is>
      </c>
      <c r="Y75" s="11" t="inlineStr">
        <is>
          <t>N/D — dados insuficientes</t>
        </is>
      </c>
      <c r="Z75" s="11" t="inlineStr">
        <is>
          <t>Cedente, sacado e tipo de recebível não foram localizados.</t>
        </is>
      </c>
      <c r="AA75" s="11" t="inlineStr">
        <is>
          <t>N/D</t>
        </is>
      </c>
      <c r="AB75" s="11" t="inlineStr">
        <is>
          <t>ANBIMA Data — Fundos 175: características público</t>
        </is>
      </c>
      <c r="AC75" s="11" t="inlineStr">
        <is>
          <t>N/D</t>
        </is>
      </c>
      <c r="AD75" s="11" t="inlineStr">
        <is>
          <t>N/D</t>
        </is>
      </c>
      <c r="AE75" s="11" t="inlineStr">
        <is>
          <t>N/D</t>
        </is>
      </c>
      <c r="AF75" s="11" t="inlineStr">
        <is>
          <t>N/D</t>
        </is>
      </c>
      <c r="AG75" s="11" t="inlineStr">
        <is>
          <t>N/D</t>
        </is>
      </c>
      <c r="AH75" s="11" t="inlineStr">
        <is>
          <t>N/D</t>
        </is>
      </c>
      <c r="AN75" s="27" t="inlineStr">
        <is>
          <t>curadoria anterior — não revisada nesta rodada</t>
        </is>
      </c>
    </row>
    <row r="76" hidden="1" ht="48" customHeight="1">
      <c r="A76" s="13" t="n">
        <v>72</v>
      </c>
      <c r="B76" s="13" t="n">
        <v>72</v>
      </c>
      <c r="C76" s="10" t="inlineStr">
        <is>
          <t>Top 100 por PL ex-FIC</t>
        </is>
      </c>
      <c r="D76" s="16" t="n">
        <v>63572282000111</v>
      </c>
      <c r="E76" s="10" t="inlineStr">
        <is>
          <t>63.572.282/0001-11</t>
        </is>
      </c>
      <c r="F76" s="10" t="inlineStr">
        <is>
          <t>SELLER 3 FUNDO DE INVESTIMENTO EM DIREITOS CREDITÓRIOS SEGMENTO MEIOS DE PAGAMENTO DE RESP LIMITADA</t>
        </is>
      </c>
      <c r="G76" s="19" t="n">
        <v>1876075238.87</v>
      </c>
      <c r="H76" s="22" t="n">
        <v>0.002284104019312019</v>
      </c>
      <c r="I76" s="22" t="n">
        <v>0.1553066180466027</v>
      </c>
      <c r="J76" s="22" t="inlineStr">
        <is>
          <t>N/D</t>
        </is>
      </c>
      <c r="K76" s="22" t="inlineStr">
        <is>
          <t>N/D</t>
        </is>
      </c>
      <c r="L76" s="10" t="inlineStr">
        <is>
          <t>N/D</t>
        </is>
      </c>
      <c r="M76" s="10" t="inlineStr">
        <is>
          <t>Mercado Pago</t>
        </is>
      </c>
      <c r="N76" s="10" t="n"/>
      <c r="O76" s="10" t="inlineStr">
        <is>
          <t>N/D</t>
        </is>
      </c>
      <c r="P76" s="10" t="inlineStr">
        <is>
          <t>N/D</t>
        </is>
      </c>
      <c r="Q76" s="10" t="inlineStr">
        <is>
          <t>Arranjos de pagamento/adquirência</t>
        </is>
      </c>
      <c r="R76" s="10" t="inlineStr">
        <is>
          <t>Agro, Indústria e Comércio</t>
        </is>
      </c>
      <c r="S76" s="10" t="inlineStr">
        <is>
          <t>Recebíveis Comerciais</t>
        </is>
      </c>
      <c r="T76" s="10" t="inlineStr">
        <is>
          <t>Financeiro</t>
        </is>
      </c>
      <c r="U76" s="10" t="inlineStr">
        <is>
          <t>Adquirência</t>
        </is>
      </c>
      <c r="V76" s="10" t="inlineStr">
        <is>
          <t>Meios de Pagamento e Cartões</t>
        </is>
      </c>
      <c r="W76" s="10" t="inlineStr">
        <is>
          <t>Arranjos de pagamento/adquirência</t>
        </is>
      </c>
      <c r="X76" s="10" t="b">
        <v>0</v>
      </c>
      <c r="Y76" s="10" t="inlineStr">
        <is>
          <t>Sem indício documental de Middle Market</t>
        </is>
      </c>
      <c r="Z76" s="10" t="inlineStr">
        <is>
          <t>A evidência disponível aponta outro tipo de risco ou não traz crédito corporativo.</t>
        </is>
      </c>
      <c r="AA76" s="10" t="inlineStr">
        <is>
          <t>Financeiro → Adquirência; risco adquirente corporativo</t>
        </is>
      </c>
      <c r="AB76" s="10" t="inlineStr">
        <is>
          <t>Comentário explícito do usuário — tarefa Adquirência</t>
        </is>
      </c>
      <c r="AC76" s="10" t="inlineStr">
        <is>
          <t>chat_task_acquiring_2026_07_31</t>
        </is>
      </c>
      <c r="AD76" s="10" t="inlineStr">
        <is>
          <t>N/D</t>
        </is>
      </c>
      <c r="AE76" s="10" t="inlineStr">
        <is>
          <t>Lista de fundos da tarefa</t>
        </is>
      </c>
      <c r="AF76" s="10" t="inlineStr">
        <is>
          <t>N/D</t>
        </is>
      </c>
      <c r="AG76" s="10" t="inlineStr">
        <is>
          <t>N/D</t>
        </is>
      </c>
      <c r="AH76" s="10" t="inlineStr">
        <is>
          <t>taxonomia disponível — partes e lastro documental N/D</t>
        </is>
      </c>
      <c r="AN76" s="27" t="inlineStr">
        <is>
          <t>curadoria anterior — não revisada nesta rodada</t>
        </is>
      </c>
    </row>
    <row r="77" hidden="1" ht="48" customHeight="1">
      <c r="A77" s="14" t="n">
        <v>73</v>
      </c>
      <c r="B77" s="14" t="n">
        <v>73</v>
      </c>
      <c r="C77" s="11" t="inlineStr">
        <is>
          <t>Top 100 por PL ex-FIC</t>
        </is>
      </c>
      <c r="D77" s="17" t="n">
        <v>28279473000199</v>
      </c>
      <c r="E77" s="11" t="inlineStr">
        <is>
          <t>28.279.473/0001-99</t>
        </is>
      </c>
      <c r="F77" s="11" t="inlineStr">
        <is>
          <t>FUNDO DE INVESTIMENTO EM DIREITOS CREDITÓRIOS AUTO-HONDA</t>
        </is>
      </c>
      <c r="G77" s="20" t="n">
        <v>1844741719.62</v>
      </c>
      <c r="H77" s="23" t="n">
        <v>0.002245955753306855</v>
      </c>
      <c r="I77" s="23" t="n">
        <v>0.1167435114360664</v>
      </c>
      <c r="J77" s="23" t="inlineStr">
        <is>
          <t>N/D</t>
        </is>
      </c>
      <c r="K77" s="23" t="inlineStr">
        <is>
          <t>N/D</t>
        </is>
      </c>
      <c r="L77" s="11" t="inlineStr">
        <is>
          <t>N/D</t>
        </is>
      </c>
      <c r="M77" s="11" t="inlineStr">
        <is>
          <t>Honda</t>
        </is>
      </c>
      <c r="N77" s="11" t="n"/>
      <c r="O77" s="11" t="inlineStr">
        <is>
          <t>N/D</t>
        </is>
      </c>
      <c r="P77" s="11" t="inlineStr">
        <is>
          <t>N/D</t>
        </is>
      </c>
      <c r="Q77" s="11" t="inlineStr">
        <is>
          <t>Recebíveis comerciais/multissetorial</t>
        </is>
      </c>
      <c r="R77" s="11" t="inlineStr">
        <is>
          <t>Agro, Indústria e Comércio</t>
        </is>
      </c>
      <c r="S77" s="11" t="inlineStr">
        <is>
          <t>Recebíveis Comerciais</t>
        </is>
      </c>
      <c r="T77" s="11" t="inlineStr">
        <is>
          <t>Agro, Indústria e Comércio</t>
        </is>
      </c>
      <c r="U77" s="11" t="inlineStr">
        <is>
          <t>Crédito Corporativo</t>
        </is>
      </c>
      <c r="V77" s="11" t="inlineStr">
        <is>
          <t>Crédito PJ</t>
        </is>
      </c>
      <c r="W77" s="11" t="inlineStr">
        <is>
          <t>Recebíveis comerciais/multissetorial</t>
        </is>
      </c>
      <c r="X77" s="11" t="inlineStr">
        <is>
          <t>N/D</t>
        </is>
      </c>
      <c r="Y77" s="11" t="inlineStr">
        <is>
          <t>Indício de crédito corporativo; porte N/D</t>
        </is>
      </c>
      <c r="Z77" s="11" t="inlineStr">
        <is>
          <t>O lastro é compatível com crédito corporativo tradicional, mas a base não documenta o porte do tomador.</t>
        </is>
      </c>
      <c r="AA77" s="11" t="inlineStr">
        <is>
          <t>A CLASSE, O AGENTE DE COBRANCA FARA JUS A TAXA DE COBRANCA, NOS TERMOS DO CONTRATO DE COBRANCA. 9. POLITICA DE INVESTIMENTO 9.1. OS INVESTIMENTOS DA CLASSE CONSISTIRAO EM DIREITOS CREDITORIOS E INVESTIMENTOS PERMITIDOS (“POLITICA DE INVESTIMENTO”). 9.2. A CLASSE E VOLTAD A, PRIMORDIALMENTE, A APLICACAO EM DIREITOS CREDITORIOS , ORIUNDOS DA VENDA DE VEICULOS A PRAZO DO CEDENTE EM FAVOR DA RESPECTIVA CONCESSIONARIA. 9.2.1. A CLASSE E CLASSIFICADA COMO UMA CLASSE DE FUNDO DE INVESTIMENTO EM DIREITOS CREDITORIOS DO TIPO ANBIMA " AGRO, INDUSTRIA E COMERCIO ", COM FOCO DE ATUACAO EM "RECEBIVEIS COMERCIAIS", NOS TERMOS DO “CODIGO DE ADMINISTRACAO E GESTAO DE RECURSOS DE TERCEIROS” EDITADO PELA ANBIMA E EM VIGOR NESTA DATA. 9.2.2. A CLASSE DEVERA MANTER, EM ATE 180 (CENTO E OITENTA) DIAS A PARTIR DO INICIO DE SUAS A</t>
        </is>
      </c>
      <c r="AB77" s="11" t="inlineStr">
        <is>
          <t>FundosNet/B3 — regulamento 659783</t>
        </is>
      </c>
      <c r="AC77" s="11" t="inlineStr">
        <is>
          <t>659783</t>
        </is>
      </c>
      <c r="AD77" s="11" t="inlineStr">
        <is>
          <t>N/D</t>
        </is>
      </c>
      <c r="AE77" s="11" t="inlineStr">
        <is>
          <t>p. 38 — venda de veículos a prazo à concessionária</t>
        </is>
      </c>
      <c r="AF77" s="11" t="inlineStr">
        <is>
          <t>N/D</t>
        </is>
      </c>
      <c r="AG77" s="11" t="inlineStr">
        <is>
          <t>N/D</t>
        </is>
      </c>
      <c r="AH77" s="11" t="inlineStr">
        <is>
          <t>taxonomia disponível — partes e lastro documental N/D</t>
        </is>
      </c>
      <c r="AN77" s="27" t="inlineStr">
        <is>
          <t>curadoria anterior — não revisada nesta rodada</t>
        </is>
      </c>
    </row>
    <row r="78" hidden="1" ht="48" customHeight="1">
      <c r="A78" s="13" t="n">
        <v>74</v>
      </c>
      <c r="B78" s="13" t="n">
        <v>74</v>
      </c>
      <c r="C78" s="10" t="inlineStr">
        <is>
          <t>Top 100 por PL ex-FIC</t>
        </is>
      </c>
      <c r="D78" s="16" t="n">
        <v>41970012000126</v>
      </c>
      <c r="E78" s="10" t="inlineStr">
        <is>
          <t>41.970.012/0001-26</t>
        </is>
      </c>
      <c r="F78" s="10" t="inlineStr">
        <is>
          <t>MERCADO CRÉDITO II BRASIL FUNDO DE INVESTIMENTO EM DIREITOS CREDITÓRIOS DE RESPONSABILIDADE LIMITADA</t>
        </is>
      </c>
      <c r="G78" s="19" t="n">
        <v>1761615997.81</v>
      </c>
      <c r="H78" s="22" t="n">
        <v>0.00214475096612103</v>
      </c>
      <c r="I78" s="22" t="n">
        <v>0.3143179016233531</v>
      </c>
      <c r="J78" s="22" t="inlineStr">
        <is>
          <t>N/D</t>
        </is>
      </c>
      <c r="K78" s="22" t="inlineStr">
        <is>
          <t>N/D</t>
        </is>
      </c>
      <c r="L78" s="10" t="inlineStr">
        <is>
          <t>N/D</t>
        </is>
      </c>
      <c r="M78" s="10" t="inlineStr">
        <is>
          <t>Mercado Pago</t>
        </is>
      </c>
      <c r="N78" s="10" t="n"/>
      <c r="O78" s="10" t="inlineStr">
        <is>
          <t>N/D</t>
        </is>
      </c>
      <c r="P78" s="10" t="inlineStr">
        <is>
          <t>N/D</t>
        </is>
      </c>
      <c r="Q78" s="10" t="inlineStr">
        <is>
          <t>CCB/Notas comerciais/Capital de giro</t>
        </is>
      </c>
      <c r="R78" s="10" t="inlineStr">
        <is>
          <t>Financeiro</t>
        </is>
      </c>
      <c r="S78" s="10" t="inlineStr">
        <is>
          <t>Multicarteira Financeiro</t>
        </is>
      </c>
      <c r="T78" s="10" t="inlineStr">
        <is>
          <t>Financeiro</t>
        </is>
      </c>
      <c r="U78" s="10" t="inlineStr">
        <is>
          <t>Multicarteira Financeiro</t>
        </is>
      </c>
      <c r="V78" s="10" t="inlineStr">
        <is>
          <t>Crédito PJ</t>
        </is>
      </c>
      <c r="W78" s="10" t="inlineStr">
        <is>
          <t>CCB/Notas comerciais/Capital de giro</t>
        </is>
      </c>
      <c r="X78" s="10" t="inlineStr">
        <is>
          <t>N/D</t>
        </is>
      </c>
      <c r="Y78" s="10" t="inlineStr">
        <is>
          <t>Indício de crédito corporativo; porte N/D</t>
        </is>
      </c>
      <c r="Z78" s="10" t="inlineStr">
        <is>
          <t>O lastro é compatível com crédito corporativo tradicional, mas a base não documenta o porte do tomador.</t>
        </is>
      </c>
      <c r="AA78" s="10" t="inlineStr">
        <is>
          <t>NAO EXCEDERA O VALOR MAXIMO DE INVESTIMENTO SENIOR E DEVERA RESPEITAR AS REGRAS PREVISTAS NESTE REGULAMENTO. "CARTEIRA" SIGNIFICA A CARTEIRA DE INVESTIMENTOS DO FUNDO, FORMADA POR DIREITOS CREDITORIOS E ATIVOS FINANCEIROS DE TITULARIDADE DO FUNDO. "CCB" OU "CCBS" SIGNIFICAM AS CEDULAS DE CREDITO BANCARIO EMITIDAS A PARTIR DOS CARACTERES CRIADOS EM COMPUTADOR PELOS DEVEDORES CCB EM FAVOR DAS INSTITUICOES FINANCEIRAS PARCEIRAS OU DA INSTITUICAO FINANCEIRA MELI, CONFORME O CASO, NOS TERMOS DA LEI NO 10.931, DE 02 DE A GOSTO DE 2004, CONFORME ALTERADA, COM O OBJETIVO DE REALIZAR UMA OPERACAO DE CREDITO PARCELADO OU EMPRESTIMO PESSOAL, CONFORME APLICAVEL, QUE OBSERVEM OS MODELOS PREVISTOS NOS CONTRATOS DE ENDOSSO. "CEDENTE" OU "CEDENTES" SIGNIFICAM OS CEDENTES CCB E OS CEDENTES PPV, QUANDO REFERIDOS EM CONJUNTO. "CEDEN</t>
        </is>
      </c>
      <c r="AB78" s="10" t="inlineStr">
        <is>
          <t>https://fnet.bmfbovespa.com.br/fnet/publico/abrirGerenciadorDocumentosCVM?cnpjFundo=41970012000126</t>
        </is>
      </c>
      <c r="AC78" s="10" t="inlineStr">
        <is>
          <t>1077334</t>
        </is>
      </c>
      <c r="AD78" s="10" t="inlineStr">
        <is>
          <t>N/D</t>
        </is>
      </c>
      <c r="AE78" s="10" t="inlineStr">
        <is>
          <t>p. 11 — política/definição do lastro</t>
        </is>
      </c>
      <c r="AF78" s="10" t="inlineStr">
        <is>
          <t>N/D</t>
        </is>
      </c>
      <c r="AG78" s="10" t="inlineStr">
        <is>
          <t>N/D</t>
        </is>
      </c>
      <c r="AH78" s="10" t="inlineStr">
        <is>
          <t>taxonomia disponível — partes e lastro documental N/D</t>
        </is>
      </c>
      <c r="AN78" s="27" t="inlineStr">
        <is>
          <t>curadoria anterior — não revisada nesta rodada</t>
        </is>
      </c>
    </row>
    <row r="79" ht="48" customHeight="1">
      <c r="A79" s="14" t="n">
        <v>75</v>
      </c>
      <c r="B79" s="14" t="n">
        <v>75</v>
      </c>
      <c r="C79" s="11" t="inlineStr">
        <is>
          <t>Top 100 por PL ex-FIC</t>
        </is>
      </c>
      <c r="D79" s="17" t="n">
        <v>32526025000110</v>
      </c>
      <c r="E79" s="11" t="inlineStr">
        <is>
          <t>32.526.025/0001-10</t>
        </is>
      </c>
      <c r="F79" s="11" t="inlineStr">
        <is>
          <t>COBUCCIO FUNDO DE INVESTIMENTO EM DIREITOS CREDITÓRIOS DE CLASSE ÚNICA FECHADA DE RESPONS LIMITADA</t>
        </is>
      </c>
      <c r="G79" s="20" t="n">
        <v>1759550198.61</v>
      </c>
      <c r="H79" s="23" t="n">
        <v>0.00214223587495728</v>
      </c>
      <c r="I79" s="23" t="n">
        <v>0.7555299286267351</v>
      </c>
      <c r="J79" s="23" t="inlineStr">
        <is>
          <t>N/D</t>
        </is>
      </c>
      <c r="K79" s="23" t="inlineStr">
        <is>
          <t>N/D</t>
        </is>
      </c>
      <c r="L79" s="11" t="inlineStr">
        <is>
          <t>N/D</t>
        </is>
      </c>
      <c r="M79" s="28" t="inlineStr">
        <is>
          <t>Brasil Card e coligadas; Estabelecimentos Comerciais representados pela Bolt Card; Cobuccio S.A. SCFI</t>
        </is>
      </c>
      <c r="N79" s="11" t="n"/>
      <c r="O79" s="11" t="inlineStr">
        <is>
          <t>N/D</t>
        </is>
      </c>
      <c r="P79" s="11" t="inlineStr">
        <is>
          <t>N/D</t>
        </is>
      </c>
      <c r="Q79" s="11" t="inlineStr">
        <is>
          <t>Banco emissor/cartão de crédito</t>
        </is>
      </c>
      <c r="R79" s="11" t="inlineStr">
        <is>
          <t>Agro, Indústria e Comércio</t>
        </is>
      </c>
      <c r="S79" s="11" t="inlineStr">
        <is>
          <t>Recebíveis Comerciais</t>
        </is>
      </c>
      <c r="T79" s="11" t="inlineStr">
        <is>
          <t>Financeiro</t>
        </is>
      </c>
      <c r="U79" s="11" t="inlineStr">
        <is>
          <t>Cartão de crédito</t>
        </is>
      </c>
      <c r="V79" s="11" t="inlineStr">
        <is>
          <t>Meios de Pagamento e Cartões</t>
        </is>
      </c>
      <c r="W79" s="11" t="inlineStr">
        <is>
          <t>Banco emissor/cartão de crédito</t>
        </is>
      </c>
      <c r="X79" s="28" t="b">
        <v>0</v>
      </c>
      <c r="Y79" s="28" t="inlineStr">
        <is>
          <t>Fora da faixa de Middle Market por natureza do devedor</t>
        </is>
      </c>
      <c r="Z79" s="28" t="inlineStr">
        <is>
          <t>Devedor final é o portador do cartão, pessoa física. Os estabelecimentos comerciais cedentes são varejo capilar, sem faixa de faturamento no regulamento.</t>
        </is>
      </c>
      <c r="AA79" s="11" t="inlineStr">
        <is>
          <t>Direção aprovada: Financeiro / Cartão de crédito</t>
        </is>
      </c>
      <c r="AB79" s="11" t="inlineStr">
        <is>
          <t>FundosNet/B3 — regulamento 1186789</t>
        </is>
      </c>
      <c r="AC79" s="11" t="inlineStr">
        <is>
          <t>1186789</t>
        </is>
      </c>
      <c r="AD79" s="11" t="inlineStr">
        <is>
          <t>N/D</t>
        </is>
      </c>
      <c r="AE79" s="11" t="inlineStr">
        <is>
          <t>pp. 5–10 — cartões Brasil Card, faturas, carnês e CCBs</t>
        </is>
      </c>
      <c r="AF79" s="11" t="inlineStr">
        <is>
          <t>N/D</t>
        </is>
      </c>
      <c r="AG79" s="11" t="inlineStr">
        <is>
          <t>N/D</t>
        </is>
      </c>
      <c r="AH79" s="11" t="inlineStr">
        <is>
          <t>taxonomia disponível — partes e lastro documental N/D</t>
        </is>
      </c>
      <c r="AI79" s="29" t="inlineStr">
        <is>
          <t>Def. "Cedentes": (i) a Brasil Card e suas Coligadas; (ii) os Estabelecimentos Comerciais, representados pela Bolt Card; (iii) Cobuccio S.A. Sociedade de Crédito, Financiamento e Investimentos. Def. "Devedores": portadores de Cartões Brasil Card.</t>
        </is>
      </c>
      <c r="AJ79" s="29" t="inlineStr">
        <is>
          <t>1186789</t>
        </is>
      </c>
      <c r="AK79" s="29" t="inlineStr">
        <is>
          <t>Não</t>
        </is>
      </c>
      <c r="AL79" s="29" t="inlineStr">
        <is>
          <t>fora da faixa</t>
        </is>
      </c>
      <c r="AM79" s="29" t="inlineStr">
        <is>
          <t>Devedor final é o portador do cartão, pessoa física. Os estabelecimentos comerciais cedentes são varejo capilar, sem faixa de faturamento no regulamento.</t>
        </is>
      </c>
      <c r="AN79" s="29" t="inlineStr">
        <is>
          <t>leitura do regulamento nesta rodada</t>
        </is>
      </c>
    </row>
    <row r="80" hidden="1" ht="48" customHeight="1">
      <c r="A80" s="13" t="n">
        <v>76</v>
      </c>
      <c r="B80" s="13" t="n">
        <v>76</v>
      </c>
      <c r="C80" s="10" t="inlineStr">
        <is>
          <t>Top 100 por PL ex-FIC</t>
        </is>
      </c>
      <c r="D80" s="16" t="n">
        <v>38376526000143</v>
      </c>
      <c r="E80" s="10" t="inlineStr">
        <is>
          <t>38.376.526/0001-43</t>
        </is>
      </c>
      <c r="F80" s="10" t="inlineStr">
        <is>
          <t>HOTFUND FUNDO DE INVESTIMENTO EM DIREITOS CREDITÓRIOS SEGMENTO MEIOS DE PAGAMENTO DE RESPONSABILIDAD</t>
        </is>
      </c>
      <c r="G80" s="19" t="n">
        <v>1702368453.87</v>
      </c>
      <c r="H80" s="22" t="n">
        <v>0.002072617636687382</v>
      </c>
      <c r="I80" s="22" t="n">
        <v>0.7641689143038269</v>
      </c>
      <c r="J80" s="22" t="inlineStr">
        <is>
          <t>N/D</t>
        </is>
      </c>
      <c r="K80" s="22" t="inlineStr">
        <is>
          <t>N/D</t>
        </is>
      </c>
      <c r="L80" s="10" t="inlineStr">
        <is>
          <t>N/D</t>
        </is>
      </c>
      <c r="M80" s="10" t="inlineStr">
        <is>
          <t>Hotmart</t>
        </is>
      </c>
      <c r="N80" s="10" t="n"/>
      <c r="O80" s="10" t="inlineStr">
        <is>
          <t>Hotmart</t>
        </is>
      </c>
      <c r="P80" s="10" t="inlineStr">
        <is>
          <t>N/D</t>
        </is>
      </c>
      <c r="Q80" s="10" t="inlineStr">
        <is>
          <t>antecipação de parcelas de criadores de conteúdo</t>
        </is>
      </c>
      <c r="R80" s="10" t="inlineStr">
        <is>
          <t>Financeiro</t>
        </is>
      </c>
      <c r="S80" s="10" t="inlineStr">
        <is>
          <t>Multicarteira Financeiro</t>
        </is>
      </c>
      <c r="T80" s="10" t="inlineStr">
        <is>
          <t>Financeiro</t>
        </is>
      </c>
      <c r="U80" s="10" t="inlineStr">
        <is>
          <t>Adquirência</t>
        </is>
      </c>
      <c r="V80" s="10" t="inlineStr">
        <is>
          <t>Meios de Pagamento e Cartões</t>
        </is>
      </c>
      <c r="W80" s="10" t="inlineStr">
        <is>
          <t>Arranjos de pagamento/adquirência</t>
        </is>
      </c>
      <c r="X80" s="10" t="b">
        <v>0</v>
      </c>
      <c r="Y80" s="10" t="inlineStr">
        <is>
          <t>Sem indício documental de Middle Market</t>
        </is>
      </c>
      <c r="Z80" s="10" t="inlineStr">
        <is>
          <t>A evidência disponível aponta outro tipo de risco ou não traz crédito corporativo.</t>
        </is>
      </c>
      <c r="AA80" s="10" t="inlineStr">
        <is>
          <t>Nota 6 (a): «…DECORRENTES DE TRANSAÇÕES DE PAGAMENTO REALIZADAS POR USUÁRIOS COMPRADORES COM CARTÃO, À VISTA OU PARCELADAS, OPERACIONALIZADA PELO SISTEMA HOTPAY NO ÂMBITO DO RESPECTIVO ARRANJO DE PAGAMENTO»; «A MAIS RELEVANTE PARA FINS DA OPERAÇÃO DA CLASSE É O CRÉDITO DO PRODUTOR EM FACE DA SUBCREDENCIADORA (I.E., HOTMART)». A liquidação descrita na mesma nota passa por bandeiras, CIP/SILOC e credenciadoras.</t>
        </is>
      </c>
      <c r="AB80" s="10" t="inlineStr">
        <is>
          <t>https://fnet.bmfbovespa.com.br/fnet/publico/abrirGerenciadorDocumentosCVM?cnpjFundo=38376526000143</t>
        </is>
      </c>
      <c r="AC80" s="10" t="inlineStr">
        <is>
          <t>1072072</t>
        </is>
      </c>
      <c r="AD80" s="10" t="inlineStr">
        <is>
          <t>N/D</t>
        </is>
      </c>
      <c r="AE80" s="10" t="inlineStr">
        <is>
          <t>Demonstrações financeiras, nota explicativa 6 (a) e 6 (e)</t>
        </is>
      </c>
      <c r="AF80" s="10" t="inlineStr">
        <is>
          <t>N/D</t>
        </is>
      </c>
      <c r="AG80" s="10" t="inlineStr">
        <is>
          <t>N/D</t>
        </is>
      </c>
      <c r="AH80" s="10" t="inlineStr">
        <is>
          <t>documentado — parte ou lastro identificado</t>
        </is>
      </c>
      <c r="AN80" s="27" t="inlineStr">
        <is>
          <t>curadoria anterior — não revisada nesta rodada</t>
        </is>
      </c>
    </row>
    <row r="81" hidden="1" ht="48" customHeight="1">
      <c r="A81" s="14" t="n">
        <v>77</v>
      </c>
      <c r="B81" s="14" t="n">
        <v>77</v>
      </c>
      <c r="C81" s="11" t="inlineStr">
        <is>
          <t>Top 100 por PL ex-FIC</t>
        </is>
      </c>
      <c r="D81" s="17" t="n">
        <v>40750266000176</v>
      </c>
      <c r="E81" s="11" t="inlineStr">
        <is>
          <t>40.750.266/0001-76</t>
        </is>
      </c>
      <c r="F81" s="11" t="inlineStr">
        <is>
          <t>FUNDO DE INVESTIMENTO EM DIREITOS CREDITÓRIOS MT I RECEIVABLES RESPONSABILIDADE LIMITADA</t>
        </is>
      </c>
      <c r="G81" s="20" t="n">
        <v>1701914787.69</v>
      </c>
      <c r="H81" s="23" t="n">
        <v>0.002072065302365339</v>
      </c>
      <c r="I81" s="23" t="n">
        <v>0</v>
      </c>
      <c r="J81" s="23" t="inlineStr">
        <is>
          <t>N/D</t>
        </is>
      </c>
      <c r="K81" s="23" t="inlineStr">
        <is>
          <t>N/D</t>
        </is>
      </c>
      <c r="L81" s="11" t="inlineStr">
        <is>
          <t>N/D</t>
        </is>
      </c>
      <c r="M81" s="11" t="inlineStr">
        <is>
          <t>MeuTudo</t>
        </is>
      </c>
      <c r="N81" s="11" t="n"/>
      <c r="O81" s="11" t="inlineStr">
        <is>
          <t>N/D</t>
        </is>
      </c>
      <c r="P81" s="11" t="inlineStr">
        <is>
          <t>N/D</t>
        </is>
      </c>
      <c r="Q81" s="11" t="inlineStr">
        <is>
          <t>Multicarteira outros</t>
        </is>
      </c>
      <c r="R81" s="11" t="inlineStr">
        <is>
          <t>Financeiro</t>
        </is>
      </c>
      <c r="S81" s="11" t="inlineStr">
        <is>
          <t>Crédito Pessoal</t>
        </is>
      </c>
      <c r="T81" s="11" t="inlineStr">
        <is>
          <t>Financeiro</t>
        </is>
      </c>
      <c r="U81" s="11" t="inlineStr">
        <is>
          <t>Crédito Pessoal</t>
        </is>
      </c>
      <c r="V81" s="11" t="inlineStr">
        <is>
          <t>Multissetorial / Outros</t>
        </is>
      </c>
      <c r="W81" s="11" t="inlineStr">
        <is>
          <t>Multicarteira outros</t>
        </is>
      </c>
      <c r="X81" s="11" t="b">
        <v>0</v>
      </c>
      <c r="Y81" s="11" t="inlineStr">
        <is>
          <t>Sem indício documental de Middle Market</t>
        </is>
      </c>
      <c r="Z81" s="11" t="inlineStr">
        <is>
          <t>A evidência disponível aponta outro tipo de risco ou não traz crédito corporativo.</t>
        </is>
      </c>
      <c r="AA81" s="11" t="inlineStr">
        <is>
          <t>AVEIS AS MANIFESTACOES DE VONTADE DOS COTISTAS; (VI) REMUNERACAO DOS PRESTADORES DE SERVICOS; (VII) POLITICA DE INVESTIMENTO E COMPOSICAO E DIVERSIFICACAO DA CARTEIRA; (VIII) EVENTOS DE AVALIACAO, EVENTOS DE LIQUIDACAO E LIQUIDACAO ANTECIPADA DA CLASSE; (IX) ORIGEM DOS DIREITOS CREDITORIOS; (X) CRITERIOS DE ELEGIBILIDADE; (XI) CUSTOS REFERENTES A DEFESA DOS INTERESSES DE CADA CLASSE DE COTAS; E (XII) FATORES DE RISCO. CAPITULO 2 – RESPONSABILIDADE DOS PRESTADORES DE SERVICOS ESSENCIAIS E DEMAIS PRESTADORES DE SERVICOS DO FUNDO 2.1 OS PRESTADORES DE SERVICOS ESSENCIAIS E DEMAIS PRESTADORES DE SERVICOS DO FUNDO RESPONDEM PERANTE A CVM, NAS SUAS RESPECTIVAS ESFERAS DE ATUACAO, POR SEUS PROPRIOS ATOS E OMISSOES CONTRARIOS A LEI, AO REGULAMENTO OU A REGULAMENTACAO VIGENTE, SEM PREJUIZO DO EXERCICIO DO DEVER DE FIS</t>
        </is>
      </c>
      <c r="AB81" s="11" t="inlineStr">
        <is>
          <t>https://fnet.bmfbovespa.com.br/fnet/publico/abrirGerenciadorDocumentosCVM?cnpjFundo=40750266000176</t>
        </is>
      </c>
      <c r="AC81" s="11" t="inlineStr">
        <is>
          <t>1045050</t>
        </is>
      </c>
      <c r="AD81" s="11" t="inlineStr">
        <is>
          <t>N/D</t>
        </is>
      </c>
      <c r="AE81" s="11" t="inlineStr">
        <is>
          <t>p. 3</t>
        </is>
      </c>
      <c r="AF81" s="11" t="inlineStr">
        <is>
          <t>N/D</t>
        </is>
      </c>
      <c r="AG81" s="11" t="inlineStr">
        <is>
          <t>N/D</t>
        </is>
      </c>
      <c r="AH81" s="11" t="inlineStr">
        <is>
          <t>taxonomia disponível — partes e lastro documental N/D</t>
        </is>
      </c>
      <c r="AN81" s="27" t="inlineStr">
        <is>
          <t>curadoria anterior — não revisada nesta rodada</t>
        </is>
      </c>
    </row>
    <row r="82" ht="48" customHeight="1">
      <c r="A82" s="13" t="n">
        <v>78</v>
      </c>
      <c r="B82" s="13" t="n">
        <v>78</v>
      </c>
      <c r="C82" s="10" t="inlineStr">
        <is>
          <t>Top 100 por PL ex-FIC</t>
        </is>
      </c>
      <c r="D82" s="16" t="n">
        <v>22358482000199</v>
      </c>
      <c r="E82" s="10" t="inlineStr">
        <is>
          <t>22.358.482/0001-99</t>
        </is>
      </c>
      <c r="F82" s="10" t="inlineStr">
        <is>
          <t>AFINITTY MF FUNDO DE INVESTIMENTO EM DIREITOS CREDITÓRIOS FINANCEIROS - RESPONSABILIDADE LIMITADA</t>
        </is>
      </c>
      <c r="G82" s="19" t="n">
        <v>1668953204.88</v>
      </c>
      <c r="H82" s="22" t="n">
        <v>0.002031934884235331</v>
      </c>
      <c r="I82" s="22" t="n">
        <v>1</v>
      </c>
      <c r="J82" s="22" t="inlineStr">
        <is>
          <t>N/D</t>
        </is>
      </c>
      <c r="K82" s="22" t="inlineStr">
        <is>
          <t>N/D</t>
        </is>
      </c>
      <c r="L82" s="10" t="inlineStr">
        <is>
          <t>N/D</t>
        </is>
      </c>
      <c r="M82" s="28" t="inlineStr">
        <is>
          <t>Crefaz Sociedade de Crédito ao Microempreendedor e à Empresa de Pequeno Porte Ltda.</t>
        </is>
      </c>
      <c r="N82" s="10" t="n"/>
      <c r="O82" s="10" t="inlineStr">
        <is>
          <t>N/D</t>
        </is>
      </c>
      <c r="P82" s="10" t="inlineStr">
        <is>
          <t>N/D</t>
        </is>
      </c>
      <c r="Q82" s="10" t="inlineStr">
        <is>
          <t>N/D</t>
        </is>
      </c>
      <c r="R82" s="10" t="inlineStr">
        <is>
          <t>Financeiro</t>
        </is>
      </c>
      <c r="S82" s="10" t="inlineStr">
        <is>
          <t>Multicarteira Financeiro</t>
        </is>
      </c>
      <c r="T82" s="10" t="inlineStr">
        <is>
          <t>Financeiro</t>
        </is>
      </c>
      <c r="U82" s="10" t="inlineStr">
        <is>
          <t>Multicarteira Financeiro</t>
        </is>
      </c>
      <c r="V82" s="10" t="inlineStr">
        <is>
          <t>N/D</t>
        </is>
      </c>
      <c r="W82" s="10" t="inlineStr">
        <is>
          <t>N/D</t>
        </is>
      </c>
      <c r="X82" s="28" t="b">
        <v>0</v>
      </c>
      <c r="Y82" s="28" t="inlineStr">
        <is>
          <t>Fora da faixa de Middle Market por natureza do devedor</t>
        </is>
      </c>
      <c r="Z82" s="28" t="inlineStr">
        <is>
          <t>A expressão 'Empresa de Pequeno Porte' integra a razão social da cedente (tipo de licença BACEN), não descreve o porte do devedor. O público da SCMEPP é micro e pequeno porte, abaixo da faixa de middle market.</t>
        </is>
      </c>
      <c r="AA82" s="10" t="inlineStr">
        <is>
          <t>N/D</t>
        </is>
      </c>
      <c r="AB82" s="10" t="inlineStr">
        <is>
          <t>ANBIMA Data — Fundos 175: características público</t>
        </is>
      </c>
      <c r="AC82" s="10" t="inlineStr">
        <is>
          <t>N/D</t>
        </is>
      </c>
      <c r="AD82" s="10" t="inlineStr">
        <is>
          <t>N/D</t>
        </is>
      </c>
      <c r="AE82" s="10" t="inlineStr">
        <is>
          <t>N/D</t>
        </is>
      </c>
      <c r="AF82" s="10" t="inlineStr">
        <is>
          <t>N/D</t>
        </is>
      </c>
      <c r="AG82" s="10" t="inlineStr">
        <is>
          <t>N/D</t>
        </is>
      </c>
      <c r="AH82" s="10" t="inlineStr">
        <is>
          <t>N/D</t>
        </is>
      </c>
      <c r="AI82" s="29" t="inlineStr">
        <is>
          <t>Def. "Cedente": é a Crefaz Sociedade de Crédito ao Microempreendedor e à Empresa de Pequeno Porte Ltda., instituição financeira autorizada pelo BACEN. Def. "Devedores": os devedores das CCBs.</t>
        </is>
      </c>
      <c r="AJ82" s="29" t="inlineStr">
        <is>
          <t>766741;826224 (localizados por busca no FundosNET por CNPJ)</t>
        </is>
      </c>
      <c r="AK82" s="29" t="inlineStr">
        <is>
          <t>Não</t>
        </is>
      </c>
      <c r="AL82" s="29" t="inlineStr">
        <is>
          <t>fora da faixa</t>
        </is>
      </c>
      <c r="AM82" s="29" t="inlineStr">
        <is>
          <t>A expressão 'Empresa de Pequeno Porte' integra a razão social da cedente (tipo de licença BACEN), não descreve o porte do devedor. O público da SCMEPP é micro e pequeno porte, abaixo da faixa de middle market.</t>
        </is>
      </c>
      <c r="AN82" s="29" t="inlineStr">
        <is>
          <t>leitura do regulamento nesta rodada</t>
        </is>
      </c>
    </row>
    <row r="83" hidden="1" ht="48" customHeight="1">
      <c r="A83" s="14" t="n">
        <v>79</v>
      </c>
      <c r="B83" s="14" t="n">
        <v>79</v>
      </c>
      <c r="C83" s="11" t="inlineStr">
        <is>
          <t>Top 100 por PL ex-FIC</t>
        </is>
      </c>
      <c r="D83" s="17" t="n">
        <v>5754060000113</v>
      </c>
      <c r="E83" s="11" t="inlineStr">
        <is>
          <t>05.754.060/0001-13</t>
        </is>
      </c>
      <c r="F83" s="11" t="inlineStr">
        <is>
          <t>CATERPILLAR FUNDO DE INVESTIMENTO EM DIREITOS CREDITÓRIOS DO SEGMENTO INDUSTRIAL II - RESP LIMITADA</t>
        </is>
      </c>
      <c r="G83" s="20" t="n">
        <v>1666972490.26</v>
      </c>
      <c r="H83" s="23" t="n">
        <v>0.002029523382750253</v>
      </c>
      <c r="I83" s="23" t="n">
        <v>0</v>
      </c>
      <c r="J83" s="23" t="inlineStr">
        <is>
          <t>N/D</t>
        </is>
      </c>
      <c r="K83" s="23" t="inlineStr">
        <is>
          <t>N/D</t>
        </is>
      </c>
      <c r="L83" s="11" t="inlineStr">
        <is>
          <t>N/D</t>
        </is>
      </c>
      <c r="M83" s="11" t="inlineStr">
        <is>
          <t>Caterpillar</t>
        </is>
      </c>
      <c r="N83" s="11" t="n"/>
      <c r="O83" s="11" t="inlineStr">
        <is>
          <t>N/D</t>
        </is>
      </c>
      <c r="P83" s="11" t="inlineStr">
        <is>
          <t>N/D</t>
        </is>
      </c>
      <c r="Q83" s="11" t="inlineStr">
        <is>
          <t>Multicarteira outros</t>
        </is>
      </c>
      <c r="R83" s="11" t="inlineStr">
        <is>
          <t>Agro, Indústria e Comércio</t>
        </is>
      </c>
      <c r="S83" s="11" t="inlineStr">
        <is>
          <t>Recebíveis Comerciais</t>
        </is>
      </c>
      <c r="T83" s="11" t="inlineStr">
        <is>
          <t>Agro, Indústria e Comércio</t>
        </is>
      </c>
      <c r="U83" s="11" t="inlineStr">
        <is>
          <t>Recebíveis Comerciais</t>
        </is>
      </c>
      <c r="V83" s="11" t="inlineStr">
        <is>
          <t>Multissetorial / Outros</t>
        </is>
      </c>
      <c r="W83" s="11" t="inlineStr">
        <is>
          <t>Multicarteira outros</t>
        </is>
      </c>
      <c r="X83" s="11" t="b">
        <v>0</v>
      </c>
      <c r="Y83" s="11" t="inlineStr">
        <is>
          <t>Sem indício documental de Middle Market</t>
        </is>
      </c>
      <c r="Z83" s="11" t="inlineStr">
        <is>
          <t>A evidência disponível aponta outro tipo de risco ou não traz crédito corporativo.</t>
        </is>
      </c>
      <c r="AA83" s="11" t="inlineStr">
        <is>
          <t>A SEXTA-FEIRA, EXCETO FERIADOS, NO HORARIO DAS 8H AS 18H (HORARIO DE BRASILIA). 4 CAPITULO III – DA POLITICA DE INVESTIMENTO E DOS FATORES DE RISCOS COMUNS AS CLASSES ARTIGO 6O - CADA CLASSE CONTA COM PATRIMONIO SEGREGADO E PODERA SEGUIR UMA POLITICA DE INVESTIMENTOS ESPECIFICA. A POLITICA DE INVESTIMENTOS A SER OBSERVADA PELA GESTORA, COM RELACAO A CADA CLASSE, ESTA INDICADA NO RESPECTIVO ANEXO. TODOS OS LIMITES DE INVESTIMENTO SERAO INDICADOS E DEVERAO SER INTERPRETADOS COM RELACAO AO PATRIMONIO LIQUIDO DA CLASSE CORRESPONDENTE. PARAGRAFO UNICO – O INVESTIMENTO EM CADA CLASSE E/OU SUBCLASSE NAO E GARANTIDO, DE FORMA ALGUMA, PELO FGC – FUNDO GARANTIDOR DE CREDITOS, PELA ADMINISTRADORA, PELA GESTORA, OU POR QUALQUER OUTRO PRESTADOR DE SERVICOS DO FUNDO. O INVESTIMENTO EM UMA CLASSE E/OU SUBCLASSE DESTE FUNDO</t>
        </is>
      </c>
      <c r="AB83" s="11" t="inlineStr">
        <is>
          <t>https://fnet.bmfbovespa.com.br/fnet/publico/abrirGerenciadorDocumentosCVM?cnpjFundo=05754060000113</t>
        </is>
      </c>
      <c r="AC83" s="11" t="inlineStr">
        <is>
          <t>1097864</t>
        </is>
      </c>
      <c r="AD83" s="11" t="inlineStr">
        <is>
          <t>N/D</t>
        </is>
      </c>
      <c r="AE83" s="11" t="inlineStr">
        <is>
          <t>p. 4</t>
        </is>
      </c>
      <c r="AF83" s="11" t="inlineStr">
        <is>
          <t>N/D</t>
        </is>
      </c>
      <c r="AG83" s="11" t="inlineStr">
        <is>
          <t>N/D</t>
        </is>
      </c>
      <c r="AH83" s="11" t="inlineStr">
        <is>
          <t>taxonomia disponível — partes e lastro documental N/D</t>
        </is>
      </c>
      <c r="AN83" s="27" t="inlineStr">
        <is>
          <t>curadoria anterior — não revisada nesta rodada</t>
        </is>
      </c>
    </row>
    <row r="84" ht="48" customHeight="1">
      <c r="A84" s="13" t="n">
        <v>80</v>
      </c>
      <c r="B84" s="13" t="n">
        <v>80</v>
      </c>
      <c r="C84" s="10" t="inlineStr">
        <is>
          <t>Top 100 por PL ex-FIC</t>
        </is>
      </c>
      <c r="D84" s="16" t="n">
        <v>12428086000137</v>
      </c>
      <c r="E84" s="10" t="inlineStr">
        <is>
          <t>12.428.086/0001-37</t>
        </is>
      </c>
      <c r="F84" s="10" t="inlineStr">
        <is>
          <t>FUNDO DE INVESTIMENTO EM DIREITOS CREDITÓRIOS NÃO-PADRONIZADOS MULTISSETORIAL BS NP</t>
        </is>
      </c>
      <c r="G84" s="19" t="n">
        <v>1629151199.24</v>
      </c>
      <c r="H84" s="22" t="n">
        <v>0.001983476315423473</v>
      </c>
      <c r="I84" s="22" t="n">
        <v>0.2583621140487779</v>
      </c>
      <c r="J84" s="22" t="inlineStr">
        <is>
          <t>N/D</t>
        </is>
      </c>
      <c r="K84" s="22" t="inlineStr">
        <is>
          <t>N/D</t>
        </is>
      </c>
      <c r="L84" s="10" t="inlineStr">
        <is>
          <t>N/D</t>
        </is>
      </c>
      <c r="M84" s="28" t="inlineStr">
        <is>
          <t>não localizado — multicedente PF/PJ e endossantes</t>
        </is>
      </c>
      <c r="N84" s="10" t="n"/>
      <c r="O84" s="10" t="inlineStr">
        <is>
          <t>N/D</t>
        </is>
      </c>
      <c r="P84" s="10" t="inlineStr">
        <is>
          <t>N/D</t>
        </is>
      </c>
      <c r="Q84" s="10" t="inlineStr">
        <is>
          <t>Recebíveis comerciais/multissetorial</t>
        </is>
      </c>
      <c r="R84" s="10" t="inlineStr">
        <is>
          <t>Fomento Mercantil</t>
        </is>
      </c>
      <c r="S84" s="10" t="inlineStr">
        <is>
          <t>Fomento Mercantil</t>
        </is>
      </c>
      <c r="T84" s="10" t="inlineStr">
        <is>
          <t>Fomento Mercantil</t>
        </is>
      </c>
      <c r="U84" s="10" t="inlineStr">
        <is>
          <t>Fomento Mercantil</t>
        </is>
      </c>
      <c r="V84" s="10" t="inlineStr">
        <is>
          <t>Crédito PJ</t>
        </is>
      </c>
      <c r="W84" s="10" t="inlineStr">
        <is>
          <t>Recebíveis comerciais/multissetorial</t>
        </is>
      </c>
      <c r="X84" s="28" t="inlineStr">
        <is>
          <t>N/D</t>
        </is>
      </c>
      <c r="Y84" s="28" t="inlineStr">
        <is>
          <t>Indeterminado — regulamento sem métrica de porte</t>
        </is>
      </c>
      <c r="Z84" s="28" t="inlineStr">
        <is>
          <t>Cedente e endossante genéricos.</t>
        </is>
      </c>
      <c r="AA84" s="10" t="inlineStr">
        <is>
          <t>O PAGAMENTO PELO ACEITANTE, NO CASO DA DUPL ICATA DIGITAL, SAO FEITOS POR BOLETO BANCARIO. DESSA FORMA, O FUNDO PODERA ENCONTRAR DIFICULDADES PARA REALIZAR A EXECUCAO JUDICIAL DOS DIREITOS CREDITORIOS REPRESENTADOS POR DUPLICATAS DIGITAIS. 4CB475AF-2E14-457E-B966-D5E3A2BC507A</t>
        </is>
      </c>
      <c r="AB84" s="10" t="inlineStr">
        <is>
          <t>https://fnet.bmfbovespa.com.br/fnet/publico/abrirGerenciadorDocumentosCVM?cnpjFundo=12428086000137</t>
        </is>
      </c>
      <c r="AC84" s="10" t="inlineStr">
        <is>
          <t>1138775</t>
        </is>
      </c>
      <c r="AD84" s="10" t="inlineStr">
        <is>
          <t>N/D</t>
        </is>
      </c>
      <c r="AE84" s="10" t="inlineStr">
        <is>
          <t>p. 70 — política/definição do lastro</t>
        </is>
      </c>
      <c r="AF84" s="10" t="inlineStr">
        <is>
          <t>N/D</t>
        </is>
      </c>
      <c r="AG84" s="10" t="inlineStr">
        <is>
          <t>N/D</t>
        </is>
      </c>
      <c r="AH84" s="10" t="inlineStr">
        <is>
          <t>taxonomia disponível — partes e lastro documental N/D</t>
        </is>
      </c>
      <c r="AI84" s="29" t="inlineStr">
        <is>
          <t>Def. "Cedentes": pessoas físicas ou jurídicas que cedem Direitos Creditórios. Def. "Endossante": instituições financeiras ou emissores que endossam Direitos Creditórios originados de títulos de crédito.</t>
        </is>
      </c>
      <c r="AJ84" s="29" t="inlineStr">
        <is>
          <t>1138775</t>
        </is>
      </c>
      <c r="AK84" s="29" t="inlineStr">
        <is>
          <t>Não</t>
        </is>
      </c>
      <c r="AL84" s="29" t="inlineStr">
        <is>
          <t>indeterminado</t>
        </is>
      </c>
      <c r="AM84" s="29" t="inlineStr">
        <is>
          <t>Cedente e endossante genéricos.</t>
        </is>
      </c>
      <c r="AN84" s="29" t="inlineStr">
        <is>
          <t>leitura do regulamento nesta rodada</t>
        </is>
      </c>
    </row>
    <row r="85" hidden="1" ht="48" customHeight="1">
      <c r="A85" s="14" t="n">
        <v>81</v>
      </c>
      <c r="B85" s="14" t="n">
        <v>81</v>
      </c>
      <c r="C85" s="11" t="inlineStr">
        <is>
          <t>Top 100 por PL ex-FIC</t>
        </is>
      </c>
      <c r="D85" s="17" t="n">
        <v>26722650000134</v>
      </c>
      <c r="E85" s="11" t="inlineStr">
        <is>
          <t>26.722.650/0001-34</t>
        </is>
      </c>
      <c r="F85" s="11" t="inlineStr">
        <is>
          <t>VERDECARD FUNDO DE INVESTIMENTO EM DIREITOS CREDITÓRIOS RESPONSABILIDADE LIMITADA</t>
        </is>
      </c>
      <c r="G85" s="20" t="n">
        <v>1610706096.38</v>
      </c>
      <c r="H85" s="23" t="n">
        <v>0.001961019575573037</v>
      </c>
      <c r="I85" s="23" t="n">
        <v>0.2141487023527794</v>
      </c>
      <c r="J85" s="23" t="inlineStr">
        <is>
          <t>N/D</t>
        </is>
      </c>
      <c r="K85" s="23" t="inlineStr">
        <is>
          <t>N/D</t>
        </is>
      </c>
      <c r="L85" s="11" t="inlineStr">
        <is>
          <t>N/D</t>
        </is>
      </c>
      <c r="M85" s="11" t="inlineStr">
        <is>
          <t>Verdecard</t>
        </is>
      </c>
      <c r="N85" s="11" t="n"/>
      <c r="O85" s="11" t="inlineStr">
        <is>
          <t>N/D</t>
        </is>
      </c>
      <c r="P85" s="11" t="inlineStr">
        <is>
          <t>N/D</t>
        </is>
      </c>
      <c r="Q85" s="11" t="inlineStr">
        <is>
          <t>Banco emissor/cartão de crédito</t>
        </is>
      </c>
      <c r="R85" s="11" t="inlineStr">
        <is>
          <t>Outros</t>
        </is>
      </c>
      <c r="S85" s="11" t="inlineStr">
        <is>
          <t>Multicarteira Outros</t>
        </is>
      </c>
      <c r="T85" s="11" t="inlineStr">
        <is>
          <t>Financeiro</t>
        </is>
      </c>
      <c r="U85" s="11" t="inlineStr">
        <is>
          <t>Cartão de crédito</t>
        </is>
      </c>
      <c r="V85" s="11" t="inlineStr">
        <is>
          <t>Meios de Pagamento e Cartões</t>
        </is>
      </c>
      <c r="W85" s="11" t="inlineStr">
        <is>
          <t>Banco emissor/cartão de crédito</t>
        </is>
      </c>
      <c r="X85" s="11" t="b">
        <v>0</v>
      </c>
      <c r="Y85" s="11" t="inlineStr">
        <is>
          <t>Sem indício documental de Middle Market</t>
        </is>
      </c>
      <c r="Z85" s="11" t="inlineStr">
        <is>
          <t>A evidência disponível aponta outro tipo de risco ou não traz crédito corporativo.</t>
        </is>
      </c>
      <c r="AA85" s="11" t="inlineStr">
        <is>
          <t>Direção aprovada: Financeiro / Cartão de crédito</t>
        </is>
      </c>
      <c r="AB85" s="11" t="inlineStr">
        <is>
          <t>FundosNet/B3 — regulamento 899881</t>
        </is>
      </c>
      <c r="AC85" s="11" t="inlineStr">
        <is>
          <t>899881</t>
        </is>
      </c>
      <c r="AD85" s="11" t="inlineStr">
        <is>
          <t>N/D</t>
        </is>
      </c>
      <c r="AE85" s="11" t="inlineStr">
        <is>
          <t>pp. 47–48 — transações no arranjo Verdecard</t>
        </is>
      </c>
      <c r="AF85" s="11" t="inlineStr">
        <is>
          <t>N/D</t>
        </is>
      </c>
      <c r="AG85" s="11" t="inlineStr">
        <is>
          <t>N/D</t>
        </is>
      </c>
      <c r="AH85" s="11" t="inlineStr">
        <is>
          <t>taxonomia disponível — partes e lastro documental N/D</t>
        </is>
      </c>
      <c r="AN85" s="27" t="inlineStr">
        <is>
          <t>curadoria anterior — não revisada nesta rodada</t>
        </is>
      </c>
    </row>
    <row r="86" hidden="1" ht="48" customHeight="1">
      <c r="A86" s="13" t="n">
        <v>82</v>
      </c>
      <c r="B86" s="13" t="n">
        <v>82</v>
      </c>
      <c r="C86" s="10" t="inlineStr">
        <is>
          <t>Top 100 por PL ex-FIC</t>
        </is>
      </c>
      <c r="D86" s="16" t="n">
        <v>8632394000102</v>
      </c>
      <c r="E86" s="10" t="inlineStr">
        <is>
          <t>08.632.394/0001-02</t>
        </is>
      </c>
      <c r="F86" s="10" t="inlineStr">
        <is>
          <t>RED - FUNDO DE INVESTIMENTO EM DIREITOS CREDITÓRIOS MULTISETORIAL LP - RESPONSABILIDADE LIMITADA</t>
        </is>
      </c>
      <c r="G86" s="19" t="n">
        <v>1569551198.23</v>
      </c>
      <c r="H86" s="22" t="n">
        <v>0.001910913872810598</v>
      </c>
      <c r="I86" s="22" t="n">
        <v>0.4131668988153203</v>
      </c>
      <c r="J86" s="22" t="inlineStr">
        <is>
          <t>N/D</t>
        </is>
      </c>
      <c r="K86" s="22" t="inlineStr">
        <is>
          <t>N/D</t>
        </is>
      </c>
      <c r="L86" s="10" t="inlineStr">
        <is>
          <t>N/D</t>
        </is>
      </c>
      <c r="M86" s="10" t="inlineStr">
        <is>
          <t>Red Factoring</t>
        </is>
      </c>
      <c r="N86" s="10" t="n"/>
      <c r="O86" s="10" t="inlineStr">
        <is>
          <t>N/D</t>
        </is>
      </c>
      <c r="P86" s="10" t="inlineStr">
        <is>
          <t>N/D</t>
        </is>
      </c>
      <c r="Q86" s="10" t="inlineStr">
        <is>
          <t>Recebíveis comerciais/multissetorial</t>
        </is>
      </c>
      <c r="R86" s="10" t="inlineStr">
        <is>
          <t>Agro, Indústria e Comércio</t>
        </is>
      </c>
      <c r="S86" s="10" t="inlineStr">
        <is>
          <t>Multicarteira Agro, Indústria e Comércio</t>
        </is>
      </c>
      <c r="T86" s="10" t="inlineStr">
        <is>
          <t>Agro, Indústria e Comércio</t>
        </is>
      </c>
      <c r="U86" s="10" t="inlineStr">
        <is>
          <t>Multicarteira Agro, Indústria e Comércio</t>
        </is>
      </c>
      <c r="V86" s="10" t="inlineStr">
        <is>
          <t>Crédito PJ</t>
        </is>
      </c>
      <c r="W86" s="10" t="inlineStr">
        <is>
          <t>Recebíveis comerciais/multissetorial</t>
        </is>
      </c>
      <c r="X86" s="10" t="inlineStr">
        <is>
          <t>N/D</t>
        </is>
      </c>
      <c r="Y86" s="10" t="inlineStr">
        <is>
          <t>Indício de crédito corporativo; porte N/D</t>
        </is>
      </c>
      <c r="Z86" s="10" t="inlineStr">
        <is>
          <t>O lastro é compatível com crédito corporativo tradicional, mas a base não documenta o porte do tomador.</t>
        </is>
      </c>
      <c r="AA86" s="10" t="inlineStr">
        <is>
          <t>A política contempla direitos dos setores comercial, industrial, financeiro e de serviços. O foco oficial Multicarteira Agro, Indústria e Comércio é aderente.</t>
        </is>
      </c>
      <c r="AB86" s="10" t="inlineStr">
        <is>
          <t>https://fnet.bmfbovespa.com.br/fnet/publico/abrirGerenciadorDocumentosCVM?cnpjFundo=08632394000102</t>
        </is>
      </c>
      <c r="AC86" s="10" t="inlineStr">
        <is>
          <t>1265950</t>
        </is>
      </c>
      <c r="AD86" s="10" t="inlineStr">
        <is>
          <t>N/D</t>
        </is>
      </c>
      <c r="AE86" s="10" t="inlineStr">
        <is>
          <t>p. 24 — política/definição do lastro</t>
        </is>
      </c>
      <c r="AF86" s="10" t="inlineStr">
        <is>
          <t>N/D</t>
        </is>
      </c>
      <c r="AG86" s="10" t="inlineStr">
        <is>
          <t>N/D</t>
        </is>
      </c>
      <c r="AH86" s="10" t="inlineStr">
        <is>
          <t>taxonomia disponível — partes e lastro documental N/D</t>
        </is>
      </c>
      <c r="AN86" s="27" t="inlineStr">
        <is>
          <t>curadoria anterior — não revisada nesta rodada</t>
        </is>
      </c>
    </row>
    <row r="87" hidden="1" ht="48" customHeight="1">
      <c r="A87" s="14" t="n">
        <v>83</v>
      </c>
      <c r="B87" s="14" t="n">
        <v>83</v>
      </c>
      <c r="C87" s="11" t="inlineStr">
        <is>
          <t>Top 100 por PL ex-FIC</t>
        </is>
      </c>
      <c r="D87" s="17" t="n">
        <v>58893662000118</v>
      </c>
      <c r="E87" s="11" t="inlineStr">
        <is>
          <t>58.893.662/0001-18</t>
        </is>
      </c>
      <c r="F87" s="11" t="inlineStr">
        <is>
          <t>JIVE BOSSANOVA90 - FUNDO DE INVESTIMENTO EM DIREITOS CREDITÓRIOS</t>
        </is>
      </c>
      <c r="G87" s="20" t="n">
        <v>1554710409.76</v>
      </c>
      <c r="H87" s="23" t="n">
        <v>0.001892845351947595</v>
      </c>
      <c r="I87" s="23" t="n">
        <v>1</v>
      </c>
      <c r="J87" s="23" t="inlineStr">
        <is>
          <t>N/D</t>
        </is>
      </c>
      <c r="K87" s="23" t="inlineStr">
        <is>
          <t>N/D</t>
        </is>
      </c>
      <c r="L87" s="11" t="inlineStr">
        <is>
          <t>N/D</t>
        </is>
      </c>
      <c r="M87" s="11" t="inlineStr">
        <is>
          <t>N/A</t>
        </is>
      </c>
      <c r="N87" s="11" t="n"/>
      <c r="O87" s="11" t="inlineStr">
        <is>
          <t>N/D</t>
        </is>
      </c>
      <c r="P87" s="11" t="inlineStr">
        <is>
          <t>N/D</t>
        </is>
      </c>
      <c r="Q87" s="11" t="inlineStr">
        <is>
          <t>Precatórios/direitos judiciais</t>
        </is>
      </c>
      <c r="R87" s="11" t="inlineStr">
        <is>
          <t>Outros</t>
        </is>
      </c>
      <c r="S87" s="11" t="inlineStr">
        <is>
          <t>Multicarteira Outros</t>
        </is>
      </c>
      <c r="T87" s="11" t="inlineStr">
        <is>
          <t>Outros</t>
        </is>
      </c>
      <c r="U87" s="11" t="inlineStr">
        <is>
          <t>Poder Público</t>
        </is>
      </c>
      <c r="V87" s="11" t="inlineStr">
        <is>
          <t>Judicial/Precatórios/NPL</t>
        </is>
      </c>
      <c r="W87" s="11" t="inlineStr">
        <is>
          <t>Precatórios/direitos judiciais</t>
        </is>
      </c>
      <c r="X87" s="11" t="b">
        <v>0</v>
      </c>
      <c r="Y87" s="11" t="inlineStr">
        <is>
          <t>Sem indício documental de Middle Market</t>
        </is>
      </c>
      <c r="Z87" s="11" t="inlineStr">
        <is>
          <t>A evidência disponível aponta outro tipo de risco ou não traz crédito corporativo.</t>
        </is>
      </c>
      <c r="AA87" s="11" t="inlineStr">
        <is>
          <t>regulamento 1044435 p. 11 [precatórios e requisitórios contra entes públicos]: O JUDICIAL DA CLASSE E O MONITORAMENTO DOS DIREITOS CREDITORIOS; E (2) PREVIAMENTE A AQUISICAO DE CADA DIREITO CREDITORIO, POSSUIR O OFICIO REQUISITORIO E A CERTIDAO DE REMESSA DO PRECATORIO AO TRIBUNAL REGIONAL FE DERAL COMPETENTE, OU O || CEDENTE/ORIGINADOR: regulamento 1044435 p. 39: CEDENTE SERA RESPONSAVEL PELA EXISTENCIA DOS DIREITOS CREDITORIOS CEDIDOS, NOS TERMOS DO ARTIGO 295 DO CODIGO CIVIL BRASILEIRO</t>
        </is>
      </c>
      <c r="AB87" s="11" t="inlineStr">
        <is>
          <t>https://fnet.bmfbovespa.com.br/fnet/publico/abrirGerenciadorDocumentosCVM?cnpjFundo=58893662000118</t>
        </is>
      </c>
      <c r="AC87" s="11" t="inlineStr">
        <is>
          <t>1044435</t>
        </is>
      </c>
      <c r="AD87" s="11" t="inlineStr">
        <is>
          <t>N/D</t>
        </is>
      </c>
      <c r="AE87" s="11" t="inlineStr">
        <is>
          <t>regulamento 1044435 p. 11</t>
        </is>
      </c>
      <c r="AF87" s="11" t="inlineStr">
        <is>
          <t>N/D</t>
        </is>
      </c>
      <c r="AG87" s="11" t="inlineStr">
        <is>
          <t>N/D</t>
        </is>
      </c>
      <c r="AH87" s="11" t="inlineStr">
        <is>
          <t>taxonomia disponível — partes e lastro documental N/D</t>
        </is>
      </c>
      <c r="AN87" s="27" t="inlineStr">
        <is>
          <t>curadoria anterior — não revisada nesta rodada</t>
        </is>
      </c>
    </row>
    <row r="88" hidden="1" ht="48" customHeight="1">
      <c r="A88" s="13" t="n">
        <v>84</v>
      </c>
      <c r="B88" s="13" t="n">
        <v>84</v>
      </c>
      <c r="C88" s="10" t="inlineStr">
        <is>
          <t>Top 100 por PL ex-FIC</t>
        </is>
      </c>
      <c r="D88" s="16" t="n">
        <v>53036495000175</v>
      </c>
      <c r="E88" s="10" t="inlineStr">
        <is>
          <t>53.036.495/0001-75</t>
        </is>
      </c>
      <c r="F88" s="10" t="inlineStr">
        <is>
          <t>XP RETURN I CONSIGNADO FUNDO DE INVESTIMENTO EM DIREITOS CREDITÓRIOS RESP LIMITADA</t>
        </is>
      </c>
      <c r="G88" s="19" t="n">
        <v>1546482100.39</v>
      </c>
      <c r="H88" s="22" t="n">
        <v>0.001882827462411629</v>
      </c>
      <c r="I88" s="22" t="n">
        <v>0.2072981702268535</v>
      </c>
      <c r="J88" s="22" t="inlineStr">
        <is>
          <t>N/D</t>
        </is>
      </c>
      <c r="K88" s="22" t="inlineStr">
        <is>
          <t>N/D</t>
        </is>
      </c>
      <c r="L88" s="10" t="inlineStr">
        <is>
          <t>N/D</t>
        </is>
      </c>
      <c r="M88" s="10" t="inlineStr">
        <is>
          <t>N/A</t>
        </is>
      </c>
      <c r="N88" s="10" t="n"/>
      <c r="O88" s="10" t="inlineStr">
        <is>
          <t>N/D</t>
        </is>
      </c>
      <c r="P88" s="10" t="inlineStr">
        <is>
          <t>N/D</t>
        </is>
      </c>
      <c r="Q88" s="10" t="inlineStr">
        <is>
          <t>N/D</t>
        </is>
      </c>
      <c r="R88" s="10" t="inlineStr">
        <is>
          <t>Financeiro</t>
        </is>
      </c>
      <c r="S88" s="10" t="inlineStr">
        <is>
          <t>Crédito Consignado</t>
        </is>
      </c>
      <c r="T88" s="10" t="inlineStr">
        <is>
          <t>Financeiro</t>
        </is>
      </c>
      <c r="U88" s="10" t="inlineStr">
        <is>
          <t>Crédito Consignado</t>
        </is>
      </c>
      <c r="V88" s="10" t="inlineStr">
        <is>
          <t>N/D</t>
        </is>
      </c>
      <c r="W88" s="10" t="inlineStr">
        <is>
          <t>N/D</t>
        </is>
      </c>
      <c r="X88" s="10" t="inlineStr">
        <is>
          <t>N/D</t>
        </is>
      </c>
      <c r="Y88" s="10" t="inlineStr">
        <is>
          <t>N/D — dados insuficientes</t>
        </is>
      </c>
      <c r="Z88" s="10" t="inlineStr">
        <is>
          <t>Cedente, sacado e tipo de recebível não foram localizados.</t>
        </is>
      </c>
      <c r="AA88" s="10" t="inlineStr">
        <is>
          <t>N/D</t>
        </is>
      </c>
      <c r="AB88" s="10" t="inlineStr">
        <is>
          <t>ANBIMA Data — Fundos 175: características público</t>
        </is>
      </c>
      <c r="AC88" s="10" t="inlineStr">
        <is>
          <t>N/D</t>
        </is>
      </c>
      <c r="AD88" s="10" t="inlineStr">
        <is>
          <t>N/D</t>
        </is>
      </c>
      <c r="AE88" s="10" t="inlineStr">
        <is>
          <t>N/D</t>
        </is>
      </c>
      <c r="AF88" s="10" t="inlineStr">
        <is>
          <t>N/D</t>
        </is>
      </c>
      <c r="AG88" s="10" t="inlineStr">
        <is>
          <t>N/D</t>
        </is>
      </c>
      <c r="AH88" s="10" t="inlineStr">
        <is>
          <t>N/D</t>
        </is>
      </c>
      <c r="AN88" s="27" t="inlineStr">
        <is>
          <t>curadoria anterior — não revisada nesta rodada</t>
        </is>
      </c>
    </row>
    <row r="89" hidden="1" ht="48" customHeight="1">
      <c r="A89" s="14" t="n">
        <v>85</v>
      </c>
      <c r="B89" s="14" t="n">
        <v>85</v>
      </c>
      <c r="C89" s="11" t="inlineStr">
        <is>
          <t>Top 100 por PL ex-FIC</t>
        </is>
      </c>
      <c r="D89" s="17" t="n">
        <v>62310468000130</v>
      </c>
      <c r="E89" s="11" t="inlineStr">
        <is>
          <t>62.310.468/0001-30</t>
        </is>
      </c>
      <c r="F89" s="11" t="inlineStr">
        <is>
          <t>MT INSS RECEIVABLES VI FUNDO DE INVESTIMENTO EM DIREITOS CREDITÓRIOS RESPONSABILIDADE LIMITADA</t>
        </is>
      </c>
      <c r="G89" s="20" t="n">
        <v>1535189477.94</v>
      </c>
      <c r="H89" s="23" t="n">
        <v>0.00186907880042185</v>
      </c>
      <c r="I89" s="23" t="n">
        <v>0.2026710288510487</v>
      </c>
      <c r="J89" s="23" t="inlineStr">
        <is>
          <t>N/D</t>
        </is>
      </c>
      <c r="K89" s="23" t="inlineStr">
        <is>
          <t>N/D</t>
        </is>
      </c>
      <c r="L89" s="11" t="inlineStr">
        <is>
          <t>N/D</t>
        </is>
      </c>
      <c r="M89" s="11" t="inlineStr">
        <is>
          <t>MeuTudo</t>
        </is>
      </c>
      <c r="N89" s="11" t="n"/>
      <c r="O89" s="11" t="inlineStr">
        <is>
          <t>N/D</t>
        </is>
      </c>
      <c r="P89" s="11" t="inlineStr">
        <is>
          <t>N/D</t>
        </is>
      </c>
      <c r="Q89" s="11" t="inlineStr">
        <is>
          <t>N/D</t>
        </is>
      </c>
      <c r="R89" s="11" t="inlineStr">
        <is>
          <t>Financeiro</t>
        </is>
      </c>
      <c r="S89" s="11" t="inlineStr">
        <is>
          <t>Crédito Consignado</t>
        </is>
      </c>
      <c r="T89" s="11" t="inlineStr">
        <is>
          <t>Financeiro</t>
        </is>
      </c>
      <c r="U89" s="11" t="inlineStr">
        <is>
          <t>Crédito Consignado</t>
        </is>
      </c>
      <c r="V89" s="11" t="inlineStr">
        <is>
          <t>N/D</t>
        </is>
      </c>
      <c r="W89" s="11" t="inlineStr">
        <is>
          <t>N/D</t>
        </is>
      </c>
      <c r="X89" s="11" t="inlineStr">
        <is>
          <t>N/D</t>
        </is>
      </c>
      <c r="Y89" s="11" t="inlineStr">
        <is>
          <t>N/D — dados insuficientes</t>
        </is>
      </c>
      <c r="Z89" s="11" t="inlineStr">
        <is>
          <t>Cedente, sacado e tipo de recebível não foram localizados.</t>
        </is>
      </c>
      <c r="AA89" s="11" t="inlineStr">
        <is>
          <t>N/D</t>
        </is>
      </c>
      <c r="AB89" s="11" t="inlineStr">
        <is>
          <t>ANBIMA Data — Fundos 175: características público</t>
        </is>
      </c>
      <c r="AC89" s="11" t="inlineStr">
        <is>
          <t>N/D</t>
        </is>
      </c>
      <c r="AD89" s="11" t="inlineStr">
        <is>
          <t>N/D</t>
        </is>
      </c>
      <c r="AE89" s="11" t="inlineStr">
        <is>
          <t>N/D</t>
        </is>
      </c>
      <c r="AF89" s="11" t="inlineStr">
        <is>
          <t>N/D</t>
        </is>
      </c>
      <c r="AG89" s="11" t="inlineStr">
        <is>
          <t>N/D</t>
        </is>
      </c>
      <c r="AH89" s="11" t="inlineStr">
        <is>
          <t>N/D</t>
        </is>
      </c>
      <c r="AN89" s="27" t="inlineStr">
        <is>
          <t>curadoria anterior — não revisada nesta rodada</t>
        </is>
      </c>
    </row>
    <row r="90" ht="48" customHeight="1">
      <c r="A90" s="13" t="n">
        <v>86</v>
      </c>
      <c r="B90" s="13" t="n">
        <v>86</v>
      </c>
      <c r="C90" s="10" t="inlineStr">
        <is>
          <t>Top 100 por PL ex-FIC</t>
        </is>
      </c>
      <c r="D90" s="16" t="n">
        <v>23200289000198</v>
      </c>
      <c r="E90" s="10" t="inlineStr">
        <is>
          <t>23.200.289/0001-98</t>
        </is>
      </c>
      <c r="F90" s="10" t="inlineStr">
        <is>
          <t>CF FUNDO DE INVESTIMENTO EM DIREITOS CREDITÓRIOS - RESPONSABILIDADE LIMITADA</t>
        </is>
      </c>
      <c r="G90" s="19" t="n">
        <v>1481651371.98</v>
      </c>
      <c r="H90" s="22" t="n">
        <v>0.001803896658215632</v>
      </c>
      <c r="I90" s="22" t="n">
        <v>0</v>
      </c>
      <c r="J90" s="22" t="inlineStr">
        <is>
          <t>N/D</t>
        </is>
      </c>
      <c r="K90" s="22" t="inlineStr">
        <is>
          <t>N/D</t>
        </is>
      </c>
      <c r="L90" s="10" t="inlineStr">
        <is>
          <t>N/D</t>
        </is>
      </c>
      <c r="M90" s="28" t="inlineStr">
        <is>
          <t>não localizado — cedentes de recebíveis de cartão, não nomeados</t>
        </is>
      </c>
      <c r="N90" s="10" t="n"/>
      <c r="O90" s="10" t="inlineStr">
        <is>
          <t>N/D</t>
        </is>
      </c>
      <c r="P90" s="10" t="inlineStr">
        <is>
          <t>N/D</t>
        </is>
      </c>
      <c r="Q90" s="10" t="inlineStr">
        <is>
          <t>Recebíveis comerciais/multissetorial</t>
        </is>
      </c>
      <c r="R90" s="10" t="inlineStr">
        <is>
          <t>Fomento Mercantil</t>
        </is>
      </c>
      <c r="S90" s="10" t="inlineStr">
        <is>
          <t>Fomento Mercantil</t>
        </is>
      </c>
      <c r="T90" s="10" t="inlineStr">
        <is>
          <t>Fomento Mercantil</t>
        </is>
      </c>
      <c r="U90" s="10" t="inlineStr">
        <is>
          <t>Fomento Mercantil</t>
        </is>
      </c>
      <c r="V90" s="10" t="inlineStr">
        <is>
          <t>Crédito PJ</t>
        </is>
      </c>
      <c r="W90" s="10" t="inlineStr">
        <is>
          <t>Recebíveis comerciais/multissetorial</t>
        </is>
      </c>
      <c r="X90" s="28" t="inlineStr">
        <is>
          <t>N/D</t>
        </is>
      </c>
      <c r="Y90" s="28" t="inlineStr">
        <is>
          <t>Indeterminado — regulamento sem métrica de porte</t>
        </is>
      </c>
      <c r="Z90" s="28" t="inlineStr">
        <is>
          <t>Lastro é recebível de cartão; cedentes seriam estabelecimentos/subcredenciadoras, sem nome nem porte.</t>
        </is>
      </c>
      <c r="AA90" s="10" t="inlineStr">
        <is>
          <t>COMO OBJETIVO PROPORCIONAR AOS COTISTAS A VALORIZACAO DAS COTAS DE SUAS RESPECTIVAS TITULARIDADES POR MEIO DA APLICACAO DOS RECURSOS DA CLASSE, PREPONDERANTEMENTE NA AQUISICAO DE DIREITOS CREDITORIOS, PADRONIZADOS E/OU NAO - PADRONIZADOS, NOS SEGMENTOS INDUSTRIAL, COMERCIAL, DO AGRONEG OCIO, FINANCEIRO E DE PRESTACAO DE SERVICOS, (“DIREITOS CREDITORIOS”) REPRESENTADOS POR: DIREITOS CREDITORIOS CONCENTRACAO (A) DIREITOS E TITULOS REPRESENTATIVOS DE CREDITO, TAIS COMO, MAS NAO LIMITADAMENTE A: DUPLICATAS, NOTAS PROMISSORIAS, CEDULAS DE CREDITO BANCARIO, CEDULAS DE CREDITO IMOBILIARIO, CEDULAS DE PRODUTOR RURAL, NUMERO SEQUENCIAL UNICO (“NSU”), CEDULAS E NOTAS DE CREDITOS A EXPORTACAO, INVOICES, CERTIFICADOS DE EMBARQUE, DIREITOS CREDITORIOS DECORRENTES DE OPERACOES DE CARTOES DE CREDITO, BEM COMO DE OPERACOES DE EXPORTACAO DE BENS E SERVICOS; ATE 100% (B) VALORES MOBILIARIOS REPRESENTATIVOS DE CREDITO, TAIS COMO, MAS NAO SE LIMITANDO, A: NOTAS COMERCIAIS, DEBENTURES (PUBLICAS E/OU PRIVADAS), CERTIFICADO DE DEPOSIT</t>
        </is>
      </c>
      <c r="AB90" s="10" t="inlineStr">
        <is>
          <t>https://fnet.bmfbovespa.com.br/fnet/publico/abrirGerenciadorDocumentosCVM?cnpjFundo=23200289000198</t>
        </is>
      </c>
      <c r="AC90" s="10" t="inlineStr">
        <is>
          <t>1126088</t>
        </is>
      </c>
      <c r="AD90" s="10" t="inlineStr">
        <is>
          <t>N/D</t>
        </is>
      </c>
      <c r="AE90" s="10" t="inlineStr">
        <is>
          <t>p. 51 — política/definição do lastro</t>
        </is>
      </c>
      <c r="AF90" s="10" t="inlineStr">
        <is>
          <t>N/D</t>
        </is>
      </c>
      <c r="AG90" s="10" t="inlineStr">
        <is>
          <t>N/D</t>
        </is>
      </c>
      <c r="AH90" s="10" t="inlineStr">
        <is>
          <t>taxonomia disponível — partes e lastro documental N/D</t>
        </is>
      </c>
      <c r="AI90" s="29" t="inlineStr">
        <is>
          <t>Def. "Cedentes": pessoas físicas ou jurídicas que cedem Direitos Creditórios. Fator de risco 7.1 descreve Direitos Creditórios oriundos de operações de cartão de crédito cursadas junto aos Sistemas das Subcredenciadoras e das Credenciadoras.</t>
        </is>
      </c>
      <c r="AJ90" s="29" t="inlineStr">
        <is>
          <t>1126088</t>
        </is>
      </c>
      <c r="AK90" s="29" t="inlineStr">
        <is>
          <t>Não</t>
        </is>
      </c>
      <c r="AL90" s="29" t="inlineStr">
        <is>
          <t>indeterminado</t>
        </is>
      </c>
      <c r="AM90" s="29" t="inlineStr">
        <is>
          <t>Lastro é recebível de cartão; cedentes seriam estabelecimentos/subcredenciadoras, sem nome nem porte.</t>
        </is>
      </c>
      <c r="AN90" s="29" t="inlineStr">
        <is>
          <t>leitura do regulamento nesta rodada</t>
        </is>
      </c>
    </row>
    <row r="91" ht="48" customHeight="1">
      <c r="A91" s="14" t="n">
        <v>87</v>
      </c>
      <c r="B91" s="14" t="n">
        <v>87</v>
      </c>
      <c r="C91" s="11" t="inlineStr">
        <is>
          <t>Top 100 por PL ex-FIC</t>
        </is>
      </c>
      <c r="D91" s="17" t="n">
        <v>57833038000162</v>
      </c>
      <c r="E91" s="11" t="inlineStr">
        <is>
          <t>57.833.038/0001-62</t>
        </is>
      </c>
      <c r="F91" s="11" t="inlineStr">
        <is>
          <t>ALDEBARAN II FUNDO DE INVESTIMENTO EM DIREITOS CREDITÓRIOS - RESPONSABILIDADE LIMITADA</t>
        </is>
      </c>
      <c r="G91" s="20" t="n">
        <v>1477350540.58</v>
      </c>
      <c r="H91" s="23" t="n">
        <v>0.001798660436296813</v>
      </c>
      <c r="I91" s="23" t="n">
        <v>0.0467152180434417</v>
      </c>
      <c r="J91" s="23" t="inlineStr">
        <is>
          <t>N/D</t>
        </is>
      </c>
      <c r="K91" s="23" t="inlineStr">
        <is>
          <t>N/D</t>
        </is>
      </c>
      <c r="L91" s="11" t="inlineStr">
        <is>
          <t>N/D</t>
        </is>
      </c>
      <c r="M91" s="28" t="inlineStr">
        <is>
          <t>não localizado — multicedente mercantil/comercial/financeiro</t>
        </is>
      </c>
      <c r="N91" s="11" t="n"/>
      <c r="O91" s="11" t="inlineStr">
        <is>
          <t>N/D</t>
        </is>
      </c>
      <c r="P91" s="11" t="inlineStr">
        <is>
          <t>N/D</t>
        </is>
      </c>
      <c r="Q91" s="11" t="inlineStr">
        <is>
          <t>Recebíveis comerciais/multissetorial</t>
        </is>
      </c>
      <c r="R91" s="11" t="inlineStr">
        <is>
          <t>Fomento Mercantil</t>
        </is>
      </c>
      <c r="S91" s="11" t="inlineStr">
        <is>
          <t>Fomento Mercantil</t>
        </is>
      </c>
      <c r="T91" s="11" t="inlineStr">
        <is>
          <t>Fomento Mercantil</t>
        </is>
      </c>
      <c r="U91" s="11" t="inlineStr">
        <is>
          <t>Fomento Mercantil</t>
        </is>
      </c>
      <c r="V91" s="11" t="inlineStr">
        <is>
          <t>Crédito PJ</t>
        </is>
      </c>
      <c r="W91" s="11" t="inlineStr">
        <is>
          <t>Recebíveis comerciais/multissetorial</t>
        </is>
      </c>
      <c r="X91" s="28" t="inlineStr">
        <is>
          <t>N/D</t>
        </is>
      </c>
      <c r="Y91" s="28" t="inlineStr">
        <is>
          <t>Indeterminado — regulamento sem métrica de porte</t>
        </is>
      </c>
      <c r="Z91" s="28" t="inlineStr">
        <is>
          <t>Cesta multi-instrumento com indício corporativo (duplicatas, NC, NCE), sem porte declarado.</t>
        </is>
      </c>
      <c r="AA91" s="11" t="inlineStr">
        <is>
          <t>A POLITICA DE EXERCICIO DE DIREITO DE VOTO DA GESTORA ESTA DISPONIVEL NA PAGINA DA GESTORA NA REDE MUNDIAL DE COMPUTADORES , NO SEGUINTE ENDERECO: HTTPS://WWW.EMERALD.COM.BR/ 11. DIREITOS CREDITORIOS CARACTERISTICAS DOS DIREITOS CREDITORIOS 11.1. OS DIREITOS CREDITORIOS A SEREM ADQUIRIDOS PELO FUNDO SERAO DECORRENTES DE OPERACOES REALIZADAS NOS SEGMENTOS MERCANTIL, COMERCIAL E FINANCEIRO, REPRESENTADOS POR (A) DIREITOS E TITULOS DE CREDITO, TAIS COMO, MAS NAO SE LIMITANDO DUPLICATAS, CHEQUES, NOTAS PROMISSORIAS, CEDULAS DE CREDITO BANCARIO (CCB), RECEBIVEIS DE CARTAO DE CREDITO, CEDULAS DE PRODUTOR RURAL FINANCEIRAS, CEDULAS DE CREDITO IMOBILIARIO, PARCELAS DE EMPRESTIMOS CONSIGNADOS, NOTAS COMERCIAIS (NC), NOTAS DE CREDITO DE EXPORTACAO (NCE) OU INSTRUMENTOS CONTRATUAIS DECORRENTES DE OPERACAO DE CREDITO; (B) VALORES MOBILIARIOS REPRESENTATIVOS DE CREDITO; (C) CERTIFICADOS DE RECEBIVEIS E OUTROS VALORES MOBILIARIOS REPRESENTATIVOS DE OPERACOES DE SECURITIZACAO, QUE NAO SEJAM LASTREADOS EM DI</t>
        </is>
      </c>
      <c r="AB91" s="11" t="inlineStr">
        <is>
          <t>https://fnet.bmfbovespa.com.br/fnet/publico/abrirGerenciadorDocumentosCVM?cnpjFundo=57833038000162</t>
        </is>
      </c>
      <c r="AC91" s="11" t="inlineStr">
        <is>
          <t>1231073</t>
        </is>
      </c>
      <c r="AD91" s="11" t="inlineStr">
        <is>
          <t>N/D</t>
        </is>
      </c>
      <c r="AE91" s="11" t="inlineStr">
        <is>
          <t>p. 29 — política/definição do lastro</t>
        </is>
      </c>
      <c r="AF91" s="11" t="inlineStr">
        <is>
          <t>N/D</t>
        </is>
      </c>
      <c r="AG91" s="11" t="inlineStr">
        <is>
          <t>N/D</t>
        </is>
      </c>
      <c r="AH91" s="11" t="inlineStr">
        <is>
          <t>taxonomia disponível — partes e lastro documental N/D</t>
        </is>
      </c>
      <c r="AI91" s="29" t="inlineStr">
        <is>
          <t>Item 11.1: Direitos Creditórios decorrentes de operações nos segmentos mercantil, comercial e financeiro, representados por duplicatas, cheques, notas promissórias, CCB, recebíveis de cartão, CPR-F, CCI, parcelas de consignado, notas comerciais e NCE.</t>
        </is>
      </c>
      <c r="AJ91" s="29" t="inlineStr">
        <is>
          <t>1231073</t>
        </is>
      </c>
      <c r="AK91" s="29" t="inlineStr">
        <is>
          <t>Não</t>
        </is>
      </c>
      <c r="AL91" s="29" t="inlineStr">
        <is>
          <t>indeterminado</t>
        </is>
      </c>
      <c r="AM91" s="29" t="inlineStr">
        <is>
          <t>Cesta multi-instrumento com indício corporativo (duplicatas, NC, NCE), sem porte declarado.</t>
        </is>
      </c>
      <c r="AN91" s="29" t="inlineStr">
        <is>
          <t>leitura do regulamento nesta rodada</t>
        </is>
      </c>
    </row>
    <row r="92" hidden="1" ht="48" customHeight="1">
      <c r="A92" s="13" t="n">
        <v>88</v>
      </c>
      <c r="B92" s="13" t="n">
        <v>88</v>
      </c>
      <c r="C92" s="10" t="inlineStr">
        <is>
          <t>Top 100 por PL ex-FIC</t>
        </is>
      </c>
      <c r="D92" s="16" t="n">
        <v>66929956000180</v>
      </c>
      <c r="E92" s="10" t="inlineStr">
        <is>
          <t>66.929.956/0001-80</t>
        </is>
      </c>
      <c r="F92" s="10" t="inlineStr">
        <is>
          <t>BV AUTO III SEGMENTO FINANCEIRO FIDC RESPONSABILIDADE LIMITADA</t>
        </is>
      </c>
      <c r="G92" s="19" t="n">
        <v>1461910524.62</v>
      </c>
      <c r="H92" s="22" t="n">
        <v>0.001779862361581153</v>
      </c>
      <c r="I92" s="22" t="n">
        <v>0.1500607076560145</v>
      </c>
      <c r="J92" s="22" t="inlineStr">
        <is>
          <t>N/D</t>
        </is>
      </c>
      <c r="K92" s="22" t="inlineStr">
        <is>
          <t>N/D</t>
        </is>
      </c>
      <c r="L92" s="10" t="inlineStr">
        <is>
          <t>N/D</t>
        </is>
      </c>
      <c r="M92" s="10" t="inlineStr">
        <is>
          <t>Banco Votorantim</t>
        </is>
      </c>
      <c r="N92" s="10" t="n"/>
      <c r="O92" s="10" t="inlineStr">
        <is>
          <t>N/D</t>
        </is>
      </c>
      <c r="P92" s="10" t="inlineStr">
        <is>
          <t>N/D</t>
        </is>
      </c>
      <c r="Q92" s="10" t="inlineStr">
        <is>
          <t>N/D</t>
        </is>
      </c>
      <c r="R92" s="10" t="inlineStr">
        <is>
          <t>Financeiro</t>
        </is>
      </c>
      <c r="S92" s="10" t="inlineStr">
        <is>
          <t>Multicarteira Financeiro</t>
        </is>
      </c>
      <c r="T92" s="10" t="inlineStr">
        <is>
          <t>Financeiro</t>
        </is>
      </c>
      <c r="U92" s="10" t="inlineStr">
        <is>
          <t>Multicarteira Financeiro</t>
        </is>
      </c>
      <c r="V92" s="10" t="inlineStr">
        <is>
          <t>N/D</t>
        </is>
      </c>
      <c r="W92" s="10" t="inlineStr">
        <is>
          <t>N/D</t>
        </is>
      </c>
      <c r="X92" s="10" t="inlineStr">
        <is>
          <t>N/D</t>
        </is>
      </c>
      <c r="Y92" s="10" t="inlineStr">
        <is>
          <t>N/D — dados insuficientes</t>
        </is>
      </c>
      <c r="Z92" s="10" t="inlineStr">
        <is>
          <t>Cedente, sacado e tipo de recebível não foram localizados.</t>
        </is>
      </c>
      <c r="AA92" s="10" t="inlineStr">
        <is>
          <t>N/D</t>
        </is>
      </c>
      <c r="AB92" s="10" t="inlineStr">
        <is>
          <t>equivalência metodológica a partir do segmento CVM</t>
        </is>
      </c>
      <c r="AC92" s="10" t="inlineStr">
        <is>
          <t>N/D</t>
        </is>
      </c>
      <c r="AD92" s="10" t="inlineStr">
        <is>
          <t>N/D</t>
        </is>
      </c>
      <c r="AE92" s="10" t="inlineStr">
        <is>
          <t>N/D</t>
        </is>
      </c>
      <c r="AF92" s="10" t="inlineStr">
        <is>
          <t>N/D</t>
        </is>
      </c>
      <c r="AG92" s="10" t="inlineStr">
        <is>
          <t>N/D</t>
        </is>
      </c>
      <c r="AH92" s="10" t="inlineStr">
        <is>
          <t>N/D</t>
        </is>
      </c>
      <c r="AN92" s="27" t="inlineStr">
        <is>
          <t>curadoria anterior — não revisada nesta rodada</t>
        </is>
      </c>
    </row>
    <row r="93" ht="48" customHeight="1">
      <c r="A93" s="14" t="n">
        <v>89</v>
      </c>
      <c r="B93" s="14" t="n">
        <v>89</v>
      </c>
      <c r="C93" s="11" t="inlineStr">
        <is>
          <t>Top 100 por PL ex-FIC</t>
        </is>
      </c>
      <c r="D93" s="17" t="n">
        <v>39669950000149</v>
      </c>
      <c r="E93" s="11" t="inlineStr">
        <is>
          <t>39.669.950/0001-49</t>
        </is>
      </c>
      <c r="F93" s="11" t="inlineStr">
        <is>
          <t>FUNDO DE INVESTIMENTO EM DIREITOS CREDITÓRIOS SOMACRED BACH - RESPONSABILIDADE LIMITADA</t>
        </is>
      </c>
      <c r="G93" s="20" t="n">
        <v>1461275229.61</v>
      </c>
      <c r="H93" s="23" t="n">
        <v>0.001779088895860949</v>
      </c>
      <c r="I93" s="23" t="n">
        <v>0.163315788124124</v>
      </c>
      <c r="J93" s="23" t="inlineStr">
        <is>
          <t>N/D</t>
        </is>
      </c>
      <c r="K93" s="23" t="inlineStr">
        <is>
          <t>N/D</t>
        </is>
      </c>
      <c r="L93" s="11" t="inlineStr">
        <is>
          <t>N/D</t>
        </is>
      </c>
      <c r="M93" s="28" t="inlineStr">
        <is>
          <t>Sabemi Seguradora e Sabemi Previdência Privada</t>
        </is>
      </c>
      <c r="N93" s="11" t="n"/>
      <c r="O93" s="11" t="inlineStr">
        <is>
          <t>N/D</t>
        </is>
      </c>
      <c r="P93" s="11" t="inlineStr">
        <is>
          <t>N/D</t>
        </is>
      </c>
      <c r="Q93" s="11" t="inlineStr">
        <is>
          <t>Consignado/INSS</t>
        </is>
      </c>
      <c r="R93" s="11" t="inlineStr">
        <is>
          <t>Outros</t>
        </is>
      </c>
      <c r="S93" s="11" t="inlineStr">
        <is>
          <t>Multicarteira Outros</t>
        </is>
      </c>
      <c r="T93" s="11" t="inlineStr">
        <is>
          <t>Financeiro</t>
        </is>
      </c>
      <c r="U93" s="11" t="inlineStr">
        <is>
          <t>Crédito Consignado</t>
        </is>
      </c>
      <c r="V93" s="11" t="inlineStr">
        <is>
          <t>Crédito PF</t>
        </is>
      </c>
      <c r="W93" s="11" t="inlineStr">
        <is>
          <t>Consignado/INSS</t>
        </is>
      </c>
      <c r="X93" s="28" t="b">
        <v>0</v>
      </c>
      <c r="Y93" s="28" t="inlineStr">
        <is>
          <t>Fora da faixa de Middle Market por natureza do devedor</t>
        </is>
      </c>
      <c r="Z93" s="28" t="inlineStr">
        <is>
          <t>Devedor final é pessoa física com consignação em folha; não é crédito a empresa.</t>
        </is>
      </c>
      <c r="AA93" s="11" t="inlineStr">
        <is>
          <t>regulamento 1238679 p. 37 [crédito consignado]: PAGINA 46 DE 209 DE ATUACAO “CREDITO CONSIGNADO”. PARAGRAFO NONO O PRESENTE ANEXO DESCRITIVO CONSTITUI PARTE INTEGRANTE DO REGULAMENTO, BEM COMO SERA POR ELE SERA REGIDO, DEVENDO PREVALECER AS DISPOSICOES DO ANEXO DESCRITIVO EM CASO DE QUALQUER CONFLITO OU CONTROVERSIA EM RELACAO AS DISPOSICOES DA PARTE GERAL DO REGULAMENTO. ARTIGO 2O OS TERMOS E EXPRESSOES INICIAD || CEDENTE/ORIGINADOR: regulamento 1238679 p. 9: CEDENTE E SUAS RESPECTIVAS PARTES RELACIONADAS, TAL COMO DEFINIDO PELAS REGRAS CONTABEIS QUE TRATAM DESTE ASSUNTO, EXCETO CONFORME PREVISAO DOS §§ 3O E 4O DO ARTIGO 32 DO ANEXO NORMATIVO II</t>
        </is>
      </c>
      <c r="AB93" s="11" t="inlineStr">
        <is>
          <t>https://fnet.bmfbovespa.com.br/fnet/publico/abrirGerenciadorDocumentosCVM?cnpjFundo=39669950000149</t>
        </is>
      </c>
      <c r="AC93" s="11" t="inlineStr">
        <is>
          <t>1238679</t>
        </is>
      </c>
      <c r="AD93" s="11" t="inlineStr">
        <is>
          <t>N/D</t>
        </is>
      </c>
      <c r="AE93" s="11" t="inlineStr">
        <is>
          <t>regulamento 1238679 p. 37</t>
        </is>
      </c>
      <c r="AF93" s="11" t="inlineStr">
        <is>
          <t>N/D</t>
        </is>
      </c>
      <c r="AG93" s="11" t="inlineStr">
        <is>
          <t>N/D</t>
        </is>
      </c>
      <c r="AH93" s="11" t="inlineStr">
        <is>
          <t>taxonomia disponível — partes e lastro documental N/D</t>
        </is>
      </c>
      <c r="AI93" s="29" t="inlineStr">
        <is>
          <t>Def. "Cedentes": em conjunto, a Sabemi e a Sabemi Previdência Privada. Def. "Devedores": pessoas físicas beneficiárias que tenham tomado empréstimo pessoal com consignação em folha, e servidores federais ativos e inativos com Contrato de Assistência Financeira.</t>
        </is>
      </c>
      <c r="AJ93" s="29" t="inlineStr">
        <is>
          <t>1238679</t>
        </is>
      </c>
      <c r="AK93" s="29" t="inlineStr">
        <is>
          <t>Não</t>
        </is>
      </c>
      <c r="AL93" s="29" t="inlineStr">
        <is>
          <t>fora da faixa</t>
        </is>
      </c>
      <c r="AM93" s="29" t="inlineStr">
        <is>
          <t>Devedor final é pessoa física com consignação em folha; não é crédito a empresa.</t>
        </is>
      </c>
      <c r="AN93" s="29" t="inlineStr">
        <is>
          <t>leitura do regulamento nesta rodada</t>
        </is>
      </c>
    </row>
    <row r="94" ht="48" customHeight="1">
      <c r="A94" s="13" t="n">
        <v>90</v>
      </c>
      <c r="B94" s="13" t="n">
        <v>90</v>
      </c>
      <c r="C94" s="10" t="inlineStr">
        <is>
          <t>Top 100 por PL ex-FIC</t>
        </is>
      </c>
      <c r="D94" s="16" t="n">
        <v>13764696000174</v>
      </c>
      <c r="E94" s="10" t="inlineStr">
        <is>
          <t>13.764.696/0001-74</t>
        </is>
      </c>
      <c r="F94" s="10" t="inlineStr">
        <is>
          <t>JC 4870 FUNDO DE INVESTIMENTO EM DIREITOS CREDITÓRIOS NÃO-PADRONIZADOS</t>
        </is>
      </c>
      <c r="G94" s="19" t="n">
        <v>1447126452.7</v>
      </c>
      <c r="H94" s="22" t="n">
        <v>0.001761862892586185</v>
      </c>
      <c r="I94" s="22" t="n">
        <v>0</v>
      </c>
      <c r="J94" s="22" t="inlineStr">
        <is>
          <t>N/D</t>
        </is>
      </c>
      <c r="K94" s="22" t="inlineStr">
        <is>
          <t>N/D</t>
        </is>
      </c>
      <c r="L94" s="10" t="inlineStr">
        <is>
          <t>N/D</t>
        </is>
      </c>
      <c r="M94" s="28" t="inlineStr">
        <is>
          <t>Roberto Ferreira Rosas / Rosas – Advogados Associados S.C.</t>
        </is>
      </c>
      <c r="N94" s="10" t="n"/>
      <c r="O94" s="10" t="inlineStr">
        <is>
          <t>N/D</t>
        </is>
      </c>
      <c r="P94" s="10" t="inlineStr">
        <is>
          <t>N/D</t>
        </is>
      </c>
      <c r="Q94" s="10" t="inlineStr">
        <is>
          <t>Precatórios/direitos judiciais</t>
        </is>
      </c>
      <c r="R94" s="10" t="inlineStr">
        <is>
          <t>Outros</t>
        </is>
      </c>
      <c r="S94" s="10" t="inlineStr">
        <is>
          <t>Multicarteira Outros</t>
        </is>
      </c>
      <c r="T94" s="10" t="inlineStr">
        <is>
          <t>Outros</t>
        </is>
      </c>
      <c r="U94" s="10" t="inlineStr">
        <is>
          <t>Poder Público</t>
        </is>
      </c>
      <c r="V94" s="10" t="inlineStr">
        <is>
          <t>Judicial/Precatórios/NPL</t>
        </is>
      </c>
      <c r="W94" s="10" t="inlineStr">
        <is>
          <t>Precatórios/direitos judiciais</t>
        </is>
      </c>
      <c r="X94" s="28" t="b">
        <v>0</v>
      </c>
      <c r="Y94" s="28" t="inlineStr">
        <is>
          <t>Fora da faixa de Middle Market por natureza do devedor</t>
        </is>
      </c>
      <c r="Z94" s="28" t="inlineStr">
        <is>
          <t>Cedente único é pessoa física advogado e seu escritório; lastro é honorário/crédito judicial.</t>
        </is>
      </c>
      <c r="AA94" s="10" t="inlineStr">
        <is>
          <t>regulamento 734547 p. 7 [precatórios e requisitórios contra entes públicos]: , NESSA MESMA DATA, QUOTAS REPRESENTATIVAS DO VALOR CORRESPONDENTE. “DEVEDOR(ES)” SIGNIFICA O(S) AUTOR(ES) DAS ACOES JUDICIAIS, OU SEJA, AS USINAS, SENDO QUE, CASO SEJAM EXPEDIDOS PRECATORIOS DISTINTOS (UM PARA O CREDITO DAS USINAS E OUTRO PARA O CREDITO REFERENTE AOS HONORARIOS ADVOCATICIOS - CONTRATUAIS E/OU SUCUMBENCIAIS - CORRESPONDENTES AOS DIREITOS CREDITORIOS), A UNIAO FEDERAL PASSARA A SER INCLUIDA NA DEFINICAO DE DEVEDORES. “DIA UTIL ” SIGNIFICA QUALQUER DIA, QUE NAO UM SABADO, DOMINGO, OU OUTRO D || CEDENTE/ORIGINADOR: regulamento 734547 p. 7: CEDENTE E OS AUTORES DAS ACOES PRINCIPAIS, NOS TERMOS DOS CONTRATOS DE SERVICOS JURIDICOS</t>
        </is>
      </c>
      <c r="AB94" s="10" t="inlineStr">
        <is>
          <t>https://fnet.bmfbovespa.com.br/fnet/publico/abrirGerenciadorDocumentosCVM?cnpjFundo=13764696000174</t>
        </is>
      </c>
      <c r="AC94" s="10" t="inlineStr">
        <is>
          <t>734547</t>
        </is>
      </c>
      <c r="AD94" s="10" t="inlineStr">
        <is>
          <t>N/D</t>
        </is>
      </c>
      <c r="AE94" s="10" t="inlineStr">
        <is>
          <t>regulamento 734547 p. 7</t>
        </is>
      </c>
      <c r="AF94" s="10" t="inlineStr">
        <is>
          <t>N/D</t>
        </is>
      </c>
      <c r="AG94" s="10" t="inlineStr">
        <is>
          <t>N/D</t>
        </is>
      </c>
      <c r="AH94" s="10" t="inlineStr">
        <is>
          <t>taxonomia disponível — partes e lastro documental N/D</t>
        </is>
      </c>
      <c r="AI94" s="29" t="inlineStr">
        <is>
          <t>Def. "Cedente": o titular originário dos Direitos Creditórios cedidos ao Fundo, ou seja, o Dr. Roberto Ferreira Rosas, diretamente ou por meio de seu escritório, Rosas – Advogados Associados S.C., CNPJ 86.690.534/0001-02.</t>
        </is>
      </c>
      <c r="AJ94" s="29" t="inlineStr">
        <is>
          <t>734547</t>
        </is>
      </c>
      <c r="AK94" s="29" t="inlineStr">
        <is>
          <t>Não</t>
        </is>
      </c>
      <c r="AL94" s="29" t="inlineStr">
        <is>
          <t>fora da faixa</t>
        </is>
      </c>
      <c r="AM94" s="29" t="inlineStr">
        <is>
          <t>Cedente único é pessoa física advogado e seu escritório; lastro é honorário/crédito judicial.</t>
        </is>
      </c>
      <c r="AN94" s="29" t="inlineStr">
        <is>
          <t>leitura do regulamento nesta rodada</t>
        </is>
      </c>
    </row>
    <row r="95" ht="48" customHeight="1">
      <c r="A95" s="14" t="n">
        <v>91</v>
      </c>
      <c r="B95" s="14" t="n">
        <v>91</v>
      </c>
      <c r="C95" s="11" t="inlineStr">
        <is>
          <t>Top 100 por PL ex-FIC</t>
        </is>
      </c>
      <c r="D95" s="17" t="n">
        <v>47227790000106</v>
      </c>
      <c r="E95" s="11" t="inlineStr">
        <is>
          <t>47.227.790/0001-06</t>
        </is>
      </c>
      <c r="F95" s="11" t="inlineStr">
        <is>
          <t>SAPPHIRE FUNDO DE INVESTIMENTO EM DIREITOS CREDITÓRIOS DE RESPONSABILIDADE LIMITADA</t>
        </is>
      </c>
      <c r="G95" s="20" t="n">
        <v>1425902192.06</v>
      </c>
      <c r="H95" s="23" t="n">
        <v>0.00173602255418699</v>
      </c>
      <c r="I95" s="23" t="n">
        <v>1</v>
      </c>
      <c r="J95" s="23" t="inlineStr">
        <is>
          <t>N/D</t>
        </is>
      </c>
      <c r="K95" s="23" t="inlineStr">
        <is>
          <t>N/D</t>
        </is>
      </c>
      <c r="L95" s="11" t="inlineStr">
        <is>
          <t>N/D</t>
        </is>
      </c>
      <c r="M95" s="28" t="inlineStr">
        <is>
          <t>não localizado — multicedente PF/PJ</t>
        </is>
      </c>
      <c r="N95" s="11" t="n"/>
      <c r="O95" s="11" t="inlineStr">
        <is>
          <t>N/D</t>
        </is>
      </c>
      <c r="P95" s="11" t="inlineStr">
        <is>
          <t>N/D</t>
        </is>
      </c>
      <c r="Q95" s="11" t="inlineStr">
        <is>
          <t>Crédito privado/mercado de capitais</t>
        </is>
      </c>
      <c r="R95" s="11" t="inlineStr">
        <is>
          <t>Outros</t>
        </is>
      </c>
      <c r="S95" s="11" t="inlineStr">
        <is>
          <t>Poder Público</t>
        </is>
      </c>
      <c r="T95" s="11" t="inlineStr">
        <is>
          <t>Agro, Indústria e Comércio</t>
        </is>
      </c>
      <c r="U95" s="11" t="inlineStr">
        <is>
          <t>Crédito Corporativo</t>
        </is>
      </c>
      <c r="V95" s="11" t="inlineStr">
        <is>
          <t>Crédito PJ</t>
        </is>
      </c>
      <c r="W95" s="11" t="inlineStr">
        <is>
          <t>Crédito privado/mercado de capitais</t>
        </is>
      </c>
      <c r="X95" s="28" t="inlineStr">
        <is>
          <t>N/D</t>
        </is>
      </c>
      <c r="Y95" s="28" t="inlineStr">
        <is>
          <t>Indeterminado — regulamento sem métrica de porte</t>
        </is>
      </c>
      <c r="Z95" s="28" t="inlineStr">
        <is>
          <t>Cedente genérico.</t>
        </is>
      </c>
      <c r="AA95" s="11" t="inlineStr">
        <is>
          <t>regulamento 687608 p. 28 [crédito corporativo / mercado de capitais]: OMENTE PODERA ADQUIRIR DIREITOS CREDITORIOS E COTAS INVESTIDAS QUE ATENDAM AOS SEGUINTES CRITERIOS DE ELEGIBILIDADE, A SEREM VERIFICADOS PELA GESTORA. A) DIREITOS CREDITORIOS: (I) DEBENTURES DE DISTRIBUICAO PRIVADA E NOTAS COMERCIAIS OBJETO DE DISTRIBUICAO PRIVADA; (II) OS DIREITOS CREDITORIOS NAO PODERAO ESTAR VENCIDOS E INADIMPLIDOS QUANDO DA SUA CESSAO PARA O FUNDO; (III) OS DEVEDORES DOS DIREITOS CREDITORIOS NAO PODERAO TER DIREITOS CREDITORIOS INADIMPLIDOS COM O FUNDO, OU SEJA, JA CEDIDOS AO FUNDO, H | regulamento 687608 p. 26 [precatórios e requisitórios contra entes públicos]: O, DA ADMINISTRACAO DIRETA OU INDIRETA, FEDERAL, ESTADUAL OU MUNICIPAL, INCLUSIVE AUTARQUIAS E FUNDACOES, QUE, EM RAZAO DE SENTENCA TRANSITADA EM JULGADO, ESTEJAM REPRESENTADOS EM PRECATORIOS JA EXPEDIDOS (“PRECATORIO(S)”); (B) DEBENTURES; E (C) NOTAS COMERCIAIS. 7.1.1 E PERMITIDO A CLASSE ADQUIRIR DIREITOS CREDITORIOS NAO PERFORMADOS, OU SEJA, DIREITOS CREDITORIOS CUJA EXIGIBILIDADE AINDA DEPENDA DE CONTRAPRESTACAO PELOS RESPECTIVOS CEDENTES. 7.1.2 A CLASSE PODERA ADQUIRIR DIREITOS CREDITORIOS CUJOS CEDEN || CEDENTE/ORIGINADOR: regulamento 687608 p. 26: CEDENTE SERA RESPONSAVEL PELA EXISTENCIA DOS DIREITOS CREDITORIOS CEDIDOS, NOS TERMOS DO ARTIGO 295 DO CODIGO CIVIL</t>
        </is>
      </c>
      <c r="AB95" s="11" t="inlineStr">
        <is>
          <t>https://fnet.bmfbovespa.com.br/fnet/publico/abrirGerenciadorDocumentosCVM?cnpjFundo=47227790000106</t>
        </is>
      </c>
      <c r="AC95" s="11" t="inlineStr">
        <is>
          <t>687608</t>
        </is>
      </c>
      <c r="AD95" s="11" t="inlineStr">
        <is>
          <t>N/D</t>
        </is>
      </c>
      <c r="AE95" s="11" t="inlineStr">
        <is>
          <t>regulamento 687608 p. 28, regulamento 687608 p. 26</t>
        </is>
      </c>
      <c r="AF95" s="11" t="inlineStr">
        <is>
          <t>N/D</t>
        </is>
      </c>
      <c r="AG95" s="11" t="inlineStr">
        <is>
          <t>N/D</t>
        </is>
      </c>
      <c r="AH95" s="11" t="inlineStr">
        <is>
          <t>taxonomia disponível — partes e lastro documental N/D</t>
        </is>
      </c>
      <c r="AI95" s="29" t="inlineStr">
        <is>
          <t>Def. "Cedente": pessoa física ou jurídica que cede os Direitos Creditórios ao Fundo. Def. "Devedor": pessoa física ou jurídica que é devedora dos Direitos Creditórios.</t>
        </is>
      </c>
      <c r="AJ95" s="29" t="inlineStr">
        <is>
          <t>687608</t>
        </is>
      </c>
      <c r="AK95" s="29" t="inlineStr">
        <is>
          <t>Não</t>
        </is>
      </c>
      <c r="AL95" s="29" t="inlineStr">
        <is>
          <t>indeterminado</t>
        </is>
      </c>
      <c r="AM95" s="29" t="inlineStr">
        <is>
          <t>Cedente genérico.</t>
        </is>
      </c>
      <c r="AN95" s="29" t="inlineStr">
        <is>
          <t>leitura do regulamento nesta rodada</t>
        </is>
      </c>
    </row>
    <row r="96" hidden="1" ht="48" customHeight="1">
      <c r="A96" s="13" t="n">
        <v>92</v>
      </c>
      <c r="B96" s="13" t="n">
        <v>92</v>
      </c>
      <c r="C96" s="10" t="inlineStr">
        <is>
          <t>Top 100 por PL ex-FIC</t>
        </is>
      </c>
      <c r="D96" s="16" t="n">
        <v>65839682000176</v>
      </c>
      <c r="E96" s="10" t="inlineStr">
        <is>
          <t>65.839.682/0001-76</t>
        </is>
      </c>
      <c r="F96" s="10" t="inlineStr">
        <is>
          <t>FUNDO DE INVESTIMENTOS EM DIREITOS CREDITÓRIOS PICPAY FGTS II DE RESPONSABILIDADE LIMITADA</t>
        </is>
      </c>
      <c r="G96" s="19" t="n">
        <v>1420614297.06</v>
      </c>
      <c r="H96" s="22" t="n">
        <v>0.001729584591586687</v>
      </c>
      <c r="I96" s="22" t="n">
        <v>0.1042683773033183</v>
      </c>
      <c r="J96" s="22" t="inlineStr">
        <is>
          <t>N/D</t>
        </is>
      </c>
      <c r="K96" s="22" t="inlineStr">
        <is>
          <t>N/D</t>
        </is>
      </c>
      <c r="L96" s="10" t="inlineStr">
        <is>
          <t>N/D</t>
        </is>
      </c>
      <c r="M96" s="10" t="inlineStr">
        <is>
          <t>PicPay</t>
        </is>
      </c>
      <c r="N96" s="10" t="n"/>
      <c r="O96" s="10" t="inlineStr">
        <is>
          <t>N/D</t>
        </is>
      </c>
      <c r="P96" s="10" t="inlineStr">
        <is>
          <t>N/D</t>
        </is>
      </c>
      <c r="Q96" s="10" t="inlineStr">
        <is>
          <t>N/D</t>
        </is>
      </c>
      <c r="R96" s="10" t="inlineStr">
        <is>
          <t>Financeiro</t>
        </is>
      </c>
      <c r="S96" s="10" t="inlineStr">
        <is>
          <t>Multicarteira Financeiro</t>
        </is>
      </c>
      <c r="T96" s="10" t="inlineStr">
        <is>
          <t>Financeiro</t>
        </is>
      </c>
      <c r="U96" s="10" t="inlineStr">
        <is>
          <t>Multicarteira Financeiro</t>
        </is>
      </c>
      <c r="V96" s="10" t="inlineStr">
        <is>
          <t>N/D</t>
        </is>
      </c>
      <c r="W96" s="10" t="inlineStr">
        <is>
          <t>N/D</t>
        </is>
      </c>
      <c r="X96" s="10" t="inlineStr">
        <is>
          <t>N/D</t>
        </is>
      </c>
      <c r="Y96" s="10" t="inlineStr">
        <is>
          <t>N/D — dados insuficientes</t>
        </is>
      </c>
      <c r="Z96" s="10" t="inlineStr">
        <is>
          <t>Cedente, sacado e tipo de recebível não foram localizados.</t>
        </is>
      </c>
      <c r="AA96" s="10" t="inlineStr">
        <is>
          <t>N/D</t>
        </is>
      </c>
      <c r="AB96" s="10" t="inlineStr">
        <is>
          <t>equivalência metodológica a partir do segmento CVM</t>
        </is>
      </c>
      <c r="AC96" s="10" t="inlineStr">
        <is>
          <t>N/D</t>
        </is>
      </c>
      <c r="AD96" s="10" t="inlineStr">
        <is>
          <t>N/D</t>
        </is>
      </c>
      <c r="AE96" s="10" t="inlineStr">
        <is>
          <t>N/D</t>
        </is>
      </c>
      <c r="AF96" s="10" t="inlineStr">
        <is>
          <t>N/D</t>
        </is>
      </c>
      <c r="AG96" s="10" t="inlineStr">
        <is>
          <t>N/D</t>
        </is>
      </c>
      <c r="AH96" s="10" t="inlineStr">
        <is>
          <t>N/D</t>
        </is>
      </c>
      <c r="AN96" s="27" t="inlineStr">
        <is>
          <t>curadoria anterior — não revisada nesta rodada</t>
        </is>
      </c>
    </row>
    <row r="97" ht="48" customHeight="1">
      <c r="A97" s="14" t="n">
        <v>93</v>
      </c>
      <c r="B97" s="14" t="n">
        <v>93</v>
      </c>
      <c r="C97" s="11" t="inlineStr">
        <is>
          <t>Top 100 por PL ex-FIC</t>
        </is>
      </c>
      <c r="D97" s="17" t="n">
        <v>57325251000163</v>
      </c>
      <c r="E97" s="11" t="inlineStr">
        <is>
          <t>57.325.251/0001-63</t>
        </is>
      </c>
      <c r="F97" s="11" t="inlineStr">
        <is>
          <t>ANGICO FIDC SEGMENTO INFRAESTRUTURA E AGRONEGÓCIO DE RESPONSABILIDADE LIMITADA</t>
        </is>
      </c>
      <c r="G97" s="20" t="n">
        <v>1391099575.18</v>
      </c>
      <c r="H97" s="23" t="n">
        <v>0.001693650694332337</v>
      </c>
      <c r="I97" s="23" t="n">
        <v>0</v>
      </c>
      <c r="J97" s="23" t="inlineStr">
        <is>
          <t>N/D</t>
        </is>
      </c>
      <c r="K97" s="23" t="inlineStr">
        <is>
          <t>N/D</t>
        </is>
      </c>
      <c r="L97" s="11" t="inlineStr">
        <is>
          <t>N/D</t>
        </is>
      </c>
      <c r="M97" s="28" t="inlineStr">
        <is>
          <t>não localizado — devedores são empresas emitentes, não nomeadas</t>
        </is>
      </c>
      <c r="N97" s="11" t="n"/>
      <c r="O97" s="11" t="inlineStr">
        <is>
          <t>N/D</t>
        </is>
      </c>
      <c r="P97" s="11" t="inlineStr">
        <is>
          <t>N/D</t>
        </is>
      </c>
      <c r="Q97" s="11" t="inlineStr">
        <is>
          <t>Agro</t>
        </is>
      </c>
      <c r="R97" s="11" t="inlineStr">
        <is>
          <t>Agro, Indústria e Comércio</t>
        </is>
      </c>
      <c r="S97" s="11" t="inlineStr">
        <is>
          <t>Agronegócio</t>
        </is>
      </c>
      <c r="T97" s="11" t="inlineStr">
        <is>
          <t>Agro, Indústria e Comércio</t>
        </is>
      </c>
      <c r="U97" s="11" t="inlineStr">
        <is>
          <t>Agronegócio</t>
        </is>
      </c>
      <c r="V97" s="11" t="inlineStr">
        <is>
          <t>Agro</t>
        </is>
      </c>
      <c r="W97" s="11" t="inlineStr">
        <is>
          <t>Agro</t>
        </is>
      </c>
      <c r="X97" s="28" t="inlineStr">
        <is>
          <t>N/D</t>
        </is>
      </c>
      <c r="Y97" s="28" t="inlineStr">
        <is>
          <t>Indeterminado — regulamento sem métrica de porte</t>
        </is>
      </c>
      <c r="Z97" s="28" t="inlineStr">
        <is>
          <t>Devedor é empresa emitente de NC/CCB para projetos de infraestrutura e agronegócio — indício corporativo forte, mas sem faixa de faturamento no regulamento.</t>
        </is>
      </c>
      <c r="AA97" s="11" t="inlineStr">
        <is>
          <t>O fundo adquire títulos emitidos por empresas de infraestrutura ou agronegócio descritas apenas como Devedores.</t>
        </is>
      </c>
      <c r="AB97" s="11" t="inlineStr">
        <is>
          <t>https://fnet.bmfbovespa.com.br/fnet/publico/abrirGerenciadorDocumentosCVM?cnpjFundo=57325251000163</t>
        </is>
      </c>
      <c r="AC97" s="11" t="inlineStr">
        <is>
          <t>1086644</t>
        </is>
      </c>
      <c r="AD97" s="11" t="inlineStr">
        <is>
          <t>N/D</t>
        </is>
      </c>
      <c r="AE97" s="11" t="inlineStr">
        <is>
          <t>p. 8 — objetivo e política de investimento</t>
        </is>
      </c>
      <c r="AF97" s="11" t="inlineStr">
        <is>
          <t>N/D</t>
        </is>
      </c>
      <c r="AG97" s="11" t="inlineStr">
        <is>
          <t>N/D</t>
        </is>
      </c>
      <c r="AH97" s="11" t="inlineStr">
        <is>
          <t>taxonomia disponível — partes e lastro documental N/D</t>
        </is>
      </c>
      <c r="AI97" s="29" t="inlineStr">
        <is>
          <t>Def. "Devedores": são as empresas que emitem os Direitos Creditórios a serem adquiridos pelo Fundo. Def. "Direitos Creditórios": títulos de crédito e valores mobiliários representativos de dívida destinados à implementação de Projetos, incluindo Notas Comerciais e CCBs.</t>
        </is>
      </c>
      <c r="AJ97" s="29" t="inlineStr">
        <is>
          <t>1086644</t>
        </is>
      </c>
      <c r="AK97" s="29" t="inlineStr">
        <is>
          <t>Não</t>
        </is>
      </c>
      <c r="AL97" s="29" t="inlineStr">
        <is>
          <t>indeterminado</t>
        </is>
      </c>
      <c r="AM97" s="29" t="inlineStr">
        <is>
          <t>Devedor é empresa emitente de NC/CCB para projetos de infraestrutura e agronegócio — indício corporativo forte, mas sem faixa de faturamento no regulamento.</t>
        </is>
      </c>
      <c r="AN97" s="29" t="inlineStr">
        <is>
          <t>leitura do regulamento nesta rodada</t>
        </is>
      </c>
    </row>
    <row r="98" hidden="1" ht="48" customHeight="1">
      <c r="A98" s="13" t="n">
        <v>94</v>
      </c>
      <c r="B98" s="13" t="n">
        <v>94</v>
      </c>
      <c r="C98" s="10" t="inlineStr">
        <is>
          <t>Top 100 por PL ex-FIC</t>
        </is>
      </c>
      <c r="D98" s="16" t="n">
        <v>52327260000170</v>
      </c>
      <c r="E98" s="10" t="inlineStr">
        <is>
          <t>52.327.260/0001-70</t>
        </is>
      </c>
      <c r="F98" s="10" t="inlineStr">
        <is>
          <t>IFOOD I FIDC SEGMENTO MEIOS DE PAGAMENTO DE RESPONSABILIDADA</t>
        </is>
      </c>
      <c r="G98" s="19" t="n">
        <v>1389238751.96</v>
      </c>
      <c r="H98" s="22" t="n">
        <v>0.001691385159503046</v>
      </c>
      <c r="I98" s="22" t="n">
        <v>0.1320517245293331</v>
      </c>
      <c r="J98" s="22" t="inlineStr">
        <is>
          <t>N/D</t>
        </is>
      </c>
      <c r="K98" s="22" t="inlineStr">
        <is>
          <t>N/D</t>
        </is>
      </c>
      <c r="L98" s="10" t="inlineStr">
        <is>
          <t>N/D</t>
        </is>
      </c>
      <c r="M98" s="10" t="inlineStr">
        <is>
          <t>iFood</t>
        </is>
      </c>
      <c r="N98" s="10" t="n"/>
      <c r="O98" s="10" t="inlineStr">
        <is>
          <t>N/D</t>
        </is>
      </c>
      <c r="P98" s="10" t="inlineStr">
        <is>
          <t>N/D</t>
        </is>
      </c>
      <c r="Q98" s="10" t="inlineStr">
        <is>
          <t>Arranjos de pagamento/adquirência</t>
        </is>
      </c>
      <c r="R98" s="10" t="inlineStr">
        <is>
          <t>Agro, Indústria e Comércio</t>
        </is>
      </c>
      <c r="S98" s="10" t="inlineStr">
        <is>
          <t>Recebíveis Comerciais</t>
        </is>
      </c>
      <c r="T98" s="10" t="inlineStr">
        <is>
          <t>Agro, Indústria e Comércio</t>
        </is>
      </c>
      <c r="U98" s="10" t="inlineStr">
        <is>
          <t>Recebíveis Comerciais</t>
        </is>
      </c>
      <c r="V98" s="10" t="inlineStr">
        <is>
          <t>Meios de Pagamento e Cartões</t>
        </is>
      </c>
      <c r="W98" s="10" t="inlineStr">
        <is>
          <t>Arranjos de pagamento/adquirência</t>
        </is>
      </c>
      <c r="X98" s="10" t="b">
        <v>0</v>
      </c>
      <c r="Y98" s="10" t="inlineStr">
        <is>
          <t>Sem indício documental de Middle Market</t>
        </is>
      </c>
      <c r="Z98" s="10" t="inlineStr">
        <is>
          <t>A evidência disponível aponta outro tipo de risco ou não traz crédito corporativo.</t>
        </is>
      </c>
      <c r="AA98" s="10" t="inlineStr">
        <is>
          <t>OBSERVADOS OS CRITERIOS DE COMPOSICAO E DIVERSIFICACAO DA CARTEIRA DO FUNDO, CONFORME ESTABELECIDOS NESTE REGULAMENTO. 4.2. ORIGEM DOS DIREITOS CREDITORIOS . O FUNDO ADQUIRIRA (A) DIREITOS CREDITORIOS CARTOES E DIREITOS CREDITORIOS OUTROS, QUE SAO ORIUNDOS DO PAGAMENTO DEVIDO PELO DEVEDOR AOS CEDENTES DECORRENTES DE TRANSACOES DE PAGAMENTO REALIZADAS POR CLIENTES DOS PARCEIROS, A VISTA OU PARCELADAS, NO AMBITO DO RESPECTIVO ARRANJO DE PAGAMENTO, E (B) DIREITOS CREDITORIOS CONTA DIGITAL, QUE SAO ORIUNDOS DOS DIREITOS CREDITORIOS A PERFORMAR DETIDOS PELOS PARCEIROS EM FACE DO PROVEDOR DE DOCUSIGN ENVELOPE ID: EA3E46E7-E426-401E-A595-139E0C2E9BCF</t>
        </is>
      </c>
      <c r="AB98" s="10" t="inlineStr">
        <is>
          <t>https://fnet.bmfbovespa.com.br/fnet/publico/abrirGerenciadorDocumentosCVM?cnpjFundo=52327260000170</t>
        </is>
      </c>
      <c r="AC98" s="10" t="inlineStr">
        <is>
          <t>1179906</t>
        </is>
      </c>
      <c r="AD98" s="10" t="inlineStr">
        <is>
          <t>N/D</t>
        </is>
      </c>
      <c r="AE98" s="10" t="inlineStr">
        <is>
          <t>p. 36 — política/definição do lastro</t>
        </is>
      </c>
      <c r="AF98" s="10" t="inlineStr">
        <is>
          <t>N/D</t>
        </is>
      </c>
      <c r="AG98" s="10" t="inlineStr">
        <is>
          <t>N/D</t>
        </is>
      </c>
      <c r="AH98" s="10" t="inlineStr">
        <is>
          <t>taxonomia disponível — partes e lastro documental N/D</t>
        </is>
      </c>
      <c r="AN98" s="27" t="inlineStr">
        <is>
          <t>curadoria anterior — não revisada nesta rodada</t>
        </is>
      </c>
    </row>
    <row r="99" ht="48" customHeight="1">
      <c r="A99" s="14" t="n">
        <v>95</v>
      </c>
      <c r="B99" s="14" t="n">
        <v>95</v>
      </c>
      <c r="C99" s="11" t="inlineStr">
        <is>
          <t>Top 100 por PL ex-FIC</t>
        </is>
      </c>
      <c r="D99" s="17" t="n">
        <v>31739396000117</v>
      </c>
      <c r="E99" s="11" t="inlineStr">
        <is>
          <t>31.739.396/0001-17</t>
        </is>
      </c>
      <c r="F99" s="11" t="inlineStr">
        <is>
          <t>LF III FUNDO DE INVESTIMENTO EM DIREITOS CREDITÓRIOS DE RESPONSABILIDADE LIMITADA</t>
        </is>
      </c>
      <c r="G99" s="20" t="n">
        <v>1385981646.72</v>
      </c>
      <c r="H99" s="23" t="n">
        <v>0.001687419664401428</v>
      </c>
      <c r="I99" s="23" t="n">
        <v>0.0800310134462825</v>
      </c>
      <c r="J99" s="23" t="inlineStr">
        <is>
          <t>N/D</t>
        </is>
      </c>
      <c r="K99" s="23" t="inlineStr">
        <is>
          <t>N/D</t>
        </is>
      </c>
      <c r="L99" s="11" t="inlineStr">
        <is>
          <t>N/D</t>
        </is>
      </c>
      <c r="M99" s="11" t="inlineStr">
        <is>
          <t>Listo</t>
        </is>
      </c>
      <c r="N99" s="11" t="n"/>
      <c r="O99" s="11" t="inlineStr">
        <is>
          <t>Listo IP</t>
        </is>
      </c>
      <c r="P99" s="11" t="inlineStr">
        <is>
          <t>N/D</t>
        </is>
      </c>
      <c r="Q99" s="11" t="inlineStr">
        <is>
          <t>Risco Bancos Emissores Diversos</t>
        </is>
      </c>
      <c r="R99" s="11" t="inlineStr">
        <is>
          <t>Agro, Indústria e Comércio</t>
        </is>
      </c>
      <c r="S99" s="11" t="inlineStr">
        <is>
          <t>Recebíveis Comerciais</t>
        </is>
      </c>
      <c r="T99" s="11" t="inlineStr">
        <is>
          <t>Agro, Indústria e Comércio</t>
        </is>
      </c>
      <c r="U99" s="11" t="inlineStr">
        <is>
          <t>Recebíveis Comerciais</t>
        </is>
      </c>
      <c r="V99" s="11" t="inlineStr">
        <is>
          <t>Meios de Pagamento e Cartões</t>
        </is>
      </c>
      <c r="W99" s="11" t="inlineStr">
        <is>
          <t>Arranjos de pagamento/adquirência</t>
        </is>
      </c>
      <c r="X99" s="11" t="b">
        <v>0</v>
      </c>
      <c r="Y99" s="11" t="inlineStr">
        <is>
          <t>Sem indício documental de Middle Market</t>
        </is>
      </c>
      <c r="Z99" s="11" t="inlineStr">
        <is>
          <t>A evidência disponível aponta outro tipo de risco ou não traz crédito corporativo.</t>
        </is>
      </c>
      <c r="AA99" s="11" t="inlineStr">
        <is>
          <t>ANSACOES DE PAGAMENTO NECESSARIAS AO RECEBIMENTO PELOS ESTABELECIMENTOS CREDENCIADOS OU O DIREITO AO RECEBIMENTO DESSES RECURSOS PARA O CUMPRIMENTO DESSA MESMA FINALIDADE, COMO OS DIREITOS CREDITORIOS, NAO PODEM SER OBJETO DE CESSAO DE DIREITOS CREDITORIOS NEM SER DADOS EM GARANTIA, EXCETO SE O PRODUTO DA CESSAO DOS CREDITOS OU DA OPERACAO GARANTIDA FOR DESTINADO PARA CUMPRIR AS OBRIGACOES DE LIQUIDACAO ENTRE OS PARTICIPANTES DOS ARRANJOS DE PAGAMENTO REFERENTES AS TRANSACOES DE PAGAMENTO ATE O RECEBIMENTO PELOS ESTABELECIMENTOS CREDENCIADOS, OU PARA ASSEGURAR O CUMPRIMENTO DESSAS OBRIGACOES, CONFORME AS REGRAS DOS ARRANJO DE PAGAMENTO. AINDA NAO EXISTE JURISPRUDENCIA DOS TRIBUNAIS BRASILEIROS SOBRE A APLICACAO DA REFERIDA NORMA, DE MODO QUE, C ASO A CESSAO DE DIREITOS CREDITORIOS CEDIDOS PELA CEDENTE AO FUNDO VENHA A SER QUESTIONADA JUDICIALMENTE, A AQUISICAO DE DIREITOS CREDITORIOS CEDIDOS PELO FUNDO PODERA SER ANULADA OU SE TORNAR INEFICAZ, GERANDO PERDAS AO</t>
        </is>
      </c>
      <c r="AB99" s="11" t="inlineStr">
        <is>
          <t>https://fnet.bmfbovespa.com.br/fnet/publico/abrirGerenciadorDocumentosCVM?cnpjFundo=31739396000117</t>
        </is>
      </c>
      <c r="AC99" s="11" t="inlineStr">
        <is>
          <t>1146939</t>
        </is>
      </c>
      <c r="AD99" s="11" t="inlineStr">
        <is>
          <t>N/D</t>
        </is>
      </c>
      <c r="AE99" s="11" t="inlineStr">
        <is>
          <t>p. 59 — política/definição do lastro</t>
        </is>
      </c>
      <c r="AF99" s="11" t="inlineStr">
        <is>
          <t>N/D</t>
        </is>
      </c>
      <c r="AG99" s="11" t="inlineStr">
        <is>
          <t>N/D</t>
        </is>
      </c>
      <c r="AH99" s="11" t="inlineStr">
        <is>
          <t>documentado — parte ou lastro identificado</t>
        </is>
      </c>
      <c r="AN99" s="27" t="inlineStr">
        <is>
          <t>curadoria anterior — não revisada nesta rodada</t>
        </is>
      </c>
    </row>
    <row r="100" ht="48" customHeight="1">
      <c r="A100" s="13" t="n">
        <v>96</v>
      </c>
      <c r="B100" s="13" t="n">
        <v>96</v>
      </c>
      <c r="C100" s="10" t="inlineStr">
        <is>
          <t>Top 100 por PL ex-FIC</t>
        </is>
      </c>
      <c r="D100" s="16" t="n">
        <v>18048642000126</v>
      </c>
      <c r="E100" s="10" t="inlineStr">
        <is>
          <t>18.048.642/0001-26</t>
        </is>
      </c>
      <c r="F100" s="10" t="inlineStr">
        <is>
          <t>BLC FUNDO DE INVESTIMENTO EM DIREITOS CREDITÓRIOS NÃO-PADRONIZADOS</t>
        </is>
      </c>
      <c r="G100" s="19" t="n">
        <v>1385172155.96</v>
      </c>
      <c r="H100" s="22" t="n">
        <v>0.001686434116988294</v>
      </c>
      <c r="I100" s="22" t="n">
        <v>0</v>
      </c>
      <c r="J100" s="22" t="inlineStr">
        <is>
          <t>N/D</t>
        </is>
      </c>
      <c r="K100" s="22" t="inlineStr">
        <is>
          <t>N/D</t>
        </is>
      </c>
      <c r="L100" s="10" t="inlineStr">
        <is>
          <t>N/D</t>
        </is>
      </c>
      <c r="M100" s="28" t="inlineStr">
        <is>
          <t>não localizado — cedentes de precatórios não nomeados</t>
        </is>
      </c>
      <c r="N100" s="10" t="n"/>
      <c r="O100" s="10" t="inlineStr">
        <is>
          <t>N/D</t>
        </is>
      </c>
      <c r="P100" s="10" t="inlineStr">
        <is>
          <t>N/D</t>
        </is>
      </c>
      <c r="Q100" s="10" t="inlineStr">
        <is>
          <t>Precatórios/direitos judiciais</t>
        </is>
      </c>
      <c r="R100" s="10" t="inlineStr">
        <is>
          <t>Outros</t>
        </is>
      </c>
      <c r="S100" s="10" t="inlineStr">
        <is>
          <t>Poder Público</t>
        </is>
      </c>
      <c r="T100" s="10" t="inlineStr">
        <is>
          <t>Outros</t>
        </is>
      </c>
      <c r="U100" s="10" t="inlineStr">
        <is>
          <t>Poder Público</t>
        </is>
      </c>
      <c r="V100" s="10" t="inlineStr">
        <is>
          <t>Judicial/Precatórios/NPL</t>
        </is>
      </c>
      <c r="W100" s="10" t="inlineStr">
        <is>
          <t>Precatórios/direitos judiciais</t>
        </is>
      </c>
      <c r="X100" s="28" t="b">
        <v>0</v>
      </c>
      <c r="Y100" s="28" t="inlineStr">
        <is>
          <t>Fora da faixa de Middle Market por natureza do devedor</t>
        </is>
      </c>
      <c r="Z100" s="28" t="inlineStr">
        <is>
          <t>Lastro é precatório contra ente federativo; não há devedor empresarial.</t>
        </is>
      </c>
      <c r="AA100" s="10" t="inlineStr">
        <is>
          <t>regulamento 1200673 p. 33 [precatórios e requisitórios contra entes públicos]: PACTUAL SAC: 0800 772 28 27 - OUVIDORIA: 0800 722 00 48 - BTGPACTUAL.COM 24 CLASSE E, CONSEQUENTEMENTE, AOS SEUS COTISTAS; (III) APESAR DAS REGRAS DISCIPLINADAS PARA PAGAMENTO DE PRECATORIOS JUDICIAIS PREVISTAS NA CONSTITUICAO FEDERAL, NAO EXISTE OBICE PARA QUE A ENTIDADE DE DIREITO PUBLICO FACA O PAGAMENTO ANTECIPADO, O QUE, NA HIPOTESE DE NAO HAVER OUTROS DIREITOS CREDITORIOS NA CARTEIRA DA CLASSE, PODE ACARRETAR NA ANTECIPACAO DO PRAZO DE DURACAO EM RELACAO AQUELE ORIGINALMENTE ESTIPULADO NO ITEM 1.2 D || CEDENTE/ORIGINADOR: regulamento 1200673 p. 8: CEDENTE E OS COTISTAS</t>
        </is>
      </c>
      <c r="AB100" s="10" t="inlineStr">
        <is>
          <t>https://fnet.bmfbovespa.com.br/fnet/publico/abrirGerenciadorDocumentosCVM?cnpjFundo=18048642000126</t>
        </is>
      </c>
      <c r="AC100" s="10" t="inlineStr">
        <is>
          <t>1200673</t>
        </is>
      </c>
      <c r="AD100" s="10" t="inlineStr">
        <is>
          <t>N/D</t>
        </is>
      </c>
      <c r="AE100" s="10" t="inlineStr">
        <is>
          <t>regulamento 1200673 p. 33</t>
        </is>
      </c>
      <c r="AF100" s="10" t="inlineStr">
        <is>
          <t>N/D</t>
        </is>
      </c>
      <c r="AG100" s="10" t="inlineStr">
        <is>
          <t>N/D</t>
        </is>
      </c>
      <c r="AH100" s="10" t="inlineStr">
        <is>
          <t>taxonomia disponível — partes e lastro documental N/D</t>
        </is>
      </c>
      <c r="AI100" s="29" t="inlineStr">
        <is>
          <t>Cedentes definidos apenas por remissão no item 4.2 do Anexo I; o regulamento faz referência às Emendas Constitucionais nº 30/00 e nº 62/09, características de carteira de precatórios.</t>
        </is>
      </c>
      <c r="AJ100" s="29" t="inlineStr">
        <is>
          <t>1200673</t>
        </is>
      </c>
      <c r="AK100" s="29" t="inlineStr">
        <is>
          <t>Não</t>
        </is>
      </c>
      <c r="AL100" s="29" t="inlineStr">
        <is>
          <t>fora da faixa</t>
        </is>
      </c>
      <c r="AM100" s="29" t="inlineStr">
        <is>
          <t>Lastro é precatório contra ente federativo; não há devedor empresarial.</t>
        </is>
      </c>
      <c r="AN100" s="29" t="inlineStr">
        <is>
          <t>leitura do regulamento nesta rodada</t>
        </is>
      </c>
    </row>
    <row r="101" ht="48" customHeight="1">
      <c r="A101" s="14" t="n">
        <v>97</v>
      </c>
      <c r="B101" s="14" t="n">
        <v>97</v>
      </c>
      <c r="C101" s="11" t="inlineStr">
        <is>
          <t>Top 100 por PL ex-FIC</t>
        </is>
      </c>
      <c r="D101" s="17" t="n">
        <v>45207707000101</v>
      </c>
      <c r="E101" s="11" t="inlineStr">
        <is>
          <t>45.207.707/0001-01</t>
        </is>
      </c>
      <c r="F101" s="11" t="inlineStr">
        <is>
          <t>LASSIE EDUCATION CRÉDITOS JUDICIAIS FUNDO DE INVESTIMENTO EM DIREITOS CREDITÓRIOS</t>
        </is>
      </c>
      <c r="G101" s="20" t="n">
        <v>1380228129.74</v>
      </c>
      <c r="H101" s="23" t="n">
        <v>0.00168041481140464</v>
      </c>
      <c r="I101" s="23" t="n">
        <v>0.4149784846743287</v>
      </c>
      <c r="J101" s="23" t="inlineStr">
        <is>
          <t>N/D</t>
        </is>
      </c>
      <c r="K101" s="23" t="inlineStr">
        <is>
          <t>N/D</t>
        </is>
      </c>
      <c r="L101" s="11" t="inlineStr">
        <is>
          <t>N/D</t>
        </is>
      </c>
      <c r="M101" s="28" t="inlineStr">
        <is>
          <t>não localizado — cedentes de créditos judiciais não nomeados</t>
        </is>
      </c>
      <c r="N101" s="11" t="n"/>
      <c r="O101" s="11" t="inlineStr">
        <is>
          <t>N/D</t>
        </is>
      </c>
      <c r="P101" s="11" t="inlineStr">
        <is>
          <t>N/D</t>
        </is>
      </c>
      <c r="Q101" s="11" t="inlineStr">
        <is>
          <t>Precatórios/direitos judiciais</t>
        </is>
      </c>
      <c r="R101" s="11" t="inlineStr">
        <is>
          <t>Outros</t>
        </is>
      </c>
      <c r="S101" s="11" t="inlineStr">
        <is>
          <t>Poder Público</t>
        </is>
      </c>
      <c r="T101" s="11" t="inlineStr">
        <is>
          <t>Outros</t>
        </is>
      </c>
      <c r="U101" s="11" t="inlineStr">
        <is>
          <t>Poder Público</t>
        </is>
      </c>
      <c r="V101" s="11" t="inlineStr">
        <is>
          <t>Judicial/Precatórios/NPL</t>
        </is>
      </c>
      <c r="W101" s="11" t="inlineStr">
        <is>
          <t>Precatórios/direitos judiciais</t>
        </is>
      </c>
      <c r="X101" s="28" t="b">
        <v>0</v>
      </c>
      <c r="Y101" s="28" t="inlineStr">
        <is>
          <t>Fora da faixa de Middle Market por natureza do devedor</t>
        </is>
      </c>
      <c r="Z101" s="28" t="inlineStr">
        <is>
          <t>Lastro é crédito judicial; não há devedor empresarial com porte aferível.</t>
        </is>
      </c>
      <c r="AA101" s="11" t="inlineStr">
        <is>
          <t>regulamento 779778 p. 7 [classificação ANBIMA declarada no regulamento]: ER A SER DELIBERADO PELOS COTISTAS REUNIDOS EM ASSEMBLEIA ESPECIAL DE COTISTAS. CLASSIFICACAO ANBIMA TIPO “OUTROS”. FOCO DE ATUACAO “PODER PUBLICO”. OBJETIVO O OBJETIVO DA CLASSE E PROPORCIONAR RENDIMENTO DE LONGO PRAZO AS SUAS COTAS POR MEIO DO INVESTIMENTO DA PARCELA PREPONDERANTE DE SEUS RECURSOS NA AQUISICAO DE DIREITOS CREDITORIOS (CONFORME DISPOSTO NO CAPITULO 4 DESTE ANEXO). O OBJETIVO DA CL || regulamento 779778 p. 1 [direitos judiciais privados]: REGULAMENTO LASSIE EDUCATION CREDITOS JUDICIAIS FUNDO DE INVESTIMENTO EM DIREITOS CREDITORIOS BTG PACTUAL SAC: 0800 772 28 27 - OUVIDORIA: 0800 722 00 48 - BTGPACTUAL.COM 1 PARTE GERAL CAPITULO 1 FUNDO 1.1 LASSIE EDUC ATION CREDITOS JUDICIAIS FUNDO DE INVESTIMENTO EM DIREITOS CREDITORIOS (“FUNDO”), INSCRITO NO CNPJ SOB O N° 45.207.707/0001-01, REGIDO PELA LEI NO 10 | regulamento 779778 p. 10 [precatórios e requisitórios contra entes públicos]: COM SENTENCA TRANSITADA EM JULGADO OU NAO, PROLATADAS OU QUE SERAO PROLATADAS NO CURSO DE ACOES JUDICIAIS CONTRA OS ENTES FEDERATIVOS, CUJOS CREDITOS PODERAO SER REPRESENTADOS POR PRECATORIOS JA EMITIDOS OU A SEREM EMITIDOS EM VIRTUDE DE EXECU CAO DAS SENTENCAS RESPECTIVAS, QUE PODERAO PREVER, CONFORME SUA ORIGEM E NATUREZA, INCIDENCIA DE JUROS E CORRECAO MONETARIA; E/OU (II) DIREITOS RELATIVOS A HONORARIOS ADVOCATICIOS RELACIONADOS AOS CREDITOS ANTERIORMENTE MENCIONADOS. 4.4 A CLASSE NAO INVESTIRA EM WARR | regulamento 779778 p. 13 [agronegócio]: EVENTUALMENTE COMPOR A CARTEIRA DA CLASSE IMOVEIS (OU DIREITOS REAIS RELACIONADOS), PARTICIPACOES SOCIETARIAS, COTAS DE FUNDOS DE INVESTIMENTO, BENS MOVEIS E M GERAL, PRODUTOS OU INSUMOS AGRICOLAS, DIREITOS DISPONIVEIS, DENTRE OUTROS ATIVOS, BENS OU DIREITOS QUE NAO OS DIREITOS CREDITORIOS OU OS ATIVOS FINANCEIROS (“ ATIVOS RECUPERADOS”), EM DECORRENCIA, EXCLUSIVAMENTE, DOS PROCEDIMENTOS JUDICIAIS OU EXTRAJUDICI AIS ENVOLVIDOS NA RECUPERACAO DOS DIREITOS CREDITORIOS INADIMPLIDOS, SEJA POR FORCA DE: (I) EXPROPRI</t>
        </is>
      </c>
      <c r="AB101" s="11" t="inlineStr">
        <is>
          <t>https://fnet.bmfbovespa.com.br/fnet/publico/abrirGerenciadorDocumentosCVM?cnpjFundo=45207707000101</t>
        </is>
      </c>
      <c r="AC101" s="11" t="inlineStr">
        <is>
          <t>779778</t>
        </is>
      </c>
      <c r="AD101" s="11" t="inlineStr">
        <is>
          <t>N/D</t>
        </is>
      </c>
      <c r="AE101" s="11" t="inlineStr">
        <is>
          <t>regulamento 779778 p. 7; regulamento 779778 p. 1, regulamento 779778 p. 10, regulamento 779778 p. 13</t>
        </is>
      </c>
      <c r="AF101" s="11" t="inlineStr">
        <is>
          <t>N/D</t>
        </is>
      </c>
      <c r="AG101" s="11" t="inlineStr">
        <is>
          <t>N/D</t>
        </is>
      </c>
      <c r="AH101" s="11" t="inlineStr">
        <is>
          <t>taxonomia disponível — partes e lastro documental N/D</t>
        </is>
      </c>
      <c r="AI101" s="29" t="inlineStr">
        <is>
          <t>Def. "Direitos Creditórios Não-Padronizados": estejam vencidos e pendentes de pagamento quando da cessão, ou resultem de ações judiciais ou procedimentos arbitrais em curso.</t>
        </is>
      </c>
      <c r="AJ101" s="29" t="inlineStr">
        <is>
          <t>779778</t>
        </is>
      </c>
      <c r="AK101" s="29" t="inlineStr">
        <is>
          <t>Não</t>
        </is>
      </c>
      <c r="AL101" s="29" t="inlineStr">
        <is>
          <t>fora da faixa</t>
        </is>
      </c>
      <c r="AM101" s="29" t="inlineStr">
        <is>
          <t>Lastro é crédito judicial; não há devedor empresarial com porte aferível.</t>
        </is>
      </c>
      <c r="AN101" s="29" t="inlineStr">
        <is>
          <t>leitura do regulamento nesta rodada</t>
        </is>
      </c>
    </row>
    <row r="102" ht="48" customHeight="1">
      <c r="A102" s="13" t="n">
        <v>98</v>
      </c>
      <c r="B102" s="13" t="n">
        <v>98</v>
      </c>
      <c r="C102" s="10" t="inlineStr">
        <is>
          <t>Top 100 por PL ex-FIC</t>
        </is>
      </c>
      <c r="D102" s="16" t="n">
        <v>47669805000196</v>
      </c>
      <c r="E102" s="10" t="inlineStr">
        <is>
          <t>47.669.805/0001-96</t>
        </is>
      </c>
      <c r="F102" s="10" t="inlineStr">
        <is>
          <t>GONN FUNDO DE INVESTIMENTO EM DIREITOS CREDITORIOS</t>
        </is>
      </c>
      <c r="G102" s="19" t="n">
        <v>1370830378.37</v>
      </c>
      <c r="H102" s="22" t="n">
        <v>0.001668973137194579</v>
      </c>
      <c r="I102" s="22" t="n">
        <v>0.7645925252609076</v>
      </c>
      <c r="J102" s="22" t="inlineStr">
        <is>
          <t>N/D</t>
        </is>
      </c>
      <c r="K102" s="22" t="inlineStr">
        <is>
          <t>N/D</t>
        </is>
      </c>
      <c r="L102" s="10" t="inlineStr">
        <is>
          <t>N/D</t>
        </is>
      </c>
      <c r="M102" s="28" t="inlineStr">
        <is>
          <t>Instituições Financeiras Parceiras da Plataforma 99</t>
        </is>
      </c>
      <c r="N102" s="10" t="n"/>
      <c r="O102" s="10" t="inlineStr">
        <is>
          <t>N/D</t>
        </is>
      </c>
      <c r="P102" s="10" t="inlineStr">
        <is>
          <t>N/D</t>
        </is>
      </c>
      <c r="Q102" s="10" t="inlineStr">
        <is>
          <t>N/D</t>
        </is>
      </c>
      <c r="R102" s="10" t="inlineStr">
        <is>
          <t>Financeiro</t>
        </is>
      </c>
      <c r="S102" s="10" t="inlineStr">
        <is>
          <t>Crédito Pessoal</t>
        </is>
      </c>
      <c r="T102" s="10" t="inlineStr">
        <is>
          <t>Financeiro</t>
        </is>
      </c>
      <c r="U102" s="10" t="inlineStr">
        <is>
          <t>Crédito Pessoal</t>
        </is>
      </c>
      <c r="V102" s="10" t="inlineStr">
        <is>
          <t>N/D</t>
        </is>
      </c>
      <c r="W102" s="10" t="inlineStr">
        <is>
          <t>N/D</t>
        </is>
      </c>
      <c r="X102" s="28" t="inlineStr">
        <is>
          <t>N/D</t>
        </is>
      </c>
      <c r="Y102" s="28" t="inlineStr">
        <is>
          <t>Indeterminado — regulamento sem métrica de porte</t>
        </is>
      </c>
      <c r="Z102" s="28" t="inlineStr">
        <is>
          <t>Devedores são tomadores de CCB originadas na Plataforma 99 (motoristas de aplicativo, na prática PF/MEI); o regulamento não declara porte.</t>
        </is>
      </c>
      <c r="AA102" s="10" t="inlineStr">
        <is>
          <t>N/D</t>
        </is>
      </c>
      <c r="AB102" s="10" t="inlineStr">
        <is>
          <t>ANBIMA Data — Fundos 175: características público</t>
        </is>
      </c>
      <c r="AC102" s="10" t="inlineStr">
        <is>
          <t>N/D</t>
        </is>
      </c>
      <c r="AD102" s="10" t="inlineStr">
        <is>
          <t>N/D</t>
        </is>
      </c>
      <c r="AE102" s="10" t="inlineStr">
        <is>
          <t>N/D</t>
        </is>
      </c>
      <c r="AF102" s="10" t="inlineStr">
        <is>
          <t>N/D</t>
        </is>
      </c>
      <c r="AG102" s="10" t="inlineStr">
        <is>
          <t>N/D</t>
        </is>
      </c>
      <c r="AH102" s="10" t="inlineStr">
        <is>
          <t>N/D</t>
        </is>
      </c>
      <c r="AI102" s="29" t="inlineStr">
        <is>
          <t>Def. "Endossante" (Seller): em conjunto, as Instituições Financeiras Parceiras e quaisquer outras pessoas que endossem Direitos Creditórios ao Fundo. Def. "Devedores" (Debtors): qualquer Pessoa que emita CCBs em favor de uma Instituição Financeira Parceira no âmbito da Plataforma 99.</t>
        </is>
      </c>
      <c r="AJ102" s="29" t="inlineStr">
        <is>
          <t>759895;949675 (localizados por busca no FundosNET por CNPJ)</t>
        </is>
      </c>
      <c r="AK102" s="29" t="inlineStr">
        <is>
          <t>Não</t>
        </is>
      </c>
      <c r="AL102" s="29" t="inlineStr">
        <is>
          <t>indeterminado</t>
        </is>
      </c>
      <c r="AM102" s="29" t="inlineStr">
        <is>
          <t>Devedores são tomadores de CCB originadas na Plataforma 99 (motoristas de aplicativo, na prática PF/MEI); o regulamento não declara porte.</t>
        </is>
      </c>
      <c r="AN102" s="29" t="inlineStr">
        <is>
          <t>leitura do regulamento nesta rodada</t>
        </is>
      </c>
    </row>
    <row r="103" ht="48" customHeight="1">
      <c r="A103" s="14" t="n">
        <v>99</v>
      </c>
      <c r="B103" s="14" t="n">
        <v>99</v>
      </c>
      <c r="C103" s="11" t="inlineStr">
        <is>
          <t>Top 100 por PL ex-FIC</t>
        </is>
      </c>
      <c r="D103" s="17" t="n">
        <v>62681110000113</v>
      </c>
      <c r="E103" s="11" t="inlineStr">
        <is>
          <t>62.681.110/0001-13</t>
        </is>
      </c>
      <c r="F103" s="11" t="inlineStr">
        <is>
          <t>ÁSIA FUNDO DE INVESTIMENTO EM DIREITOS CREDITÓRIOS</t>
        </is>
      </c>
      <c r="G103" s="20" t="n">
        <v>1337788554.49</v>
      </c>
      <c r="H103" s="23" t="n">
        <v>0.001628745026313927</v>
      </c>
      <c r="I103" s="23" t="n">
        <v>0</v>
      </c>
      <c r="J103" s="23" t="inlineStr">
        <is>
          <t>N/D</t>
        </is>
      </c>
      <c r="K103" s="23" t="inlineStr">
        <is>
          <t>N/D</t>
        </is>
      </c>
      <c r="L103" s="11" t="inlineStr">
        <is>
          <t>N/D</t>
        </is>
      </c>
      <c r="M103" s="28" t="inlineStr">
        <is>
          <t>não localizado — cedentes e endossantes genéricos</t>
        </is>
      </c>
      <c r="N103" s="11" t="n"/>
      <c r="O103" s="11" t="inlineStr">
        <is>
          <t>N/D</t>
        </is>
      </c>
      <c r="P103" s="11" t="inlineStr">
        <is>
          <t>N/D</t>
        </is>
      </c>
      <c r="Q103" s="11" t="inlineStr">
        <is>
          <t>Crédito privado/mercado de capitais</t>
        </is>
      </c>
      <c r="R103" s="11" t="inlineStr">
        <is>
          <t>Outros</t>
        </is>
      </c>
      <c r="S103" s="11" t="inlineStr">
        <is>
          <t>Multicarteira Outros</t>
        </is>
      </c>
      <c r="T103" s="11" t="inlineStr">
        <is>
          <t>Agro, Indústria e Comércio</t>
        </is>
      </c>
      <c r="U103" s="11" t="inlineStr">
        <is>
          <t>Crédito Corporativo</t>
        </is>
      </c>
      <c r="V103" s="11" t="inlineStr">
        <is>
          <t>Crédito PJ</t>
        </is>
      </c>
      <c r="W103" s="11" t="inlineStr">
        <is>
          <t>Crédito privado/mercado de capitais</t>
        </is>
      </c>
      <c r="X103" s="28" t="inlineStr">
        <is>
          <t>N/D</t>
        </is>
      </c>
      <c r="Y103" s="28" t="inlineStr">
        <is>
          <t>Indeterminado — regulamento sem métrica de porte</t>
        </is>
      </c>
      <c r="Z103" s="28" t="inlineStr">
        <is>
          <t>Cedente genérico.</t>
        </is>
      </c>
      <c r="AA103" s="11" t="inlineStr">
        <is>
          <t>Informe Mensal Estruturado 2026-06: segmento Financeiro = 100% da carteira de direitos creditórios reportada à CVM. regulamento 1023671 p. 53 [créditos inadimplidos / NPL]: OU A REALIZACAO DOS DIREITOS DE CREDITO PODERA SER ADVERSAMENTE AFETADA, PREJUDICANDO O DESEMPENHO DA CLASSE. 17.1.17. RISCO DE COBRANCA . O INSUCESSO NA COBRANCA DOS DIREITOS DE CREDITO INADIMPLIDOS PODERA ACARRETAR PERDAS PARA A CLASSE E SEUS COTISTAS. 17.1.18. RISCO REFERENTE A VERIFICACAO DO LASTRO POR AMOSTRAGEM. O GESTOR REALIZARA AUDITORIA PERIODICA, POR AMOSTRAGEM, NOS DIREITOS DE CREDITO, DE FORMA A VERIFICAR A REGULARIDADE DOS DOCUMENTOS COMPROBATORIOS E DA TRANSFERENCIA REALIZADA, CONFORME PROCEDIMENTOS | regulamento 1023671 p. 54 [receitas e dívidas do poder público]: OS CEDENTES, QUANDO DA FORMALIZACAO DA TRANSFERENCIA DE CREDITOS, SENDO SUJEITOS PASSIVOS POR DEBITO PARA COM A FAZ ENDA PUBLICA, POR CREDITO TRIBUTARIO REGULARMENTE INSCRITO COMO DIVIDA ATIVA, NAO DISPUSEREM DE BENS PARA TOTAL PAGAMENTO DA DIVIDA FISCAL. OUTROS RISCOS 17.1.20. RISCOS E CUSTOS DE COBRANCA. OS CUSTOS INCORRIDOS COM OS PROCEDIMENTOS JUDICIAIS OU EXTRAJUDICIAIS NECESSARIOS A COBRANCA E A SALVAGUARDA DOS DIREITOS DA CLASSE SOBRE OS DIREITOS DE CREDITO E DOS ATIVOS FINANCEIROS INTEGRANTES DA CAR | regulamento 1023671 p. 32 [crédito corporativo / mercado de capitais]: ITOS CREDITORIOS LIMITE MAXIMO DO PATRIMONIO LIQUIDO DUPLICATA DIGITAL MERCANTIL OU DE SERVICOS: CONTRATO DIGITAL OU FISICO; E DIREITOS CREDITORIOS REPRESENTADOS POR CCBS, CRI S E NOTAS COMERCIAIS MAIOR QUE 50% DO PATRIMONIO LIQUIDO COTAS DE FUNDOS DE INVESTIMENTO DO ITEM "V"; PARAGRAFO 2.12 MENOR DE 33% DO PATRIMONIO LIQUIDO || CEDENTE/ORIGINADOR: regulamento 1023671 p. 34: CEDENTE SERA RESPONSAVEL POR DAR CIENCIA AS RESPECTIVAS DEVEDORAS ACERCA DA CESSAO DOS DIREITOS DE CREDITO AO FUNDO, NOS TERMOS DO ARTIGO 290 DO CODIGO CIVIL, FICANDO O AGENTE O GESTOR RESPONSA</t>
        </is>
      </c>
      <c r="AB103" s="11" t="inlineStr">
        <is>
          <t>https://fnet.bmfbovespa.com.br/fnet/publico/abrirGerenciadorDocumentosCVM?cnpjFundo=62681110000113</t>
        </is>
      </c>
      <c r="AC103" s="11" t="inlineStr">
        <is>
          <t>1023671</t>
        </is>
      </c>
      <c r="AD103" s="11" t="inlineStr">
        <is>
          <t>N/D</t>
        </is>
      </c>
      <c r="AE103" s="11" t="inlineStr">
        <is>
          <t>regulamento 1023671 p. 53, regulamento 1023671 p. 54, regulamento 1023671 p. 32</t>
        </is>
      </c>
      <c r="AF103" s="11" t="inlineStr">
        <is>
          <t>N/D</t>
        </is>
      </c>
      <c r="AG103" s="11" t="inlineStr">
        <is>
          <t>N/D</t>
        </is>
      </c>
      <c r="AH103" s="11" t="inlineStr">
        <is>
          <t>taxonomia disponível — partes e lastro documental N/D</t>
        </is>
      </c>
      <c r="AI103" s="29" t="inlineStr">
        <is>
          <t>Def. "Cedentes": os cedentes e/ou endossantes que realizam a transferência de Direitos de Crédito à Classe por meio de Contrato de Cessão.</t>
        </is>
      </c>
      <c r="AJ103" s="29" t="inlineStr">
        <is>
          <t>1023671</t>
        </is>
      </c>
      <c r="AK103" s="29" t="inlineStr">
        <is>
          <t>Não</t>
        </is>
      </c>
      <c r="AL103" s="29" t="inlineStr">
        <is>
          <t>indeterminado</t>
        </is>
      </c>
      <c r="AM103" s="29" t="inlineStr">
        <is>
          <t>Cedente genérico.</t>
        </is>
      </c>
      <c r="AN103" s="29" t="inlineStr">
        <is>
          <t>leitura do regulamento nesta rodada</t>
        </is>
      </c>
    </row>
    <row r="104" ht="48" customHeight="1">
      <c r="A104" s="13" t="n">
        <v>100</v>
      </c>
      <c r="B104" s="13" t="n">
        <v>100</v>
      </c>
      <c r="C104" s="10" t="inlineStr">
        <is>
          <t>Top 100 por PL ex-FIC</t>
        </is>
      </c>
      <c r="D104" s="16" t="n">
        <v>41240321000140</v>
      </c>
      <c r="E104" s="10" t="inlineStr">
        <is>
          <t>41.240.321/0001-40</t>
        </is>
      </c>
      <c r="F104" s="10" t="inlineStr">
        <is>
          <t>LAGUZ I FUNDO DE INVESTIMENTO EM DIREITOS CREDITÓRIOS NÃO-PADRONIZADOS</t>
        </is>
      </c>
      <c r="G104" s="19" t="n">
        <v>1302594039.08</v>
      </c>
      <c r="H104" s="22" t="n">
        <v>0.001585896033672172</v>
      </c>
      <c r="I104" s="22" t="n">
        <v>0</v>
      </c>
      <c r="J104" s="22" t="inlineStr">
        <is>
          <t>N/D</t>
        </is>
      </c>
      <c r="K104" s="22" t="inlineStr">
        <is>
          <t>N/D</t>
        </is>
      </c>
      <c r="L104" s="10" t="inlineStr">
        <is>
          <t>N/D</t>
        </is>
      </c>
      <c r="M104" s="28" t="inlineStr">
        <is>
          <t>não localizado — multicedente PF/PJ/fundos</t>
        </is>
      </c>
      <c r="N104" s="10" t="n"/>
      <c r="O104" s="10" t="inlineStr">
        <is>
          <t>N/D</t>
        </is>
      </c>
      <c r="P104" s="10" t="inlineStr">
        <is>
          <t>N/D</t>
        </is>
      </c>
      <c r="Q104" s="10" t="inlineStr">
        <is>
          <t>Precatórios/direitos judiciais</t>
        </is>
      </c>
      <c r="R104" s="10" t="inlineStr">
        <is>
          <t>Outros</t>
        </is>
      </c>
      <c r="S104" s="10" t="inlineStr">
        <is>
          <t>Poder Público</t>
        </is>
      </c>
      <c r="T104" s="10" t="inlineStr">
        <is>
          <t>Outros</t>
        </is>
      </c>
      <c r="U104" s="10" t="inlineStr">
        <is>
          <t>Poder Público</t>
        </is>
      </c>
      <c r="V104" s="10" t="inlineStr">
        <is>
          <t>Judicial/Precatórios/NPL</t>
        </is>
      </c>
      <c r="W104" s="10" t="inlineStr">
        <is>
          <t>Precatórios/direitos judiciais</t>
        </is>
      </c>
      <c r="X104" s="28" t="inlineStr">
        <is>
          <t>N/D</t>
        </is>
      </c>
      <c r="Y104" s="28" t="inlineStr">
        <is>
          <t>Indeterminado — regulamento sem métrica de porte</t>
        </is>
      </c>
      <c r="Z104" s="28" t="inlineStr">
        <is>
          <t>Cedente genérico.</t>
        </is>
      </c>
      <c r="AA104" s="10" t="inlineStr">
        <is>
          <t>regulamento 1168358 p. 18 [classificação ANBIMA declarada no regulamento]: O E/OU NA CLASSE. TIPO DE CONDOMINIO: FECHADO. PRAZO DE DURACAO: INDETERMINADO. CLASSIFICACAO ANBIMA: PARA OS FINS DE CLASSIFICACAO ANBIMA, ESTA CLASSE E CLASSIFICADA COMO UM FUNDO DE INVESTIMENTO EM DIREITOS CREDITORIOS DO TIPO ANBIMA “OUTROS – PODER PUBLICO”. OBJETIVO: E OBJETIVO DA CLASSE PROPORCIONAR AOS COTISTAS A VALORIZACAO DE SUAS COTAS, POR MEIO DA APLICACAO DOS RECURSOS DA CLASSE NA AQUISI || regulamento 1168358 p. 22 [precatórios e requisitórios contra entes públicos]: ACAO DO RESPECTIVO CEDENTE. 3.2.2. OBSERVADO O DISPOSTO NO PRESENTE ANEXO, A CLASSE PODERA ADQUIRIR DO(S) CEDENTE(S) DIREITOS CREDITORIOS, TOTAL OU PARCIALMENTE: I –ORIGINARIOS DE PRECATORIOS OU AINDA CREDITOS DECORRENTES DE RECEITAS OU DIVIDAS PUBLICAS ORIGINARIAS OU DERIVADAS DA UNIAO, ESTADOS, DISTRITO FEDERAL E MUNICIPIOS, AUTARQUIAS E FUNDACOES. II - QUE ESTEJAM VENCIDOS E PENDENTES DE PAGAMENTO QUANDO DE SUA CESSAO PARA A CLASSE; III – QUE RESULTEM DE ACOES JUDICIAIS OU PROCEDIMENTOS ARBITRAIS EM CUR</t>
        </is>
      </c>
      <c r="AB104" s="10" t="inlineStr">
        <is>
          <t>https://fnet.bmfbovespa.com.br/fnet/publico/abrirGerenciadorDocumentosCVM?cnpjFundo=41240321000140</t>
        </is>
      </c>
      <c r="AC104" s="10" t="inlineStr">
        <is>
          <t>1168358</t>
        </is>
      </c>
      <c r="AD104" s="10" t="inlineStr">
        <is>
          <t>N/D</t>
        </is>
      </c>
      <c r="AE104" s="10" t="inlineStr">
        <is>
          <t>regulamento 1168358 p. 18; regulamento 1168358 p. 22</t>
        </is>
      </c>
      <c r="AF104" s="10" t="inlineStr">
        <is>
          <t>N/D</t>
        </is>
      </c>
      <c r="AG104" s="10" t="inlineStr">
        <is>
          <t>N/D</t>
        </is>
      </c>
      <c r="AH104" s="10" t="inlineStr">
        <is>
          <t>taxonomia disponível — partes e lastro documental N/D</t>
        </is>
      </c>
      <c r="AI104" s="29" t="inlineStr">
        <is>
          <t>Def. "Cedentes": pessoa jurídica e/ou física, identificada pelo CNPJ/CPF, ou fundos de investimento. Def. "Direitos Creditórios": quaisquer direitos creditórios, inclusive não padronizados.</t>
        </is>
      </c>
      <c r="AJ104" s="29" t="inlineStr">
        <is>
          <t>1168358</t>
        </is>
      </c>
      <c r="AK104" s="29" t="inlineStr">
        <is>
          <t>Não</t>
        </is>
      </c>
      <c r="AL104" s="29" t="inlineStr">
        <is>
          <t>indeterminado</t>
        </is>
      </c>
      <c r="AM104" s="29" t="inlineStr">
        <is>
          <t>Cedente genérico.</t>
        </is>
      </c>
      <c r="AN104" s="29" t="inlineStr">
        <is>
          <t>leitura do regulamento nesta rodada</t>
        </is>
      </c>
    </row>
    <row r="105" hidden="1" ht="48" customHeight="1">
      <c r="A105" s="14" t="n">
        <v>101</v>
      </c>
      <c r="B105" s="14" t="n">
        <v>134</v>
      </c>
      <c r="C105" s="11" t="inlineStr">
        <is>
          <t>Inclusão adicional · emissão encerrada em 2026</t>
        </is>
      </c>
      <c r="D105" s="17" t="n">
        <v>44302112000172</v>
      </c>
      <c r="E105" s="11" t="inlineStr">
        <is>
          <t>44.302.112/0001-72</t>
        </is>
      </c>
      <c r="F105" s="11" t="inlineStr">
        <is>
          <t>CLASSE ÚNICA FUNDO DE INVESTIMENTO EM DIREITOS CREDITÓRIOS AGRO CITI-BAYER RESPONSABILIDADE LIMITADA</t>
        </is>
      </c>
      <c r="G105" s="20" t="n">
        <v>1021572769.62</v>
      </c>
      <c r="H105" s="23" t="n">
        <v>0.001243755272050921</v>
      </c>
      <c r="I105" s="23" t="n">
        <v>0.1562191402092739</v>
      </c>
      <c r="J105" s="23" t="inlineStr">
        <is>
          <t>N/D</t>
        </is>
      </c>
      <c r="K105" s="23" t="n">
        <v>0.15</v>
      </c>
      <c r="L105" s="11" t="inlineStr">
        <is>
          <t>Mínimo estrutural combinado: cotas mezanino + júnior / PL</t>
        </is>
      </c>
      <c r="M105" s="11" t="inlineStr">
        <is>
          <t>Bayer e Monsanto</t>
        </is>
      </c>
      <c r="N105" s="11" t="n"/>
      <c r="O105" s="11" t="inlineStr">
        <is>
          <t>BAYER S.A. e/ou MONSANTO DO BRASIL LTDA. (originadores/fornecedores)</t>
        </is>
      </c>
      <c r="P105" s="11" t="inlineStr">
        <is>
          <t>Produtores rurais pessoas físicas ou jurídicas, cooperativas e distribuidores de insumos; nomes individuais não predeterminados</t>
        </is>
      </c>
      <c r="Q105" s="11" t="inlineStr">
        <is>
          <t>Notas Comerciais e CPR-F ligadas à compra de insumos de proteção de cultivos, sementes e outros insumos agropecuários</t>
        </is>
      </c>
      <c r="R105" s="11" t="inlineStr">
        <is>
          <t>Agro, Indústria e Comércio</t>
        </is>
      </c>
      <c r="S105" s="11" t="inlineStr">
        <is>
          <t>Agronegócio</t>
        </is>
      </c>
      <c r="T105" s="11" t="inlineStr">
        <is>
          <t>Agro, Indústria e Comércio</t>
        </is>
      </c>
      <c r="U105" s="11" t="inlineStr">
        <is>
          <t>Agronegócio</t>
        </is>
      </c>
      <c r="V105" s="11" t="inlineStr">
        <is>
          <t>Agro / Revenda</t>
        </is>
      </c>
      <c r="W105" s="11" t="inlineStr">
        <is>
          <t>Supplier finance de insumos Bayer/Monsanto</t>
        </is>
      </c>
      <c r="X105" s="11" t="inlineStr">
        <is>
          <t>N/D</t>
        </is>
      </c>
      <c r="Y105" s="11" t="inlineStr">
        <is>
          <t>Indício de crédito corporativo; porte N/D</t>
        </is>
      </c>
      <c r="Z105" s="11" t="inlineStr">
        <is>
          <t>O lastro é compatível com crédito corporativo tradicional, mas a base não documenta o porte do tomador.</t>
        </is>
      </c>
      <c r="AA105" s="11" t="inlineStr">
        <is>
          <t>O Complemento 6 identifica Bayer S.A. e Monsanto do Brasil Ltda. como originadores dos direitos decorrentes da venda de insumos agropecuários. Os devedores são definidos por perfil, sem lista nominal. O regulamento exige mezanino + júnior / PL igual ou superior a 15%; mínimo júnior isolado N/D. Citibank aparece somente como emissor de CDB elegível à liquidez e não foi classificado como cedente, originador ou sacado. O anúncio informa 5ª série sênior, preço unitário de R$ 1.000,00 e 530.481 cotas integralizadas.</t>
        </is>
      </c>
      <c r="AB105" s="11" t="inlineStr">
        <is>
          <t>https://fnet.bmfbovespa.com.br/fnet/publico/downloadDocumento?id=1100035</t>
        </is>
      </c>
      <c r="AC105" s="11" t="inlineStr">
        <is>
          <t>1100035</t>
        </is>
      </c>
      <c r="AD105" s="11" t="inlineStr">
        <is>
          <t>1173013</t>
        </is>
      </c>
      <c r="AE105" s="11" t="inlineStr">
        <is>
          <t>Regulamento p. 19, 28, 72–73 e 88 (Complemento 6); anúncio p. 1–2</t>
        </is>
      </c>
      <c r="AF105" s="11" t="inlineStr">
        <is>
          <t>https://fnet.bmfbovespa.com.br/fnet/publico/downloadDocumento?id=1100035</t>
        </is>
      </c>
      <c r="AG105" s="11" t="inlineStr">
        <is>
          <t>https://web.cvm.gov.br/sre-publico-cvm/rest/download/6de56dce-0ab6-4c7f-9d4a-6b70f1ce15a3</t>
        </is>
      </c>
      <c r="AH105" s="11" t="inlineStr">
        <is>
          <t>Documentado; originadores nominais identificados e sacados/devedores publicados como perfil porque o regulamento não traz lista nominal</t>
        </is>
      </c>
      <c r="AN105" s="27" t="inlineStr">
        <is>
          <t>curadoria anterior — não revisada nesta rodada</t>
        </is>
      </c>
    </row>
    <row r="106" hidden="1" ht="48" customHeight="1">
      <c r="A106" s="13" t="n">
        <v>102</v>
      </c>
      <c r="B106" s="13" t="n">
        <v>2324</v>
      </c>
      <c r="C106" s="10" t="inlineStr">
        <is>
          <t>Inclusão adicional · emissão encerrada em 2026</t>
        </is>
      </c>
      <c r="D106" s="16" t="n">
        <v>61669748000176</v>
      </c>
      <c r="E106" s="10" t="inlineStr">
        <is>
          <t>61.669.748/0001-76</t>
        </is>
      </c>
      <c r="F106" s="10" t="inlineStr">
        <is>
          <t>LAVORO FORNECEDORES FUNDO DE INVESTIMENTO EM DIREITOS CREDITÓRIOS DO AGRONEGÓCIO - RESP LTDA</t>
        </is>
      </c>
      <c r="G106" s="19" t="n">
        <v>20713043.47</v>
      </c>
      <c r="H106" s="22" t="n">
        <v>2.521793628623756e-05</v>
      </c>
      <c r="I106" s="22" t="n">
        <v>1</v>
      </c>
      <c r="J106" s="22" t="n">
        <v>0.01</v>
      </c>
      <c r="K106" s="22" t="n">
        <v>0.25</v>
      </c>
      <c r="L106" s="10" t="inlineStr">
        <is>
          <t>Dois pisos: júnior / PL mínimo de 1% (rótulo contratual: Índice de Subordinação Mezanino); mezanino + júnior / PL mínimo de 25%</t>
        </is>
      </c>
      <c r="M106" s="10" t="inlineStr">
        <is>
          <t>Lavoro</t>
        </is>
      </c>
      <c r="N106" s="10" t="n"/>
      <c r="O106" s="10" t="inlineStr">
        <is>
          <t>LAVORO AGRO HOLDING S.A. e/ou entidades do seu grupo econômico</t>
        </is>
      </c>
      <c r="P106" s="10" t="inlineStr">
        <is>
          <t>Pessoas físicas, pessoas jurídicas e cooperativas de produtores rurais que compram produtos a prazo; inclui distribuidores, beneficiadores, comercializadores e prestadores de apoio à produção rural</t>
        </is>
      </c>
      <c r="Q106" s="10" t="inlineStr">
        <is>
          <t>Notas fiscais, CPR-F, CPR-Física, notas comerciais e notas promissórias ligadas a compras a prazo de insumos, máquinas, implementos, peças e serviços agro</t>
        </is>
      </c>
      <c r="R106" s="10" t="inlineStr">
        <is>
          <t>Agro, Indústria e Comércio</t>
        </is>
      </c>
      <c r="S106" s="10" t="inlineStr">
        <is>
          <t>Agronegócio</t>
        </is>
      </c>
      <c r="T106" s="10" t="inlineStr">
        <is>
          <t>Agro, Indústria e Comércio</t>
        </is>
      </c>
      <c r="U106" s="10" t="inlineStr">
        <is>
          <t>Agronegócio</t>
        </is>
      </c>
      <c r="V106" s="10" t="inlineStr">
        <is>
          <t>Agro / Revenda</t>
        </is>
      </c>
      <c r="W106" s="10" t="inlineStr">
        <is>
          <t>Fornecedores e clientes da cadeia de insumos e máquinas agrícolas</t>
        </is>
      </c>
      <c r="X106" s="10" t="inlineStr">
        <is>
          <t>N/D</t>
        </is>
      </c>
      <c r="Y106" s="10" t="inlineStr">
        <is>
          <t>Indício de crédito corporativo; porte N/D</t>
        </is>
      </c>
      <c r="Z106" s="10" t="inlineStr">
        <is>
          <t>O lastro é compatível com crédito corporativo tradicional, mas a base não documenta o porte do tomador.</t>
        </is>
      </c>
      <c r="AA106" s="10" t="inlineStr">
        <is>
          <t>O regulamento identifica Lavoro Agro Holding e empresas do grupo como cedentes/indicadores. Devedores são definidos por perfil, sem lista nominal. O piso júnior é 1% e o suporte estrutural combinado é 25%. O anúncio informa preço inicial de R$ 1.000,00 por cota sênior e montante encerrado de R$ 45.000.282,49. Em jun/26, o Informe Mensal registra Sub / PL total de 100,0%*, ante 30,2289% em mai/26; a causa da mudança não foi inferida.</t>
        </is>
      </c>
      <c r="AB106" s="10" t="inlineStr">
        <is>
          <t>https://fnet.bmfbovespa.com.br/fnet/publico/downloadDocumento?id=1121937</t>
        </is>
      </c>
      <c r="AC106" s="10" t="inlineStr">
        <is>
          <t>1121937</t>
        </is>
      </c>
      <c r="AD106" s="10" t="inlineStr">
        <is>
          <t>1211950</t>
        </is>
      </c>
      <c r="AE106" s="10" t="inlineStr">
        <is>
          <t>Regulamento p. 8, 16–18, 22, 69, 74 e 95–96, itens 9.4(h)–(i); anúncio de encerramento p. 1</t>
        </is>
      </c>
      <c r="AF106" s="10" t="inlineStr">
        <is>
          <t>https://fnet.bmfbovespa.com.br/fnet/publico/downloadDocumento?id=1121937</t>
        </is>
      </c>
      <c r="AG106" s="10" t="inlineStr">
        <is>
          <t>https://fnet.bmfbovespa.com.br/fnet/publico/downloadDocumento?id=1211950</t>
        </is>
      </c>
      <c r="AH106" s="10" t="inlineStr">
        <is>
          <t>Documentado; sacados/devedores publicados como perfil porque o regulamento não traz lista nominal; Sub / PL atual de 100,0% leva * por mudança mensal relevante</t>
        </is>
      </c>
      <c r="AN106" s="27" t="inlineStr">
        <is>
          <t>curadoria anterior — não revisada nesta rodada</t>
        </is>
      </c>
    </row>
  </sheetData>
  <autoFilter ref="A4:AN106">
    <filterColumn colId="12" hiddenButton="0" showButton="1">
      <filters>
        <filter val="??"/>
        <filter val="?/"/>
      </filters>
    </filterColumn>
  </autoFilter>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D34"/>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26" customWidth="1" min="2" max="2"/>
    <col width="26" customWidth="1" min="3" max="3"/>
    <col width="30" customWidth="1" min="4" max="4"/>
    <col width="11" customWidth="1" min="5" max="5"/>
    <col width="16" customWidth="1" min="6" max="6"/>
    <col width="15" customWidth="1" min="7" max="7"/>
    <col width="13" customWidth="1" min="8" max="8"/>
    <col width="14" customWidth="1" min="9" max="9"/>
    <col width="46" customWidth="1" min="10" max="10"/>
    <col width="20" customWidth="1" min="11" max="11"/>
    <col width="16" customWidth="1" min="12" max="12"/>
    <col width="13" customWidth="1" min="13" max="13"/>
    <col width="15" customWidth="1" min="14" max="14"/>
    <col width="20" customWidth="1" min="15" max="15"/>
    <col width="15" customWidth="1" min="16" max="16"/>
    <col width="34" customWidth="1" min="17" max="17"/>
    <col width="24" customWidth="1" min="18" max="18"/>
    <col width="13" customWidth="1" min="19" max="19"/>
    <col width="13" customWidth="1" min="20" max="20"/>
    <col width="14" customWidth="1" min="21" max="21"/>
    <col width="34" customWidth="1" min="22" max="22"/>
    <col width="18" customWidth="1" min="23" max="23"/>
    <col width="58" customWidth="1" min="24" max="24"/>
    <col width="20" customWidth="1" min="25" max="25"/>
    <col width="16" customWidth="1" min="26" max="26"/>
    <col width="11" customWidth="1" min="27" max="27"/>
    <col width="14" customWidth="1" min="28" max="28"/>
    <col width="14" customWidth="1" min="29" max="29"/>
    <col width="18" customWidth="1" min="30" max="30"/>
  </cols>
  <sheetData>
    <row r="1">
      <c r="A1" s="30" t="inlineStr">
        <is>
          <t>Top Originadores 2026 | Financeiros se destacam</t>
        </is>
      </c>
    </row>
    <row r="2" ht="46" customHeight="1">
      <c r="A2" s="31" t="inlineStr">
        <is>
          <t>Transcrição literal da tabela recebida (colunas "(foto)") reconciliada, coluna a coluna, contra a base da CVM de Ofertas Públicas de Distribuição e contra os regulamentos arquivados no FundosNET. Recorte da foto reproduzido: Cotas de FIDC · Primária · Oferta Encerrada · encerramento entre 01/01/2026 e 30/06/2026 · ordem por valor registrado. Células vazias = dado não localizado em fonte oficial; nada foi estimado.</t>
        </is>
      </c>
    </row>
    <row r="3">
      <c r="A3" s="32" t="inlineStr">
        <is>
          <t>JAN–JUN/26 · TOP 15</t>
        </is>
      </c>
    </row>
    <row r="4" ht="40" customHeight="1">
      <c r="A4" s="33" t="inlineStr">
        <is>
          <t>#</t>
        </is>
      </c>
      <c r="B4" s="34" t="inlineStr">
        <is>
          <t>FIDC (foto)</t>
        </is>
      </c>
      <c r="C4" s="34" t="inlineStr">
        <is>
          <t>Originador (foto)</t>
        </is>
      </c>
      <c r="D4" s="34" t="inlineStr">
        <is>
          <t>Tipo (foto)</t>
        </is>
      </c>
      <c r="E4" s="34" t="inlineStr">
        <is>
          <t>R$ bi (foto)</t>
        </is>
      </c>
      <c r="F4" s="34" t="inlineStr">
        <is>
          <t>IBBA Coord (foto)</t>
        </is>
      </c>
      <c r="G4" s="34" t="inlineStr">
        <is>
          <t>Garantia Firme (foto)</t>
        </is>
      </c>
      <c r="H4" s="34" t="inlineStr">
        <is>
          <t>Bookamos? (foto)</t>
        </is>
      </c>
      <c r="I4" s="34" t="inlineStr">
        <is>
          <t>Risco IBBA – R$ bi (foto)</t>
        </is>
      </c>
      <c r="J4" s="33" t="inlineStr">
        <is>
          <t>Denominação CVM do emissor</t>
        </is>
      </c>
      <c r="K4" s="33" t="inlineStr">
        <is>
          <t>CNPJ</t>
        </is>
      </c>
      <c r="L4" s="33" t="inlineStr">
        <is>
          <t>Processo CVM</t>
        </is>
      </c>
      <c r="M4" s="33" t="inlineStr">
        <is>
          <t>Data registro</t>
        </is>
      </c>
      <c r="N4" s="33" t="inlineStr">
        <is>
          <t>Data encerramento</t>
        </is>
      </c>
      <c r="O4" s="33" t="inlineStr">
        <is>
          <t>Valor registrado CVM (R$)</t>
        </is>
      </c>
      <c r="P4" s="33" t="inlineStr">
        <is>
          <t>Δ valor (foto − CVM)</t>
        </is>
      </c>
      <c r="Q4" s="33" t="inlineStr">
        <is>
          <t>Líder registrado na CVM</t>
        </is>
      </c>
      <c r="R4" s="33" t="inlineStr">
        <is>
          <t>Regime de distribuição (CVM)</t>
        </is>
      </c>
      <c r="S4" s="33" t="inlineStr">
        <is>
          <t>Bookbuilding (CVM)</t>
        </is>
      </c>
      <c r="T4" s="33" t="inlineStr">
        <is>
          <t>Público-alvo (CVM)</t>
        </is>
      </c>
      <c r="U4" s="33" t="inlineStr">
        <is>
          <t>Tipo de lastro (CVM)</t>
        </is>
      </c>
      <c r="V4" s="33" t="inlineStr">
        <is>
          <t>Administrador (CVM)</t>
        </is>
      </c>
      <c r="W4" s="33" t="inlineStr">
        <is>
          <t>Originador · conferência documental</t>
        </is>
      </c>
      <c r="X4" s="33" t="inlineStr">
        <is>
          <t>Originador · evidência no regulamento</t>
        </is>
      </c>
      <c r="Y4" s="33" t="inlineStr">
        <is>
          <t>Preço — natureza</t>
        </is>
      </c>
      <c r="Z4" s="33" t="inlineStr">
        <is>
          <t>Preço — subclasse</t>
        </is>
      </c>
      <c r="AA4" s="33" t="inlineStr">
        <is>
          <t>Preço — série</t>
        </is>
      </c>
      <c r="AB4" s="33" t="inlineStr">
        <is>
          <t>Preço — indexador</t>
        </is>
      </c>
      <c r="AC4" s="33" t="inlineStr">
        <is>
          <t>Preço — spread/percentual</t>
        </is>
      </c>
      <c r="AD4" s="33" t="inlineStr">
        <is>
          <t>Preço — fonte (doc FundosNET)</t>
        </is>
      </c>
    </row>
    <row r="5">
      <c r="A5" s="35" t="n">
        <v>1</v>
      </c>
      <c r="B5" s="35" t="inlineStr">
        <is>
          <t>CloudWalk Bela</t>
        </is>
      </c>
      <c r="C5" s="35" t="inlineStr">
        <is>
          <t>CloudWalk</t>
        </is>
      </c>
      <c r="D5" s="35" t="inlineStr">
        <is>
          <t>Adq – Bco Emissor</t>
        </is>
      </c>
      <c r="E5" s="36" t="n">
        <v>5.5</v>
      </c>
      <c r="F5" s="35" t="inlineStr">
        <is>
          <t>Sim – BBI Líder</t>
        </is>
      </c>
      <c r="G5" s="35" t="inlineStr">
        <is>
          <t>Sim – 1.100</t>
        </is>
      </c>
      <c r="H5" s="35" t="inlineStr">
        <is>
          <t>Não</t>
        </is>
      </c>
      <c r="I5" s="35" t="inlineStr">
        <is>
          <t>–</t>
        </is>
      </c>
      <c r="J5" s="35" t="inlineStr">
        <is>
          <t>CLOUDWALK BELA FUNDO DE INVESTIMENTO EM DIREITOS CREDITÓRIOS SEGMENTO MEIOS DE PAGAMENTO</t>
        </is>
      </c>
      <c r="K5" s="35" t="inlineStr">
        <is>
          <t>62.393.679/0001-83</t>
        </is>
      </c>
      <c r="L5" s="35" t="inlineStr">
        <is>
          <t>SRE/0588/2026</t>
        </is>
      </c>
      <c r="M5" s="35" t="inlineStr">
        <is>
          <t>2026-03-03</t>
        </is>
      </c>
      <c r="N5" s="35" t="inlineStr">
        <is>
          <t>2026-04-20</t>
        </is>
      </c>
      <c r="O5" s="37" t="n">
        <v>5500000000</v>
      </c>
      <c r="P5" s="38" t="n">
        <v>0</v>
      </c>
      <c r="Q5" s="35" t="inlineStr">
        <is>
          <t>BANCO BRADESCO BBI S.A.</t>
        </is>
      </c>
      <c r="R5" s="35" t="inlineStr">
        <is>
          <t>Garantia Firme de Colocação</t>
        </is>
      </c>
      <c r="S5" s="35" t="inlineStr">
        <is>
          <t>S</t>
        </is>
      </c>
      <c r="T5" s="35" t="inlineStr">
        <is>
          <t>Profissional</t>
        </is>
      </c>
      <c r="U5" s="35" t="inlineStr">
        <is>
          <t>Pulverizado</t>
        </is>
      </c>
      <c r="V5" s="35" t="inlineStr">
        <is>
          <t>BEM DISTRIBUIDORA DE TÍTULOS E VALORES MOBILIÁRIOS LTDA.</t>
        </is>
      </c>
      <c r="W5" s="35" t="inlineStr">
        <is>
          <t>não conferido</t>
        </is>
      </c>
      <c r="X5" s="35" t="inlineStr"/>
      <c r="Y5" s="35" t="inlineStr">
        <is>
          <t>remuneração de cota</t>
        </is>
      </c>
      <c r="Z5" s="35" t="inlineStr">
        <is>
          <t>não identificada</t>
        </is>
      </c>
      <c r="AA5" s="35" t="inlineStr"/>
      <c r="AB5" s="35" t="inlineStr">
        <is>
          <t>CDI + spread</t>
        </is>
      </c>
      <c r="AC5" s="39" t="n">
        <v>0.0075</v>
      </c>
      <c r="AD5" s="35" t="inlineStr">
        <is>
          <t>id 988402</t>
        </is>
      </c>
    </row>
    <row r="6">
      <c r="A6" s="35" t="n"/>
      <c r="B6" s="35" t="n"/>
      <c r="C6" s="35" t="n"/>
      <c r="D6" s="35" t="n"/>
      <c r="E6" s="36" t="n"/>
      <c r="F6" s="35" t="n"/>
      <c r="G6" s="35" t="n"/>
      <c r="H6" s="35" t="n"/>
      <c r="I6" s="35" t="n"/>
      <c r="J6" s="35" t="n"/>
      <c r="K6" s="35" t="n"/>
      <c r="L6" s="35" t="n"/>
      <c r="M6" s="35" t="n"/>
      <c r="N6" s="35" t="n"/>
      <c r="O6" s="37" t="n"/>
      <c r="P6" s="38" t="n"/>
      <c r="Q6" s="35" t="n"/>
      <c r="R6" s="35" t="n"/>
      <c r="S6" s="35" t="n"/>
      <c r="T6" s="35" t="n"/>
      <c r="U6" s="35" t="n"/>
      <c r="V6" s="35" t="n"/>
      <c r="W6" s="35" t="n"/>
      <c r="X6" s="35" t="n"/>
      <c r="Y6" s="35" t="inlineStr">
        <is>
          <t>remuneração de cota</t>
        </is>
      </c>
      <c r="Z6" s="35" t="inlineStr">
        <is>
          <t>não identificada</t>
        </is>
      </c>
      <c r="AA6" s="35" t="inlineStr"/>
      <c r="AB6" s="35" t="inlineStr">
        <is>
          <t>CDI + spread</t>
        </is>
      </c>
      <c r="AC6" s="39" t="n">
        <v>0.0135</v>
      </c>
      <c r="AD6" s="35" t="inlineStr">
        <is>
          <t>id 988402</t>
        </is>
      </c>
    </row>
    <row r="7">
      <c r="A7" s="35" t="n"/>
      <c r="B7" s="35" t="n"/>
      <c r="C7" s="35" t="n"/>
      <c r="D7" s="35" t="n"/>
      <c r="E7" s="36" t="n"/>
      <c r="F7" s="35" t="n"/>
      <c r="G7" s="35" t="n"/>
      <c r="H7" s="35" t="n"/>
      <c r="I7" s="35" t="n"/>
      <c r="J7" s="35" t="n"/>
      <c r="K7" s="35" t="n"/>
      <c r="L7" s="35" t="n"/>
      <c r="M7" s="35" t="n"/>
      <c r="N7" s="35" t="n"/>
      <c r="O7" s="37" t="n"/>
      <c r="P7" s="38" t="n"/>
      <c r="Q7" s="35" t="n"/>
      <c r="R7" s="35" t="n"/>
      <c r="S7" s="35" t="n"/>
      <c r="T7" s="35" t="n"/>
      <c r="U7" s="35" t="n"/>
      <c r="V7" s="35" t="n"/>
      <c r="W7" s="35" t="n"/>
      <c r="X7" s="35" t="n"/>
      <c r="Y7" s="35" t="inlineStr">
        <is>
          <t>remuneração de cota</t>
        </is>
      </c>
      <c r="Z7" s="35" t="inlineStr">
        <is>
          <t>não identificada</t>
        </is>
      </c>
      <c r="AA7" s="35" t="inlineStr"/>
      <c r="AB7" s="35" t="inlineStr">
        <is>
          <t>CDI + spread</t>
        </is>
      </c>
      <c r="AC7" s="39" t="n">
        <v>0.042</v>
      </c>
      <c r="AD7" s="35" t="inlineStr">
        <is>
          <t>id 988402</t>
        </is>
      </c>
    </row>
    <row r="8">
      <c r="A8" s="35" t="n">
        <v>2</v>
      </c>
      <c r="B8" s="35" t="inlineStr">
        <is>
          <t>VTK</t>
        </is>
      </c>
      <c r="C8" s="35" t="inlineStr">
        <is>
          <t>Facta</t>
        </is>
      </c>
      <c r="D8" s="35" t="inlineStr">
        <is>
          <t>Consignado INSS</t>
        </is>
      </c>
      <c r="E8" s="36" t="n">
        <v>2.85</v>
      </c>
      <c r="F8" s="35" t="inlineStr">
        <is>
          <t>Sim – IBBA Líder</t>
        </is>
      </c>
      <c r="G8" s="35" t="inlineStr">
        <is>
          <t>Não</t>
        </is>
      </c>
      <c r="H8" s="35" t="inlineStr">
        <is>
          <t>-</t>
        </is>
      </c>
      <c r="I8" s="35" t="inlineStr">
        <is>
          <t>0,7</t>
        </is>
      </c>
      <c r="J8" s="35" t="inlineStr">
        <is>
          <t>VTK FUNDO DE  INVESTIMENTO EM DIREITOS CREDITORIOS RESPONSABILIDADE  LIMITADA</t>
        </is>
      </c>
      <c r="K8" s="35" t="inlineStr">
        <is>
          <t>62.588.266/0001-54</t>
        </is>
      </c>
      <c r="L8" s="35" t="inlineStr">
        <is>
          <t>SRE/2813/2025</t>
        </is>
      </c>
      <c r="M8" s="35" t="inlineStr">
        <is>
          <t>2025-09-15</t>
        </is>
      </c>
      <c r="N8" s="35" t="inlineStr">
        <is>
          <t>2026-02-27</t>
        </is>
      </c>
      <c r="O8" s="37" t="n">
        <v>2850000000</v>
      </c>
      <c r="P8" s="38" t="n">
        <v>0</v>
      </c>
      <c r="Q8" s="35" t="inlineStr">
        <is>
          <t>ITAU BBA ASSESSORIA FINANCEIRA S.A</t>
        </is>
      </c>
      <c r="R8" s="35" t="inlineStr">
        <is>
          <t>Melhores Esforços</t>
        </is>
      </c>
      <c r="S8" s="35" t="inlineStr">
        <is>
          <t>S</t>
        </is>
      </c>
      <c r="T8" s="35" t="inlineStr">
        <is>
          <t>Profissional</t>
        </is>
      </c>
      <c r="U8" s="35" t="inlineStr">
        <is>
          <t>Pulverizado</t>
        </is>
      </c>
      <c r="V8" s="35" t="inlineStr">
        <is>
          <t>OLIVEIRA TRUST DISTRIBUIDORA DE TÍTULOS E VALORES MOBILIÁRIOS S.A.</t>
        </is>
      </c>
      <c r="W8" s="35" t="inlineStr">
        <is>
          <t>Confirmado</t>
        </is>
      </c>
      <c r="X8" s="35" t="inlineStr">
        <is>
          <t>FACTA FINANCEIRA S.A. CRÉDITO, FINANCIAMENTO E INVESTIMENTO, CNPJ 15.581.638/0001-30 (def. "Facta" no regulamento)</t>
        </is>
      </c>
      <c r="Y8" s="35" t="inlineStr">
        <is>
          <t>taxa de aquisição do ativo</t>
        </is>
      </c>
      <c r="Z8" s="35" t="inlineStr">
        <is>
          <t>não identificada</t>
        </is>
      </c>
      <c r="AA8" s="35" t="inlineStr"/>
      <c r="AB8" s="35" t="inlineStr">
        <is>
          <t>CDI + spread</t>
        </is>
      </c>
      <c r="AC8" s="39" t="n">
        <v>0.07099999999999999</v>
      </c>
      <c r="AD8" s="35" t="inlineStr">
        <is>
          <t>id 1002580</t>
        </is>
      </c>
    </row>
    <row r="9">
      <c r="A9" s="35" t="n"/>
      <c r="B9" s="35" t="n"/>
      <c r="C9" s="35" t="n"/>
      <c r="D9" s="35" t="n"/>
      <c r="E9" s="36" t="n"/>
      <c r="F9" s="35" t="n"/>
      <c r="G9" s="35" t="n"/>
      <c r="H9" s="35" t="n"/>
      <c r="I9" s="35" t="n"/>
      <c r="J9" s="35" t="n"/>
      <c r="K9" s="35" t="n"/>
      <c r="L9" s="35" t="n"/>
      <c r="M9" s="35" t="n"/>
      <c r="N9" s="35" t="n"/>
      <c r="O9" s="37" t="n"/>
      <c r="P9" s="38" t="n"/>
      <c r="Q9" s="35" t="n"/>
      <c r="R9" s="35" t="n"/>
      <c r="S9" s="35" t="n"/>
      <c r="T9" s="35" t="n"/>
      <c r="U9" s="35" t="n"/>
      <c r="V9" s="35" t="n"/>
      <c r="W9" s="35" t="n"/>
      <c r="X9" s="35" t="n"/>
      <c r="Y9" s="35" t="inlineStr">
        <is>
          <t>taxa de aquisição do ativo</t>
        </is>
      </c>
      <c r="Z9" s="35" t="inlineStr">
        <is>
          <t>não identificada</t>
        </is>
      </c>
      <c r="AA9" s="35" t="inlineStr"/>
      <c r="AB9" s="35" t="inlineStr">
        <is>
          <t>CDI + spread</t>
        </is>
      </c>
      <c r="AC9" s="39" t="n">
        <v>0.0512</v>
      </c>
      <c r="AD9" s="35" t="inlineStr">
        <is>
          <t>id 1002580</t>
        </is>
      </c>
    </row>
    <row r="10">
      <c r="A10" s="35" t="n"/>
      <c r="B10" s="35" t="n"/>
      <c r="C10" s="35" t="n"/>
      <c r="D10" s="35" t="n"/>
      <c r="E10" s="36" t="n"/>
      <c r="F10" s="35" t="n"/>
      <c r="G10" s="35" t="n"/>
      <c r="H10" s="35" t="n"/>
      <c r="I10" s="35" t="n"/>
      <c r="J10" s="35" t="n"/>
      <c r="K10" s="35" t="n"/>
      <c r="L10" s="35" t="n"/>
      <c r="M10" s="35" t="n"/>
      <c r="N10" s="35" t="n"/>
      <c r="O10" s="37" t="n"/>
      <c r="P10" s="38" t="n"/>
      <c r="Q10" s="35" t="n"/>
      <c r="R10" s="35" t="n"/>
      <c r="S10" s="35" t="n"/>
      <c r="T10" s="35" t="n"/>
      <c r="U10" s="35" t="n"/>
      <c r="V10" s="35" t="n"/>
      <c r="W10" s="35" t="n"/>
      <c r="X10" s="35" t="n"/>
      <c r="Y10" s="35" t="inlineStr">
        <is>
          <t>taxa de aquisição do ativo</t>
        </is>
      </c>
      <c r="Z10" s="35" t="inlineStr">
        <is>
          <t>não identificada</t>
        </is>
      </c>
      <c r="AA10" s="35" t="inlineStr"/>
      <c r="AB10" s="35" t="inlineStr">
        <is>
          <t>CDI + spread</t>
        </is>
      </c>
      <c r="AC10" s="39" t="n">
        <v>0.0541</v>
      </c>
      <c r="AD10" s="35" t="inlineStr">
        <is>
          <t>id 1002580</t>
        </is>
      </c>
    </row>
    <row r="11">
      <c r="A11" s="35" t="n"/>
      <c r="B11" s="35" t="n"/>
      <c r="C11" s="35" t="n"/>
      <c r="D11" s="35" t="n"/>
      <c r="E11" s="36" t="n"/>
      <c r="F11" s="35" t="n"/>
      <c r="G11" s="35" t="n"/>
      <c r="H11" s="35" t="n"/>
      <c r="I11" s="35" t="n"/>
      <c r="J11" s="35" t="n"/>
      <c r="K11" s="35" t="n"/>
      <c r="L11" s="35" t="n"/>
      <c r="M11" s="35" t="n"/>
      <c r="N11" s="35" t="n"/>
      <c r="O11" s="37" t="n"/>
      <c r="P11" s="38" t="n"/>
      <c r="Q11" s="35" t="n"/>
      <c r="R11" s="35" t="n"/>
      <c r="S11" s="35" t="n"/>
      <c r="T11" s="35" t="n"/>
      <c r="U11" s="35" t="n"/>
      <c r="V11" s="35" t="n"/>
      <c r="W11" s="35" t="n"/>
      <c r="X11" s="35" t="n"/>
      <c r="Y11" s="35" t="inlineStr">
        <is>
          <t>taxa de aquisição do ativo</t>
        </is>
      </c>
      <c r="Z11" s="35" t="inlineStr">
        <is>
          <t>não identificada</t>
        </is>
      </c>
      <c r="AA11" s="35" t="inlineStr"/>
      <c r="AB11" s="35" t="inlineStr">
        <is>
          <t>% do CDI</t>
        </is>
      </c>
      <c r="AC11" s="39" t="n">
        <v>1</v>
      </c>
      <c r="AD11" s="35" t="inlineStr">
        <is>
          <t>id 1002580</t>
        </is>
      </c>
    </row>
    <row r="12">
      <c r="A12" s="35" t="n">
        <v>3</v>
      </c>
      <c r="B12" s="35" t="inlineStr">
        <is>
          <t>Agibank II</t>
        </is>
      </c>
      <c r="C12" s="35" t="inlineStr">
        <is>
          <t>Agibank</t>
        </is>
      </c>
      <c r="D12" s="35" t="inlineStr">
        <is>
          <t>Consignado INSS</t>
        </is>
      </c>
      <c r="E12" s="36" t="n">
        <v>2.5</v>
      </c>
      <c r="F12" s="35" t="inlineStr">
        <is>
          <t>Sim – IBBA Líder</t>
        </is>
      </c>
      <c r="G12" s="35" t="inlineStr">
        <is>
          <t>Sim – 1.250</t>
        </is>
      </c>
      <c r="H12" s="35" t="inlineStr">
        <is>
          <t>Sim</t>
        </is>
      </c>
      <c r="I12" s="35" t="inlineStr">
        <is>
          <t>0,7</t>
        </is>
      </c>
      <c r="J12" s="35" t="inlineStr">
        <is>
          <t>FUNDO DE INVESTIMENTO EM DIREITOS CREDITORIOS AGIBANK II RESPONSABILIDADE LIMITADA</t>
        </is>
      </c>
      <c r="K12" s="35" t="inlineStr">
        <is>
          <t>65.976.848/0001-04</t>
        </is>
      </c>
      <c r="L12" s="35" t="inlineStr">
        <is>
          <t>SRE/1057/2026</t>
        </is>
      </c>
      <c r="M12" s="35" t="inlineStr">
        <is>
          <t>2026-04-23</t>
        </is>
      </c>
      <c r="N12" s="35" t="inlineStr">
        <is>
          <t>2026-04-27</t>
        </is>
      </c>
      <c r="O12" s="37" t="n">
        <v>2500000000</v>
      </c>
      <c r="P12" s="38" t="n">
        <v>0</v>
      </c>
      <c r="Q12" s="35" t="inlineStr">
        <is>
          <t>BANCO BRADESCO BBI S.A.</t>
        </is>
      </c>
      <c r="R12" s="35" t="inlineStr">
        <is>
          <t>Garantia Firme de Colocação</t>
        </is>
      </c>
      <c r="S12" s="35" t="inlineStr">
        <is>
          <t>S</t>
        </is>
      </c>
      <c r="T12" s="35" t="inlineStr">
        <is>
          <t>Profissional</t>
        </is>
      </c>
      <c r="U12" s="35" t="inlineStr">
        <is>
          <t>Pulverizado</t>
        </is>
      </c>
      <c r="V12" s="35" t="inlineStr">
        <is>
          <t>OLIVEIRA TRUST DISTRIBUIDORA DE TÍTULOS E VALORES MOBILIÁRIOS S.A.</t>
        </is>
      </c>
      <c r="W12" s="35" t="inlineStr">
        <is>
          <t>não conferido</t>
        </is>
      </c>
      <c r="X12" s="35" t="inlineStr"/>
      <c r="Y12" s="35" t="inlineStr">
        <is>
          <t>não localizado</t>
        </is>
      </c>
      <c r="Z12" s="35" t="inlineStr">
        <is>
          <t>não localizado</t>
        </is>
      </c>
      <c r="AA12" s="35" t="inlineStr"/>
      <c r="AB12" s="35" t="inlineStr">
        <is>
          <t>não localizado</t>
        </is>
      </c>
      <c r="AC12" s="35" t="n"/>
      <c r="AD12" s="35" t="inlineStr">
        <is>
          <t>não localizado</t>
        </is>
      </c>
    </row>
    <row r="13">
      <c r="A13" s="35" t="n">
        <v>4</v>
      </c>
      <c r="B13" s="35" t="inlineStr">
        <is>
          <t>Driver BR Six Veículos</t>
        </is>
      </c>
      <c r="C13" s="35" t="inlineStr">
        <is>
          <t>Bco Volkswagen</t>
        </is>
      </c>
      <c r="D13" s="35" t="inlineStr">
        <is>
          <t>Veículos</t>
        </is>
      </c>
      <c r="E13" s="36" t="n">
        <v>2</v>
      </c>
      <c r="F13" s="35" t="inlineStr">
        <is>
          <t>Sim – BBI Líder</t>
        </is>
      </c>
      <c r="G13" s="35" t="inlineStr">
        <is>
          <t>Não</t>
        </is>
      </c>
      <c r="H13" s="35" t="inlineStr">
        <is>
          <t>-</t>
        </is>
      </c>
      <c r="I13" s="35" t="inlineStr">
        <is>
          <t>-</t>
        </is>
      </c>
      <c r="J13" s="35" t="inlineStr">
        <is>
          <t>DRIVER BRASIL SIX BANCO VOLKSWAGEN FIDC FINANCIAMENTO DE VEÍCULOS - RESPONSABILIDADE LIMITADA</t>
        </is>
      </c>
      <c r="K13" s="35" t="inlineStr">
        <is>
          <t>50.114.948/0001-46</t>
        </is>
      </c>
      <c r="L13" s="35" t="inlineStr">
        <is>
          <t>SRE/0451/2026</t>
        </is>
      </c>
      <c r="M13" s="35" t="inlineStr">
        <is>
          <t>2026-03-05</t>
        </is>
      </c>
      <c r="N13" s="35" t="inlineStr">
        <is>
          <t>2026-03-09</t>
        </is>
      </c>
      <c r="O13" s="37" t="n">
        <v>2000000000</v>
      </c>
      <c r="P13" s="38" t="n">
        <v>0</v>
      </c>
      <c r="Q13" s="35" t="inlineStr">
        <is>
          <t>BANCO BRADESCO BBI S.A.</t>
        </is>
      </c>
      <c r="R13" s="35" t="inlineStr">
        <is>
          <t>Misto</t>
        </is>
      </c>
      <c r="S13" s="35" t="inlineStr">
        <is>
          <t>S</t>
        </is>
      </c>
      <c r="T13" s="35" t="inlineStr">
        <is>
          <t>Profissional</t>
        </is>
      </c>
      <c r="U13" s="35" t="inlineStr">
        <is>
          <t>Pulverizado</t>
        </is>
      </c>
      <c r="V13" s="35" t="inlineStr">
        <is>
          <t>BANCO BRADESCO S.A.</t>
        </is>
      </c>
      <c r="W13" s="35" t="inlineStr">
        <is>
          <t>não conferido</t>
        </is>
      </c>
      <c r="X13" s="35" t="inlineStr"/>
      <c r="Y13" s="35" t="inlineStr">
        <is>
          <t>remuneração de cota</t>
        </is>
      </c>
      <c r="Z13" s="35" t="inlineStr">
        <is>
          <t>Sênior</t>
        </is>
      </c>
      <c r="AA13" s="35" t="inlineStr"/>
      <c r="AB13" s="35" t="inlineStr">
        <is>
          <t>CDI + spread</t>
        </is>
      </c>
      <c r="AC13" s="39" t="n">
        <v>0.019</v>
      </c>
      <c r="AD13" s="35" t="inlineStr">
        <is>
          <t>id 1115006</t>
        </is>
      </c>
    </row>
    <row r="14">
      <c r="A14" s="35" t="n"/>
      <c r="B14" s="35" t="n"/>
      <c r="C14" s="35" t="n"/>
      <c r="D14" s="35" t="n"/>
      <c r="E14" s="36" t="n"/>
      <c r="F14" s="35" t="n"/>
      <c r="G14" s="35" t="n"/>
      <c r="H14" s="35" t="n"/>
      <c r="I14" s="35" t="n"/>
      <c r="J14" s="35" t="n"/>
      <c r="K14" s="35" t="n"/>
      <c r="L14" s="35" t="n"/>
      <c r="M14" s="35" t="n"/>
      <c r="N14" s="35" t="n"/>
      <c r="O14" s="37" t="n"/>
      <c r="P14" s="38" t="n"/>
      <c r="Q14" s="35" t="n"/>
      <c r="R14" s="35" t="n"/>
      <c r="S14" s="35" t="n"/>
      <c r="T14" s="35" t="n"/>
      <c r="U14" s="35" t="n"/>
      <c r="V14" s="35" t="n"/>
      <c r="W14" s="35" t="n"/>
      <c r="X14" s="35" t="n"/>
      <c r="Y14" s="35" t="inlineStr">
        <is>
          <t>remuneração de cota</t>
        </is>
      </c>
      <c r="Z14" s="35" t="inlineStr">
        <is>
          <t>Sênior</t>
        </is>
      </c>
      <c r="AA14" s="35" t="inlineStr"/>
      <c r="AB14" s="35" t="inlineStr">
        <is>
          <t>CDI + spread</t>
        </is>
      </c>
      <c r="AC14" s="39" t="n">
        <v>0.006500000000000001</v>
      </c>
      <c r="AD14" s="35" t="inlineStr">
        <is>
          <t>id 1115006</t>
        </is>
      </c>
    </row>
    <row r="15">
      <c r="A15" s="35" t="n">
        <v>5</v>
      </c>
      <c r="B15" s="35" t="inlineStr">
        <is>
          <t>Seller III</t>
        </is>
      </c>
      <c r="C15" s="35" t="inlineStr">
        <is>
          <t>Mercado Pago</t>
        </is>
      </c>
      <c r="D15" s="35" t="inlineStr">
        <is>
          <t>Adq – Risco Corporativo</t>
        </is>
      </c>
      <c r="E15" s="36" t="n">
        <v>1.5</v>
      </c>
      <c r="F15" s="35" t="inlineStr">
        <is>
          <t>Não – UBS BB</t>
        </is>
      </c>
      <c r="G15" s="35" t="inlineStr">
        <is>
          <t>Sim</t>
        </is>
      </c>
      <c r="H15" s="35" t="inlineStr">
        <is>
          <t>-</t>
        </is>
      </c>
      <c r="I15" s="35" t="inlineStr">
        <is>
          <t>-</t>
        </is>
      </c>
      <c r="J15" s="35" t="inlineStr">
        <is>
          <t>SELLER 3 FUNDO DE INVESTIMENTO EM DIREITOS CREDITORIOS SEGMENTO MEIOS DE PAGAMENTO DE RESP LIMITADA</t>
        </is>
      </c>
      <c r="K15" s="35" t="inlineStr">
        <is>
          <t>63.572.282/0001-11</t>
        </is>
      </c>
      <c r="L15" s="35" t="inlineStr">
        <is>
          <t>SRE/0197/2026</t>
        </is>
      </c>
      <c r="M15" s="35" t="inlineStr">
        <is>
          <t>2026-02-04</t>
        </is>
      </c>
      <c r="N15" s="35" t="inlineStr">
        <is>
          <t>2026-02-06</t>
        </is>
      </c>
      <c r="O15" s="37" t="n">
        <v>1500000000</v>
      </c>
      <c r="P15" s="38" t="n">
        <v>0</v>
      </c>
      <c r="Q15" s="35" t="inlineStr">
        <is>
          <t>UBS BB Corretora de Câmbio, Títulos e Valores Mobiliários S.A.</t>
        </is>
      </c>
      <c r="R15" s="35" t="inlineStr">
        <is>
          <t>Garantia Firme de Colocação</t>
        </is>
      </c>
      <c r="S15" s="35" t="inlineStr">
        <is>
          <t>S</t>
        </is>
      </c>
      <c r="T15" s="35" t="inlineStr">
        <is>
          <t>Profissional</t>
        </is>
      </c>
      <c r="U15" s="35" t="inlineStr">
        <is>
          <t>Pulverizado</t>
        </is>
      </c>
      <c r="V15" s="35" t="inlineStr">
        <is>
          <t>OLIVEIRA TRUST DISTRIBUIDORA DE TÍTULOS E VALORES MOBILIÁRIOS S.A.</t>
        </is>
      </c>
      <c r="W15" s="35" t="inlineStr">
        <is>
          <t>não conferido</t>
        </is>
      </c>
      <c r="X15" s="35" t="inlineStr"/>
      <c r="Y15" s="35" t="inlineStr">
        <is>
          <t>não localizado</t>
        </is>
      </c>
      <c r="Z15" s="35" t="inlineStr">
        <is>
          <t>não localizado</t>
        </is>
      </c>
      <c r="AA15" s="35" t="inlineStr"/>
      <c r="AB15" s="35" t="inlineStr">
        <is>
          <t>não localizado</t>
        </is>
      </c>
      <c r="AC15" s="35" t="n"/>
      <c r="AD15" s="35" t="inlineStr">
        <is>
          <t>não localizado</t>
        </is>
      </c>
    </row>
    <row r="16">
      <c r="A16" s="35" t="n">
        <v>6</v>
      </c>
      <c r="B16" s="35" t="inlineStr">
        <is>
          <t>Pine INSS III</t>
        </is>
      </c>
      <c r="C16" s="35" t="inlineStr">
        <is>
          <t>Banco Pine</t>
        </is>
      </c>
      <c r="D16" s="35" t="inlineStr">
        <is>
          <t>Consignado – INSS</t>
        </is>
      </c>
      <c r="E16" s="36" t="n">
        <v>1.25</v>
      </c>
      <c r="F16" s="35" t="inlineStr">
        <is>
          <t>Sim – IBBA Líder</t>
        </is>
      </c>
      <c r="G16" s="35" t="inlineStr">
        <is>
          <t>Sim – 800</t>
        </is>
      </c>
      <c r="H16" s="35" t="inlineStr">
        <is>
          <t>Sim</t>
        </is>
      </c>
      <c r="I16" s="35" t="inlineStr">
        <is>
          <t>0,8</t>
        </is>
      </c>
      <c r="J16" s="35" t="inlineStr">
        <is>
          <t>PINE INSS III FUNDO DE INVESTIMENTO EM DIREITOS CREDITORIOS  RESPONSABILIDADE LIMITADA</t>
        </is>
      </c>
      <c r="K16" s="35" t="inlineStr">
        <is>
          <t>63.546.406/0001-94</t>
        </is>
      </c>
      <c r="L16" s="35" t="inlineStr">
        <is>
          <t>SRE/0645/2026</t>
        </is>
      </c>
      <c r="M16" s="35" t="inlineStr">
        <is>
          <t>2026-04-09</t>
        </is>
      </c>
      <c r="N16" s="35" t="inlineStr">
        <is>
          <t>2026-04-22</t>
        </is>
      </c>
      <c r="O16" s="37" t="n">
        <v>1250000000</v>
      </c>
      <c r="P16" s="38" t="n">
        <v>0</v>
      </c>
      <c r="Q16" s="35" t="inlineStr">
        <is>
          <t>ITAU BBA ASSESSORIA FINANCEIRA S.A</t>
        </is>
      </c>
      <c r="R16" s="35" t="inlineStr">
        <is>
          <t>Melhores Esforços</t>
        </is>
      </c>
      <c r="S16" s="35" t="inlineStr">
        <is>
          <t>S</t>
        </is>
      </c>
      <c r="T16" s="35" t="inlineStr">
        <is>
          <t>Profissional</t>
        </is>
      </c>
      <c r="U16" s="35" t="inlineStr">
        <is>
          <t>Pulverizado</t>
        </is>
      </c>
      <c r="V16" s="35" t="inlineStr">
        <is>
          <t>Vert DTVM</t>
        </is>
      </c>
      <c r="W16" s="35" t="inlineStr">
        <is>
          <t>Confirmado</t>
        </is>
      </c>
      <c r="X16" s="35" t="inlineStr">
        <is>
          <t>Cedente CNPJ 62.144.175/0001-20 (Banco Pine S.A.), conforme Anexo de Definições Específicas da Classe</t>
        </is>
      </c>
      <c r="Y16" s="35" t="inlineStr">
        <is>
          <t>não localizado</t>
        </is>
      </c>
      <c r="Z16" s="35" t="inlineStr">
        <is>
          <t>não localizado</t>
        </is>
      </c>
      <c r="AA16" s="35" t="inlineStr"/>
      <c r="AB16" s="35" t="inlineStr">
        <is>
          <t>não localizado</t>
        </is>
      </c>
      <c r="AC16" s="35" t="n"/>
      <c r="AD16" s="35" t="inlineStr">
        <is>
          <t>não localizado</t>
        </is>
      </c>
    </row>
    <row r="17">
      <c r="A17" s="35" t="n">
        <v>7</v>
      </c>
      <c r="B17" s="35" t="inlineStr">
        <is>
          <t>Invest. Picpay FGTS II</t>
        </is>
      </c>
      <c r="C17" s="35" t="inlineStr">
        <is>
          <t>PicPay</t>
        </is>
      </c>
      <c r="D17" s="35" t="inlineStr">
        <is>
          <t>Consignado – FGTS</t>
        </is>
      </c>
      <c r="E17" s="36" t="n">
        <v>1.25</v>
      </c>
      <c r="F17" s="35" t="inlineStr">
        <is>
          <t>Não – ABC / XP</t>
        </is>
      </c>
      <c r="G17" s="35" t="inlineStr">
        <is>
          <t>Não</t>
        </is>
      </c>
      <c r="H17" s="35" t="inlineStr">
        <is>
          <t>-</t>
        </is>
      </c>
      <c r="I17" s="35" t="inlineStr">
        <is>
          <t>-</t>
        </is>
      </c>
      <c r="J17" s="35" t="inlineStr">
        <is>
          <t>FUNDO DE INVESTIMENTOS EM DIREITOS CREDITORIOS PICPAY FGTS II DE RESPONSABILIDADE LIMITADA</t>
        </is>
      </c>
      <c r="K17" s="35" t="inlineStr">
        <is>
          <t>65.839.682/0001-76</t>
        </is>
      </c>
      <c r="L17" s="35" t="inlineStr">
        <is>
          <t>SRE/1474/2026</t>
        </is>
      </c>
      <c r="M17" s="35" t="inlineStr">
        <is>
          <t>2026-05-12</t>
        </is>
      </c>
      <c r="N17" s="35" t="inlineStr">
        <is>
          <t>2026-05-18</t>
        </is>
      </c>
      <c r="O17" s="37" t="n">
        <v>1250000000</v>
      </c>
      <c r="P17" s="38" t="n">
        <v>0</v>
      </c>
      <c r="Q17" s="35" t="inlineStr">
        <is>
          <t>ABC BRASIL DISTRIBUIDORA DE TÍTULOS E VALORES MOBILIÁRIOS S.A.</t>
        </is>
      </c>
      <c r="R17" s="35" t="inlineStr">
        <is>
          <t>Melhores Esforços</t>
        </is>
      </c>
      <c r="S17" s="35" t="inlineStr">
        <is>
          <t>N</t>
        </is>
      </c>
      <c r="T17" s="35" t="inlineStr">
        <is>
          <t>Profissional</t>
        </is>
      </c>
      <c r="U17" s="35" t="inlineStr">
        <is>
          <t>Pulverizado</t>
        </is>
      </c>
      <c r="V17" s="35" t="inlineStr">
        <is>
          <t>GENIAL INVESTIMENTOS CORRETORA DE VALORES MOBILIARIOS S.A.</t>
        </is>
      </c>
      <c r="W17" s="35" t="inlineStr">
        <is>
          <t>não conferido</t>
        </is>
      </c>
      <c r="X17" s="35" t="inlineStr"/>
      <c r="Y17" s="35" t="inlineStr">
        <is>
          <t>não localizado</t>
        </is>
      </c>
      <c r="Z17" s="35" t="inlineStr">
        <is>
          <t>não localizado</t>
        </is>
      </c>
      <c r="AA17" s="35" t="inlineStr"/>
      <c r="AB17" s="35" t="inlineStr">
        <is>
          <t>não localizado</t>
        </is>
      </c>
      <c r="AC17" s="35" t="n"/>
      <c r="AD17" s="35" t="inlineStr">
        <is>
          <t>não localizado</t>
        </is>
      </c>
    </row>
    <row r="18">
      <c r="A18" s="35" t="n">
        <v>8</v>
      </c>
      <c r="B18" s="35" t="inlineStr">
        <is>
          <t>iCred INSS II</t>
        </is>
      </c>
      <c r="C18" s="35" t="inlineStr">
        <is>
          <t>iCred</t>
        </is>
      </c>
      <c r="D18" s="35" t="inlineStr">
        <is>
          <t>Consignado – INSS</t>
        </is>
      </c>
      <c r="E18" s="36" t="n">
        <v>1.02</v>
      </c>
      <c r="F18" s="35" t="inlineStr">
        <is>
          <t>Sim – IBBA Líder</t>
        </is>
      </c>
      <c r="G18" s="35" t="inlineStr">
        <is>
          <t>Não</t>
        </is>
      </c>
      <c r="H18" s="35" t="inlineStr">
        <is>
          <t>-</t>
        </is>
      </c>
      <c r="I18" s="35" t="inlineStr">
        <is>
          <t>-</t>
        </is>
      </c>
      <c r="J18" s="35" t="inlineStr">
        <is>
          <t>ICRED INSS II FUNDO DE INVESTIMENTO EM DIREITOS CREDITORIOS RESPONSABILIDADE LIMITADA</t>
        </is>
      </c>
      <c r="K18" s="35" t="inlineStr">
        <is>
          <t>63.733.796/0001-01</t>
        </is>
      </c>
      <c r="L18" s="35" t="inlineStr">
        <is>
          <t>SRE/4052/2025</t>
        </is>
      </c>
      <c r="M18" s="35" t="inlineStr">
        <is>
          <t>2025-12-19</t>
        </is>
      </c>
      <c r="N18" s="35" t="inlineStr">
        <is>
          <t>2026-04-16</t>
        </is>
      </c>
      <c r="O18" s="37" t="n">
        <v>1020768000</v>
      </c>
      <c r="P18" s="38" t="n">
        <v>-768000</v>
      </c>
      <c r="Q18" s="35" t="inlineStr">
        <is>
          <t>XP INVESTIMENTOS CCTVM S.A.</t>
        </is>
      </c>
      <c r="R18" s="35" t="inlineStr">
        <is>
          <t>Melhores Esforços</t>
        </is>
      </c>
      <c r="S18" s="35" t="inlineStr">
        <is>
          <t>S</t>
        </is>
      </c>
      <c r="T18" s="35" t="inlineStr">
        <is>
          <t>Profissional</t>
        </is>
      </c>
      <c r="U18" s="35" t="inlineStr">
        <is>
          <t>Pulverizado</t>
        </is>
      </c>
      <c r="V18" s="35" t="inlineStr">
        <is>
          <t>VERT DISTRIBUIDORA DE TÍTULOS E VALORES MOBILIÁRIOS LTDA.</t>
        </is>
      </c>
      <c r="W18" s="35" t="inlineStr">
        <is>
          <t>Confirmado</t>
        </is>
      </c>
      <c r="X18" s="35" t="inlineStr">
        <is>
          <t>iCred Sociedade de Crédito, Financiamento e Investimento / Financeiras S.A., CNPJ 08.939.806/0001-51</t>
        </is>
      </c>
      <c r="Y18" s="35" t="inlineStr">
        <is>
          <t>não localizado</t>
        </is>
      </c>
      <c r="Z18" s="35" t="inlineStr">
        <is>
          <t>não localizado</t>
        </is>
      </c>
      <c r="AA18" s="35" t="inlineStr"/>
      <c r="AB18" s="35" t="inlineStr">
        <is>
          <t>não localizado</t>
        </is>
      </c>
      <c r="AC18" s="35" t="n"/>
      <c r="AD18" s="35" t="inlineStr">
        <is>
          <t>não localizado</t>
        </is>
      </c>
    </row>
    <row r="19">
      <c r="A19" s="35" t="n">
        <v>9</v>
      </c>
      <c r="B19" s="35" t="inlineStr">
        <is>
          <t>JiveMauá Bossa Nova II</t>
        </is>
      </c>
      <c r="C19" s="35" t="inlineStr">
        <is>
          <t>Multicedente Corporativo</t>
        </is>
      </c>
      <c r="D19" s="35" t="inlineStr">
        <is>
          <t>Multicedente/Multisacado</t>
        </is>
      </c>
      <c r="E19" s="36" t="n">
        <v>1</v>
      </c>
      <c r="F19" s="35" t="inlineStr">
        <is>
          <t>Não</t>
        </is>
      </c>
      <c r="G19" s="35" t="inlineStr">
        <is>
          <t>Não</t>
        </is>
      </c>
      <c r="H19" s="35" t="inlineStr">
        <is>
          <t>-</t>
        </is>
      </c>
      <c r="I19" s="35" t="inlineStr">
        <is>
          <t>-</t>
        </is>
      </c>
      <c r="J19" s="35" t="inlineStr">
        <is>
          <t>JIVEMAUÁ BOSSANOVA CRÉDITO SECURITIZADO II FUNDO DE INVESTIMENTO EM DIREITOS CREDITÓRIOS</t>
        </is>
      </c>
      <c r="K19" s="35" t="inlineStr">
        <is>
          <t>64.118.207/0001-48</t>
        </is>
      </c>
      <c r="L19" s="35" t="inlineStr">
        <is>
          <t>SRE/0006/2026</t>
        </is>
      </c>
      <c r="M19" s="35" t="inlineStr">
        <is>
          <t>2026-01-02</t>
        </is>
      </c>
      <c r="N19" s="35" t="inlineStr">
        <is>
          <t>2026-03-05</t>
        </is>
      </c>
      <c r="O19" s="37" t="n">
        <v>1000000000</v>
      </c>
      <c r="P19" s="38" t="n">
        <v>0</v>
      </c>
      <c r="Q19" s="35" t="inlineStr">
        <is>
          <t>XP INVESTIMENTOS CCTVM S.A.</t>
        </is>
      </c>
      <c r="R19" s="35" t="inlineStr">
        <is>
          <t>Melhores Esforços</t>
        </is>
      </c>
      <c r="S19" s="35" t="inlineStr">
        <is>
          <t>N</t>
        </is>
      </c>
      <c r="T19" s="35" t="inlineStr">
        <is>
          <t>Qualificado</t>
        </is>
      </c>
      <c r="U19" s="35" t="inlineStr">
        <is>
          <t>Pulverizado</t>
        </is>
      </c>
      <c r="V19" s="35" t="inlineStr">
        <is>
          <t>XP INVESTIMENTOS CORRETORA DE CÂMBIO, TÍTULOS E VALORES MOBILIÁRIOS S.A.</t>
        </is>
      </c>
      <c r="W19" s="35" t="inlineStr">
        <is>
          <t>não conferido</t>
        </is>
      </c>
      <c r="X19" s="35" t="inlineStr"/>
      <c r="Y19" s="35" t="inlineStr">
        <is>
          <t>não localizado</t>
        </is>
      </c>
      <c r="Z19" s="35" t="inlineStr">
        <is>
          <t>não localizado</t>
        </is>
      </c>
      <c r="AA19" s="35" t="inlineStr"/>
      <c r="AB19" s="35" t="inlineStr">
        <is>
          <t>não localizado</t>
        </is>
      </c>
      <c r="AC19" s="35" t="n"/>
      <c r="AD19" s="35" t="inlineStr">
        <is>
          <t>não localizado</t>
        </is>
      </c>
    </row>
    <row r="20">
      <c r="A20" s="35" t="n">
        <v>10</v>
      </c>
      <c r="B20" s="35" t="inlineStr">
        <is>
          <t>Comerciais Médici I</t>
        </is>
      </c>
      <c r="C20" s="35" t="inlineStr">
        <is>
          <t>Fornecedores BRF e Marfrig</t>
        </is>
      </c>
      <c r="D20" s="35" t="inlineStr">
        <is>
          <t>Risco Corporativo</t>
        </is>
      </c>
      <c r="E20" s="36" t="n">
        <v>1</v>
      </c>
      <c r="F20" s="35" t="inlineStr">
        <is>
          <t>Sim – IBBA Líder</t>
        </is>
      </c>
      <c r="G20" s="35" t="inlineStr">
        <is>
          <t>Sim – 1.500</t>
        </is>
      </c>
      <c r="H20" s="35" t="inlineStr">
        <is>
          <t>Sim</t>
        </is>
      </c>
      <c r="I20" s="35" t="inlineStr">
        <is>
          <t>1,4</t>
        </is>
      </c>
      <c r="J20" s="35" t="inlineStr">
        <is>
          <t>FUNDO DE INVESTIMENTO EM DIREITOS CREDITORIOS COMERCIAIS MEDICI I - RESPONSABILIDADE LIMITADA</t>
        </is>
      </c>
      <c r="K20" s="35" t="inlineStr">
        <is>
          <t>62.393.829/0001-59</t>
        </is>
      </c>
      <c r="L20" s="35" t="inlineStr">
        <is>
          <t>SRE/0130/2026</t>
        </is>
      </c>
      <c r="M20" s="35" t="inlineStr">
        <is>
          <t>2026-01-21</t>
        </is>
      </c>
      <c r="N20" s="35" t="inlineStr">
        <is>
          <t>2026-01-23</t>
        </is>
      </c>
      <c r="O20" s="37" t="n">
        <v>1000000000</v>
      </c>
      <c r="P20" s="38" t="n">
        <v>0</v>
      </c>
      <c r="Q20" s="35" t="inlineStr">
        <is>
          <t>BANCO BRADESCO BBI S.A.</t>
        </is>
      </c>
      <c r="R20" s="35" t="inlineStr">
        <is>
          <t>Garantia Firme de Colocação</t>
        </is>
      </c>
      <c r="S20" s="35" t="inlineStr">
        <is>
          <t>S</t>
        </is>
      </c>
      <c r="T20" s="35" t="inlineStr">
        <is>
          <t>Profissional</t>
        </is>
      </c>
      <c r="U20" s="35" t="inlineStr">
        <is>
          <t>Concentrado</t>
        </is>
      </c>
      <c r="V20" s="35" t="inlineStr">
        <is>
          <t>SINGULARE CORRETORA DE TÍTULOS E VALORES MOBILIÁRIOS S.A.</t>
        </is>
      </c>
      <c r="W20" s="35" t="inlineStr">
        <is>
          <t>Confirmado com ressalva</t>
        </is>
      </c>
      <c r="X20" s="35" t="inlineStr">
        <is>
          <t>O regulamento define "Cedentes" = os Fornecedores (fornecedores de produtos e serviços dos Devedores) e "Devedores" = BRF S.A. (01.838.723/0001-27) e Marfrig Global Foods S.A. (03.853.896/0001-40). O originador é o fornecedor; BRF e Marfrig são os sacados.</t>
        </is>
      </c>
      <c r="Y20" s="35" t="inlineStr">
        <is>
          <t>remuneração de cota</t>
        </is>
      </c>
      <c r="Z20" s="35" t="inlineStr">
        <is>
          <t>Sênior</t>
        </is>
      </c>
      <c r="AA20" s="35" t="inlineStr">
        <is>
          <t>1ª Série</t>
        </is>
      </c>
      <c r="AB20" s="35" t="inlineStr">
        <is>
          <t>CDI + spread</t>
        </is>
      </c>
      <c r="AC20" s="39" t="n">
        <v>0.0095</v>
      </c>
      <c r="AD20" s="35" t="inlineStr">
        <is>
          <t>id 1014736</t>
        </is>
      </c>
    </row>
    <row r="21">
      <c r="A21" s="35" t="n">
        <v>11</v>
      </c>
      <c r="B21" s="35" t="inlineStr">
        <is>
          <t>PagSeguro I</t>
        </is>
      </c>
      <c r="C21" s="35" t="inlineStr">
        <is>
          <t>PagSeguro</t>
        </is>
      </c>
      <c r="D21" s="35" t="inlineStr">
        <is>
          <t>Adq – Risco Corporativo</t>
        </is>
      </c>
      <c r="E21" s="36" t="n">
        <v>1</v>
      </c>
      <c r="F21" s="35" t="inlineStr">
        <is>
          <t>Sim – IBBA Líder</t>
        </is>
      </c>
      <c r="G21" s="35" t="inlineStr">
        <is>
          <t>Sim – IAM</t>
        </is>
      </c>
      <c r="H21" s="35" t="inlineStr">
        <is>
          <t>Não</t>
        </is>
      </c>
      <c r="I21" s="35" t="inlineStr">
        <is>
          <t>100% IAM</t>
        </is>
      </c>
      <c r="J21" s="35" t="inlineStr">
        <is>
          <t>FUNDO DE INVESTIMENTO EM DIREITOS CREDITÓRIOS PAGSEGURO I</t>
        </is>
      </c>
      <c r="K21" s="35" t="inlineStr">
        <is>
          <t>28.169.275/0001-72</t>
        </is>
      </c>
      <c r="L21" s="35" t="inlineStr">
        <is>
          <t>SRE/0954/2026</t>
        </is>
      </c>
      <c r="M21" s="35" t="inlineStr">
        <is>
          <t>2026-03-30</t>
        </is>
      </c>
      <c r="N21" s="35" t="inlineStr">
        <is>
          <t>2026-03-31</t>
        </is>
      </c>
      <c r="O21" s="37" t="n">
        <v>1000000000</v>
      </c>
      <c r="P21" s="38" t="n">
        <v>0</v>
      </c>
      <c r="Q21" s="35" t="inlineStr">
        <is>
          <t>ITAU BBA ASSESSORIA FINANCEIRA S.A</t>
        </is>
      </c>
      <c r="R21" s="35" t="inlineStr">
        <is>
          <t>Garantia Firme de Colocação</t>
        </is>
      </c>
      <c r="S21" s="35" t="inlineStr">
        <is>
          <t>S</t>
        </is>
      </c>
      <c r="T21" s="35" t="inlineStr">
        <is>
          <t>Profissional</t>
        </is>
      </c>
      <c r="U21" s="35" t="inlineStr">
        <is>
          <t>Pulverizado</t>
        </is>
      </c>
      <c r="V21" s="35" t="inlineStr">
        <is>
          <t>Genial Investimentos CTVM</t>
        </is>
      </c>
      <c r="W21" s="35" t="inlineStr">
        <is>
          <t>não conferido</t>
        </is>
      </c>
      <c r="X21" s="35" t="inlineStr"/>
      <c r="Y21" s="35" t="inlineStr">
        <is>
          <t>não localizado</t>
        </is>
      </c>
      <c r="Z21" s="35" t="inlineStr">
        <is>
          <t>não localizado</t>
        </is>
      </c>
      <c r="AA21" s="35" t="inlineStr"/>
      <c r="AB21" s="35" t="inlineStr">
        <is>
          <t>não localizado</t>
        </is>
      </c>
      <c r="AC21" s="35" t="n"/>
      <c r="AD21" s="35" t="inlineStr">
        <is>
          <t>não localizado</t>
        </is>
      </c>
    </row>
    <row r="22">
      <c r="A22" s="35" t="n">
        <v>12</v>
      </c>
      <c r="B22" s="35" t="inlineStr">
        <is>
          <t>IS Green Solfácil VII</t>
        </is>
      </c>
      <c r="C22" s="35" t="inlineStr">
        <is>
          <t>Solfácil</t>
        </is>
      </c>
      <c r="D22" s="35" t="inlineStr">
        <is>
          <t>Crédito – Energia</t>
        </is>
      </c>
      <c r="E22" s="36" t="n">
        <v>0.77</v>
      </c>
      <c r="F22" s="35" t="inlineStr">
        <is>
          <t>Sim</t>
        </is>
      </c>
      <c r="G22" s="35" t="inlineStr">
        <is>
          <t>Sim – 453</t>
        </is>
      </c>
      <c r="H22" s="35" t="inlineStr">
        <is>
          <t>Não</t>
        </is>
      </c>
      <c r="I22" s="35" t="inlineStr">
        <is>
          <t>100% IAM</t>
        </is>
      </c>
      <c r="J22" s="35" t="inlineStr">
        <is>
          <t>IS GREEN SOLFACIL VII FUNDO DE INVESTIMENTO EM DIREITOS CREDITORIOS RESPONSABILIDADE  LIMITADA</t>
        </is>
      </c>
      <c r="K22" s="35" t="inlineStr">
        <is>
          <t>63.505.455/0001-89</t>
        </is>
      </c>
      <c r="L22" s="35" t="inlineStr">
        <is>
          <t>SRE/0036/2026</t>
        </is>
      </c>
      <c r="M22" s="35" t="inlineStr">
        <is>
          <t>2026-01-13</t>
        </is>
      </c>
      <c r="N22" s="35" t="inlineStr">
        <is>
          <t>2026-06-08</t>
        </is>
      </c>
      <c r="O22" s="37" t="n">
        <v>768000000</v>
      </c>
      <c r="P22" s="38" t="n">
        <v>2000000</v>
      </c>
      <c r="Q22" s="35" t="inlineStr">
        <is>
          <t>ITAU BBA ASSESSORIA FINANCEIRA S.A</t>
        </is>
      </c>
      <c r="R22" s="35" t="inlineStr">
        <is>
          <t>Misto</t>
        </is>
      </c>
      <c r="S22" s="35" t="inlineStr">
        <is>
          <t>S</t>
        </is>
      </c>
      <c r="T22" s="35" t="inlineStr">
        <is>
          <t>Profissional</t>
        </is>
      </c>
      <c r="U22" s="35" t="inlineStr">
        <is>
          <t>Pulverizado</t>
        </is>
      </c>
      <c r="V22" s="35" t="inlineStr">
        <is>
          <t>GENIAL INVESTIMENTOS CORRETORA DE VALORES MOBILIÁRIOS S.A</t>
        </is>
      </c>
      <c r="W22" s="35" t="inlineStr">
        <is>
          <t>Confirmado com ressalva</t>
        </is>
      </c>
      <c r="X22" s="35" t="inlineStr">
        <is>
          <t>O regulamento define "Credor Original"/"Instituição Financeira Parceira" = BMP e/ou Solfácil SCFI. A originação ocorre por instituição financeira parceira.</t>
        </is>
      </c>
      <c r="Y22" s="35" t="inlineStr">
        <is>
          <t>remuneração de cota</t>
        </is>
      </c>
      <c r="Z22" s="35" t="inlineStr">
        <is>
          <t>Mezanino A</t>
        </is>
      </c>
      <c r="AA22" s="35" t="inlineStr"/>
      <c r="AB22" s="35" t="inlineStr">
        <is>
          <t>CDI + spread</t>
        </is>
      </c>
      <c r="AC22" s="39" t="n">
        <v>0.01</v>
      </c>
      <c r="AD22" s="35" t="inlineStr">
        <is>
          <t>id 1090050</t>
        </is>
      </c>
    </row>
    <row r="23">
      <c r="A23" s="35" t="n"/>
      <c r="B23" s="35" t="n"/>
      <c r="C23" s="35" t="n"/>
      <c r="D23" s="35" t="n"/>
      <c r="E23" s="36" t="n"/>
      <c r="F23" s="35" t="n"/>
      <c r="G23" s="35" t="n"/>
      <c r="H23" s="35" t="n"/>
      <c r="I23" s="35" t="n"/>
      <c r="J23" s="35" t="n"/>
      <c r="K23" s="35" t="n"/>
      <c r="L23" s="35" t="n"/>
      <c r="M23" s="35" t="n"/>
      <c r="N23" s="35" t="n"/>
      <c r="O23" s="37" t="n"/>
      <c r="P23" s="38" t="n"/>
      <c r="Q23" s="35" t="n"/>
      <c r="R23" s="35" t="n"/>
      <c r="S23" s="35" t="n"/>
      <c r="T23" s="35" t="n"/>
      <c r="U23" s="35" t="n"/>
      <c r="V23" s="35" t="n"/>
      <c r="W23" s="35" t="n"/>
      <c r="X23" s="35" t="n"/>
      <c r="Y23" s="35" t="inlineStr">
        <is>
          <t>remuneração de cota</t>
        </is>
      </c>
      <c r="Z23" s="35" t="inlineStr">
        <is>
          <t>Mezanino B</t>
        </is>
      </c>
      <c r="AA23" s="35" t="inlineStr"/>
      <c r="AB23" s="35" t="inlineStr">
        <is>
          <t>CDI + spread</t>
        </is>
      </c>
      <c r="AC23" s="39" t="n">
        <v>0.01</v>
      </c>
      <c r="AD23" s="35" t="inlineStr">
        <is>
          <t>id 1090050</t>
        </is>
      </c>
    </row>
    <row r="24">
      <c r="A24" s="35" t="n"/>
      <c r="B24" s="35" t="n"/>
      <c r="C24" s="35" t="n"/>
      <c r="D24" s="35" t="n"/>
      <c r="E24" s="36" t="n"/>
      <c r="F24" s="35" t="n"/>
      <c r="G24" s="35" t="n"/>
      <c r="H24" s="35" t="n"/>
      <c r="I24" s="35" t="n"/>
      <c r="J24" s="35" t="n"/>
      <c r="K24" s="35" t="n"/>
      <c r="L24" s="35" t="n"/>
      <c r="M24" s="35" t="n"/>
      <c r="N24" s="35" t="n"/>
      <c r="O24" s="37" t="n"/>
      <c r="P24" s="38" t="n"/>
      <c r="Q24" s="35" t="n"/>
      <c r="R24" s="35" t="n"/>
      <c r="S24" s="35" t="n"/>
      <c r="T24" s="35" t="n"/>
      <c r="U24" s="35" t="n"/>
      <c r="V24" s="35" t="n"/>
      <c r="W24" s="35" t="n"/>
      <c r="X24" s="35" t="n"/>
      <c r="Y24" s="35" t="inlineStr">
        <is>
          <t>remuneração de cota</t>
        </is>
      </c>
      <c r="Z24" s="35" t="inlineStr">
        <is>
          <t>Sênior</t>
        </is>
      </c>
      <c r="AA24" s="35" t="inlineStr">
        <is>
          <t>1ª Série</t>
        </is>
      </c>
      <c r="AB24" s="35" t="inlineStr">
        <is>
          <t>CDI + spread</t>
        </is>
      </c>
      <c r="AC24" s="39" t="n">
        <v>0.01</v>
      </c>
      <c r="AD24" s="35" t="inlineStr">
        <is>
          <t>id 1090050</t>
        </is>
      </c>
    </row>
    <row r="25">
      <c r="A25" s="35" t="n">
        <v>13</v>
      </c>
      <c r="B25" s="35" t="inlineStr">
        <is>
          <t>Daycoval D413 – Cartão BMG</t>
        </is>
      </c>
      <c r="C25" s="35" t="inlineStr">
        <is>
          <t>BMG</t>
        </is>
      </c>
      <c r="D25" s="35" t="inlineStr">
        <is>
          <t>Consignado – Cartão Benefício</t>
        </is>
      </c>
      <c r="E25" s="36" t="n">
        <v>0.75</v>
      </c>
      <c r="F25" s="35" t="inlineStr">
        <is>
          <t>Sim</t>
        </is>
      </c>
      <c r="G25" s="35" t="inlineStr">
        <is>
          <t>Não</t>
        </is>
      </c>
      <c r="H25" s="35" t="inlineStr">
        <is>
          <t>Sim</t>
        </is>
      </c>
      <c r="I25" s="35" t="inlineStr">
        <is>
          <t>0,12</t>
        </is>
      </c>
      <c r="J25" s="35" t="inlineStr">
        <is>
          <t>DAYCOVAL D413 FUNDO DE INVESTIMENTO EM DIREITOS  CREDITORIOS</t>
        </is>
      </c>
      <c r="K25" s="35" t="inlineStr">
        <is>
          <t>66.226.355/0001-01</t>
        </is>
      </c>
      <c r="L25" s="35" t="inlineStr">
        <is>
          <t>SRE/1706/2026</t>
        </is>
      </c>
      <c r="M25" s="35" t="inlineStr">
        <is>
          <t>2026-06-22</t>
        </is>
      </c>
      <c r="N25" s="35" t="inlineStr">
        <is>
          <t>2026-06-25</t>
        </is>
      </c>
      <c r="O25" s="37" t="n">
        <v>750000000</v>
      </c>
      <c r="P25" s="38" t="n">
        <v>0</v>
      </c>
      <c r="Q25" s="35" t="inlineStr">
        <is>
          <t>ITAU BBA ASSESSORIA FINANCEIRA S.A</t>
        </is>
      </c>
      <c r="R25" s="35" t="inlineStr">
        <is>
          <t>Misto</t>
        </is>
      </c>
      <c r="S25" s="35" t="inlineStr">
        <is>
          <t>S</t>
        </is>
      </c>
      <c r="T25" s="35" t="inlineStr">
        <is>
          <t>Profissional</t>
        </is>
      </c>
      <c r="U25" s="35" t="inlineStr">
        <is>
          <t>Pulverizado</t>
        </is>
      </c>
      <c r="V25" s="35" t="inlineStr">
        <is>
          <t>BANCO DAYCOVAL S.A.</t>
        </is>
      </c>
      <c r="W25" s="35" t="inlineStr">
        <is>
          <t>Confirmado</t>
        </is>
      </c>
      <c r="X25" s="35" t="inlineStr">
        <is>
          <t>Banco BMG S.A., CNPJ 61.186.680/0001-74. O informe mensal de 06/2026 registra 99,67% da carteira cedida por esse CNPJ.</t>
        </is>
      </c>
      <c r="Y25" s="35" t="inlineStr">
        <is>
          <t>remuneração de cota</t>
        </is>
      </c>
      <c r="Z25" s="35" t="inlineStr">
        <is>
          <t>Mezanino A</t>
        </is>
      </c>
      <c r="AA25" s="35" t="inlineStr">
        <is>
          <t>1ª Série</t>
        </is>
      </c>
      <c r="AB25" s="35" t="inlineStr">
        <is>
          <t>CDI + spread</t>
        </is>
      </c>
      <c r="AC25" s="39" t="n">
        <v>0.0335</v>
      </c>
      <c r="AD25" s="35" t="inlineStr">
        <is>
          <t>id 1216378</t>
        </is>
      </c>
    </row>
    <row r="26">
      <c r="A26" s="35" t="n"/>
      <c r="B26" s="35" t="n"/>
      <c r="C26" s="35" t="n"/>
      <c r="D26" s="35" t="n"/>
      <c r="E26" s="36" t="n"/>
      <c r="F26" s="35" t="n"/>
      <c r="G26" s="35" t="n"/>
      <c r="H26" s="35" t="n"/>
      <c r="I26" s="35" t="n"/>
      <c r="J26" s="35" t="n"/>
      <c r="K26" s="35" t="n"/>
      <c r="L26" s="35" t="n"/>
      <c r="M26" s="35" t="n"/>
      <c r="N26" s="35" t="n"/>
      <c r="O26" s="37" t="n"/>
      <c r="P26" s="38" t="n"/>
      <c r="Q26" s="35" t="n"/>
      <c r="R26" s="35" t="n"/>
      <c r="S26" s="35" t="n"/>
      <c r="T26" s="35" t="n"/>
      <c r="U26" s="35" t="n"/>
      <c r="V26" s="35" t="n"/>
      <c r="W26" s="35" t="n"/>
      <c r="X26" s="35" t="n"/>
      <c r="Y26" s="35" t="inlineStr">
        <is>
          <t>remuneração de cota</t>
        </is>
      </c>
      <c r="Z26" s="35" t="inlineStr">
        <is>
          <t>Mezanino A</t>
        </is>
      </c>
      <c r="AA26" s="35" t="inlineStr">
        <is>
          <t>1ª Série</t>
        </is>
      </c>
      <c r="AB26" s="35" t="inlineStr">
        <is>
          <t>CDI + spread</t>
        </is>
      </c>
      <c r="AC26" s="39" t="n">
        <v>0.065</v>
      </c>
      <c r="AD26" s="35" t="inlineStr">
        <is>
          <t>id 1216378</t>
        </is>
      </c>
    </row>
    <row r="27">
      <c r="A27" s="35" t="n"/>
      <c r="B27" s="35" t="n"/>
      <c r="C27" s="35" t="n"/>
      <c r="D27" s="35" t="n"/>
      <c r="E27" s="36" t="n"/>
      <c r="F27" s="35" t="n"/>
      <c r="G27" s="35" t="n"/>
      <c r="H27" s="35" t="n"/>
      <c r="I27" s="35" t="n"/>
      <c r="J27" s="35" t="n"/>
      <c r="K27" s="35" t="n"/>
      <c r="L27" s="35" t="n"/>
      <c r="M27" s="35" t="n"/>
      <c r="N27" s="35" t="n"/>
      <c r="O27" s="37" t="n"/>
      <c r="P27" s="38" t="n"/>
      <c r="Q27" s="35" t="n"/>
      <c r="R27" s="35" t="n"/>
      <c r="S27" s="35" t="n"/>
      <c r="T27" s="35" t="n"/>
      <c r="U27" s="35" t="n"/>
      <c r="V27" s="35" t="n"/>
      <c r="W27" s="35" t="n"/>
      <c r="X27" s="35" t="n"/>
      <c r="Y27" s="35" t="inlineStr">
        <is>
          <t>remuneração de cota</t>
        </is>
      </c>
      <c r="Z27" s="35" t="inlineStr">
        <is>
          <t>Sênior</t>
        </is>
      </c>
      <c r="AA27" s="35" t="inlineStr">
        <is>
          <t>1ª Série</t>
        </is>
      </c>
      <c r="AB27" s="35" t="inlineStr">
        <is>
          <t>CDI + spread</t>
        </is>
      </c>
      <c r="AC27" s="39" t="n">
        <v>0.012</v>
      </c>
      <c r="AD27" s="35" t="inlineStr">
        <is>
          <t>id 1214778</t>
        </is>
      </c>
    </row>
    <row r="28">
      <c r="A28" s="35" t="n"/>
      <c r="B28" s="35" t="n"/>
      <c r="C28" s="35" t="n"/>
      <c r="D28" s="35" t="n"/>
      <c r="E28" s="36" t="n"/>
      <c r="F28" s="35" t="n"/>
      <c r="G28" s="35" t="n"/>
      <c r="H28" s="35" t="n"/>
      <c r="I28" s="35" t="n"/>
      <c r="J28" s="35" t="n"/>
      <c r="K28" s="35" t="n"/>
      <c r="L28" s="35" t="n"/>
      <c r="M28" s="35" t="n"/>
      <c r="N28" s="35" t="n"/>
      <c r="O28" s="37" t="n"/>
      <c r="P28" s="38" t="n"/>
      <c r="Q28" s="35" t="n"/>
      <c r="R28" s="35" t="n"/>
      <c r="S28" s="35" t="n"/>
      <c r="T28" s="35" t="n"/>
      <c r="U28" s="35" t="n"/>
      <c r="V28" s="35" t="n"/>
      <c r="W28" s="35" t="n"/>
      <c r="X28" s="35" t="n"/>
      <c r="Y28" s="35" t="inlineStr">
        <is>
          <t>remuneração de cota</t>
        </is>
      </c>
      <c r="Z28" s="35" t="inlineStr">
        <is>
          <t>Sênior</t>
        </is>
      </c>
      <c r="AA28" s="35" t="inlineStr">
        <is>
          <t>1ª Série</t>
        </is>
      </c>
      <c r="AB28" s="35" t="inlineStr">
        <is>
          <t>CDI + spread</t>
        </is>
      </c>
      <c r="AC28" s="39" t="n">
        <v>0.0135</v>
      </c>
      <c r="AD28" s="35" t="inlineStr">
        <is>
          <t>id 1216378</t>
        </is>
      </c>
    </row>
    <row r="29">
      <c r="A29" s="35" t="n">
        <v>14</v>
      </c>
      <c r="B29" s="35" t="inlineStr">
        <is>
          <t>Lavoro Fornecedores Agro</t>
        </is>
      </c>
      <c r="C29" s="35" t="inlineStr">
        <is>
          <t>Lavoro Farmtech</t>
        </is>
      </c>
      <c r="D29" s="35" t="inlineStr">
        <is>
          <t>Risco Prod. Rural (NCs e CPRs de compra de insumo agrícola, máquinas etc)</t>
        </is>
      </c>
      <c r="E29" s="36" t="n">
        <v>0.73</v>
      </c>
      <c r="F29" s="35" t="inlineStr">
        <is>
          <t>Não – Oliv. Trust</t>
        </is>
      </c>
      <c r="G29" s="35" t="inlineStr">
        <is>
          <t>Não</t>
        </is>
      </c>
      <c r="H29" s="35" t="inlineStr">
        <is>
          <t>-</t>
        </is>
      </c>
      <c r="I29" s="35" t="inlineStr">
        <is>
          <t>-</t>
        </is>
      </c>
      <c r="J29" s="35" t="inlineStr">
        <is>
          <t>LAVORO FORNECEDORES FUNDO DE INVESTIMENTO EM DIREITOS CREDITÓRIOS DO AGRONEGÓCIO - RESP LTDA</t>
        </is>
      </c>
      <c r="K29" s="35" t="inlineStr">
        <is>
          <t>61.669.748/0001-76</t>
        </is>
      </c>
      <c r="L29" s="35" t="inlineStr">
        <is>
          <t>SRE/3950/2025</t>
        </is>
      </c>
      <c r="M29" s="35" t="inlineStr">
        <is>
          <t>2025-11-28</t>
        </is>
      </c>
      <c r="N29" s="35" t="inlineStr">
        <is>
          <t>2026-06-03</t>
        </is>
      </c>
      <c r="O29" s="37" t="n">
        <v>730000000</v>
      </c>
      <c r="P29" s="38" t="n">
        <v>0</v>
      </c>
      <c r="Q29" s="35" t="inlineStr">
        <is>
          <t>OLIVEIRA TRUST DTVM S.A.</t>
        </is>
      </c>
      <c r="R29" s="35" t="inlineStr">
        <is>
          <t>Melhores Esforços</t>
        </is>
      </c>
      <c r="S29" s="35" t="inlineStr">
        <is>
          <t>N</t>
        </is>
      </c>
      <c r="T29" s="35" t="inlineStr">
        <is>
          <t>Profissional</t>
        </is>
      </c>
      <c r="U29" s="35" t="inlineStr">
        <is>
          <t>Pulverizado</t>
        </is>
      </c>
      <c r="V29" s="35" t="inlineStr">
        <is>
          <t>OLIVEIRA TRUST DTVM S.A.</t>
        </is>
      </c>
      <c r="W29" s="35" t="inlineStr">
        <is>
          <t>Confirmado com ressalva</t>
        </is>
      </c>
      <c r="X29" s="35" t="inlineStr">
        <is>
          <t>O regulamento define "Cedente(s)" = LAVORO AGRO HOLDING S.A., CNPJ 27.490.581/0001-43, e demais entidades do seu Grupo Econômico.</t>
        </is>
      </c>
      <c r="Y29" s="35" t="inlineStr">
        <is>
          <t>não localizado</t>
        </is>
      </c>
      <c r="Z29" s="35" t="inlineStr">
        <is>
          <t>não localizado</t>
        </is>
      </c>
      <c r="AA29" s="35" t="inlineStr"/>
      <c r="AB29" s="35" t="inlineStr">
        <is>
          <t>não localizado</t>
        </is>
      </c>
      <c r="AC29" s="35" t="n"/>
      <c r="AD29" s="35" t="inlineStr">
        <is>
          <t>não localizado</t>
        </is>
      </c>
    </row>
    <row r="30">
      <c r="A30" s="35" t="n">
        <v>15</v>
      </c>
      <c r="B30" s="35" t="inlineStr">
        <is>
          <t>AGRO CITI-BAYER</t>
        </is>
      </c>
      <c r="C30" s="35" t="inlineStr">
        <is>
          <t>Bayer e/ou Monsanto Farmtech</t>
        </is>
      </c>
      <c r="D30" s="35" t="inlineStr">
        <is>
          <t>Risco Prod. Rural (NCs e CPRs de compra de insumo agrícola, máquinas etc)</t>
        </is>
      </c>
      <c r="E30" s="36" t="n">
        <v>0.7</v>
      </c>
      <c r="F30" s="35" t="inlineStr">
        <is>
          <t>Não – Vórtx</t>
        </is>
      </c>
      <c r="G30" s="35" t="inlineStr">
        <is>
          <t>Não</t>
        </is>
      </c>
      <c r="H30" s="35" t="inlineStr">
        <is>
          <t>-</t>
        </is>
      </c>
      <c r="I30" s="35" t="inlineStr">
        <is>
          <t>-</t>
        </is>
      </c>
      <c r="J30" s="35" t="inlineStr">
        <is>
          <t>CLASSE ÚNICA FUNDO DE INVESTIMENTO EM DIREITOS CREDITÓRIOS AGRO CITI-BAYER RESPONSABILIDADE LIMITADA</t>
        </is>
      </c>
      <c r="K30" s="35" t="inlineStr">
        <is>
          <t>44.302.112/0001-72</t>
        </is>
      </c>
      <c r="L30" s="35" t="inlineStr">
        <is>
          <t>SRE/3512/2025</t>
        </is>
      </c>
      <c r="M30" s="35" t="inlineStr">
        <is>
          <t>2025-10-31</t>
        </is>
      </c>
      <c r="N30" s="35" t="inlineStr">
        <is>
          <t>2026-04-29</t>
        </is>
      </c>
      <c r="O30" s="37" t="n">
        <v>700000000</v>
      </c>
      <c r="P30" s="38" t="n">
        <v>0</v>
      </c>
      <c r="Q30" s="35" t="inlineStr">
        <is>
          <t>VORTX DISTRIBUIDORA DE TITULOS E VALORES MOBILIARIOS LTDA.</t>
        </is>
      </c>
      <c r="R30" s="35" t="inlineStr">
        <is>
          <t>Melhores Esforços</t>
        </is>
      </c>
      <c r="S30" s="35" t="inlineStr">
        <is>
          <t>N</t>
        </is>
      </c>
      <c r="T30" s="35" t="inlineStr">
        <is>
          <t>Profissional</t>
        </is>
      </c>
      <c r="U30" s="35" t="inlineStr">
        <is>
          <t>Pulverizado</t>
        </is>
      </c>
      <c r="V30" s="35" t="inlineStr">
        <is>
          <t>VÓRTX DISTRIBUIDORA DE TÍTULOS E VALORES MOBILIÁRIOS LTDA</t>
        </is>
      </c>
      <c r="W30" s="35" t="inlineStr">
        <is>
          <t>não conferido</t>
        </is>
      </c>
      <c r="X30" s="35" t="inlineStr"/>
      <c r="Y30" s="35" t="inlineStr">
        <is>
          <t>não localizado</t>
        </is>
      </c>
      <c r="Z30" s="35" t="inlineStr">
        <is>
          <t>não localizado</t>
        </is>
      </c>
      <c r="AA30" s="35" t="inlineStr"/>
      <c r="AB30" s="35" t="inlineStr">
        <is>
          <t>não localizado</t>
        </is>
      </c>
      <c r="AC30" s="35" t="n"/>
      <c r="AD30" s="35" t="inlineStr">
        <is>
          <t>não localizado</t>
        </is>
      </c>
    </row>
    <row r="32">
      <c r="A32" s="40" t="n"/>
      <c r="B32" s="41" t="inlineStr">
        <is>
          <t>Subtotal Top 15 (foto)</t>
        </is>
      </c>
      <c r="C32" s="40" t="n"/>
      <c r="D32" s="40" t="n"/>
      <c r="E32" s="41" t="n">
        <v>23.8</v>
      </c>
      <c r="F32" s="40" t="n"/>
      <c r="G32" s="40" t="n"/>
      <c r="H32" s="40" t="n"/>
      <c r="I32" s="40" t="n"/>
      <c r="J32" s="40" t="n"/>
      <c r="K32" s="40" t="n"/>
      <c r="L32" s="40" t="n"/>
      <c r="M32" s="40" t="n"/>
      <c r="N32" s="40" t="n"/>
      <c r="O32" s="42">
        <f>SUM(O5:O30)</f>
        <v/>
      </c>
      <c r="P32" s="40" t="n"/>
      <c r="Q32" s="40" t="n"/>
      <c r="R32" s="40" t="n"/>
      <c r="S32" s="40" t="n"/>
      <c r="T32" s="40" t="n"/>
      <c r="U32" s="40" t="n"/>
      <c r="V32" s="40" t="n"/>
      <c r="W32" s="40" t="n"/>
      <c r="X32" s="40" t="n"/>
      <c r="Y32" s="40" t="n"/>
      <c r="Z32" s="40" t="n"/>
      <c r="AA32" s="40" t="n"/>
      <c r="AB32" s="40" t="n"/>
      <c r="AC32" s="40" t="n"/>
      <c r="AD32" s="40" t="n"/>
    </row>
    <row r="33">
      <c r="A33" s="40" t="n"/>
      <c r="B33" s="41" t="inlineStr">
        <is>
          <t>Subtotal foto convertido (R$ bi x 1e9)</t>
        </is>
      </c>
      <c r="C33" s="40" t="n"/>
      <c r="D33" s="40" t="n"/>
      <c r="E33" s="40" t="n"/>
      <c r="F33" s="40" t="n"/>
      <c r="G33" s="40" t="n"/>
      <c r="H33" s="40" t="n"/>
      <c r="I33" s="40" t="n"/>
      <c r="J33" s="40" t="n"/>
      <c r="K33" s="40" t="n"/>
      <c r="L33" s="40" t="n"/>
      <c r="M33" s="40" t="n"/>
      <c r="N33" s="40" t="n"/>
      <c r="O33" s="42">
        <f>SUM(E5:E30)*1000000000</f>
        <v/>
      </c>
      <c r="P33" s="40" t="n"/>
      <c r="Q33" s="40" t="n"/>
      <c r="R33" s="40" t="n"/>
      <c r="S33" s="40" t="n"/>
      <c r="T33" s="40" t="n"/>
      <c r="U33" s="40" t="n"/>
      <c r="V33" s="40" t="n"/>
      <c r="W33" s="40" t="n"/>
      <c r="X33" s="40" t="n"/>
      <c r="Y33" s="40" t="n"/>
      <c r="Z33" s="40" t="n"/>
      <c r="AA33" s="40" t="n"/>
      <c r="AB33" s="40" t="n"/>
      <c r="AC33" s="40" t="n"/>
      <c r="AD33" s="40" t="n"/>
    </row>
    <row r="34">
      <c r="A34" s="40" t="n"/>
      <c r="B34" s="41" t="inlineStr">
        <is>
          <t>Fonte declarada na foto</t>
        </is>
      </c>
      <c r="C34" s="43" t="inlineStr">
        <is>
          <t>CVM, Oferta Pública de Distribuição; Cotas de FIDC / Primária / Status: Oferta Encerrada</t>
        </is>
      </c>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c r="AA34" s="40" t="n"/>
      <c r="AB34" s="40" t="n"/>
      <c r="AC34" s="40" t="n"/>
      <c r="AD34" s="40" t="n"/>
    </row>
  </sheetData>
  <autoFilter ref="A4:AD30"/>
  <mergeCells count="1">
    <mergeCell ref="A2:A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20" customWidth="1" min="3" max="3"/>
    <col width="44" customWidth="1" min="4" max="4"/>
    <col width="20" customWidth="1" min="5" max="5"/>
    <col width="16" customWidth="1" min="6" max="6"/>
    <col width="11" customWidth="1" min="7" max="7"/>
    <col width="14" customWidth="1" min="8" max="8"/>
    <col width="15" customWidth="1" min="9" max="9"/>
    <col width="18" customWidth="1" min="10" max="10"/>
    <col width="96" customWidth="1" min="11" max="11"/>
  </cols>
  <sheetData>
    <row r="1">
      <c r="A1" s="30" t="inlineStr">
        <is>
          <t>Preços das séries emitidas · FIDCs do Top Originadores 2026</t>
        </is>
      </c>
    </row>
    <row r="2" ht="44" customHeight="1">
      <c r="A2" s="31" t="inlineStr">
        <is>
          <t>Uma linha por observação de remuneração efetivamente escrita em documento arquivado no FundosNET/CVM. O campo "Trecho-fonte" reproduz a frase de onde o número saiu, para conferência. Fundos sem linha de preço são aqueles cujos documentos consultados não declaram remuneração de cota — registrados como "não localizado", sem estimativa.</t>
        </is>
      </c>
    </row>
    <row r="4" ht="34" customHeight="1">
      <c r="A4" s="33" t="inlineStr">
        <is>
          <t># foto</t>
        </is>
      </c>
      <c r="B4" s="33" t="inlineStr">
        <is>
          <t>FIDC (foto)</t>
        </is>
      </c>
      <c r="C4" s="33" t="inlineStr">
        <is>
          <t>CNPJ</t>
        </is>
      </c>
      <c r="D4" s="33" t="inlineStr">
        <is>
          <t>Denominação CVM</t>
        </is>
      </c>
      <c r="E4" s="33" t="inlineStr">
        <is>
          <t>Natureza do preço</t>
        </is>
      </c>
      <c r="F4" s="33" t="inlineStr">
        <is>
          <t>Subclasse</t>
        </is>
      </c>
      <c r="G4" s="33" t="inlineStr">
        <is>
          <t>Série</t>
        </is>
      </c>
      <c r="H4" s="33" t="inlineStr">
        <is>
          <t>Indexador</t>
        </is>
      </c>
      <c r="I4" s="33" t="inlineStr">
        <is>
          <t>Spread / % do índice</t>
        </is>
      </c>
      <c r="J4" s="33" t="inlineStr">
        <is>
          <t>Documento FundosNET (id)</t>
        </is>
      </c>
      <c r="K4" s="33" t="inlineStr">
        <is>
          <t>Trecho-fonte (verbatim)</t>
        </is>
      </c>
    </row>
    <row r="5">
      <c r="A5" s="35" t="n">
        <v>1</v>
      </c>
      <c r="B5" s="35" t="inlineStr">
        <is>
          <t>CloudWalk Bela</t>
        </is>
      </c>
      <c r="C5" s="35" t="inlineStr">
        <is>
          <t>62.393.679/0001-83</t>
        </is>
      </c>
      <c r="D5" s="35" t="inlineStr">
        <is>
          <t>CLOUDWALK BELA FUNDO DE INVESTIMENTO EM DIREITOS CREDITÓRIOS SEGMENTO MEIOS DE PAGAMENTO</t>
        </is>
      </c>
      <c r="E5" s="35" t="inlineStr">
        <is>
          <t>remuneração de cota</t>
        </is>
      </c>
      <c r="F5" s="35" t="inlineStr">
        <is>
          <t>não identificada</t>
        </is>
      </c>
      <c r="G5" s="35" t="inlineStr"/>
      <c r="H5" s="35" t="inlineStr">
        <is>
          <t>CDI + spread a.a.</t>
        </is>
      </c>
      <c r="I5" s="39" t="n">
        <v>0.0075</v>
      </c>
      <c r="J5" s="35" t="inlineStr">
        <is>
          <t>id 988402</t>
        </is>
      </c>
      <c r="K5" s="35" t="inlineStr">
        <is>
          <t>a de Referência: 15 de setembro de 2025; 9 (xi) Data de Resgate (vencimento): 15 de setembro de 2030, observada a possibilidade de resgate antecipado da totalidade das Cotas; (xii) Benchmark: variação da s taxas médias dos DI over extra grupo – Depósitos Interfinanceiros de um dia, calculadas e divulgadas diariamente pela B3, no Informativo Diário, disponível em sua página na internet (http://www.b3.com.br), base 252 (duzentos e cinquenta e dois) Dias Úteis, expressa na forma percentual ao ano (Taxa DI) acrescida de 0,75% (setenta e cinco centésimos por cento) ao ano calculado por Dia Útil à b</t>
        </is>
      </c>
    </row>
    <row r="6">
      <c r="A6" s="35" t="n">
        <v>1</v>
      </c>
      <c r="B6" s="35" t="inlineStr">
        <is>
          <t>CloudWalk Bela</t>
        </is>
      </c>
      <c r="C6" s="35" t="inlineStr">
        <is>
          <t>62.393.679/0001-83</t>
        </is>
      </c>
      <c r="D6" s="35" t="inlineStr">
        <is>
          <t>CLOUDWALK BELA FUNDO DE INVESTIMENTO EM DIREITOS CREDITÓRIOS SEGMENTO MEIOS DE PAGAMENTO</t>
        </is>
      </c>
      <c r="E6" s="35" t="inlineStr">
        <is>
          <t>remuneração de cota</t>
        </is>
      </c>
      <c r="F6" s="35" t="inlineStr">
        <is>
          <t>não identificada</t>
        </is>
      </c>
      <c r="G6" s="35" t="inlineStr"/>
      <c r="H6" s="35" t="inlineStr">
        <is>
          <t>CDI + spread a.a.</t>
        </is>
      </c>
      <c r="I6" s="39" t="n">
        <v>0.0135</v>
      </c>
      <c r="J6" s="35" t="inlineStr">
        <is>
          <t>id 988402</t>
        </is>
      </c>
      <c r="K6" s="35" t="inlineStr">
        <is>
          <t>a de Referência: 15 de setembro de 2025; 13 (xi) Data de Resgate (vencimento): 15 de setembro de 2030, observada a possibilidade de resgate antecipado da totalidade das Cotas; (xii) Benchmark: variação das taxas médias dos DI over extra grupo – Depósitos Interfinanceiros de um dia, calculadas e divulgadas diariamente pela B3, no Informativo Diário, disponível em sua página na internet (http://www.b3.com.br), base 252 (duzentos e cinquenta e dois) Dias Úteis, expressa na forma percentual ao ano (Taxa DI) acrescida de 1,35% (um inteiro e trinta e cinco centésimos por cento) ao ano, calculado por</t>
        </is>
      </c>
    </row>
    <row r="7">
      <c r="A7" s="35" t="n">
        <v>1</v>
      </c>
      <c r="B7" s="35" t="inlineStr">
        <is>
          <t>CloudWalk Bela</t>
        </is>
      </c>
      <c r="C7" s="35" t="inlineStr">
        <is>
          <t>62.393.679/0001-83</t>
        </is>
      </c>
      <c r="D7" s="35" t="inlineStr">
        <is>
          <t>CLOUDWALK BELA FUNDO DE INVESTIMENTO EM DIREITOS CREDITÓRIOS SEGMENTO MEIOS DE PAGAMENTO</t>
        </is>
      </c>
      <c r="E7" s="35" t="inlineStr">
        <is>
          <t>remuneração de cota</t>
        </is>
      </c>
      <c r="F7" s="35" t="inlineStr">
        <is>
          <t>não identificada</t>
        </is>
      </c>
      <c r="G7" s="35" t="inlineStr"/>
      <c r="H7" s="35" t="inlineStr">
        <is>
          <t>CDI + spread a.a.</t>
        </is>
      </c>
      <c r="I7" s="39" t="n">
        <v>0.042</v>
      </c>
      <c r="J7" s="35" t="inlineStr">
        <is>
          <t>id 988402</t>
        </is>
      </c>
      <c r="K7" s="35" t="inlineStr">
        <is>
          <t>Data de Referência: 15 de setembro de 2025; (xi) Data de Resgate (vencimento): 15 de setembro de 2030, observada a possibilidade de resgate antecipado da totalidade das Cotas; (xii) Benchmark: variação das taxas médias dos DI over extra grupo – Depósitos Interfinanceiros de um dia, calculadas e divulgadas diariamente pela B3, no Informativo Diário, disponível em sua página na internet (http://www.b3.com.br), base 252 (duzentos e cinquenta e dois) Dias Úteis, expressa na forma percentual ao ano (Taxa DI) acrescida de 4,20% (quatro inteiros e vinte centésimos por cento) ao ano, calculado por Dia</t>
        </is>
      </c>
    </row>
    <row r="8">
      <c r="A8" s="35" t="n">
        <v>2</v>
      </c>
      <c r="B8" s="35" t="inlineStr">
        <is>
          <t>VTK</t>
        </is>
      </c>
      <c r="C8" s="35" t="inlineStr">
        <is>
          <t>62.588.266/0001-54</t>
        </is>
      </c>
      <c r="D8" s="35" t="inlineStr">
        <is>
          <t>VTK FUNDO DE  INVESTIMENTO EM DIREITOS CREDITORIOS RESPONSABILIDADE  LIMITADA</t>
        </is>
      </c>
      <c r="E8" s="35" t="inlineStr">
        <is>
          <t>taxa de aquisição do ativo</t>
        </is>
      </c>
      <c r="F8" s="35" t="inlineStr">
        <is>
          <t>não identificada</t>
        </is>
      </c>
      <c r="G8" s="35" t="inlineStr"/>
      <c r="H8" s="35" t="inlineStr">
        <is>
          <t>CDI + spread a.a.</t>
        </is>
      </c>
      <c r="I8" s="39" t="n">
        <v>0.0512</v>
      </c>
      <c r="J8" s="35" t="inlineStr">
        <is>
          <t>id 1002580</t>
        </is>
      </c>
      <c r="K8" s="35" t="inlineStr">
        <is>
          <t>a” A taxa de endosso de cada Direito Creditório, considerando também a remuneração paga ao Agente de Cobrança a cada aquisição, conforme Contrato de Cobrança. "Taxa de Endosso Mínima" Observado o ágio máximo previsto no Contrato de Endosso, a taxa de endosso mínima (i) para aquisição dos Direitos Creditórios – Cartão INSS é de 100% da Taxa DI acrescida de 7,10% (sete inteiros e dez centésimos por cento) ao ano ; e (ii) para aquisição dos Direitos Creditórios – Empréstimo Consignado é de 100% da Taxa DI acrescida de 5,12% (cinco inteiros e doze centésimos por cento). Docusign Envelope ID: 58AA1</t>
        </is>
      </c>
    </row>
    <row r="9">
      <c r="A9" s="35" t="n">
        <v>2</v>
      </c>
      <c r="B9" s="35" t="inlineStr">
        <is>
          <t>VTK</t>
        </is>
      </c>
      <c r="C9" s="35" t="inlineStr">
        <is>
          <t>62.588.266/0001-54</t>
        </is>
      </c>
      <c r="D9" s="35" t="inlineStr">
        <is>
          <t>VTK FUNDO DE  INVESTIMENTO EM DIREITOS CREDITORIOS RESPONSABILIDADE  LIMITADA</t>
        </is>
      </c>
      <c r="E9" s="35" t="inlineStr">
        <is>
          <t>taxa de aquisição do ativo</t>
        </is>
      </c>
      <c r="F9" s="35" t="inlineStr">
        <is>
          <t>não identificada</t>
        </is>
      </c>
      <c r="G9" s="35" t="inlineStr"/>
      <c r="H9" s="35" t="inlineStr">
        <is>
          <t>CDI + spread a.a.</t>
        </is>
      </c>
      <c r="I9" s="39" t="n">
        <v>0.0541</v>
      </c>
      <c r="J9" s="35" t="inlineStr">
        <is>
          <t>id 1002580</t>
        </is>
      </c>
      <c r="K9" s="35" t="inlineStr">
        <is>
          <t xml:space="preserve">m base no contrato futuro com duration equivalente a duration de cada carteira de Direito Creditório – Cartão INSS ou de cada carteira de Direito Creditório – Empréstimo Consignado a ser adquirida, sendo certo que serão utilizados os valores do fechamento do Dia Útil anterior à Data de Aquisição e Pagamento. “Taxa de Endosso Ponderada da Carteira” Taxa de Endosso Ajustada de aquisição de Direitos Creditórios ponderados pelos seus respectivos volumes, a qual deve ser equivalente a, pelo menos, a Taxa DI acrescido de 5,41% (cinco inteiros e quarenta e um centésimos por cento) ao ano. A Taxa DI, </t>
        </is>
      </c>
    </row>
    <row r="10">
      <c r="A10" s="35" t="n">
        <v>2</v>
      </c>
      <c r="B10" s="35" t="inlineStr">
        <is>
          <t>VTK</t>
        </is>
      </c>
      <c r="C10" s="35" t="inlineStr">
        <is>
          <t>62.588.266/0001-54</t>
        </is>
      </c>
      <c r="D10" s="35" t="inlineStr">
        <is>
          <t>VTK FUNDO DE  INVESTIMENTO EM DIREITOS CREDITORIOS RESPONSABILIDADE  LIMITADA</t>
        </is>
      </c>
      <c r="E10" s="35" t="inlineStr">
        <is>
          <t>taxa de aquisição do ativo</t>
        </is>
      </c>
      <c r="F10" s="35" t="inlineStr">
        <is>
          <t>não identificada</t>
        </is>
      </c>
      <c r="G10" s="35" t="inlineStr"/>
      <c r="H10" s="35" t="inlineStr">
        <is>
          <t>CDI + spread a.a.</t>
        </is>
      </c>
      <c r="I10" s="39" t="n">
        <v>0.07099999999999999</v>
      </c>
      <c r="J10" s="35" t="inlineStr">
        <is>
          <t>id 1002580</t>
        </is>
      </c>
      <c r="K10" s="35" t="inlineStr">
        <is>
          <t>ercentual e calculada diariamente sob forma de capitalização composta, com base em um ano de 252 (duzentos e cinquenta e dois) Dias Úteis. “Taxa de Endosso Ajustada” A taxa de endosso de cada Direito Creditório, considerando também a remuneração paga ao Agente de Cobrança a cada aquisição, conforme Contrato de Cobrança. "Taxa de Endosso Mínima" Observado o ágio máximo previsto no Contrato de Endosso, a taxa de endosso mínima (i) para aquisição dos Direitos Creditórios – Cartão INSS é de 100% da Taxa DI acrescida de 7,10% (sete inteiros e dez centésimos por cento) ao ano ; e (ii) para aquisição</t>
        </is>
      </c>
    </row>
    <row r="11">
      <c r="A11" s="35" t="n">
        <v>2</v>
      </c>
      <c r="B11" s="35" t="inlineStr">
        <is>
          <t>VTK</t>
        </is>
      </c>
      <c r="C11" s="35" t="inlineStr">
        <is>
          <t>62.588.266/0001-54</t>
        </is>
      </c>
      <c r="D11" s="35" t="inlineStr">
        <is>
          <t>VTK FUNDO DE  INVESTIMENTO EM DIREITOS CREDITORIOS RESPONSABILIDADE  LIMITADA</t>
        </is>
      </c>
      <c r="E11" s="35" t="inlineStr">
        <is>
          <t>taxa de aquisição do ativo</t>
        </is>
      </c>
      <c r="F11" s="35" t="inlineStr">
        <is>
          <t>não identificada</t>
        </is>
      </c>
      <c r="G11" s="35" t="inlineStr"/>
      <c r="H11" s="35" t="inlineStr">
        <is>
          <t>% do CDI</t>
        </is>
      </c>
      <c r="I11" s="39" t="n">
        <v>1</v>
      </c>
      <c r="J11" s="35" t="inlineStr">
        <is>
          <t>id 1002580</t>
        </is>
      </c>
      <c r="K11" s="35" t="inlineStr">
        <is>
          <t>forma percentual e calculada diariamente sob forma de capitalização composta, com base em um ano de 252 (duzentos e cinquenta e dois) Dias Úteis. “Taxa de Endosso Ajustada” A taxa de endosso de cada Direito Creditório, considerando também a remuneração paga ao Agente de Cobrança a cada aquisição, conforme Contrato de Cobrança. "Taxa de Endosso Mínima" Observado o ágio máximo previsto no Contrato de Endosso, a taxa de endosso mínima (i) para aquisição dos Direitos Creditórios – Cartão INSS é de 100% da Taxa DI acrescida de 7,10% (sete inteiros e dez centésimos por cento) ao ano ; e (ii) para aq</t>
        </is>
      </c>
    </row>
    <row r="12">
      <c r="A12" s="35" t="n">
        <v>3</v>
      </c>
      <c r="B12" s="35" t="inlineStr">
        <is>
          <t>Agibank II</t>
        </is>
      </c>
      <c r="C12" s="35" t="inlineStr">
        <is>
          <t>65.976.848/0001-04</t>
        </is>
      </c>
      <c r="D12" s="35" t="inlineStr">
        <is>
          <t>FUNDO DE INVESTIMENTO EM DIREITOS CREDITORIOS AGIBANK II RESPONSABILIDADE LIMITADA</t>
        </is>
      </c>
      <c r="E12" s="35" t="inlineStr">
        <is>
          <t>não localizado</t>
        </is>
      </c>
      <c r="F12" s="35" t="inlineStr">
        <is>
          <t>não localizado</t>
        </is>
      </c>
      <c r="G12" s="35" t="inlineStr"/>
      <c r="H12" s="35" t="inlineStr">
        <is>
          <t>não localizado</t>
        </is>
      </c>
      <c r="I12" s="35" t="n"/>
      <c r="J12" s="35" t="inlineStr">
        <is>
          <t>não localizado</t>
        </is>
      </c>
      <c r="K12" s="35" t="inlineStr">
        <is>
          <t>Nenhum documento consultado deste fundo declara remuneração de cota nem taxa de aquisição.</t>
        </is>
      </c>
    </row>
    <row r="13">
      <c r="A13" s="35" t="n">
        <v>4</v>
      </c>
      <c r="B13" s="35" t="inlineStr">
        <is>
          <t>Driver Brasil Six</t>
        </is>
      </c>
      <c r="C13" s="35" t="inlineStr">
        <is>
          <t>50.114.948/0001-46</t>
        </is>
      </c>
      <c r="D13" s="35" t="inlineStr">
        <is>
          <t>DRIVER BRASIL SIX BANCO VOLKSWAGEN FIDC FINANCIAMENTO DE VEÍCULOS - RESPONSABILIDADE LIMITADA</t>
        </is>
      </c>
      <c r="E13" s="35" t="inlineStr">
        <is>
          <t>remuneração de cota</t>
        </is>
      </c>
      <c r="F13" s="35" t="inlineStr">
        <is>
          <t>Sênior</t>
        </is>
      </c>
      <c r="G13" s="35" t="inlineStr"/>
      <c r="H13" s="35" t="inlineStr">
        <is>
          <t>CDI + spread a.a.</t>
        </is>
      </c>
      <c r="I13" s="39" t="n">
        <v>0.006500000000000001</v>
      </c>
      <c r="J13" s="35" t="inlineStr">
        <is>
          <t>id 1115006</t>
        </is>
      </c>
      <c r="K13" s="35" t="inlineStr">
        <is>
          <t>IL SIX BANCO VOLKSWAGEN FUNDO DE INVESTIMENTO EM DIREITOS CREDITÓRIOS FINANCIAMENTO DE VEÍCULOS - RESPONSABILIDADE LIMITADA , CNPJ /MF 50.114.948/0001-46 – VIGENTE EM 13/02/2026. 9 Benchmark das Cotas Seniores As Cotas Seniores farão jus à remuneração -alvo equivalente a 100% (cem por cento) da taxa média diária dos Depósitos Interfinanceiros de um dia, extra grupo, expressa de forma percentual ao ano, em uma base de 252 (duzentos e cinquenta e dois) dias úteis, calculada e divulgada pela B3 (“ Taxa DI ”), acrescido de uma sobretaxa ( spread) de 0,65% (zero inteiro e sessenta e cinco centésimo</t>
        </is>
      </c>
    </row>
    <row r="14">
      <c r="A14" s="35" t="n">
        <v>4</v>
      </c>
      <c r="B14" s="35" t="inlineStr">
        <is>
          <t>Driver Brasil Six</t>
        </is>
      </c>
      <c r="C14" s="35" t="inlineStr">
        <is>
          <t>50.114.948/0001-46</t>
        </is>
      </c>
      <c r="D14" s="35" t="inlineStr">
        <is>
          <t>DRIVER BRASIL SIX BANCO VOLKSWAGEN FIDC FINANCIAMENTO DE VEÍCULOS - RESPONSABILIDADE LIMITADA</t>
        </is>
      </c>
      <c r="E14" s="35" t="inlineStr">
        <is>
          <t>remuneração de cota</t>
        </is>
      </c>
      <c r="F14" s="35" t="inlineStr">
        <is>
          <t>Sênior</t>
        </is>
      </c>
      <c r="G14" s="35" t="inlineStr"/>
      <c r="H14" s="35" t="inlineStr">
        <is>
          <t>CDI + spread a.a.</t>
        </is>
      </c>
      <c r="I14" s="39" t="n">
        <v>0.019</v>
      </c>
      <c r="J14" s="35" t="inlineStr">
        <is>
          <t>id 1115006</t>
        </is>
      </c>
      <c r="K14" s="35" t="inlineStr">
        <is>
          <t>STIMENTO DO DRIVER BRASIL SIX BANCO VOLKSWAGEN FUNDO DE INVESTIMENTO EM DIREITOS CREDITÓRIOS FINANCIAMENTO DE VEÍCULOS - RESPONSABILIDADE LIMITADA , CNPJ /MF 50.114.948/0001-46 – VIGENTE EM 13/02/2026. 6 Subscrição de Cotas Seniores A subscrição das Cotas Seniores deverá ocorrer no prazo máximo de 180 (cento e oitenta) dias, contado da data de divulgação do anúncio de início de distribuição das Cotas Seniores, nos termos da Resolução CVM 160. Benchmark das Cotas Seniores 100% (cem por cento) da Taxa DI, acrescido de uma sobretaxa (spread) equivalente a 1,90% (um inteiro e noventa centésimos po</t>
        </is>
      </c>
    </row>
    <row r="15">
      <c r="A15" s="35" t="n">
        <v>5</v>
      </c>
      <c r="B15" s="35" t="inlineStr">
        <is>
          <t>Seller 3</t>
        </is>
      </c>
      <c r="C15" s="35" t="inlineStr">
        <is>
          <t>63.572.282/0001-11</t>
        </is>
      </c>
      <c r="D15" s="35" t="inlineStr">
        <is>
          <t>SELLER 3 FUNDO DE INVESTIMENTO EM DIREITOS CREDITORIOS SEGMENTO MEIOS DE PAGAMENTO DE RESP LIMITADA</t>
        </is>
      </c>
      <c r="E15" s="35" t="inlineStr">
        <is>
          <t>não localizado</t>
        </is>
      </c>
      <c r="F15" s="35" t="inlineStr">
        <is>
          <t>não localizado</t>
        </is>
      </c>
      <c r="G15" s="35" t="inlineStr"/>
      <c r="H15" s="35" t="inlineStr">
        <is>
          <t>não localizado</t>
        </is>
      </c>
      <c r="I15" s="35" t="n"/>
      <c r="J15" s="35" t="inlineStr">
        <is>
          <t>não localizado</t>
        </is>
      </c>
      <c r="K15" s="35" t="inlineStr">
        <is>
          <t>Nenhum documento consultado deste fundo declara remuneração de cota nem taxa de aquisição.</t>
        </is>
      </c>
    </row>
    <row r="16">
      <c r="A16" s="35" t="n">
        <v>6</v>
      </c>
      <c r="B16" s="35" t="inlineStr">
        <is>
          <t>Pine INSS III</t>
        </is>
      </c>
      <c r="C16" s="35" t="inlineStr">
        <is>
          <t>63.546.406/0001-94</t>
        </is>
      </c>
      <c r="D16" s="35" t="inlineStr">
        <is>
          <t>PINE INSS III FUNDO DE INVESTIMENTO EM DIREITOS CREDITORIOS  RESPONSABILIDADE LIMITADA</t>
        </is>
      </c>
      <c r="E16" s="35" t="inlineStr">
        <is>
          <t>não localizado</t>
        </is>
      </c>
      <c r="F16" s="35" t="inlineStr">
        <is>
          <t>não localizado</t>
        </is>
      </c>
      <c r="G16" s="35" t="inlineStr"/>
      <c r="H16" s="35" t="inlineStr">
        <is>
          <t>não localizado</t>
        </is>
      </c>
      <c r="I16" s="35" t="n"/>
      <c r="J16" s="35" t="inlineStr">
        <is>
          <t>não localizado</t>
        </is>
      </c>
      <c r="K16" s="35" t="inlineStr">
        <is>
          <t>Nenhum documento consultado deste fundo declara remuneração de cota nem taxa de aquisição.</t>
        </is>
      </c>
    </row>
    <row r="17">
      <c r="A17" s="35" t="n">
        <v>7</v>
      </c>
      <c r="B17" s="35" t="inlineStr">
        <is>
          <t>PicPay FGTS II</t>
        </is>
      </c>
      <c r="C17" s="35" t="inlineStr">
        <is>
          <t>65.839.682/0001-76</t>
        </is>
      </c>
      <c r="D17" s="35" t="inlineStr">
        <is>
          <t>FUNDO DE INVESTIMENTOS EM DIREITOS CREDITORIOS PICPAY FGTS II DE RESPONSABILIDADE LIMITADA</t>
        </is>
      </c>
      <c r="E17" s="35" t="inlineStr">
        <is>
          <t>não localizado</t>
        </is>
      </c>
      <c r="F17" s="35" t="inlineStr">
        <is>
          <t>não localizado</t>
        </is>
      </c>
      <c r="G17" s="35" t="inlineStr"/>
      <c r="H17" s="35" t="inlineStr">
        <is>
          <t>não localizado</t>
        </is>
      </c>
      <c r="I17" s="35" t="n"/>
      <c r="J17" s="35" t="inlineStr">
        <is>
          <t>não localizado</t>
        </is>
      </c>
      <c r="K17" s="35" t="inlineStr">
        <is>
          <t>Nenhum documento consultado deste fundo declara remuneração de cota nem taxa de aquisição.</t>
        </is>
      </c>
    </row>
    <row r="18">
      <c r="A18" s="35" t="n">
        <v>8</v>
      </c>
      <c r="B18" s="35" t="inlineStr">
        <is>
          <t>iCred INSS II</t>
        </is>
      </c>
      <c r="C18" s="35" t="inlineStr">
        <is>
          <t>63.733.796/0001-01</t>
        </is>
      </c>
      <c r="D18" s="35" t="inlineStr">
        <is>
          <t>ICRED INSS II FUNDO DE INVESTIMENTO EM DIREITOS CREDITORIOS RESPONSABILIDADE LIMITADA</t>
        </is>
      </c>
      <c r="E18" s="35" t="inlineStr">
        <is>
          <t>não localizado</t>
        </is>
      </c>
      <c r="F18" s="35" t="inlineStr">
        <is>
          <t>não localizado</t>
        </is>
      </c>
      <c r="G18" s="35" t="inlineStr"/>
      <c r="H18" s="35" t="inlineStr">
        <is>
          <t>não localizado</t>
        </is>
      </c>
      <c r="I18" s="35" t="n"/>
      <c r="J18" s="35" t="inlineStr">
        <is>
          <t>não localizado</t>
        </is>
      </c>
      <c r="K18" s="35" t="inlineStr">
        <is>
          <t>Nenhum documento consultado deste fundo declara remuneração de cota nem taxa de aquisição.</t>
        </is>
      </c>
    </row>
    <row r="19">
      <c r="A19" s="35" t="n">
        <v>9</v>
      </c>
      <c r="B19" s="35" t="inlineStr">
        <is>
          <t>JiveMaua Bossanova II</t>
        </is>
      </c>
      <c r="C19" s="35" t="inlineStr">
        <is>
          <t>64.118.207/0001-48</t>
        </is>
      </c>
      <c r="D19" s="35" t="inlineStr">
        <is>
          <t>JIVEMAUÁ BOSSANOVA CRÉDITO SECURITIZADO II FUNDO DE INVESTIMENTO EM DIREITOS CREDITÓRIOS</t>
        </is>
      </c>
      <c r="E19" s="35" t="inlineStr">
        <is>
          <t>não localizado</t>
        </is>
      </c>
      <c r="F19" s="35" t="inlineStr">
        <is>
          <t>não localizado</t>
        </is>
      </c>
      <c r="G19" s="35" t="inlineStr"/>
      <c r="H19" s="35" t="inlineStr">
        <is>
          <t>não localizado</t>
        </is>
      </c>
      <c r="I19" s="35" t="n"/>
      <c r="J19" s="35" t="inlineStr">
        <is>
          <t>não localizado</t>
        </is>
      </c>
      <c r="K19" s="35" t="inlineStr">
        <is>
          <t>Nenhum documento consultado deste fundo declara remuneração de cota nem taxa de aquisição.</t>
        </is>
      </c>
    </row>
    <row r="20">
      <c r="A20" s="35" t="n">
        <v>10</v>
      </c>
      <c r="B20" s="35" t="inlineStr">
        <is>
          <t>Comerciais Medici I</t>
        </is>
      </c>
      <c r="C20" s="35" t="inlineStr">
        <is>
          <t>62.393.829/0001-59</t>
        </is>
      </c>
      <c r="D20" s="35" t="inlineStr">
        <is>
          <t>FUNDO DE INVESTIMENTO EM DIREITOS CREDITORIOS COMERCIAIS MEDICI I - RESPONSABILIDADE LIMITADA</t>
        </is>
      </c>
      <c r="E20" s="35" t="inlineStr">
        <is>
          <t>remuneração de cota</t>
        </is>
      </c>
      <c r="F20" s="35" t="inlineStr">
        <is>
          <t>Sênior</t>
        </is>
      </c>
      <c r="G20" s="35" t="inlineStr">
        <is>
          <t>1ª Série</t>
        </is>
      </c>
      <c r="H20" s="35" t="inlineStr">
        <is>
          <t>CDI + spread a.a.</t>
        </is>
      </c>
      <c r="I20" s="39" t="n">
        <v>0.0095</v>
      </c>
      <c r="J20" s="35" t="inlineStr">
        <is>
          <t>id 1014736</t>
        </is>
      </c>
      <c r="K20" s="35" t="inlineStr">
        <is>
          <t xml:space="preserve">tubro de 2025. Benchmark das Cotas Seniores 1ª Série As Cotas Seniores 1ª Série possuirão benchmark correspondente à 100% (cem por cento) da variação da taxa média diária de juros dos DI  Depósitos Interfinanceiros de um dia, over extra grupo, expressas na forma percentual ao ano, base 252 (duzentos e cinquenta e dois) dias úteis, calculada e divulgada diariamente pela B3 S.A. -Brasil, Bolsa, Balcão ( B3 ), no informativo diário disponível em sua página na I nternet (http://www.b3.com.br) ( Taxa DI ) acrescida exponencialmente de sobretaxa de 0,95% (noventa e c inco centésimos por cento) </t>
        </is>
      </c>
    </row>
    <row r="21">
      <c r="A21" s="35" t="n">
        <v>11</v>
      </c>
      <c r="B21" s="35" t="inlineStr">
        <is>
          <t>PagSeguro I</t>
        </is>
      </c>
      <c r="C21" s="35" t="inlineStr">
        <is>
          <t>28.169.275/0001-72</t>
        </is>
      </c>
      <c r="D21" s="35" t="inlineStr">
        <is>
          <t>FUNDO DE INVESTIMENTO EM DIREITOS CREDITÓRIOS PAGSEGURO I</t>
        </is>
      </c>
      <c r="E21" s="35" t="inlineStr">
        <is>
          <t>não localizado</t>
        </is>
      </c>
      <c r="F21" s="35" t="inlineStr">
        <is>
          <t>não localizado</t>
        </is>
      </c>
      <c r="G21" s="35" t="inlineStr"/>
      <c r="H21" s="35" t="inlineStr">
        <is>
          <t>não localizado</t>
        </is>
      </c>
      <c r="I21" s="35" t="n"/>
      <c r="J21" s="35" t="inlineStr">
        <is>
          <t>não localizado</t>
        </is>
      </c>
      <c r="K21" s="35" t="inlineStr">
        <is>
          <t>Nenhum documento consultado deste fundo declara remuneração de cota nem taxa de aquisição.</t>
        </is>
      </c>
    </row>
    <row r="22">
      <c r="A22" s="35" t="n">
        <v>12</v>
      </c>
      <c r="B22" s="35" t="inlineStr">
        <is>
          <t>IS Green Solfacil VII</t>
        </is>
      </c>
      <c r="C22" s="35" t="inlineStr">
        <is>
          <t>63.505.455/0001-89</t>
        </is>
      </c>
      <c r="D22" s="35" t="inlineStr">
        <is>
          <t>IS GREEN SOLFACIL VII FUNDO DE INVESTIMENTO EM DIREITOS CREDITORIOS RESPONSABILIDADE  LIMITADA</t>
        </is>
      </c>
      <c r="E22" s="35" t="inlineStr">
        <is>
          <t>remuneração de cota</t>
        </is>
      </c>
      <c r="F22" s="35" t="inlineStr">
        <is>
          <t>Mezanino A</t>
        </is>
      </c>
      <c r="G22" s="35" t="inlineStr"/>
      <c r="H22" s="35" t="inlineStr">
        <is>
          <t>CDI + spread a.a.</t>
        </is>
      </c>
      <c r="I22" s="39" t="n">
        <v>0.01</v>
      </c>
      <c r="J22" s="35" t="inlineStr">
        <is>
          <t>id 1090050</t>
        </is>
      </c>
      <c r="K22" s="35" t="inlineStr">
        <is>
          <t>ir da 1ª Data de Integralização. Step-Up de Remuneração no Período de Desinvestimento A partir da Data de Referência imediatamente posterior ao início do Período de Desinvestimento, conforme definido no Regulamento, caso ainda exista saldo devedor das Cotas Subordinadas Mezanino A que não tenham sido integralmente amortizadas, a taxa de remuneração aplicável às referidas Cotas Subordinadas Mezanino A será automaticamente majorada em 1,00% (um ponto percentual) ao ano , passando a corresponder à Taxa DI acrescida da Sobretaxa Subordinadas Mezanino A originalmente aplicável, acrescida de 1,00% a</t>
        </is>
      </c>
    </row>
    <row r="23">
      <c r="A23" s="35" t="n">
        <v>12</v>
      </c>
      <c r="B23" s="35" t="inlineStr">
        <is>
          <t>IS Green Solfacil VII</t>
        </is>
      </c>
      <c r="C23" s="35" t="inlineStr">
        <is>
          <t>63.505.455/0001-89</t>
        </is>
      </c>
      <c r="D23" s="35" t="inlineStr">
        <is>
          <t>IS GREEN SOLFACIL VII FUNDO DE INVESTIMENTO EM DIREITOS CREDITORIOS RESPONSABILIDADE  LIMITADA</t>
        </is>
      </c>
      <c r="E23" s="35" t="inlineStr">
        <is>
          <t>remuneração de cota</t>
        </is>
      </c>
      <c r="F23" s="35" t="inlineStr">
        <is>
          <t>Mezanino B</t>
        </is>
      </c>
      <c r="G23" s="35" t="inlineStr"/>
      <c r="H23" s="35" t="inlineStr">
        <is>
          <t>CDI + spread a.a.</t>
        </is>
      </c>
      <c r="I23" s="39" t="n">
        <v>0.01</v>
      </c>
      <c r="J23" s="35" t="inlineStr">
        <is>
          <t>id 1090050</t>
        </is>
      </c>
      <c r="K23" s="35" t="inlineStr">
        <is>
          <t>ir da 1ª Data de Integralização. Step-Up de Remuneração no Período de Desinvestimento A partir da Data de Referência imediatamente posterior ao início do Período de Desinvestimento, conforme definido no Regulamento, caso ainda exista saldo devedor das Cotas Subordinadas Mezanino B que não tenham sido integralmente amortizadas, a taxa de remuneração aplicável às referidas Cotas Subordinadas Mezanino B será automaticamente majorada em 1,00% (um ponto percentual) ao ano , passando a corresponder à Taxa DI acrescida da Sobretaxa Subordinadas Mezanino B originalmente aplicável, acrescida de 1,00% a</t>
        </is>
      </c>
    </row>
    <row r="24">
      <c r="A24" s="35" t="n">
        <v>12</v>
      </c>
      <c r="B24" s="35" t="inlineStr">
        <is>
          <t>IS Green Solfacil VII</t>
        </is>
      </c>
      <c r="C24" s="35" t="inlineStr">
        <is>
          <t>63.505.455/0001-89</t>
        </is>
      </c>
      <c r="D24" s="35" t="inlineStr">
        <is>
          <t>IS GREEN SOLFACIL VII FUNDO DE INVESTIMENTO EM DIREITOS CREDITORIOS RESPONSABILIDADE  LIMITADA</t>
        </is>
      </c>
      <c r="E24" s="35" t="inlineStr">
        <is>
          <t>remuneração de cota</t>
        </is>
      </c>
      <c r="F24" s="35" t="inlineStr">
        <is>
          <t>Sênior</t>
        </is>
      </c>
      <c r="G24" s="35" t="inlineStr">
        <is>
          <t>1ª Série</t>
        </is>
      </c>
      <c r="H24" s="35" t="inlineStr">
        <is>
          <t>CDI + spread a.a.</t>
        </is>
      </c>
      <c r="I24" s="39" t="n">
        <v>0.01</v>
      </c>
      <c r="J24" s="35" t="inlineStr">
        <is>
          <t>id 1090050</t>
        </is>
      </c>
      <c r="K24" s="35" t="inlineStr">
        <is>
          <t>sign Envelope ID: 07FB5785-EFDA-4087-B7A9-65DB0FA9BBFA Step-Up de Remuneração no Período de Desinvestimento A partir da Data de Referência imediatamente posterior ao início do Período de Desinvestimento, conforme definido no Regulamento, caso ainda exista saldo devedor das Cotas Sênior da 1ª Série que não tenham sido integralmente amortizadas, a taxa de remuneração aplicável às referidas Cotas Sênior será automaticamente majorada em 1,00% (um ponto percentual) ao ano , passando a corresponder à Taxa DI acrescida da Sobretaxa Sênior originalmente aplicável, acrescida de 1,00% a.a. , permanecend</t>
        </is>
      </c>
    </row>
    <row r="25">
      <c r="A25" s="35" t="n">
        <v>13</v>
      </c>
      <c r="B25" s="35" t="inlineStr">
        <is>
          <t>Daycoval D413</t>
        </is>
      </c>
      <c r="C25" s="35" t="inlineStr">
        <is>
          <t>66.226.355/0001-01</t>
        </is>
      </c>
      <c r="D25" s="35" t="inlineStr">
        <is>
          <t>DAYCOVAL D413 FUNDO DE INVESTIMENTO EM DIREITOS  CREDITORIOS</t>
        </is>
      </c>
      <c r="E25" s="35" t="inlineStr">
        <is>
          <t>remuneração de cota</t>
        </is>
      </c>
      <c r="F25" s="35" t="inlineStr">
        <is>
          <t>Mezanino A</t>
        </is>
      </c>
      <c r="G25" s="35" t="inlineStr">
        <is>
          <t>1ª Série</t>
        </is>
      </c>
      <c r="H25" s="35" t="inlineStr">
        <is>
          <t>CDI + spread a.a.</t>
        </is>
      </c>
      <c r="I25" s="39" t="n">
        <v>0.0335</v>
      </c>
      <c r="J25" s="35" t="inlineStr">
        <is>
          <t>id 1216378</t>
        </is>
      </c>
      <c r="K25" s="35" t="inlineStr">
        <is>
          <t>te à 1ª (primeira) Série (“1ª Série”) de Cotas Mezanino A, emitida nos termos do Regulamento do FUNDO DE INVESTIMENTO EM DIREITOS CREDITÓRIOS CONSIG PREMIUM I – RESPONSABILIDADE LIMITADA 1. Prazo. 1.1. O prazo de duração da 1ª Série de Cotas Mezanino A é de até 132 (cento e trinta e dois) meses, contados da data da primeira integralização de Cotas Mezanino A. 2. Benchmark (Meta de rentabilidade) 2.1. As Cotas Mezanino A da 1ª Série possuirão uma meta de rentabilidade ( benchmark) equivalente ao CDI acrescido de spread equivalente a 3,35% a.a. (três inteiros e trinta e cinco centésimos por cent</t>
        </is>
      </c>
    </row>
    <row r="26">
      <c r="A26" s="35" t="n">
        <v>13</v>
      </c>
      <c r="B26" s="35" t="inlineStr">
        <is>
          <t>Daycoval D413</t>
        </is>
      </c>
      <c r="C26" s="35" t="inlineStr">
        <is>
          <t>66.226.355/0001-01</t>
        </is>
      </c>
      <c r="D26" s="35" t="inlineStr">
        <is>
          <t>DAYCOVAL D413 FUNDO DE INVESTIMENTO EM DIREITOS  CREDITORIOS</t>
        </is>
      </c>
      <c r="E26" s="35" t="inlineStr">
        <is>
          <t>remuneração de cota</t>
        </is>
      </c>
      <c r="F26" s="35" t="inlineStr">
        <is>
          <t>Mezanino A</t>
        </is>
      </c>
      <c r="G26" s="35" t="inlineStr">
        <is>
          <t>1ª Série</t>
        </is>
      </c>
      <c r="H26" s="35" t="inlineStr">
        <is>
          <t>CDI + spread a.a.</t>
        </is>
      </c>
      <c r="I26" s="39" t="n">
        <v>0.065</v>
      </c>
      <c r="J26" s="35" t="inlineStr">
        <is>
          <t>id 1216378</t>
        </is>
      </c>
      <c r="K26" s="35" t="inlineStr">
        <is>
          <t xml:space="preserve">te à 1ª (primeira) Série (“1ª Série”) de Cotas Mezanino B, emitida nos termos do Regulamento do FUNDO DE INVESTIMENTO EM DIREITOS CREDITÓRIOS CONSIG PREMIUM I – RESPONSABILIDADE LIMITADA 1. Prazo. 1.1. O prazo de duração da 1ª Série de Cotas Mezanino B é de até 132 (cento e trinta e dois) meses, contados da data da primeira integralização de Cotas Mezanino B. 2. Benchmark (Meta de rentabilidade) 2.1. As Cotas Mezanino B da 1ª Série possuirão uma meta de rentabilidade ( benchmark) equivalente ao CDI acrescido de spread equivalente a 6,50% a.a. (seis inteiros e cinquenta centésimos por cento ao </t>
        </is>
      </c>
    </row>
    <row r="27">
      <c r="A27" s="35" t="n">
        <v>13</v>
      </c>
      <c r="B27" s="35" t="inlineStr">
        <is>
          <t>Daycoval D413</t>
        </is>
      </c>
      <c r="C27" s="35" t="inlineStr">
        <is>
          <t>66.226.355/0001-01</t>
        </is>
      </c>
      <c r="D27" s="35" t="inlineStr">
        <is>
          <t>DAYCOVAL D413 FUNDO DE INVESTIMENTO EM DIREITOS  CREDITORIOS</t>
        </is>
      </c>
      <c r="E27" s="35" t="inlineStr">
        <is>
          <t>remuneração de cota</t>
        </is>
      </c>
      <c r="F27" s="35" t="inlineStr">
        <is>
          <t>Sênior</t>
        </is>
      </c>
      <c r="G27" s="35" t="inlineStr">
        <is>
          <t>1ª Série</t>
        </is>
      </c>
      <c r="H27" s="35" t="inlineStr">
        <is>
          <t>CDI + spread a.a.</t>
        </is>
      </c>
      <c r="I27" s="39" t="n">
        <v>0.012</v>
      </c>
      <c r="J27" s="35" t="inlineStr">
        <is>
          <t>id 1214778</t>
        </is>
      </c>
      <c r="K27" s="35" t="inlineStr">
        <is>
          <t>ente à 1ª (primeira) Série (“1ª Série”) de Cotas Seniores, emitida nos termos do Regulamento do FUNDO DE INVESTIMENTO EM DIREITOS CREDITÓRIOS CONSIG PREMIUM I – RESPONSABILIDADE LIMITADA 1. Prazo. 1.1. O prazo de duração da 1ª Série de Cotas Seniores é de até 120 (cento e vinte) meses, contados da data da primeira integralização de Cotas Seniores. 2. Benchmark (Meta de rentabilidade). 2.1. As Cotas Seniores da 1ª Série possuirão uma meta de rentabilidade ( benchmark) equivalente a, no máximo, o CDI acrescido de spread equivalente a 1,20% a.a. (um inteiro e vinte centésimos por cento ao ano) pa</t>
        </is>
      </c>
    </row>
    <row r="28">
      <c r="A28" s="35" t="n">
        <v>13</v>
      </c>
      <c r="B28" s="35" t="inlineStr">
        <is>
          <t>Daycoval D413</t>
        </is>
      </c>
      <c r="C28" s="35" t="inlineStr">
        <is>
          <t>66.226.355/0001-01</t>
        </is>
      </c>
      <c r="D28" s="35" t="inlineStr">
        <is>
          <t>DAYCOVAL D413 FUNDO DE INVESTIMENTO EM DIREITOS  CREDITORIOS</t>
        </is>
      </c>
      <c r="E28" s="35" t="inlineStr">
        <is>
          <t>remuneração de cota</t>
        </is>
      </c>
      <c r="F28" s="35" t="inlineStr">
        <is>
          <t>Sênior</t>
        </is>
      </c>
      <c r="G28" s="35" t="inlineStr">
        <is>
          <t>1ª Série</t>
        </is>
      </c>
      <c r="H28" s="35" t="inlineStr">
        <is>
          <t>CDI + spread a.a.</t>
        </is>
      </c>
      <c r="I28" s="39" t="n">
        <v>0.0135</v>
      </c>
      <c r="J28" s="35" t="inlineStr">
        <is>
          <t>id 1216378</t>
        </is>
      </c>
      <c r="K28" s="35" t="inlineStr">
        <is>
          <t>ª (primeira) Série (“1ª Série”) de Cotas Seniores, emitida nos termos do Regulamento do FUNDO DE INVESTIMENTO EM DIREITOS CREDITÓRIOS CONSIG PREMIUM I – RESPONSABILIDADE LIMITADA 1. Prazo. 1.1. O prazo de duração da 1ª Série de Cotas Seniores é de até 132 (cento e trinta e dois) meses, contados da data da primeira integralização de Cotas Seniores. 2. Benchmark (Meta de rentabilidade). 2.1. As Cotas Seniores da 1ª Série possuirão uma meta de rentabilidade ( benchmark) equivalente a, no máximo, o CDI acrescido de spread equivalente a 1,35% a.a. (um inteiro e trinta e cinco centésimos por cento a</t>
        </is>
      </c>
    </row>
    <row r="29">
      <c r="A29" s="35" t="n">
        <v>14</v>
      </c>
      <c r="B29" s="35" t="inlineStr">
        <is>
          <t>Lavoro Fornecedores</t>
        </is>
      </c>
      <c r="C29" s="35" t="inlineStr">
        <is>
          <t>61.669.748/0001-76</t>
        </is>
      </c>
      <c r="D29" s="35" t="inlineStr">
        <is>
          <t>LAVORO FORNECEDORES FUNDO DE INVESTIMENTO EM DIREITOS CREDITÓRIOS DO AGRONEGÓCIO - RESP LTDA</t>
        </is>
      </c>
      <c r="E29" s="35" t="inlineStr">
        <is>
          <t>não localizado</t>
        </is>
      </c>
      <c r="F29" s="35" t="inlineStr">
        <is>
          <t>não localizado</t>
        </is>
      </c>
      <c r="G29" s="35" t="inlineStr"/>
      <c r="H29" s="35" t="inlineStr">
        <is>
          <t>não localizado</t>
        </is>
      </c>
      <c r="I29" s="35" t="n"/>
      <c r="J29" s="35" t="inlineStr">
        <is>
          <t>não localizado</t>
        </is>
      </c>
      <c r="K29" s="35" t="inlineStr">
        <is>
          <t>Nenhum documento consultado deste fundo declara remuneração de cota nem taxa de aquisição.</t>
        </is>
      </c>
    </row>
    <row r="30">
      <c r="A30" s="35" t="n">
        <v>15</v>
      </c>
      <c r="B30" s="35" t="inlineStr">
        <is>
          <t>Agro Citi-Bayer</t>
        </is>
      </c>
      <c r="C30" s="35" t="inlineStr">
        <is>
          <t>44.302.112/0001-72</t>
        </is>
      </c>
      <c r="D30" s="35" t="inlineStr">
        <is>
          <t>CLASSE ÚNICA FUNDO DE INVESTIMENTO EM DIREITOS CREDITÓRIOS AGRO CITI-BAYER RESPONSABILIDADE LIMITADA</t>
        </is>
      </c>
      <c r="E30" s="35" t="inlineStr">
        <is>
          <t>não localizado</t>
        </is>
      </c>
      <c r="F30" s="35" t="inlineStr">
        <is>
          <t>não localizado</t>
        </is>
      </c>
      <c r="G30" s="35" t="inlineStr"/>
      <c r="H30" s="35" t="inlineStr">
        <is>
          <t>não localizado</t>
        </is>
      </c>
      <c r="I30" s="35" t="n"/>
      <c r="J30" s="35" t="inlineStr">
        <is>
          <t>não localizado</t>
        </is>
      </c>
      <c r="K30" s="35" t="inlineStr">
        <is>
          <t>Nenhum documento consultado deste fundo declara remuneração de cota nem taxa de aquisição.</t>
        </is>
      </c>
    </row>
    <row r="32">
      <c r="A32" s="44" t="inlineStr">
        <is>
          <t>Cobertura: 6 de 15 fundos com preço documentado. Sem remuneração nos documentos consultados: #3 Agibank II; #5 Seller 3; #6 Pine INSS III; #7 PicPay FGTS II; #8 iCred INSS II; #9 JiveMaua Bossanova II; #11 PagSeguro I; #14 Lavoro Fornecedores; #15 Agro Citi-Bayer.</t>
        </is>
      </c>
    </row>
  </sheetData>
  <autoFilter ref="A4:K30"/>
  <mergeCells count="1">
    <mergeCell ref="A2:K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14" customWidth="1" min="1" max="1"/>
    <col width="24" customWidth="1" min="2" max="2"/>
    <col width="22" customWidth="1" min="3" max="3"/>
    <col width="74" customWidth="1" min="4" max="4"/>
    <col width="52" customWidth="1" min="5" max="5"/>
    <col width="48" customWidth="1" min="6" max="6"/>
  </cols>
  <sheetData>
    <row r="1">
      <c r="A1" s="30" t="inlineStr">
        <is>
          <t>Auditoria da tabela "Top Originadores 2026"</t>
        </is>
      </c>
    </row>
    <row r="2" ht="44" customHeight="1">
      <c r="A2" s="31" t="inlineStr">
        <is>
          <t>Confrontação linha a linha contra a base da CVM de Ofertas Públicas de Distribuição (oferta_resolucao_160), o cadastro de fundos (registro_fundo/registro_classe) e os regulamentos arquivados no FundosNET. Somente colunas reconciliáveis contra fonte oficial foram auditadas; as demais estão marcadas como "Não auditável" e não receberam crítica.</t>
        </is>
      </c>
    </row>
    <row r="4" ht="34" customHeight="1">
      <c r="A4" s="33" t="inlineStr">
        <is>
          <t>Severidade</t>
        </is>
      </c>
      <c r="B4" s="33" t="inlineStr">
        <is>
          <t>Coluna / tema</t>
        </is>
      </c>
      <c r="C4" s="33" t="inlineStr">
        <is>
          <t>Linha da foto</t>
        </is>
      </c>
      <c r="D4" s="33" t="inlineStr">
        <is>
          <t>Achado</t>
        </is>
      </c>
      <c r="E4" s="33" t="inlineStr">
        <is>
          <t>Evidência na fonte oficial</t>
        </is>
      </c>
      <c r="F4" s="33" t="inlineStr">
        <is>
          <t>Sugestão</t>
        </is>
      </c>
    </row>
    <row r="5">
      <c r="A5" s="45" t="inlineStr">
        <is>
          <t>Metodologia</t>
        </is>
      </c>
      <c r="B5" s="35" t="inlineStr">
        <is>
          <t>Recorte da foto</t>
        </is>
      </c>
      <c r="C5" s="35" t="inlineStr">
        <is>
          <t>todas</t>
        </is>
      </c>
      <c r="D5" s="35" t="inlineStr">
        <is>
          <t>O recorte foi reproduzido integralmente a partir da base da CVM: Valor_Mobiliario = "Cotas de FIDC", Tipo_Oferta = PRIMARIA, Status = "Oferta Encerrada" e Data_Encerramento entre 01/01/2026 e 30/06/2026, ordenado por Valor_Total_Registrado. Os 15 fundos, a ordem e os 15 valores conferem.</t>
        </is>
      </c>
      <c r="E5" s="35" t="inlineStr">
        <is>
          <t>Subtotal recalculado R$ 23,819 bi contra R$ 23,8 bi na foto.</t>
        </is>
      </c>
      <c r="F5" s="35" t="inlineStr">
        <is>
          <t>Nenhuma ação. O recorte está correto e é auditável.</t>
        </is>
      </c>
    </row>
    <row r="6">
      <c r="A6" s="45" t="inlineStr">
        <is>
          <t>Metodologia</t>
        </is>
      </c>
      <c r="B6" s="35" t="inlineStr">
        <is>
          <t>Rótulo do período</t>
        </is>
      </c>
      <c r="C6" s="35" t="inlineStr">
        <is>
          <t>linhas 2, 8, 14 e 15</t>
        </is>
      </c>
      <c r="D6" s="35" t="inlineStr">
        <is>
          <t>O título "Top Originadores 2026" e o rótulo "JAN–JUN/26" descrevem a janela de ENCERRAMENTO, não a de emissão. Quatro das quinze ofertas foram registradas na CVM em 2025: VTK (15/09/2025), AGRO CITI-BAYER (31/10/2025), Lavoro (28/11/2025) e iCred INSS II (19/12/2025).</t>
        </is>
      </c>
      <c r="E6" s="35" t="inlineStr">
        <is>
          <t>Campo Data_Registro. Somam R$ 5,30 bi, 22,3% do subtotal de R$ 23,8 bi.</t>
        </is>
      </c>
      <c r="F6" s="35" t="inlineStr">
        <is>
          <t>Explicitar no rótulo que o critério é a data de encerramento, ou separar as duas janelas.</t>
        </is>
      </c>
    </row>
    <row r="7">
      <c r="A7" s="45" t="inlineStr">
        <is>
          <t>Metodologia</t>
        </is>
      </c>
      <c r="B7" s="35" t="inlineStr">
        <is>
          <t>Denominador de 38,4%</t>
        </is>
      </c>
      <c r="C7" s="35" t="inlineStr">
        <is>
          <t>rodapé</t>
        </is>
      </c>
      <c r="D7" s="35" t="inlineStr">
        <is>
          <t>O percentual não reproduz com o mesmo filtro. O período soma R$ 65,49 bi, o que dá 36,4%. Excluindo FICs do denominador chega-se a R$ 62,62 bi, ou 38,0%. O denominador implícito na foto é R$ 62,03 bi.</t>
        </is>
      </c>
      <c r="E7" s="35" t="inlineStr">
        <is>
          <t>Soma de Valor_Total_Registrado sob o mesmo filtro do recorte.</t>
        </is>
      </c>
      <c r="F7" s="35" t="inlineStr">
        <is>
          <t>Declarar no rodapé se o denominador exclui FICs e a data de extração da base.</t>
        </is>
      </c>
    </row>
    <row r="8">
      <c r="A8" s="46" t="inlineStr">
        <is>
          <t>Erro</t>
        </is>
      </c>
      <c r="B8" s="35" t="inlineStr">
        <is>
          <t>IBBA Coord</t>
        </is>
      </c>
      <c r="C8" s="35" t="inlineStr">
        <is>
          <t>#3 Agibank II</t>
        </is>
      </c>
      <c r="D8" s="35" t="inlineStr">
        <is>
          <t>A foto marca "Sim – IBBA Líder". A CVM registra como instituição intermediária líder o BANCO BRADESCO BBI S.A. (CNPJ 06.271.464/0001-19).</t>
        </is>
      </c>
      <c r="E8" s="35" t="inlineStr">
        <is>
          <t>Processo SRE/1057/2026, campo Nome_Lider. Oferta de R$ 2,50 bi.</t>
        </is>
      </c>
      <c r="F8" s="35" t="inlineStr">
        <is>
          <t>Corrigir para Bradesco BBI ou, se houve co-liderança, qualificar a marcação — a CVM registra um único líder.</t>
        </is>
      </c>
    </row>
    <row r="9">
      <c r="A9" s="46" t="inlineStr">
        <is>
          <t>Erro</t>
        </is>
      </c>
      <c r="B9" s="35" t="inlineStr">
        <is>
          <t>IBBA Coord</t>
        </is>
      </c>
      <c r="C9" s="35" t="inlineStr">
        <is>
          <t>#8 iCred INSS II</t>
        </is>
      </c>
      <c r="D9" s="35" t="inlineStr">
        <is>
          <t>A foto marca "Sim – IBBA Líder". A CVM registra como líder a XP INVESTIMENTOS CCTVM S.A. (CNPJ 02.332.886/0001-04).</t>
        </is>
      </c>
      <c r="E9" s="35" t="inlineStr">
        <is>
          <t>Processo SRE/4052/2025, campo Nome_Lider. Oferta de R$ 1,021 bi.</t>
        </is>
      </c>
      <c r="F9" s="35" t="inlineStr">
        <is>
          <t>Corrigir para XP ou qualificar a marcação.</t>
        </is>
      </c>
    </row>
    <row r="10">
      <c r="A10" s="46" t="inlineStr">
        <is>
          <t>Erro</t>
        </is>
      </c>
      <c r="B10" s="35" t="inlineStr">
        <is>
          <t>IBBA Coord</t>
        </is>
      </c>
      <c r="C10" s="35" t="inlineStr">
        <is>
          <t>#10 Comerciais Médici I</t>
        </is>
      </c>
      <c r="D10" s="35" t="inlineStr">
        <is>
          <t>A foto marca "Sim – IBBA Líder". A CVM registra como líder o BANCO BRADESCO BBI S.A.</t>
        </is>
      </c>
      <c r="E10" s="35" t="inlineStr">
        <is>
          <t>Processo SRE/0130/2026, campo Nome_Lider. Oferta de R$ 1,00 bi.</t>
        </is>
      </c>
      <c r="F10" s="35" t="inlineStr">
        <is>
          <t>Corrigir para Bradesco BBI ou qualificar a marcação.</t>
        </is>
      </c>
    </row>
    <row r="11">
      <c r="A11" s="46" t="inlineStr">
        <is>
          <t>Erro</t>
        </is>
      </c>
      <c r="B11" s="35" t="inlineStr">
        <is>
          <t>Subtotal IBBA Coord</t>
        </is>
      </c>
      <c r="C11" s="35" t="inlineStr">
        <is>
          <t>rodapé (9,6 bi / 15,5%)</t>
        </is>
      </c>
      <c r="D11" s="35" t="inlineStr">
        <is>
          <t>O subtotal de R$ 9,6 bi soma as seis ofertas marcadas "Sim – IBBA Líder". Considerando apenas as ofertas em que a CVM registra o Itaú BBA como líder — VTK, Pine INSS III, PagSeguro I, IS Green Solfácil VII e Daycoval D413 — o total é R$ 6,62 bi.</t>
        </is>
      </c>
      <c r="E11" s="35" t="inlineStr">
        <is>
          <t>Campo Nome_Lider das 15 ofertas. Diferença de R$ 2,98 bi.</t>
        </is>
      </c>
      <c r="F11" s="35" t="inlineStr">
        <is>
          <t>Recalcular o subtotal e o percentual após corrigir as três linhas de coordenação.</t>
        </is>
      </c>
    </row>
    <row r="12">
      <c r="A12" s="47" t="inlineStr">
        <is>
          <t>Imprecisão</t>
        </is>
      </c>
      <c r="B12" s="35" t="inlineStr">
        <is>
          <t>IBBA Coord</t>
        </is>
      </c>
      <c r="C12" s="35" t="inlineStr">
        <is>
          <t>#12 e #13</t>
        </is>
      </c>
      <c r="D12" s="35" t="inlineStr">
        <is>
          <t>Ambas marcadas apenas como "Sim", sem indicar liderança, enquanto as demais trazem "Líder". A CVM registra o Itaú BBA como líder nos dois casos.</t>
        </is>
      </c>
      <c r="E12" s="35" t="inlineStr">
        <is>
          <t>Processos SRE/0036/2026 e SRE/1706/2026, campo Nome_Lider.</t>
        </is>
      </c>
      <c r="F12" s="35" t="inlineStr">
        <is>
          <t>Marcar "Sim – IBBA Líder" nas duas linhas, para tratamento uniforme.</t>
        </is>
      </c>
    </row>
    <row r="13">
      <c r="A13" s="46" t="inlineStr">
        <is>
          <t>Erro</t>
        </is>
      </c>
      <c r="B13" s="35" t="inlineStr">
        <is>
          <t>Garantia Firme</t>
        </is>
      </c>
      <c r="C13" s="35" t="inlineStr">
        <is>
          <t>#6 Pine INSS III</t>
        </is>
      </c>
      <c r="D13" s="35" t="inlineStr">
        <is>
          <t>A foto indica "Sim – 800". A CVM registra Regime_distribuicao = "Melhores Esforços", sem parcela de garantia firme.</t>
        </is>
      </c>
      <c r="E13" s="35" t="inlineStr">
        <is>
          <t>Processo SRE/0645/2026, campo Regime_distribuicao.</t>
        </is>
      </c>
      <c r="F13" s="35" t="inlineStr">
        <is>
          <t>Reconciliar com o regime registrado, ou explicitar que se trata de compromisso privado fora do registro da oferta.</t>
        </is>
      </c>
    </row>
    <row r="14">
      <c r="A14" s="46" t="inlineStr">
        <is>
          <t>Erro</t>
        </is>
      </c>
      <c r="B14" s="35" t="inlineStr">
        <is>
          <t>Garantia Firme</t>
        </is>
      </c>
      <c r="C14" s="35" t="inlineStr">
        <is>
          <t>#13 Daycoval D413</t>
        </is>
      </c>
      <c r="D14" s="35" t="inlineStr">
        <is>
          <t>A foto indica "Não". A CVM registra Regime_distribuicao = "Misto" e o Anúncio de Encerramento diz textualmente "sob o regime misto de garantia firme e melhores esforços de colocação".</t>
        </is>
      </c>
      <c r="E14" s="35" t="inlineStr">
        <is>
          <t>Processo SRE/1706/2026 e documento FundosNET id 1230962.</t>
        </is>
      </c>
      <c r="F14" s="35" t="inlineStr">
        <is>
          <t>Corrigir para "Sim" (regime misto).</t>
        </is>
      </c>
    </row>
    <row r="15">
      <c r="A15" s="47" t="inlineStr">
        <is>
          <t>Imprecisão</t>
        </is>
      </c>
      <c r="B15" s="35" t="inlineStr">
        <is>
          <t>Garantia Firme</t>
        </is>
      </c>
      <c r="C15" s="35" t="inlineStr">
        <is>
          <t>#4 Driver BR Six</t>
        </is>
      </c>
      <c r="D15" s="35" t="inlineStr">
        <is>
          <t>A foto indica "Não". A CVM registra Regime_distribuicao = "Misto", que contém parcela de garantia firme.</t>
        </is>
      </c>
      <c r="E15" s="35" t="inlineStr">
        <is>
          <t>Processo SRE/0451/2026, campo Regime_distribuicao.</t>
        </is>
      </c>
      <c r="F15" s="35" t="inlineStr">
        <is>
          <t>Corrigir para "Sim" ou indicar "parcial (regime misto)".</t>
        </is>
      </c>
    </row>
    <row r="16">
      <c r="A16" s="48" t="inlineStr">
        <is>
          <t>Não auditável</t>
        </is>
      </c>
      <c r="B16" s="35" t="inlineStr">
        <is>
          <t>Garantia Firme — montantes</t>
        </is>
      </c>
      <c r="C16" s="35" t="inlineStr">
        <is>
          <t>#1, #3, #6, #10, #12</t>
        </is>
      </c>
      <c r="D16" s="35" t="inlineStr">
        <is>
          <t>Os montantes indicados (1.100, 1.250, 800, 1.500 e 453) não constam da base da CVM, que informa apenas o regime de distribuição, não o valor garantido. Não reconciliáveis.</t>
        </is>
      </c>
      <c r="E16" s="35" t="inlineStr">
        <is>
          <t>Base de ofertas não possui campo de montante de garantia firme.</t>
        </is>
      </c>
      <c r="F16" s="35" t="inlineStr">
        <is>
          <t>Nenhuma, salvo declarar a fonte interna do número.</t>
        </is>
      </c>
    </row>
    <row r="17">
      <c r="A17" s="46" t="inlineStr">
        <is>
          <t>Erro</t>
        </is>
      </c>
      <c r="B17" s="35" t="inlineStr">
        <is>
          <t>Garantia Firme — consistência</t>
        </is>
      </c>
      <c r="C17" s="35" t="inlineStr">
        <is>
          <t>#10 Comerciais Médici I</t>
        </is>
      </c>
      <c r="D17" s="35" t="inlineStr">
        <is>
          <t>O montante de garantia firme indicado (R$ 1.500 mi) supera o valor total registrado da própria oferta (R$ 1.000 mi). A garantia não pode exceder o tamanho da oferta.</t>
        </is>
      </c>
      <c r="E17" s="35" t="inlineStr">
        <is>
          <t>Campo Valor_Total_Registrado = 1.000.000.000,00 no processo SRE/0130/2026.</t>
        </is>
      </c>
      <c r="F17" s="35" t="inlineStr">
        <is>
          <t>Revisar o montante; provavelmente refere-se a outra operação ou a outro conceito.</t>
        </is>
      </c>
    </row>
    <row r="18">
      <c r="A18" s="47" t="inlineStr">
        <is>
          <t>Imprecisão</t>
        </is>
      </c>
      <c r="B18" s="35" t="inlineStr">
        <is>
          <t>Denominação</t>
        </is>
      </c>
      <c r="C18" s="35" t="inlineStr">
        <is>
          <t>#13 Daycoval D413 – Cartão BMG</t>
        </is>
      </c>
      <c r="D18" s="35" t="inlineStr">
        <is>
          <t>A denominação social vigente é "FUNDO DE INVESTIMENTO EM DIREITOS CREDITÓRIOS CONSIG PREMIUM I – RESPONSABILIDADE LIMITADA". "Daycoval D413" era o nome de prateleira, preservado na base de ofertas por ter sido o nome no requerimento.</t>
        </is>
      </c>
      <c r="E18" s="35" t="inlineStr">
        <is>
          <t>registro_fundo.csv da CVM: Em Funcionamento Normal desde 23/06/2026, gestora Angá.</t>
        </is>
      </c>
      <c r="F18" s="35" t="inlineStr">
        <is>
          <t>Usar a denominação vigente, com o nome de prateleira entre parênteses.</t>
        </is>
      </c>
    </row>
    <row r="19">
      <c r="A19" s="47" t="inlineStr">
        <is>
          <t>Imprecisão</t>
        </is>
      </c>
      <c r="B19" s="35" t="inlineStr">
        <is>
          <t>Denominação</t>
        </is>
      </c>
      <c r="C19" s="35" t="inlineStr">
        <is>
          <t>#12 IS Green Solfácil VII</t>
        </is>
      </c>
      <c r="D19" s="35" t="inlineStr">
        <is>
          <t>O regulamento vigente alterou a denominação para "SOLFÁCIL CRÉDITO PESSOAL VII FUNDO DE INVESTIMENTO EM DIREITOS CREDITÓRIOS RESPONSABILIDADE LIMITADA".</t>
        </is>
      </c>
      <c r="E19" s="35" t="inlineStr">
        <is>
          <t>Instrumento de alteração do regulamento arquivado no FundosNET.</t>
        </is>
      </c>
      <c r="F19" s="35" t="inlineStr">
        <is>
          <t>Atualizar a denominação. Verificar também o rótulo "Crédito – Energia" na coluna Tipo, já que o nome vigente indica crédito pessoal.</t>
        </is>
      </c>
    </row>
    <row r="20">
      <c r="A20" s="47" t="inlineStr">
        <is>
          <t>Imprecisão</t>
        </is>
      </c>
      <c r="B20" s="35" t="inlineStr">
        <is>
          <t>Denominação</t>
        </is>
      </c>
      <c r="C20" s="35" t="inlineStr">
        <is>
          <t>#8 iCred INSS II</t>
        </is>
      </c>
      <c r="D20" s="35" t="inlineStr">
        <is>
          <t>Há instrumento alterando a denominação para "ICRED CHOPIN INSS FUNDO DE INVESTIMENTO EM DIREITOS CREDITÓRIOS RESPONSABILIDADE LIMITADA".</t>
        </is>
      </c>
      <c r="E20" s="35" t="inlineStr">
        <is>
          <t>Instrumento de alteração do regulamento arquivado no FundosNET.</t>
        </is>
      </c>
      <c r="F20" s="35" t="inlineStr">
        <is>
          <t>Atualizar a denominação.</t>
        </is>
      </c>
    </row>
    <row r="21">
      <c r="A21" s="49" t="inlineStr">
        <is>
          <t>Confirmado</t>
        </is>
      </c>
      <c r="B21" s="35" t="inlineStr">
        <is>
          <t>Originador</t>
        </is>
      </c>
      <c r="C21" s="35" t="inlineStr">
        <is>
          <t>#2 VTK</t>
        </is>
      </c>
      <c r="D21" s="35" t="inlineStr">
        <is>
          <t>A atribuição a "Facta" confere. O regulamento define "Facta" como FACTA FINANCEIRA S.A. CRÉDITO, FINANCIAMENTO E INVESTIMENTO, CNPJ 15.581.638/0001-30.</t>
        </is>
      </c>
      <c r="E21" s="35" t="inlineStr">
        <is>
          <t>Regulamento do VTK FIDC, seção de definições.</t>
        </is>
      </c>
      <c r="F21" s="35" t="inlineStr">
        <is>
          <t>Nenhuma.</t>
        </is>
      </c>
    </row>
    <row r="22">
      <c r="A22" s="49" t="inlineStr">
        <is>
          <t>Confirmado</t>
        </is>
      </c>
      <c r="B22" s="35" t="inlineStr">
        <is>
          <t>Originador</t>
        </is>
      </c>
      <c r="C22" s="35" t="inlineStr">
        <is>
          <t>#13 Daycoval D413</t>
        </is>
      </c>
      <c r="D22" s="35" t="inlineStr">
        <is>
          <t>A atribuição a "BMG" confere. Cedente é o Banco BMG S.A., CNPJ 61.186.680/0001-74.</t>
        </is>
      </c>
      <c r="E22" s="35" t="inlineStr">
        <is>
          <t>Regulamento (Anexo Descritivo da Classe A) e informe mensal de 06/2026, que registra 99,67% da carteira cedida por esse CNPJ.</t>
        </is>
      </c>
      <c r="F22" s="35" t="inlineStr">
        <is>
          <t>Nenhuma.</t>
        </is>
      </c>
    </row>
    <row r="23">
      <c r="A23" s="49" t="inlineStr">
        <is>
          <t>Confirmado</t>
        </is>
      </c>
      <c r="B23" s="35" t="inlineStr">
        <is>
          <t>Originador</t>
        </is>
      </c>
      <c r="C23" s="35" t="inlineStr">
        <is>
          <t>#6 Pine INSS III e #8 iCred INSS II</t>
        </is>
      </c>
      <c r="D23" s="35" t="inlineStr">
        <is>
          <t>Conferem. Pine: cedente CNPJ 62.144.175/0001-20. iCred: CNPJ 08.939.806/0001-51.</t>
        </is>
      </c>
      <c r="E23" s="35" t="inlineStr">
        <is>
          <t>Anexos de Definições Específicas da Classe dos respectivos regulamentos.</t>
        </is>
      </c>
      <c r="F23" s="35" t="inlineStr">
        <is>
          <t>Nenhuma.</t>
        </is>
      </c>
    </row>
    <row r="24">
      <c r="A24" s="47" t="inlineStr">
        <is>
          <t>Imprecisão</t>
        </is>
      </c>
      <c r="B24" s="35" t="inlineStr">
        <is>
          <t>Originador</t>
        </is>
      </c>
      <c r="C24" s="35" t="inlineStr">
        <is>
          <t>#10 Comerciais Médici I</t>
        </is>
      </c>
      <c r="D24" s="35" t="inlineStr">
        <is>
          <t>A foto registra "Fornecedores BRF e Marfrig" como originador. O regulamento define "Cedentes" como os Fornecedores (fornecedores de produtos e serviços dos Devedores) e "Devedores" como BRF S.A. (01.838.723/0001-27) e Marfrig Global Foods S.A. (03.853.896/0001-40). O originador é o fornecedor; BRF e Marfrig são os sacados. É estrutura de risco sacado.</t>
        </is>
      </c>
      <c r="E24" s="35" t="inlineStr">
        <is>
          <t>Regulamento do FIDC Medici I, seção de definições.</t>
        </is>
      </c>
      <c r="F24" s="35" t="inlineStr">
        <is>
          <t>Separar as colunas de cedente e de sacado — a distinção é o próprio mérito da operação.</t>
        </is>
      </c>
    </row>
    <row r="25">
      <c r="A25" s="47" t="inlineStr">
        <is>
          <t>Imprecisão</t>
        </is>
      </c>
      <c r="B25" s="35" t="inlineStr">
        <is>
          <t>Originador</t>
        </is>
      </c>
      <c r="C25" s="35" t="inlineStr">
        <is>
          <t>#14 Lavoro Fornecedores Agro</t>
        </is>
      </c>
      <c r="D25" s="35" t="inlineStr">
        <is>
          <t>A foto escreve "Lavoro Farmtech". O regulamento define "Cedente(s)" como LAVORO AGRO HOLDING S.A., CNPJ 27.490.581/0001-43, e demais entidades do seu Grupo Econômico.</t>
        </is>
      </c>
      <c r="E25" s="35" t="inlineStr">
        <is>
          <t>Regulamento do Lavoro Fornecedores FIDC do Agronegócio.</t>
        </is>
      </c>
      <c r="F25" s="35" t="inlineStr">
        <is>
          <t>Usar a razão social do cedente registrada no regulamento.</t>
        </is>
      </c>
    </row>
    <row r="26">
      <c r="A26" s="47" t="inlineStr">
        <is>
          <t>Imprecisão</t>
        </is>
      </c>
      <c r="B26" s="35" t="inlineStr">
        <is>
          <t>Originador</t>
        </is>
      </c>
      <c r="C26" s="35" t="inlineStr">
        <is>
          <t>#12 IS Green Solfácil VII</t>
        </is>
      </c>
      <c r="D26" s="35" t="inlineStr">
        <is>
          <t>A foto registra "Solfácil". O regulamento define "Credor Original"/"Instituição Financeira Parceira" como BMP e/ou Solfácil SCFI, além de outras instituições aprovadas. A originação passa por instituição financeira parceira.</t>
        </is>
      </c>
      <c r="E26" s="35" t="inlineStr">
        <is>
          <t>Regulamento vigente, seção de definições específicas.</t>
        </is>
      </c>
      <c r="F26" s="35" t="inlineStr">
        <is>
          <t>Registrar a instituição financeira parceira ao lado da marca originadora.</t>
        </is>
      </c>
    </row>
    <row r="27">
      <c r="A27" s="48" t="inlineStr">
        <is>
          <t>Não auditável</t>
        </is>
      </c>
      <c r="B27" s="35" t="inlineStr">
        <is>
          <t>Bookamos?</t>
        </is>
      </c>
      <c r="C27" s="35" t="inlineStr">
        <is>
          <t>coluna inteira</t>
        </is>
      </c>
      <c r="D27" s="35" t="inlineStr">
        <is>
          <t>Não há campo correspondente na base da CVM e o rótulo tem significado interno. A CVM possui um campo Bookbuilding (S/N), que não é o mesmo conceito; se a intenção era esse campo, há divergência em #1, #11 e #12 (foto "Não", CVM "S"). Fora do escopo por instrução.</t>
        </is>
      </c>
      <c r="E27" s="35" t="inlineStr">
        <is>
          <t>Campo Bookbuilding da base de ofertas, citado apenas como referência.</t>
        </is>
      </c>
      <c r="F27" s="35" t="inlineStr">
        <is>
          <t>Renomear a coluna para algo autoexplicativo se a tabela circular fora da equipe.</t>
        </is>
      </c>
    </row>
    <row r="28">
      <c r="A28" s="48" t="inlineStr">
        <is>
          <t>Não auditável</t>
        </is>
      </c>
      <c r="B28" s="35" t="inlineStr">
        <is>
          <t>Risco IBBA – R$ bi</t>
        </is>
      </c>
      <c r="C28" s="35" t="inlineStr">
        <is>
          <t>coluna inteira</t>
        </is>
      </c>
      <c r="D28" s="35" t="inlineStr">
        <is>
          <t>Exposição interna do banco. Não há campo correspondente na CVM. Fora do escopo por instrução.</t>
        </is>
      </c>
      <c r="E28" s="35" t="inlineStr">
        <is>
          <t>n/a</t>
        </is>
      </c>
      <c r="F28" s="35" t="inlineStr">
        <is>
          <t>Nenhuma.</t>
        </is>
      </c>
    </row>
    <row r="29">
      <c r="A29" s="48" t="inlineStr">
        <is>
          <t>Não auditável</t>
        </is>
      </c>
      <c r="B29" s="35" t="inlineStr">
        <is>
          <t>Tipo</t>
        </is>
      </c>
      <c r="C29" s="35" t="inlineStr">
        <is>
          <t>coluna inteira</t>
        </is>
      </c>
      <c r="D29" s="35" t="inlineStr">
        <is>
          <t>Taxonomia interna. A CVM traz apenas Tipo_lastro (Pulverizado/Concentrado). Registro factual: #10 Comerciais Médici I é a única das quinze com Tipo_lastro = "Concentrado", coerente com o rótulo "Risco Corporativo".</t>
        </is>
      </c>
      <c r="E29" s="35" t="inlineStr">
        <is>
          <t>Campo Tipo_lastro da base de ofertas.</t>
        </is>
      </c>
      <c r="F29" s="35" t="inlineStr">
        <is>
          <t>Nenhuma.</t>
        </is>
      </c>
    </row>
    <row r="31">
      <c r="A31" s="44" t="inlineStr">
        <is>
          <t>Resumo</t>
        </is>
      </c>
      <c r="D31" s="44" t="inlineStr">
        <is>
          <t>Imprecisão: 8; Erro: 7; Não auditável: 4; Metodologia: 3; Confirmado: 3</t>
        </is>
      </c>
    </row>
  </sheetData>
  <autoFilter ref="A4:F29"/>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2026-08-03T19:09:27Z</dcterms:created>
  <dcterms:modified xsi:type="dcterms:W3CDTF">2026-08-03T20:19:41Z</dcterms:modified>
  <cp:lastModifiedBy>Matheus Prates</cp:lastModifiedBy>
</cp:coreProperties>
</file>